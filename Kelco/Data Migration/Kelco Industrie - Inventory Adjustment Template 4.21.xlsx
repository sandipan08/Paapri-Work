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.0.5\it\Paapri &amp; Oracle Netsuite\DATA TEMPLATES\GO LIVE OPEN TRANSACTION Templates\Templates sent to Paapri\"/>
    </mc:Choice>
  </mc:AlternateContent>
  <xr:revisionPtr revIDLastSave="0" documentId="13_ncr:1_{B4873264-DE83-4E5E-8D37-0FE16CC5BCE7}" xr6:coauthVersionLast="47" xr6:coauthVersionMax="47" xr10:uidLastSave="{00000000-0000-0000-0000-000000000000}"/>
  <bookViews>
    <workbookView xWindow="28680" yWindow="-120" windowWidth="29040" windowHeight="15720" xr2:uid="{D75400F0-EC2F-4563-9F63-98E7A6D4DB01}"/>
  </bookViews>
  <sheets>
    <sheet name="WCT-PTFE-RUBR" sheetId="3" r:id="rId1"/>
    <sheet name="Part# with New" sheetId="2" r:id="rId2"/>
  </sheets>
  <definedNames>
    <definedName name="__Jan08">#REF!</definedName>
    <definedName name="__Jun07">#REF!</definedName>
    <definedName name="__Mar07">#REF!</definedName>
    <definedName name="__Mar08">#REF!</definedName>
    <definedName name="__May07">#REF!</definedName>
    <definedName name="__Nov07">#REF!</definedName>
    <definedName name="_Feb08">#REF!</definedName>
    <definedName name="_xlnm._FilterDatabase" localSheetId="1" hidden="1">'Part# with New'!$A$1:$B$4347</definedName>
    <definedName name="_Mar07">#REF!</definedName>
    <definedName name="_Mar08">#REF!</definedName>
    <definedName name="_May07">#REF!</definedName>
    <definedName name="_Nov07">#REF!</definedName>
    <definedName name="cal">#REF!</definedName>
    <definedName name="Copy">#REF!</definedName>
    <definedName name="Extruding">#REF!</definedName>
    <definedName name="j">#REF!</definedName>
    <definedName name="job">#REF!</definedName>
    <definedName name="K">#REF!</definedName>
    <definedName name="list">#REF!</definedName>
    <definedName name="molds">#REF!</definedName>
    <definedName name="NCRPARTS">#REF!</definedName>
    <definedName name="part">#REF!</definedName>
    <definedName name="partface">#REF!</definedName>
    <definedName name="parts">#REF!</definedName>
    <definedName name="Qty">#REF!</definedName>
    <definedName name="Query_from_AMULTIQRY" localSheetId="0" hidden="1">'WCT-PTFE-RUBR'!$J$6:$W$1277</definedName>
    <definedName name="Rel">#REF!</definedName>
    <definedName name="R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78" i="3" l="1"/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AC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0621D3-53CB-45A6-A840-2927B01F9F94}" name="Query from AMULTIQRY21" type="1" refreshedVersion="8" background="1" saveData="1">
    <dbPr connection="DSN=AMULTIQRY;" command="SELECT INVVAL1.WWHS, INVVAL1.ICLAS, INVVAL1.WPROD, INVVAL1.IUMS, INVVAL1.STDCST, LOCATIONS.ONHAND, INVVAL1.ILDTE, LOCATIONS.LLOC_x000d__x000a_FROM S102H00M.AMULTIQRY.INVVAL1 INVVAL1, S102H00M.AMULTIQRY.LOCATIONS LOCATIONS_x000d__x000a_WHERE INVVAL1.WPROD = LOCATIONS.LPROD AND INVVAL1.WWHS = LOCATIONS.LWHS AND ((INVVAL1.CFFAC='0E'))"/>
  </connection>
</connections>
</file>

<file path=xl/sharedStrings.xml><?xml version="1.0" encoding="utf-8"?>
<sst xmlns="http://schemas.openxmlformats.org/spreadsheetml/2006/main" count="23107" uniqueCount="11307">
  <si>
    <t>WWHS</t>
  </si>
  <si>
    <t>WPROD</t>
  </si>
  <si>
    <t>E1</t>
  </si>
  <si>
    <t>OT</t>
  </si>
  <si>
    <t>SR-20518.528</t>
  </si>
  <si>
    <t>EA</t>
  </si>
  <si>
    <t>NC</t>
  </si>
  <si>
    <t>SR-20696.528</t>
  </si>
  <si>
    <t>SR-21462.528</t>
  </si>
  <si>
    <t>SA</t>
  </si>
  <si>
    <t>SR-21538.701</t>
  </si>
  <si>
    <t>PT</t>
  </si>
  <si>
    <t>SR-22132.538</t>
  </si>
  <si>
    <t>SL</t>
  </si>
  <si>
    <t>SR-22249</t>
  </si>
  <si>
    <t>FH</t>
  </si>
  <si>
    <t>SR-22858</t>
  </si>
  <si>
    <t>SR-24152.697</t>
  </si>
  <si>
    <t>MP</t>
  </si>
  <si>
    <t>SR-24267.F1711</t>
  </si>
  <si>
    <t>SR-24267.2</t>
  </si>
  <si>
    <t>SR-24268.2</t>
  </si>
  <si>
    <t>SR-24276</t>
  </si>
  <si>
    <t>SR-24277</t>
  </si>
  <si>
    <t>SR-24299</t>
  </si>
  <si>
    <t>SR-24344</t>
  </si>
  <si>
    <t>SR-24460.FL1502</t>
  </si>
  <si>
    <t>SR-24463.AGC594</t>
  </si>
  <si>
    <t>SR-24463.551</t>
  </si>
  <si>
    <t>SR-24463.668</t>
  </si>
  <si>
    <t>JA</t>
  </si>
  <si>
    <t>1-10009</t>
  </si>
  <si>
    <t>1-10018</t>
  </si>
  <si>
    <t>1-10026</t>
  </si>
  <si>
    <t>JC</t>
  </si>
  <si>
    <t>1-10031</t>
  </si>
  <si>
    <t>1-10044</t>
  </si>
  <si>
    <t>JE</t>
  </si>
  <si>
    <t>1-10074</t>
  </si>
  <si>
    <t>1-10081</t>
  </si>
  <si>
    <t>1-10082</t>
  </si>
  <si>
    <t>1-10098</t>
  </si>
  <si>
    <t>1-10099</t>
  </si>
  <si>
    <t>22601</t>
  </si>
  <si>
    <t>1-10101</t>
  </si>
  <si>
    <t>1-10104</t>
  </si>
  <si>
    <t>PC</t>
  </si>
  <si>
    <t>1-10110</t>
  </si>
  <si>
    <t>1-10128</t>
  </si>
  <si>
    <t>1-10131</t>
  </si>
  <si>
    <t>1-10137</t>
  </si>
  <si>
    <t>1-10138</t>
  </si>
  <si>
    <t>1-10147</t>
  </si>
  <si>
    <t>1-10153</t>
  </si>
  <si>
    <t>1-10161</t>
  </si>
  <si>
    <t>1-10168</t>
  </si>
  <si>
    <t>1-10170</t>
  </si>
  <si>
    <t>1-10171</t>
  </si>
  <si>
    <t>1-10178</t>
  </si>
  <si>
    <t>1-10180</t>
  </si>
  <si>
    <t>1-10184</t>
  </si>
  <si>
    <t>22975</t>
  </si>
  <si>
    <t>1-10189</t>
  </si>
  <si>
    <t>1-10201</t>
  </si>
  <si>
    <t>1-10208</t>
  </si>
  <si>
    <t>1-10209</t>
  </si>
  <si>
    <t>1-10212</t>
  </si>
  <si>
    <t>1-10213</t>
  </si>
  <si>
    <t>22377</t>
  </si>
  <si>
    <t>1-10218</t>
  </si>
  <si>
    <t>1-10219</t>
  </si>
  <si>
    <t>22881</t>
  </si>
  <si>
    <t>1-10222</t>
  </si>
  <si>
    <t>1-10224</t>
  </si>
  <si>
    <t>1-10230</t>
  </si>
  <si>
    <t>1-10233</t>
  </si>
  <si>
    <t>23130</t>
  </si>
  <si>
    <t>1-10236</t>
  </si>
  <si>
    <t>23223</t>
  </si>
  <si>
    <t>1-10238</t>
  </si>
  <si>
    <t>1-10240</t>
  </si>
  <si>
    <t>1-10243</t>
  </si>
  <si>
    <t>1-10244</t>
  </si>
  <si>
    <t>1-10248</t>
  </si>
  <si>
    <t>1-10250</t>
  </si>
  <si>
    <t>1-10258</t>
  </si>
  <si>
    <t>23372</t>
  </si>
  <si>
    <t>1-10265</t>
  </si>
  <si>
    <t>1-10270</t>
  </si>
  <si>
    <t>23485</t>
  </si>
  <si>
    <t>1-10284</t>
  </si>
  <si>
    <t>23798</t>
  </si>
  <si>
    <t>1-10288</t>
  </si>
  <si>
    <t>1-10289</t>
  </si>
  <si>
    <t>1-10296</t>
  </si>
  <si>
    <t>1-10297</t>
  </si>
  <si>
    <t>1-10303</t>
  </si>
  <si>
    <t>1-10305</t>
  </si>
  <si>
    <t>1-10311</t>
  </si>
  <si>
    <t>1-10312</t>
  </si>
  <si>
    <t>1-10316</t>
  </si>
  <si>
    <t>1-10317</t>
  </si>
  <si>
    <t>1-10318</t>
  </si>
  <si>
    <t>1-10319</t>
  </si>
  <si>
    <t>1-10320</t>
  </si>
  <si>
    <t>1-10330</t>
  </si>
  <si>
    <t>10528</t>
  </si>
  <si>
    <t>1-10331</t>
  </si>
  <si>
    <t>1-10332</t>
  </si>
  <si>
    <t>1-10334</t>
  </si>
  <si>
    <t>1-10341</t>
  </si>
  <si>
    <t>1-10343</t>
  </si>
  <si>
    <t>10518</t>
  </si>
  <si>
    <t>1-10345</t>
  </si>
  <si>
    <t>10535</t>
  </si>
  <si>
    <t>1-10348</t>
  </si>
  <si>
    <t>1-10350</t>
  </si>
  <si>
    <t>1-10353</t>
  </si>
  <si>
    <t>1-10359</t>
  </si>
  <si>
    <t>1-10362</t>
  </si>
  <si>
    <t>1-10363</t>
  </si>
  <si>
    <t>1-10367</t>
  </si>
  <si>
    <t>1-10368</t>
  </si>
  <si>
    <t>1-10369</t>
  </si>
  <si>
    <t>1-10373</t>
  </si>
  <si>
    <t>1-10382</t>
  </si>
  <si>
    <t>1-10383</t>
  </si>
  <si>
    <t>1-10385</t>
  </si>
  <si>
    <t>1-10386</t>
  </si>
  <si>
    <t>1-10388</t>
  </si>
  <si>
    <t>1-10389</t>
  </si>
  <si>
    <t>1-10393</t>
  </si>
  <si>
    <t>1-10394</t>
  </si>
  <si>
    <t>1-10396</t>
  </si>
  <si>
    <t>1-10401</t>
  </si>
  <si>
    <t>1-10404</t>
  </si>
  <si>
    <t>1-10405</t>
  </si>
  <si>
    <t>1-10406</t>
  </si>
  <si>
    <t>1-10408</t>
  </si>
  <si>
    <t>1-10412</t>
  </si>
  <si>
    <t>1-10413</t>
  </si>
  <si>
    <t>1-10414</t>
  </si>
  <si>
    <t>1-10417</t>
  </si>
  <si>
    <t>1-1066</t>
  </si>
  <si>
    <t>1-1181</t>
  </si>
  <si>
    <t>1-1489</t>
  </si>
  <si>
    <t>1-1524</t>
  </si>
  <si>
    <t>1-1760</t>
  </si>
  <si>
    <t>1-184</t>
  </si>
  <si>
    <t>1-1859</t>
  </si>
  <si>
    <t>1-1904</t>
  </si>
  <si>
    <t>1-205</t>
  </si>
  <si>
    <t>1-2200</t>
  </si>
  <si>
    <t>1-2283</t>
  </si>
  <si>
    <t>1-2287</t>
  </si>
  <si>
    <t>1-2324</t>
  </si>
  <si>
    <t>1-2352</t>
  </si>
  <si>
    <t>1-270</t>
  </si>
  <si>
    <t>1-354</t>
  </si>
  <si>
    <t>1-40</t>
  </si>
  <si>
    <t>1-414</t>
  </si>
  <si>
    <t>1-430</t>
  </si>
  <si>
    <t>1-455</t>
  </si>
  <si>
    <t>1-483</t>
  </si>
  <si>
    <t>1-59</t>
  </si>
  <si>
    <t>1-622</t>
  </si>
  <si>
    <t>1-6360</t>
  </si>
  <si>
    <t>1-6372</t>
  </si>
  <si>
    <t>1-6537</t>
  </si>
  <si>
    <t>1-6850</t>
  </si>
  <si>
    <t>1-702</t>
  </si>
  <si>
    <t>1-711</t>
  </si>
  <si>
    <t>1-7161</t>
  </si>
  <si>
    <t>1-7909</t>
  </si>
  <si>
    <t>1-8055</t>
  </si>
  <si>
    <t>1-8075</t>
  </si>
  <si>
    <t>1-8089</t>
  </si>
  <si>
    <t>1-8266</t>
  </si>
  <si>
    <t>1-8352</t>
  </si>
  <si>
    <t>1-8416</t>
  </si>
  <si>
    <t>1-8596</t>
  </si>
  <si>
    <t>1-8842</t>
  </si>
  <si>
    <t>1-8900</t>
  </si>
  <si>
    <t>1-9113</t>
  </si>
  <si>
    <t>1-9178</t>
  </si>
  <si>
    <t>1-9180</t>
  </si>
  <si>
    <t>1-9181</t>
  </si>
  <si>
    <t>22342</t>
  </si>
  <si>
    <t>1-9183</t>
  </si>
  <si>
    <t>1-9288</t>
  </si>
  <si>
    <t>1-9297</t>
  </si>
  <si>
    <t>1-9302</t>
  </si>
  <si>
    <t>1-9332</t>
  </si>
  <si>
    <t>1-9347</t>
  </si>
  <si>
    <t>1-9416</t>
  </si>
  <si>
    <t>1-956</t>
  </si>
  <si>
    <t>1-9613</t>
  </si>
  <si>
    <t>1-9614</t>
  </si>
  <si>
    <t>1-9616</t>
  </si>
  <si>
    <t>1-9621</t>
  </si>
  <si>
    <t>1-9623</t>
  </si>
  <si>
    <t>1-9655</t>
  </si>
  <si>
    <t>1-9678</t>
  </si>
  <si>
    <t>1-9689</t>
  </si>
  <si>
    <t>1-9692</t>
  </si>
  <si>
    <t>1-9701</t>
  </si>
  <si>
    <t>22499</t>
  </si>
  <si>
    <t>1-9711</t>
  </si>
  <si>
    <t>1-9717</t>
  </si>
  <si>
    <t>1-9719</t>
  </si>
  <si>
    <t>1-9729</t>
  </si>
  <si>
    <t>1-9755</t>
  </si>
  <si>
    <t>1-9756</t>
  </si>
  <si>
    <t>1-9757</t>
  </si>
  <si>
    <t>1-9785</t>
  </si>
  <si>
    <t>1-9791</t>
  </si>
  <si>
    <t>1-9812</t>
  </si>
  <si>
    <t>1-9932</t>
  </si>
  <si>
    <t>1-9968</t>
  </si>
  <si>
    <t>1-9970</t>
  </si>
  <si>
    <t>1-9990</t>
  </si>
  <si>
    <t>1-9995</t>
  </si>
  <si>
    <t>2-196</t>
  </si>
  <si>
    <t>2-1968</t>
  </si>
  <si>
    <t>2-3902</t>
  </si>
  <si>
    <t>2-4454</t>
  </si>
  <si>
    <t>2-4687</t>
  </si>
  <si>
    <t>2-8202</t>
  </si>
  <si>
    <t>2-8213</t>
  </si>
  <si>
    <t>2-8248</t>
  </si>
  <si>
    <t>2-8262</t>
  </si>
  <si>
    <t>2-8426</t>
  </si>
  <si>
    <t>2-8463</t>
  </si>
  <si>
    <t>2-8633</t>
  </si>
  <si>
    <t>2-8741</t>
  </si>
  <si>
    <t>2-8787</t>
  </si>
  <si>
    <t>2-8807</t>
  </si>
  <si>
    <t>2-8825</t>
  </si>
  <si>
    <t>2-8888</t>
  </si>
  <si>
    <t>2-8917</t>
  </si>
  <si>
    <t>2-8954</t>
  </si>
  <si>
    <t>2-8961</t>
  </si>
  <si>
    <t>2-8962</t>
  </si>
  <si>
    <t>2-8973</t>
  </si>
  <si>
    <t>2-8974</t>
  </si>
  <si>
    <t>2-8999</t>
  </si>
  <si>
    <t>2-9000</t>
  </si>
  <si>
    <t>2-9110</t>
  </si>
  <si>
    <t>2-9111</t>
  </si>
  <si>
    <t>2-9137</t>
  </si>
  <si>
    <t>2-9144</t>
  </si>
  <si>
    <t>2-9145</t>
  </si>
  <si>
    <t>2-9146</t>
  </si>
  <si>
    <t>2-9166</t>
  </si>
  <si>
    <t>22455</t>
  </si>
  <si>
    <t>2-9177</t>
  </si>
  <si>
    <t>2-9188</t>
  </si>
  <si>
    <t>22224</t>
  </si>
  <si>
    <t>2-9202</t>
  </si>
  <si>
    <t>2-9209</t>
  </si>
  <si>
    <t>22134</t>
  </si>
  <si>
    <t>2-9225</t>
  </si>
  <si>
    <t>2-9226</t>
  </si>
  <si>
    <t>23034</t>
  </si>
  <si>
    <t>2-9227</t>
  </si>
  <si>
    <t>2-9228</t>
  </si>
  <si>
    <t>22710</t>
  </si>
  <si>
    <t>2-9233</t>
  </si>
  <si>
    <t>23149</t>
  </si>
  <si>
    <t>2-9242</t>
  </si>
  <si>
    <t>23240</t>
  </si>
  <si>
    <t>2-9243</t>
  </si>
  <si>
    <t>22623</t>
  </si>
  <si>
    <t>2-9259</t>
  </si>
  <si>
    <t>2-9272</t>
  </si>
  <si>
    <t>2-9273</t>
  </si>
  <si>
    <t>2-9275</t>
  </si>
  <si>
    <t>2-9278</t>
  </si>
  <si>
    <t>2-9284</t>
  </si>
  <si>
    <t>2-9289</t>
  </si>
  <si>
    <t>23826</t>
  </si>
  <si>
    <t>2-9291</t>
  </si>
  <si>
    <t>2-9295</t>
  </si>
  <si>
    <t>2-9298</t>
  </si>
  <si>
    <t>24363</t>
  </si>
  <si>
    <t>2-9302</t>
  </si>
  <si>
    <t>2-9303</t>
  </si>
  <si>
    <t>2-9308</t>
  </si>
  <si>
    <t>2-9312</t>
  </si>
  <si>
    <t>2-9315</t>
  </si>
  <si>
    <t>22135</t>
  </si>
  <si>
    <t>2-9320</t>
  </si>
  <si>
    <t>2-9322</t>
  </si>
  <si>
    <t>23116</t>
  </si>
  <si>
    <t>2-9326</t>
  </si>
  <si>
    <t>2-9328</t>
  </si>
  <si>
    <t>2-9330</t>
  </si>
  <si>
    <t>2-9332</t>
  </si>
  <si>
    <t>2-9345</t>
  </si>
  <si>
    <t>2-9347</t>
  </si>
  <si>
    <t>2-9348</t>
  </si>
  <si>
    <t>2-9354</t>
  </si>
  <si>
    <t>2-9358</t>
  </si>
  <si>
    <t>2-9359</t>
  </si>
  <si>
    <t>24420</t>
  </si>
  <si>
    <t>2-9362</t>
  </si>
  <si>
    <t>2-9363</t>
  </si>
  <si>
    <t>2-9364</t>
  </si>
  <si>
    <t>2-9368</t>
  </si>
  <si>
    <t>2-9369</t>
  </si>
  <si>
    <t>2-9370</t>
  </si>
  <si>
    <t>2-9373</t>
  </si>
  <si>
    <t>2-9374</t>
  </si>
  <si>
    <t>2-9376</t>
  </si>
  <si>
    <t>2-9377</t>
  </si>
  <si>
    <t>BR</t>
  </si>
  <si>
    <t>20015</t>
  </si>
  <si>
    <t>20114</t>
  </si>
  <si>
    <t>20122</t>
  </si>
  <si>
    <t>20124</t>
  </si>
  <si>
    <t>20125</t>
  </si>
  <si>
    <t>20126</t>
  </si>
  <si>
    <t>20128</t>
  </si>
  <si>
    <t>20129</t>
  </si>
  <si>
    <t>20139</t>
  </si>
  <si>
    <t>20140</t>
  </si>
  <si>
    <t>SM</t>
  </si>
  <si>
    <t>20141</t>
  </si>
  <si>
    <t>LD</t>
  </si>
  <si>
    <t>20142</t>
  </si>
  <si>
    <t>20144</t>
  </si>
  <si>
    <t>20168</t>
  </si>
  <si>
    <t>20171</t>
  </si>
  <si>
    <t>20172</t>
  </si>
  <si>
    <t>20173</t>
  </si>
  <si>
    <t>20174</t>
  </si>
  <si>
    <t>20175</t>
  </si>
  <si>
    <t>20176</t>
  </si>
  <si>
    <t>20177</t>
  </si>
  <si>
    <t>20189</t>
  </si>
  <si>
    <t>20232</t>
  </si>
  <si>
    <t>20277</t>
  </si>
  <si>
    <t>20278</t>
  </si>
  <si>
    <t>20279</t>
  </si>
  <si>
    <t>20295</t>
  </si>
  <si>
    <t>20333</t>
  </si>
  <si>
    <t>FL</t>
  </si>
  <si>
    <t>20367</t>
  </si>
  <si>
    <t>FB</t>
  </si>
  <si>
    <t>20373</t>
  </si>
  <si>
    <t>20376</t>
  </si>
  <si>
    <t>20400</t>
  </si>
  <si>
    <t>20401</t>
  </si>
  <si>
    <t>20409</t>
  </si>
  <si>
    <t>20410</t>
  </si>
  <si>
    <t>20411</t>
  </si>
  <si>
    <t>20421</t>
  </si>
  <si>
    <t>FS</t>
  </si>
  <si>
    <t>20513</t>
  </si>
  <si>
    <t>20518</t>
  </si>
  <si>
    <t>20520</t>
  </si>
  <si>
    <t>20521</t>
  </si>
  <si>
    <t>20586</t>
  </si>
  <si>
    <t>20616</t>
  </si>
  <si>
    <t>20680</t>
  </si>
  <si>
    <t>20693</t>
  </si>
  <si>
    <t>20694</t>
  </si>
  <si>
    <t>20695</t>
  </si>
  <si>
    <t>20696</t>
  </si>
  <si>
    <t>20697</t>
  </si>
  <si>
    <t>20698</t>
  </si>
  <si>
    <t>20705</t>
  </si>
  <si>
    <t>20708</t>
  </si>
  <si>
    <t>20710</t>
  </si>
  <si>
    <t>20725</t>
  </si>
  <si>
    <t>20732</t>
  </si>
  <si>
    <t>20734</t>
  </si>
  <si>
    <t>20735</t>
  </si>
  <si>
    <t>20736</t>
  </si>
  <si>
    <t>ST</t>
  </si>
  <si>
    <t>20750</t>
  </si>
  <si>
    <t>20756</t>
  </si>
  <si>
    <t>20765</t>
  </si>
  <si>
    <t>20775</t>
  </si>
  <si>
    <t>20777</t>
  </si>
  <si>
    <t>20780</t>
  </si>
  <si>
    <t>20799</t>
  </si>
  <si>
    <t>20805</t>
  </si>
  <si>
    <t>20806</t>
  </si>
  <si>
    <t>OS</t>
  </si>
  <si>
    <t>20812</t>
  </si>
  <si>
    <t>20833</t>
  </si>
  <si>
    <t>20834</t>
  </si>
  <si>
    <t>20835</t>
  </si>
  <si>
    <t>20836</t>
  </si>
  <si>
    <t>20837</t>
  </si>
  <si>
    <t>20838</t>
  </si>
  <si>
    <t>20839</t>
  </si>
  <si>
    <t>20842</t>
  </si>
  <si>
    <t>20843</t>
  </si>
  <si>
    <t>20845</t>
  </si>
  <si>
    <t>20846</t>
  </si>
  <si>
    <t>20848</t>
  </si>
  <si>
    <t>20851</t>
  </si>
  <si>
    <t>20894</t>
  </si>
  <si>
    <t>20895</t>
  </si>
  <si>
    <t>20897</t>
  </si>
  <si>
    <t>20899</t>
  </si>
  <si>
    <t>20904</t>
  </si>
  <si>
    <t>20905</t>
  </si>
  <si>
    <t>20908</t>
  </si>
  <si>
    <t>20910</t>
  </si>
  <si>
    <t>20920</t>
  </si>
  <si>
    <t>20921</t>
  </si>
  <si>
    <t>20937</t>
  </si>
  <si>
    <t>20943</t>
  </si>
  <si>
    <t>20944</t>
  </si>
  <si>
    <t>20975</t>
  </si>
  <si>
    <t>20980</t>
  </si>
  <si>
    <t>20985</t>
  </si>
  <si>
    <t>20997</t>
  </si>
  <si>
    <t>20998</t>
  </si>
  <si>
    <t>20999</t>
  </si>
  <si>
    <t>21017</t>
  </si>
  <si>
    <t>21020</t>
  </si>
  <si>
    <t>21022</t>
  </si>
  <si>
    <t>21023</t>
  </si>
  <si>
    <t>21024</t>
  </si>
  <si>
    <t>21025</t>
  </si>
  <si>
    <t>21030</t>
  </si>
  <si>
    <t>21037</t>
  </si>
  <si>
    <t>21038</t>
  </si>
  <si>
    <t>21040</t>
  </si>
  <si>
    <t>21079</t>
  </si>
  <si>
    <t>21095</t>
  </si>
  <si>
    <t>21114</t>
  </si>
  <si>
    <t>21128</t>
  </si>
  <si>
    <t>21169</t>
  </si>
  <si>
    <t>21170</t>
  </si>
  <si>
    <t>21175</t>
  </si>
  <si>
    <t>21228</t>
  </si>
  <si>
    <t>21255</t>
  </si>
  <si>
    <t>21258</t>
  </si>
  <si>
    <t>21265</t>
  </si>
  <si>
    <t>21267</t>
  </si>
  <si>
    <t>21271</t>
  </si>
  <si>
    <t>21278</t>
  </si>
  <si>
    <t>21293</t>
  </si>
  <si>
    <t>21337</t>
  </si>
  <si>
    <t>21338</t>
  </si>
  <si>
    <t>21342</t>
  </si>
  <si>
    <t>21350</t>
  </si>
  <si>
    <t>21387</t>
  </si>
  <si>
    <t>21395</t>
  </si>
  <si>
    <t>21401</t>
  </si>
  <si>
    <t>21413</t>
  </si>
  <si>
    <t>21419</t>
  </si>
  <si>
    <t>21423</t>
  </si>
  <si>
    <t>21430</t>
  </si>
  <si>
    <t>21431</t>
  </si>
  <si>
    <t>21460</t>
  </si>
  <si>
    <t>21484</t>
  </si>
  <si>
    <t>21492</t>
  </si>
  <si>
    <t>21502</t>
  </si>
  <si>
    <t>21503</t>
  </si>
  <si>
    <t>21521</t>
  </si>
  <si>
    <t>21538</t>
  </si>
  <si>
    <t>21556</t>
  </si>
  <si>
    <t>21570</t>
  </si>
  <si>
    <t>21584</t>
  </si>
  <si>
    <t>21604</t>
  </si>
  <si>
    <t>21618</t>
  </si>
  <si>
    <t>21623</t>
  </si>
  <si>
    <t>21631</t>
  </si>
  <si>
    <t>21632</t>
  </si>
  <si>
    <t>21641</t>
  </si>
  <si>
    <t>21652</t>
  </si>
  <si>
    <t>21656</t>
  </si>
  <si>
    <t>21702</t>
  </si>
  <si>
    <t>21705</t>
  </si>
  <si>
    <t>OR</t>
  </si>
  <si>
    <t>21712</t>
  </si>
  <si>
    <t>21713</t>
  </si>
  <si>
    <t>21716</t>
  </si>
  <si>
    <t>21717</t>
  </si>
  <si>
    <t>21720</t>
  </si>
  <si>
    <t>21721</t>
  </si>
  <si>
    <t>21753</t>
  </si>
  <si>
    <t>21760</t>
  </si>
  <si>
    <t>21773</t>
  </si>
  <si>
    <t>21781</t>
  </si>
  <si>
    <t>21782</t>
  </si>
  <si>
    <t>21783</t>
  </si>
  <si>
    <t>21809</t>
  </si>
  <si>
    <t>21868</t>
  </si>
  <si>
    <t>21872</t>
  </si>
  <si>
    <t>21893</t>
  </si>
  <si>
    <t>21904</t>
  </si>
  <si>
    <t>21986</t>
  </si>
  <si>
    <t>22005</t>
  </si>
  <si>
    <t>22010</t>
  </si>
  <si>
    <t>22037</t>
  </si>
  <si>
    <t>22042</t>
  </si>
  <si>
    <t>22047</t>
  </si>
  <si>
    <t>22049</t>
  </si>
  <si>
    <t>22059</t>
  </si>
  <si>
    <t>22060</t>
  </si>
  <si>
    <t>22070</t>
  </si>
  <si>
    <t>22084</t>
  </si>
  <si>
    <t>22085</t>
  </si>
  <si>
    <t>22086</t>
  </si>
  <si>
    <t>22112</t>
  </si>
  <si>
    <t>22113</t>
  </si>
  <si>
    <t>22129</t>
  </si>
  <si>
    <t>22130</t>
  </si>
  <si>
    <t>22132</t>
  </si>
  <si>
    <t>22137</t>
  </si>
  <si>
    <t>22139</t>
  </si>
  <si>
    <t>22150</t>
  </si>
  <si>
    <t>22154</t>
  </si>
  <si>
    <t>22155</t>
  </si>
  <si>
    <t>22161</t>
  </si>
  <si>
    <t>22164</t>
  </si>
  <si>
    <t>22167</t>
  </si>
  <si>
    <t>22206</t>
  </si>
  <si>
    <t>22210</t>
  </si>
  <si>
    <t>22220</t>
  </si>
  <si>
    <t>22221</t>
  </si>
  <si>
    <t>22268</t>
  </si>
  <si>
    <t>22325</t>
  </si>
  <si>
    <t>22351</t>
  </si>
  <si>
    <t>22352</t>
  </si>
  <si>
    <t>22356</t>
  </si>
  <si>
    <t>22358</t>
  </si>
  <si>
    <t>22363</t>
  </si>
  <si>
    <t>22366</t>
  </si>
  <si>
    <t>22375</t>
  </si>
  <si>
    <t>22379</t>
  </si>
  <si>
    <t>22380</t>
  </si>
  <si>
    <t>22381</t>
  </si>
  <si>
    <t>22383</t>
  </si>
  <si>
    <t>22384</t>
  </si>
  <si>
    <t>22385</t>
  </si>
  <si>
    <t>22408</t>
  </si>
  <si>
    <t>22409</t>
  </si>
  <si>
    <t>22410</t>
  </si>
  <si>
    <t>22413</t>
  </si>
  <si>
    <t>22420</t>
  </si>
  <si>
    <t>22423</t>
  </si>
  <si>
    <t>22426</t>
  </si>
  <si>
    <t>22433</t>
  </si>
  <si>
    <t>22461</t>
  </si>
  <si>
    <t>22462</t>
  </si>
  <si>
    <t>22464</t>
  </si>
  <si>
    <t>22475</t>
  </si>
  <si>
    <t>22501</t>
  </si>
  <si>
    <t>22502</t>
  </si>
  <si>
    <t>22518</t>
  </si>
  <si>
    <t>22539</t>
  </si>
  <si>
    <t>22542</t>
  </si>
  <si>
    <t>SS</t>
  </si>
  <si>
    <t>22564</t>
  </si>
  <si>
    <t>22568</t>
  </si>
  <si>
    <t>22569</t>
  </si>
  <si>
    <t>22570</t>
  </si>
  <si>
    <t>22574</t>
  </si>
  <si>
    <t>22575</t>
  </si>
  <si>
    <t>22578</t>
  </si>
  <si>
    <t>22582</t>
  </si>
  <si>
    <t>22583</t>
  </si>
  <si>
    <t>22590</t>
  </si>
  <si>
    <t>22612</t>
  </si>
  <si>
    <t>22614</t>
  </si>
  <si>
    <t>22615</t>
  </si>
  <si>
    <t>22636</t>
  </si>
  <si>
    <t>22637</t>
  </si>
  <si>
    <t>22639</t>
  </si>
  <si>
    <t>22646</t>
  </si>
  <si>
    <t>22648</t>
  </si>
  <si>
    <t>22673</t>
  </si>
  <si>
    <t>22678</t>
  </si>
  <si>
    <t>22680</t>
  </si>
  <si>
    <t>22684</t>
  </si>
  <si>
    <t>22690</t>
  </si>
  <si>
    <t>22701</t>
  </si>
  <si>
    <t>22703</t>
  </si>
  <si>
    <t>22713</t>
  </si>
  <si>
    <t>22718</t>
  </si>
  <si>
    <t>22723</t>
  </si>
  <si>
    <t>22725</t>
  </si>
  <si>
    <t>22730</t>
  </si>
  <si>
    <t>22731</t>
  </si>
  <si>
    <t>22734</t>
  </si>
  <si>
    <t>22735</t>
  </si>
  <si>
    <t>22741</t>
  </si>
  <si>
    <t>22746</t>
  </si>
  <si>
    <t>22751</t>
  </si>
  <si>
    <t>22760</t>
  </si>
  <si>
    <t>22762</t>
  </si>
  <si>
    <t>22763</t>
  </si>
  <si>
    <t>22767</t>
  </si>
  <si>
    <t>22773</t>
  </si>
  <si>
    <t>22783</t>
  </si>
  <si>
    <t>22791</t>
  </si>
  <si>
    <t>22802</t>
  </si>
  <si>
    <t>22803</t>
  </si>
  <si>
    <t>22806</t>
  </si>
  <si>
    <t>22808</t>
  </si>
  <si>
    <t>22817</t>
  </si>
  <si>
    <t>22834</t>
  </si>
  <si>
    <t>22839</t>
  </si>
  <si>
    <t>22850</t>
  </si>
  <si>
    <t>22855</t>
  </si>
  <si>
    <t>22873</t>
  </si>
  <si>
    <t>22887</t>
  </si>
  <si>
    <t>22889</t>
  </si>
  <si>
    <t>22896</t>
  </si>
  <si>
    <t>22911</t>
  </si>
  <si>
    <t>22920</t>
  </si>
  <si>
    <t>22964</t>
  </si>
  <si>
    <t>22969</t>
  </si>
  <si>
    <t>22996</t>
  </si>
  <si>
    <t>23008</t>
  </si>
  <si>
    <t>23015</t>
  </si>
  <si>
    <t>23019</t>
  </si>
  <si>
    <t>23026</t>
  </si>
  <si>
    <t>23047</t>
  </si>
  <si>
    <t>23071</t>
  </si>
  <si>
    <t>23073</t>
  </si>
  <si>
    <t>23078</t>
  </si>
  <si>
    <t>23091</t>
  </si>
  <si>
    <t>23103</t>
  </si>
  <si>
    <t>23105</t>
  </si>
  <si>
    <t>23137</t>
  </si>
  <si>
    <t>23156</t>
  </si>
  <si>
    <t>23167</t>
  </si>
  <si>
    <t>23175</t>
  </si>
  <si>
    <t>23182</t>
  </si>
  <si>
    <t>23190</t>
  </si>
  <si>
    <t>23194</t>
  </si>
  <si>
    <t>23195</t>
  </si>
  <si>
    <t>23196</t>
  </si>
  <si>
    <t>23198</t>
  </si>
  <si>
    <t>23200</t>
  </si>
  <si>
    <t>23205</t>
  </si>
  <si>
    <t>23206</t>
  </si>
  <si>
    <t>SP</t>
  </si>
  <si>
    <t>23211</t>
  </si>
  <si>
    <t>23233</t>
  </si>
  <si>
    <t>23241</t>
  </si>
  <si>
    <t>23242</t>
  </si>
  <si>
    <t>23248</t>
  </si>
  <si>
    <t>23250</t>
  </si>
  <si>
    <t>23254</t>
  </si>
  <si>
    <t>23256</t>
  </si>
  <si>
    <t>23258</t>
  </si>
  <si>
    <t>23264</t>
  </si>
  <si>
    <t>23270</t>
  </si>
  <si>
    <t>23273</t>
  </si>
  <si>
    <t>23277</t>
  </si>
  <si>
    <t>23295</t>
  </si>
  <si>
    <t>23298</t>
  </si>
  <si>
    <t>23299</t>
  </si>
  <si>
    <t>23307</t>
  </si>
  <si>
    <t>23314</t>
  </si>
  <si>
    <t>23322</t>
  </si>
  <si>
    <t>23323</t>
  </si>
  <si>
    <t>23324</t>
  </si>
  <si>
    <t>23344</t>
  </si>
  <si>
    <t>23348</t>
  </si>
  <si>
    <t>23357</t>
  </si>
  <si>
    <t>23358</t>
  </si>
  <si>
    <t>23360</t>
  </si>
  <si>
    <t>23373</t>
  </si>
  <si>
    <t>23381</t>
  </si>
  <si>
    <t>23382</t>
  </si>
  <si>
    <t>23385</t>
  </si>
  <si>
    <t>23391</t>
  </si>
  <si>
    <t>23393</t>
  </si>
  <si>
    <t>23395</t>
  </si>
  <si>
    <t>23405</t>
  </si>
  <si>
    <t>23413</t>
  </si>
  <si>
    <t>23414</t>
  </si>
  <si>
    <t>23415</t>
  </si>
  <si>
    <t>23420</t>
  </si>
  <si>
    <t>23422</t>
  </si>
  <si>
    <t>23425</t>
  </si>
  <si>
    <t>23442</t>
  </si>
  <si>
    <t>23454</t>
  </si>
  <si>
    <t>23457</t>
  </si>
  <si>
    <t>23460</t>
  </si>
  <si>
    <t>23472</t>
  </si>
  <si>
    <t>23476</t>
  </si>
  <si>
    <t>23494</t>
  </si>
  <si>
    <t>23496</t>
  </si>
  <si>
    <t>23497</t>
  </si>
  <si>
    <t>23499</t>
  </si>
  <si>
    <t>23501</t>
  </si>
  <si>
    <t>23502</t>
  </si>
  <si>
    <t>23504</t>
  </si>
  <si>
    <t>23516</t>
  </si>
  <si>
    <t>23517</t>
  </si>
  <si>
    <t>23519</t>
  </si>
  <si>
    <t>23526</t>
  </si>
  <si>
    <t>23533</t>
  </si>
  <si>
    <t>23537</t>
  </si>
  <si>
    <t>23539</t>
  </si>
  <si>
    <t>23558</t>
  </si>
  <si>
    <t>23560</t>
  </si>
  <si>
    <t>23561</t>
  </si>
  <si>
    <t>23565</t>
  </si>
  <si>
    <t>23566</t>
  </si>
  <si>
    <t>23586</t>
  </si>
  <si>
    <t>23590</t>
  </si>
  <si>
    <t>23601</t>
  </si>
  <si>
    <t>23604</t>
  </si>
  <si>
    <t>23615</t>
  </si>
  <si>
    <t>23631</t>
  </si>
  <si>
    <t>23633</t>
  </si>
  <si>
    <t>23635</t>
  </si>
  <si>
    <t>23640</t>
  </si>
  <si>
    <t>23648</t>
  </si>
  <si>
    <t>23654</t>
  </si>
  <si>
    <t>23666</t>
  </si>
  <si>
    <t>23673</t>
  </si>
  <si>
    <t>23679</t>
  </si>
  <si>
    <t>23682</t>
  </si>
  <si>
    <t>23687</t>
  </si>
  <si>
    <t>23693</t>
  </si>
  <si>
    <t>23694</t>
  </si>
  <si>
    <t>23698</t>
  </si>
  <si>
    <t>23700</t>
  </si>
  <si>
    <t>23702</t>
  </si>
  <si>
    <t>23703</t>
  </si>
  <si>
    <t>23707</t>
  </si>
  <si>
    <t>23708</t>
  </si>
  <si>
    <t>23709</t>
  </si>
  <si>
    <t>23719</t>
  </si>
  <si>
    <t>23720</t>
  </si>
  <si>
    <t>23721</t>
  </si>
  <si>
    <t>23722</t>
  </si>
  <si>
    <t>23725</t>
  </si>
  <si>
    <t>23727</t>
  </si>
  <si>
    <t>23732</t>
  </si>
  <si>
    <t>23735</t>
  </si>
  <si>
    <t>23751</t>
  </si>
  <si>
    <t>23756</t>
  </si>
  <si>
    <t>23767</t>
  </si>
  <si>
    <t>23768</t>
  </si>
  <si>
    <t>23771</t>
  </si>
  <si>
    <t>23783</t>
  </si>
  <si>
    <t>23785</t>
  </si>
  <si>
    <t>23789</t>
  </si>
  <si>
    <t>23793</t>
  </si>
  <si>
    <t>23805</t>
  </si>
  <si>
    <t>23824</t>
  </si>
  <si>
    <t>23825</t>
  </si>
  <si>
    <t>23828</t>
  </si>
  <si>
    <t>23838</t>
  </si>
  <si>
    <t>23839</t>
  </si>
  <si>
    <t>23842</t>
  </si>
  <si>
    <t>23843</t>
  </si>
  <si>
    <t>23846</t>
  </si>
  <si>
    <t>23852</t>
  </si>
  <si>
    <t>23855</t>
  </si>
  <si>
    <t>23856</t>
  </si>
  <si>
    <t>23857</t>
  </si>
  <si>
    <t>23861</t>
  </si>
  <si>
    <t>23862</t>
  </si>
  <si>
    <t>23876</t>
  </si>
  <si>
    <t>23891</t>
  </si>
  <si>
    <t>23892</t>
  </si>
  <si>
    <t>23893</t>
  </si>
  <si>
    <t>23894</t>
  </si>
  <si>
    <t>23918</t>
  </si>
  <si>
    <t>23938</t>
  </si>
  <si>
    <t>23943</t>
  </si>
  <si>
    <t>23946</t>
  </si>
  <si>
    <t>23949</t>
  </si>
  <si>
    <t>23953</t>
  </si>
  <si>
    <t>23954</t>
  </si>
  <si>
    <t>23955</t>
  </si>
  <si>
    <t>23958</t>
  </si>
  <si>
    <t>23964</t>
  </si>
  <si>
    <t>23969</t>
  </si>
  <si>
    <t>23973</t>
  </si>
  <si>
    <t>23974</t>
  </si>
  <si>
    <t>23975</t>
  </si>
  <si>
    <t>23984</t>
  </si>
  <si>
    <t>23990</t>
  </si>
  <si>
    <t>23996</t>
  </si>
  <si>
    <t>23998</t>
  </si>
  <si>
    <t>24004</t>
  </si>
  <si>
    <t>24006</t>
  </si>
  <si>
    <t>24011</t>
  </si>
  <si>
    <t>24014</t>
  </si>
  <si>
    <t>24017</t>
  </si>
  <si>
    <t>24022</t>
  </si>
  <si>
    <t>24027</t>
  </si>
  <si>
    <t>24048</t>
  </si>
  <si>
    <t>24049</t>
  </si>
  <si>
    <t>24050</t>
  </si>
  <si>
    <t>24051</t>
  </si>
  <si>
    <t>24052</t>
  </si>
  <si>
    <t>24058</t>
  </si>
  <si>
    <t>24062</t>
  </si>
  <si>
    <t>24063</t>
  </si>
  <si>
    <t>24068</t>
  </si>
  <si>
    <t>24069</t>
  </si>
  <si>
    <t>24070</t>
  </si>
  <si>
    <t>24073</t>
  </si>
  <si>
    <t>24078</t>
  </si>
  <si>
    <t>24080</t>
  </si>
  <si>
    <t>24086</t>
  </si>
  <si>
    <t>24088</t>
  </si>
  <si>
    <t>24098</t>
  </si>
  <si>
    <t>24103</t>
  </si>
  <si>
    <t>24106</t>
  </si>
  <si>
    <t>24107</t>
  </si>
  <si>
    <t>24110</t>
  </si>
  <si>
    <t>24116</t>
  </si>
  <si>
    <t>24118</t>
  </si>
  <si>
    <t>24121</t>
  </si>
  <si>
    <t>24125</t>
  </si>
  <si>
    <t>24129</t>
  </si>
  <si>
    <t>24130</t>
  </si>
  <si>
    <t>24133</t>
  </si>
  <si>
    <t>24138</t>
  </si>
  <si>
    <t>24153</t>
  </si>
  <si>
    <t>24156</t>
  </si>
  <si>
    <t>24157</t>
  </si>
  <si>
    <t>24159</t>
  </si>
  <si>
    <t>24160</t>
  </si>
  <si>
    <t>24161</t>
  </si>
  <si>
    <t>24168</t>
  </si>
  <si>
    <t>24170</t>
  </si>
  <si>
    <t>24176</t>
  </si>
  <si>
    <t>24178</t>
  </si>
  <si>
    <t>24180</t>
  </si>
  <si>
    <t>24185</t>
  </si>
  <si>
    <t>24186</t>
  </si>
  <si>
    <t>24187</t>
  </si>
  <si>
    <t>24190</t>
  </si>
  <si>
    <t>24191</t>
  </si>
  <si>
    <t>24195</t>
  </si>
  <si>
    <t>24199</t>
  </si>
  <si>
    <t>24201</t>
  </si>
  <si>
    <t>24205</t>
  </si>
  <si>
    <t>24213</t>
  </si>
  <si>
    <t>24215</t>
  </si>
  <si>
    <t>24216</t>
  </si>
  <si>
    <t>24220</t>
  </si>
  <si>
    <t>24224</t>
  </si>
  <si>
    <t>24225</t>
  </si>
  <si>
    <t>24226</t>
  </si>
  <si>
    <t>24230</t>
  </si>
  <si>
    <t>24238</t>
  </si>
  <si>
    <t>24239</t>
  </si>
  <si>
    <t>24245</t>
  </si>
  <si>
    <t>24253</t>
  </si>
  <si>
    <t>24256</t>
  </si>
  <si>
    <t>24267</t>
  </si>
  <si>
    <t>24270</t>
  </si>
  <si>
    <t>24274</t>
  </si>
  <si>
    <t>24281</t>
  </si>
  <si>
    <t>24282</t>
  </si>
  <si>
    <t>23913</t>
  </si>
  <si>
    <t>24287</t>
  </si>
  <si>
    <t>24295</t>
  </si>
  <si>
    <t>24296</t>
  </si>
  <si>
    <t>24304</t>
  </si>
  <si>
    <t>24306</t>
  </si>
  <si>
    <t>24312</t>
  </si>
  <si>
    <t>24313</t>
  </si>
  <si>
    <t>24316</t>
  </si>
  <si>
    <t>24318</t>
  </si>
  <si>
    <t>24319</t>
  </si>
  <si>
    <t>24321</t>
  </si>
  <si>
    <t>24322</t>
  </si>
  <si>
    <t>24325</t>
  </si>
  <si>
    <t>24326</t>
  </si>
  <si>
    <t>24327</t>
  </si>
  <si>
    <t>24330</t>
  </si>
  <si>
    <t>24331</t>
  </si>
  <si>
    <t>24336</t>
  </si>
  <si>
    <t>24337</t>
  </si>
  <si>
    <t>24340</t>
  </si>
  <si>
    <t>24341</t>
  </si>
  <si>
    <t>24355</t>
  </si>
  <si>
    <t>24356</t>
  </si>
  <si>
    <t>24357</t>
  </si>
  <si>
    <t>24360</t>
  </si>
  <si>
    <t>24361</t>
  </si>
  <si>
    <t>24362</t>
  </si>
  <si>
    <t>24367</t>
  </si>
  <si>
    <t>24370</t>
  </si>
  <si>
    <t>24371</t>
  </si>
  <si>
    <t>24372</t>
  </si>
  <si>
    <t>24379</t>
  </si>
  <si>
    <t>24383</t>
  </si>
  <si>
    <t>24386</t>
  </si>
  <si>
    <t>24388</t>
  </si>
  <si>
    <t>24391</t>
  </si>
  <si>
    <t>24394</t>
  </si>
  <si>
    <t>24396</t>
  </si>
  <si>
    <t>24403</t>
  </si>
  <si>
    <t>24410</t>
  </si>
  <si>
    <t>24412</t>
  </si>
  <si>
    <t>24413</t>
  </si>
  <si>
    <t>24415</t>
  </si>
  <si>
    <t>24418</t>
  </si>
  <si>
    <t>24419</t>
  </si>
  <si>
    <t>24424</t>
  </si>
  <si>
    <t>24431</t>
  </si>
  <si>
    <t>24435</t>
  </si>
  <si>
    <t>24436</t>
  </si>
  <si>
    <t>24439</t>
  </si>
  <si>
    <t>24442</t>
  </si>
  <si>
    <t>24444</t>
  </si>
  <si>
    <t>24448</t>
  </si>
  <si>
    <t>3-5146</t>
  </si>
  <si>
    <t>3-5205</t>
  </si>
  <si>
    <t>3-5233</t>
  </si>
  <si>
    <t>3-5234</t>
  </si>
  <si>
    <t>3-5236</t>
  </si>
  <si>
    <t>3-5237</t>
  </si>
  <si>
    <t>4-151</t>
  </si>
  <si>
    <t>4-182</t>
  </si>
  <si>
    <t>4-1823</t>
  </si>
  <si>
    <t>4-1849</t>
  </si>
  <si>
    <t>4-1858</t>
  </si>
  <si>
    <t>4-1864</t>
  </si>
  <si>
    <t>7-1311</t>
  </si>
  <si>
    <t>7-2252</t>
  </si>
  <si>
    <t>7-3090</t>
  </si>
  <si>
    <t>7-3103</t>
  </si>
  <si>
    <t>7-3120</t>
  </si>
  <si>
    <t>7-3134</t>
  </si>
  <si>
    <t>7-3135</t>
  </si>
  <si>
    <t>80440</t>
  </si>
  <si>
    <t>80444</t>
  </si>
  <si>
    <t>80446</t>
  </si>
  <si>
    <t>80458</t>
  </si>
  <si>
    <t>81494</t>
  </si>
  <si>
    <t>81495</t>
  </si>
  <si>
    <t>81778</t>
  </si>
  <si>
    <t>81779</t>
  </si>
  <si>
    <t>81780</t>
  </si>
  <si>
    <t>81921</t>
  </si>
  <si>
    <t>82098</t>
  </si>
  <si>
    <t>82100</t>
  </si>
  <si>
    <t>82718</t>
  </si>
  <si>
    <t>83005</t>
  </si>
  <si>
    <t>83211</t>
  </si>
  <si>
    <t>83237</t>
  </si>
  <si>
    <t>83397</t>
  </si>
  <si>
    <t>83421</t>
  </si>
  <si>
    <t>83423</t>
  </si>
  <si>
    <t>83425.C01</t>
  </si>
  <si>
    <t>83425.C02</t>
  </si>
  <si>
    <t>83425.C03</t>
  </si>
  <si>
    <t>83425.C04</t>
  </si>
  <si>
    <t>83447.C01</t>
  </si>
  <si>
    <t>83447.C02</t>
  </si>
  <si>
    <t>83548.F</t>
  </si>
  <si>
    <t>83548.M</t>
  </si>
  <si>
    <t>83548.V</t>
  </si>
  <si>
    <t>83569</t>
  </si>
  <si>
    <t>83706.F</t>
  </si>
  <si>
    <t>83706.V</t>
  </si>
  <si>
    <t>83806</t>
  </si>
  <si>
    <t>83843</t>
  </si>
  <si>
    <t>83905.M</t>
  </si>
  <si>
    <t>83905.MF</t>
  </si>
  <si>
    <t>83950</t>
  </si>
  <si>
    <t>84348</t>
  </si>
  <si>
    <t>84356</t>
  </si>
  <si>
    <t>84357</t>
  </si>
  <si>
    <t>21060</t>
  </si>
  <si>
    <t>83637.M</t>
  </si>
  <si>
    <t>83637.V</t>
  </si>
  <si>
    <t>83656.F</t>
  </si>
  <si>
    <t>83656.M</t>
  </si>
  <si>
    <t>83656.V</t>
  </si>
  <si>
    <t>90442</t>
  </si>
  <si>
    <t>90443</t>
  </si>
  <si>
    <t>90444</t>
  </si>
  <si>
    <t>90445</t>
  </si>
  <si>
    <t>90446</t>
  </si>
  <si>
    <t>90447</t>
  </si>
  <si>
    <t>90458</t>
  </si>
  <si>
    <t>90459</t>
  </si>
  <si>
    <t>90492</t>
  </si>
  <si>
    <t>93211</t>
  </si>
  <si>
    <t>93237</t>
  </si>
  <si>
    <t>93240</t>
  </si>
  <si>
    <t>93254</t>
  </si>
  <si>
    <t>93357</t>
  </si>
  <si>
    <t>93605</t>
  </si>
  <si>
    <t>93616</t>
  </si>
  <si>
    <t>94149</t>
  </si>
  <si>
    <t>94283</t>
  </si>
  <si>
    <t>94348</t>
  </si>
  <si>
    <t>93473</t>
  </si>
  <si>
    <t>93489</t>
  </si>
  <si>
    <t>93636.OR</t>
  </si>
  <si>
    <t>93711</t>
  </si>
  <si>
    <t>93712</t>
  </si>
  <si>
    <t>93713</t>
  </si>
  <si>
    <t>93714</t>
  </si>
  <si>
    <t>93843</t>
  </si>
  <si>
    <t>93845</t>
  </si>
  <si>
    <t>93870</t>
  </si>
  <si>
    <t>93905</t>
  </si>
  <si>
    <t>93950</t>
  </si>
  <si>
    <t>94356</t>
  </si>
  <si>
    <t>94357</t>
  </si>
  <si>
    <t>4Z</t>
  </si>
  <si>
    <t>10016</t>
  </si>
  <si>
    <t>LB</t>
  </si>
  <si>
    <t>10020</t>
  </si>
  <si>
    <t>10025</t>
  </si>
  <si>
    <t>10026</t>
  </si>
  <si>
    <t>10066</t>
  </si>
  <si>
    <t>10144</t>
  </si>
  <si>
    <t>10156</t>
  </si>
  <si>
    <t>10170</t>
  </si>
  <si>
    <t>FT</t>
  </si>
  <si>
    <t>10171</t>
  </si>
  <si>
    <t>10189</t>
  </si>
  <si>
    <t>10194</t>
  </si>
  <si>
    <t>10198</t>
  </si>
  <si>
    <t>10208</t>
  </si>
  <si>
    <t>10214</t>
  </si>
  <si>
    <t>10217</t>
  </si>
  <si>
    <t>10218</t>
  </si>
  <si>
    <t>10237</t>
  </si>
  <si>
    <t>10244</t>
  </si>
  <si>
    <t>10259</t>
  </si>
  <si>
    <t>10261</t>
  </si>
  <si>
    <t>10268</t>
  </si>
  <si>
    <t>10273</t>
  </si>
  <si>
    <t>10285</t>
  </si>
  <si>
    <t>10296</t>
  </si>
  <si>
    <t>10297</t>
  </si>
  <si>
    <t>10298</t>
  </si>
  <si>
    <t>10306</t>
  </si>
  <si>
    <t>10307</t>
  </si>
  <si>
    <t>10315</t>
  </si>
  <si>
    <t>10317</t>
  </si>
  <si>
    <t>10321</t>
  </si>
  <si>
    <t>10331</t>
  </si>
  <si>
    <t>10334</t>
  </si>
  <si>
    <t>10346</t>
  </si>
  <si>
    <t>10347</t>
  </si>
  <si>
    <t>10348</t>
  </si>
  <si>
    <t>10353</t>
  </si>
  <si>
    <t>10355</t>
  </si>
  <si>
    <t>10356</t>
  </si>
  <si>
    <t>10363</t>
  </si>
  <si>
    <t>10376</t>
  </si>
  <si>
    <t>10378</t>
  </si>
  <si>
    <t>10380</t>
  </si>
  <si>
    <t>10389</t>
  </si>
  <si>
    <t>10394</t>
  </si>
  <si>
    <t>10397</t>
  </si>
  <si>
    <t>10400</t>
  </si>
  <si>
    <t>10403</t>
  </si>
  <si>
    <t>10407</t>
  </si>
  <si>
    <t>10412</t>
  </si>
  <si>
    <t>10413</t>
  </si>
  <si>
    <t>10418</t>
  </si>
  <si>
    <t>10419</t>
  </si>
  <si>
    <t>10423</t>
  </si>
  <si>
    <t>10428</t>
  </si>
  <si>
    <t>10429</t>
  </si>
  <si>
    <t>10431</t>
  </si>
  <si>
    <t>10433</t>
  </si>
  <si>
    <t>10436</t>
  </si>
  <si>
    <t>10438</t>
  </si>
  <si>
    <t>10440</t>
  </si>
  <si>
    <t>10441</t>
  </si>
  <si>
    <t>10444</t>
  </si>
  <si>
    <t>10447</t>
  </si>
  <si>
    <t>10448</t>
  </si>
  <si>
    <t>10459</t>
  </si>
  <si>
    <t>10462</t>
  </si>
  <si>
    <t>10471</t>
  </si>
  <si>
    <t>10478</t>
  </si>
  <si>
    <t>10479</t>
  </si>
  <si>
    <t>10488</t>
  </si>
  <si>
    <t>10492</t>
  </si>
  <si>
    <t>10494</t>
  </si>
  <si>
    <t>10496</t>
  </si>
  <si>
    <t>10499</t>
  </si>
  <si>
    <t>10500</t>
  </si>
  <si>
    <t>10502</t>
  </si>
  <si>
    <t>10504</t>
  </si>
  <si>
    <t>10506</t>
  </si>
  <si>
    <t>10510</t>
  </si>
  <si>
    <t>10516</t>
  </si>
  <si>
    <t>10525</t>
  </si>
  <si>
    <t>10526</t>
  </si>
  <si>
    <t>10530</t>
  </si>
  <si>
    <t>10534</t>
  </si>
  <si>
    <t>10538</t>
  </si>
  <si>
    <t>10540</t>
  </si>
  <si>
    <t>10541</t>
  </si>
  <si>
    <t>10544</t>
  </si>
  <si>
    <t>10545</t>
  </si>
  <si>
    <t>10546</t>
  </si>
  <si>
    <t>10549</t>
  </si>
  <si>
    <t>10550</t>
  </si>
  <si>
    <t>10551</t>
  </si>
  <si>
    <t>10553</t>
  </si>
  <si>
    <t>10554</t>
  </si>
  <si>
    <t>10556</t>
  </si>
  <si>
    <t>10560</t>
  </si>
  <si>
    <t>10563</t>
  </si>
  <si>
    <t>10564</t>
  </si>
  <si>
    <t>10568</t>
  </si>
  <si>
    <t>10570</t>
  </si>
  <si>
    <t>10573</t>
  </si>
  <si>
    <t>10580</t>
  </si>
  <si>
    <t>10592</t>
  </si>
  <si>
    <t>10593</t>
  </si>
  <si>
    <t>10596</t>
  </si>
  <si>
    <t>10598</t>
  </si>
  <si>
    <t>10599</t>
  </si>
  <si>
    <t>10601</t>
  </si>
  <si>
    <t>10604</t>
  </si>
  <si>
    <t>10610</t>
  </si>
  <si>
    <t>10614</t>
  </si>
  <si>
    <t>10615</t>
  </si>
  <si>
    <t>10618</t>
  </si>
  <si>
    <t>10620</t>
  </si>
  <si>
    <t>10622</t>
  </si>
  <si>
    <t>10624</t>
  </si>
  <si>
    <t>10626</t>
  </si>
  <si>
    <t>10627</t>
  </si>
  <si>
    <t>10628</t>
  </si>
  <si>
    <t>10629</t>
  </si>
  <si>
    <t>10630</t>
  </si>
  <si>
    <t>10634</t>
  </si>
  <si>
    <t>10639</t>
  </si>
  <si>
    <t>10640</t>
  </si>
  <si>
    <t>10641</t>
  </si>
  <si>
    <t>10642</t>
  </si>
  <si>
    <t>10643</t>
  </si>
  <si>
    <t>10649</t>
  </si>
  <si>
    <t>10651</t>
  </si>
  <si>
    <t>10652</t>
  </si>
  <si>
    <t>10653</t>
  </si>
  <si>
    <t>10654</t>
  </si>
  <si>
    <t>10657</t>
  </si>
  <si>
    <t>10659</t>
  </si>
  <si>
    <t>10661</t>
  </si>
  <si>
    <t>10662</t>
  </si>
  <si>
    <t>10663</t>
  </si>
  <si>
    <t>10667</t>
  </si>
  <si>
    <t>10668</t>
  </si>
  <si>
    <t>10669</t>
  </si>
  <si>
    <t>10670</t>
  </si>
  <si>
    <t>10671</t>
  </si>
  <si>
    <t>10672</t>
  </si>
  <si>
    <t>10674</t>
  </si>
  <si>
    <t>10675</t>
  </si>
  <si>
    <t>10677</t>
  </si>
  <si>
    <t>10678</t>
  </si>
  <si>
    <t>10679</t>
  </si>
  <si>
    <t>10680</t>
  </si>
  <si>
    <t>10681</t>
  </si>
  <si>
    <t>10683</t>
  </si>
  <si>
    <t>10684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</si>
  <si>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</si>
  <si>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</si>
  <si>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</si>
  <si>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</si>
  <si>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</si>
  <si>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</si>
  <si>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</si>
  <si>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</si>
  <si>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</si>
  <si>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</si>
  <si>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</si>
  <si>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</si>
  <si>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10701</t>
  </si>
  <si>
    <t>10702</t>
  </si>
  <si>
    <t>10703</t>
  </si>
  <si>
    <t>10704</t>
  </si>
  <si>
    <t>10705</t>
  </si>
  <si>
    <t>10706</t>
  </si>
  <si>
    <t>10710</t>
  </si>
  <si>
    <t>10711</t>
  </si>
  <si>
    <t>10712</t>
  </si>
  <si>
    <t>10714</t>
  </si>
  <si>
    <t>10715</t>
  </si>
  <si>
    <t>10716</t>
  </si>
  <si>
    <t>10717</t>
  </si>
  <si>
    <t>10720</t>
  </si>
  <si>
    <t>10722</t>
  </si>
  <si>
    <t>10723</t>
  </si>
  <si>
    <t>10726</t>
  </si>
  <si>
    <t>JI</t>
  </si>
  <si>
    <t>26613</t>
  </si>
  <si>
    <t>2667</t>
  </si>
  <si>
    <t>26701</t>
  </si>
  <si>
    <t>2674</t>
  </si>
  <si>
    <t>30617</t>
  </si>
  <si>
    <t>3852</t>
  </si>
  <si>
    <t>4629</t>
  </si>
  <si>
    <t>4664</t>
  </si>
  <si>
    <t>4766</t>
  </si>
  <si>
    <t>5912</t>
  </si>
  <si>
    <t>72718</t>
  </si>
  <si>
    <t>72878</t>
  </si>
  <si>
    <t>74003</t>
  </si>
  <si>
    <t>74013</t>
  </si>
  <si>
    <t>74015</t>
  </si>
  <si>
    <t>74037</t>
  </si>
  <si>
    <t>8763</t>
  </si>
  <si>
    <t>90801</t>
  </si>
  <si>
    <t>92028</t>
  </si>
  <si>
    <t>92836</t>
  </si>
  <si>
    <t>92847</t>
  </si>
  <si>
    <t>93301</t>
  </si>
  <si>
    <t>93372</t>
  </si>
  <si>
    <t>93413</t>
  </si>
  <si>
    <t>93569</t>
  </si>
  <si>
    <t>93806</t>
  </si>
  <si>
    <t>93847</t>
  </si>
  <si>
    <t>94266</t>
  </si>
  <si>
    <t>9562</t>
  </si>
  <si>
    <t>9765</t>
  </si>
  <si>
    <t>23310</t>
  </si>
  <si>
    <t>23493</t>
  </si>
  <si>
    <t>23993</t>
  </si>
  <si>
    <t>24056</t>
  </si>
  <si>
    <t>82878</t>
  </si>
  <si>
    <t>83056</t>
  </si>
  <si>
    <t>83473</t>
  </si>
  <si>
    <t>73905.F</t>
  </si>
  <si>
    <t>73905.MF</t>
  </si>
  <si>
    <t>74146</t>
  </si>
  <si>
    <t>E3</t>
  </si>
  <si>
    <t>SR-21670.307</t>
  </si>
  <si>
    <t>SR-22162.538</t>
  </si>
  <si>
    <t>SR-22194.707</t>
  </si>
  <si>
    <t>SR-23648.715</t>
  </si>
  <si>
    <t>SR-24014.538</t>
  </si>
  <si>
    <t>SR-24096.697</t>
  </si>
  <si>
    <t>20143</t>
  </si>
  <si>
    <t>20207</t>
  </si>
  <si>
    <t>23257</t>
  </si>
  <si>
    <t>23453</t>
  </si>
  <si>
    <t>23807</t>
  </si>
  <si>
    <t>24392</t>
  </si>
  <si>
    <t>24398</t>
  </si>
  <si>
    <t>24406</t>
  </si>
  <si>
    <t>24430</t>
  </si>
  <si>
    <t>24440</t>
  </si>
  <si>
    <t>26430</t>
  </si>
  <si>
    <t>30715</t>
  </si>
  <si>
    <t>4822</t>
  </si>
  <si>
    <t>4962</t>
  </si>
  <si>
    <t>5462</t>
  </si>
  <si>
    <t>5522</t>
  </si>
  <si>
    <t>5722</t>
  </si>
  <si>
    <t>E5</t>
  </si>
  <si>
    <t>CCM603</t>
  </si>
  <si>
    <t>FC 404.3 S5</t>
  </si>
  <si>
    <t>FLON-2711</t>
  </si>
  <si>
    <t>PCI 15 GB/GF FF</t>
  </si>
  <si>
    <t>10266</t>
  </si>
  <si>
    <t>E8</t>
  </si>
  <si>
    <t>10364</t>
  </si>
  <si>
    <t>31777</t>
  </si>
  <si>
    <t>3412</t>
  </si>
  <si>
    <t>3776</t>
  </si>
  <si>
    <t>4726</t>
  </si>
  <si>
    <t>4751</t>
  </si>
  <si>
    <t>8562</t>
  </si>
  <si>
    <t>8612</t>
  </si>
  <si>
    <t>9622</t>
  </si>
  <si>
    <t>9665</t>
  </si>
  <si>
    <t>9714</t>
  </si>
  <si>
    <t>9862</t>
  </si>
  <si>
    <t>E9</t>
  </si>
  <si>
    <t>Column1</t>
  </si>
  <si>
    <t>postingPeriod</t>
  </si>
  <si>
    <t>5930 Valuation Adjustments</t>
  </si>
  <si>
    <t>memo</t>
  </si>
  <si>
    <t>subsidiary</t>
  </si>
  <si>
    <t>Western Consolidated Technologies</t>
  </si>
  <si>
    <t>department</t>
  </si>
  <si>
    <t>1-10004</t>
  </si>
  <si>
    <t>WRJA486461012K-R470BK</t>
  </si>
  <si>
    <t>WRJA318298009D-R470BK</t>
  </si>
  <si>
    <t>1-10013</t>
  </si>
  <si>
    <t>WRJE273250012D-R970BK</t>
  </si>
  <si>
    <t>1-10014</t>
  </si>
  <si>
    <t>WRJC112053007D-R570AK</t>
  </si>
  <si>
    <t>WRJA447434006D-R470BK</t>
  </si>
  <si>
    <t>1-10021</t>
  </si>
  <si>
    <t>WRJE204179012D-R970BK</t>
  </si>
  <si>
    <t>1-10022</t>
  </si>
  <si>
    <t>WRJC038028004D-R970AK</t>
  </si>
  <si>
    <t>1-10024</t>
  </si>
  <si>
    <t>WRJA361337012D-R970BK</t>
  </si>
  <si>
    <t>1-10025</t>
  </si>
  <si>
    <t>WRJE260236012D-R970BK</t>
  </si>
  <si>
    <t>WRJA429356009D-R470BK</t>
  </si>
  <si>
    <t>1-10029</t>
  </si>
  <si>
    <t>WRJA243223009D-R470AK</t>
  </si>
  <si>
    <t>WRJC075056006D-R470BK</t>
  </si>
  <si>
    <t>1-10032</t>
  </si>
  <si>
    <t>WRJC043033006D-R470BK</t>
  </si>
  <si>
    <t>1-10033</t>
  </si>
  <si>
    <t>WRJA396375010D-R470BK</t>
  </si>
  <si>
    <t>1-10034</t>
  </si>
  <si>
    <t>WRJA468448009D-R470BK</t>
  </si>
  <si>
    <t>1-10035</t>
  </si>
  <si>
    <t>WRJA319305006D-R470BK</t>
  </si>
  <si>
    <t>1-10036</t>
  </si>
  <si>
    <t>WRJE230206012D-R970BK</t>
  </si>
  <si>
    <t>1-10039</t>
  </si>
  <si>
    <t>WRJA450434006K-R670BK</t>
  </si>
  <si>
    <t>1-10043</t>
  </si>
  <si>
    <t>WRJE193173009D-R970BK</t>
  </si>
  <si>
    <t>WRJC121074009D-R870AK</t>
  </si>
  <si>
    <t>1-10048</t>
  </si>
  <si>
    <t>WRJC105095012D-R470AK</t>
  </si>
  <si>
    <t>1-10052</t>
  </si>
  <si>
    <t>WRJE064047007D-R970BK</t>
  </si>
  <si>
    <t>1-10056</t>
  </si>
  <si>
    <t>WRJE274250012D-R970BK</t>
  </si>
  <si>
    <t>1-10060</t>
  </si>
  <si>
    <t>WRJC062047007K-R970BK</t>
  </si>
  <si>
    <t>1-10062</t>
  </si>
  <si>
    <t>WRJE283259012D-R970BK</t>
  </si>
  <si>
    <t>1-10066</t>
  </si>
  <si>
    <t>WRJC053045007D-R470BK</t>
  </si>
  <si>
    <t>1-10067</t>
  </si>
  <si>
    <t>WRJC056046004D-R460AR</t>
  </si>
  <si>
    <t>1-10071</t>
  </si>
  <si>
    <t>WRJC181161010D-R470CK</t>
  </si>
  <si>
    <t>1-10072</t>
  </si>
  <si>
    <t>WRJA443423009D-R470AK</t>
  </si>
  <si>
    <t>WRJE200177012D-R970BK</t>
  </si>
  <si>
    <t>WRJA345330003D-R070BK</t>
  </si>
  <si>
    <t>WRJC203162009D-R470BK</t>
  </si>
  <si>
    <t>1-10083</t>
  </si>
  <si>
    <t>WRJE174151012D-R970BK</t>
  </si>
  <si>
    <t>1-10086</t>
  </si>
  <si>
    <t>WRJA325301012D-R970BK</t>
  </si>
  <si>
    <t>1-10087</t>
  </si>
  <si>
    <t>WRJE236213012D-R970BK</t>
  </si>
  <si>
    <t>1-10088</t>
  </si>
  <si>
    <t>WRJA288264012D-R970BK</t>
  </si>
  <si>
    <t>1-10097</t>
  </si>
  <si>
    <t>WRJE242218012D-R970BK</t>
  </si>
  <si>
    <t>WRJE158135012D-R970BK</t>
  </si>
  <si>
    <t>WRJE222199013D-R970BK</t>
  </si>
  <si>
    <t>1-10100</t>
  </si>
  <si>
    <t>WRJE213190012D-R970BK</t>
  </si>
  <si>
    <t>WRJE240216012D-R970BK</t>
  </si>
  <si>
    <t>1-10102</t>
  </si>
  <si>
    <t>WRJE250227012D-R970BK</t>
  </si>
  <si>
    <t>1-10103</t>
  </si>
  <si>
    <t>WRJE216192012D-R970BK</t>
  </si>
  <si>
    <t>WRJE248224012D-R970BK</t>
  </si>
  <si>
    <t>1-10105</t>
  </si>
  <si>
    <t>WRJC056038008D-R460EK</t>
  </si>
  <si>
    <t>1-10107</t>
  </si>
  <si>
    <t>WRJA267251008D-R470BK</t>
  </si>
  <si>
    <t>1-10109</t>
  </si>
  <si>
    <t>WRJC128098004D-R970AK</t>
  </si>
  <si>
    <t>WRJA276259012D-R970BK</t>
  </si>
  <si>
    <t>1-10111</t>
  </si>
  <si>
    <t>WRJE166141012D-R970BK</t>
  </si>
  <si>
    <t>1-10113</t>
  </si>
  <si>
    <t>WRJE145122011D-R970BK</t>
  </si>
  <si>
    <t>1-10114</t>
  </si>
  <si>
    <t>WRJC096060011D-R485AK</t>
  </si>
  <si>
    <t>1-10116</t>
  </si>
  <si>
    <t>WRJC038019012D-R550BK</t>
  </si>
  <si>
    <t>1-10117</t>
  </si>
  <si>
    <t>WRJA292266012D-R760AK</t>
  </si>
  <si>
    <t>1-10118</t>
  </si>
  <si>
    <t>WRJA243217012D-R760AK</t>
  </si>
  <si>
    <t>1-10119</t>
  </si>
  <si>
    <t>WRJC193167012D-R760AK</t>
  </si>
  <si>
    <t>1-10120</t>
  </si>
  <si>
    <t>WRJC131107009D-R760AK</t>
  </si>
  <si>
    <t>1-10121</t>
  </si>
  <si>
    <t>WRJC168144012D-R760AK</t>
  </si>
  <si>
    <t>1-10123</t>
  </si>
  <si>
    <t>WRJC126090005D-R970AK</t>
  </si>
  <si>
    <t>1-10125</t>
  </si>
  <si>
    <t>WRJA432412010D-R470BK</t>
  </si>
  <si>
    <t>WRJA388370012D-R490AK</t>
  </si>
  <si>
    <t>1-10129</t>
  </si>
  <si>
    <t>WRJC061050008D-R485AK</t>
  </si>
  <si>
    <t>WRJC018006018D-R460FK</t>
  </si>
  <si>
    <t>1-10132</t>
  </si>
  <si>
    <t>WRJC162125006D-R470AK</t>
  </si>
  <si>
    <t>1-10134</t>
  </si>
  <si>
    <t>WRJC095069005D-R970DK</t>
  </si>
  <si>
    <t>WRJE106086009D-R970BK</t>
  </si>
  <si>
    <t>WRJE112092009D-R970BK</t>
  </si>
  <si>
    <t>1-10139</t>
  </si>
  <si>
    <t>WRJE118098009D-R970BK</t>
  </si>
  <si>
    <t>1-10140</t>
  </si>
  <si>
    <t>WRJE131111009D-R970BK</t>
  </si>
  <si>
    <t>1-10141</t>
  </si>
  <si>
    <t>WRJE143123009D-R970BK</t>
  </si>
  <si>
    <t>1-10142</t>
  </si>
  <si>
    <t>WRJE168148009D-R970BK</t>
  </si>
  <si>
    <t>1-10144</t>
  </si>
  <si>
    <t>WRJE125098013D-R970BK</t>
  </si>
  <si>
    <t>1-10145</t>
  </si>
  <si>
    <t>WRJC045030012D-R470BK</t>
  </si>
  <si>
    <t>1-10146</t>
  </si>
  <si>
    <t>WRJC131098005D-R970AK</t>
  </si>
  <si>
    <t>WRJC081061009D-R961AK</t>
  </si>
  <si>
    <t>1-10149</t>
  </si>
  <si>
    <t>WRJE212192009D-R970BK</t>
  </si>
  <si>
    <t>1-10150</t>
  </si>
  <si>
    <t>WRJA240228008D-R470BK</t>
  </si>
  <si>
    <t>1-10151</t>
  </si>
  <si>
    <t>WRJE156136009D-R970BK</t>
  </si>
  <si>
    <t>1-10152</t>
  </si>
  <si>
    <t>WRJE181161009D-R970BK</t>
  </si>
  <si>
    <t>WRJE206186009D-R970BK</t>
  </si>
  <si>
    <t>1-10154</t>
  </si>
  <si>
    <t>WRJE229205012D-R970BK</t>
  </si>
  <si>
    <t>1-10156</t>
  </si>
  <si>
    <t>WRJC031019009D-R550AK</t>
  </si>
  <si>
    <t>1-10158</t>
  </si>
  <si>
    <t>WRJE123100012D-R970BK</t>
  </si>
  <si>
    <t>1-10160</t>
  </si>
  <si>
    <t>WRJA320302009D-R470BK</t>
  </si>
  <si>
    <t>WRJA305290012D-R970BK</t>
  </si>
  <si>
    <t>1-10162</t>
  </si>
  <si>
    <t>WRJC120090007D-R463AK</t>
  </si>
  <si>
    <t>1-10165</t>
  </si>
  <si>
    <t>WRJC025011011D-R465BK</t>
  </si>
  <si>
    <t>1-10166</t>
  </si>
  <si>
    <t>WRJC093081012D-R560AR</t>
  </si>
  <si>
    <t>WRJC100075012D-R470EK</t>
  </si>
  <si>
    <t>WRJC091066012D-R470EK</t>
  </si>
  <si>
    <t>WRJC093073009D-R970BK</t>
  </si>
  <si>
    <t>1-10172</t>
  </si>
  <si>
    <t>WRJE149129009D-R970BK</t>
  </si>
  <si>
    <t>1-10173</t>
  </si>
  <si>
    <t>WRJC058029012D-R460EK</t>
  </si>
  <si>
    <t>1-10175</t>
  </si>
  <si>
    <t>WRJE253229012D-R970BK</t>
  </si>
  <si>
    <t>1-10176</t>
  </si>
  <si>
    <t>WRJC113088009D-R970DK</t>
  </si>
  <si>
    <t>WRJE218194012D-R970BK</t>
  </si>
  <si>
    <t>WRJE156133012D-R970BK</t>
  </si>
  <si>
    <t>1-10181</t>
  </si>
  <si>
    <t>WRJE217194012D-R970BK</t>
  </si>
  <si>
    <t>1-10182</t>
  </si>
  <si>
    <t>WRJE070047007D-R970BK</t>
  </si>
  <si>
    <t>1-10183</t>
  </si>
  <si>
    <t>WRJA386362012D-R970BK</t>
  </si>
  <si>
    <t>WRJE203183012D-R970BK</t>
  </si>
  <si>
    <t>1-10186</t>
  </si>
  <si>
    <t>WRJE238215012D-R970BK</t>
  </si>
  <si>
    <t>WRJA628603012D-R470EK</t>
  </si>
  <si>
    <t>1-10193</t>
  </si>
  <si>
    <t>WRJE100076013D-R970BK</t>
  </si>
  <si>
    <t>1-10195</t>
  </si>
  <si>
    <t>WRJC134122006D-R470AK</t>
  </si>
  <si>
    <t>1-10196</t>
  </si>
  <si>
    <t>WRJE171147012D-R970BK</t>
  </si>
  <si>
    <t>1-10197</t>
  </si>
  <si>
    <t>WRJA412400006D-R490AK</t>
  </si>
  <si>
    <t>1-10198</t>
  </si>
  <si>
    <t>WRJC192172009D-R470BK</t>
  </si>
  <si>
    <t>WRJE228204012D-R970BK</t>
  </si>
  <si>
    <t>1-10202</t>
  </si>
  <si>
    <t>WRJA358339010D-R470BK</t>
  </si>
  <si>
    <t>1-10203</t>
  </si>
  <si>
    <t>WRJC056026011D-R580AK</t>
  </si>
  <si>
    <t>1-10204</t>
  </si>
  <si>
    <t>WRJE124104009D-R970BK</t>
  </si>
  <si>
    <t>1-10206</t>
  </si>
  <si>
    <t>WRJC104054010D-R070AR</t>
  </si>
  <si>
    <t>1-10207</t>
  </si>
  <si>
    <t>WRJC038022008D-R970BK</t>
  </si>
  <si>
    <t>WRJE151128012D-R970BK</t>
  </si>
  <si>
    <t>1-10210</t>
  </si>
  <si>
    <t>WRJE155130012D-R970BK</t>
  </si>
  <si>
    <t>1-10211</t>
  </si>
  <si>
    <t>WRJE184161012D-R970BK</t>
  </si>
  <si>
    <t>WRJE166143012D-R970BK</t>
  </si>
  <si>
    <t>WRJA363339012D-R970BK</t>
  </si>
  <si>
    <t>1-10215</t>
  </si>
  <si>
    <t>WRJE199175012D-R970BK</t>
  </si>
  <si>
    <t>1-10216</t>
  </si>
  <si>
    <t>WRJE267243012D-R970BK</t>
  </si>
  <si>
    <t>WRJE182162009D-R970BK</t>
  </si>
  <si>
    <t>WRJA286263012D-R970BK</t>
  </si>
  <si>
    <t>1-10220</t>
  </si>
  <si>
    <t>WRJA218211005D-R460AK</t>
  </si>
  <si>
    <t>1-10223</t>
  </si>
  <si>
    <t>WRJE210186012D-R970BK</t>
  </si>
  <si>
    <t>WRJE226192012D-R970BK</t>
  </si>
  <si>
    <t>1-10226</t>
  </si>
  <si>
    <t>WRJC125037006D-R540AK</t>
  </si>
  <si>
    <t>1-10228</t>
  </si>
  <si>
    <t>WRJC052028007D-R470BK</t>
  </si>
  <si>
    <t>WRJC150112009D-R470BK</t>
  </si>
  <si>
    <t>1-10231</t>
  </si>
  <si>
    <t>WRJA342330006D-R470BK</t>
  </si>
  <si>
    <t>1-10232</t>
  </si>
  <si>
    <t>WRJE263240012D-R970BK</t>
  </si>
  <si>
    <t>WRJE164140012D-R970BK</t>
  </si>
  <si>
    <t>1-10234</t>
  </si>
  <si>
    <t>WRJE179155012D-R970BK</t>
  </si>
  <si>
    <t>1-10235</t>
  </si>
  <si>
    <t>WRJE233209012D-R970BK</t>
  </si>
  <si>
    <t>WRJE193169012D-R970BK</t>
  </si>
  <si>
    <t>1-10237</t>
  </si>
  <si>
    <t>WRJA253187009D-R470BK</t>
  </si>
  <si>
    <t>1-10239</t>
  </si>
  <si>
    <t>WRJA424388012D-R470BK</t>
  </si>
  <si>
    <t>WRJA450400012D-R490AK</t>
  </si>
  <si>
    <t>1-10241</t>
  </si>
  <si>
    <t>WRJE179154012D-R970BK</t>
  </si>
  <si>
    <t>1-10242</t>
  </si>
  <si>
    <t>WRJA554487009D-R470BK</t>
  </si>
  <si>
    <t>WRJA303253009D-R470BK</t>
  </si>
  <si>
    <t>WRJE279255012D-R970BK</t>
  </si>
  <si>
    <t>1-10245</t>
  </si>
  <si>
    <t>WRJC151109009D-R470BK</t>
  </si>
  <si>
    <t>1-10246</t>
  </si>
  <si>
    <t>WRJE227192012D-R970BK</t>
  </si>
  <si>
    <t>1-10247</t>
  </si>
  <si>
    <t>WRJA315299007D-R470BK</t>
  </si>
  <si>
    <t>WRJA311287012D-R970BK</t>
  </si>
  <si>
    <t>WRJA262209009D-R470BK</t>
  </si>
  <si>
    <t>1-10251</t>
  </si>
  <si>
    <t>WRJA345330003D-R070AR</t>
  </si>
  <si>
    <t>1-10252</t>
  </si>
  <si>
    <t>WRJE157134012D-R970BK</t>
  </si>
  <si>
    <t>1-10253</t>
  </si>
  <si>
    <t>WRJE207182012D-R970BK</t>
  </si>
  <si>
    <t>1-10254</t>
  </si>
  <si>
    <t>WRJE048029011D-R970BK</t>
  </si>
  <si>
    <t>1-10255</t>
  </si>
  <si>
    <t>WRJA512437009D-R490AK</t>
  </si>
  <si>
    <t>1-10256</t>
  </si>
  <si>
    <t>WRJC087028012D-R560AR</t>
  </si>
  <si>
    <t>1-10257</t>
  </si>
  <si>
    <t>WRJE198173012D-R970BK</t>
  </si>
  <si>
    <t>WRJE266241012D-R970BK</t>
  </si>
  <si>
    <t>1-10259</t>
  </si>
  <si>
    <t>WRJC022012006D-R470BK</t>
  </si>
  <si>
    <t>1-10260</t>
  </si>
  <si>
    <t>WRJA353303009D-R470BK</t>
  </si>
  <si>
    <t>1-10261</t>
  </si>
  <si>
    <t>WRJC038009012D-R470BK</t>
  </si>
  <si>
    <t>1-10263</t>
  </si>
  <si>
    <t>WRJC113099012D-R460EK</t>
  </si>
  <si>
    <t>1-10264</t>
  </si>
  <si>
    <t>WRJE149126012D-R970BK</t>
  </si>
  <si>
    <t>WRJC080043007D-R470BK</t>
  </si>
  <si>
    <t>1-10266</t>
  </si>
  <si>
    <t>WRJE161138006D-R970BK</t>
  </si>
  <si>
    <t>1-10267</t>
  </si>
  <si>
    <t>WRJA346327011D-R463AK</t>
  </si>
  <si>
    <t>1-10268</t>
  </si>
  <si>
    <t>WRJE203179012D-R970BK</t>
  </si>
  <si>
    <t>1-10269</t>
  </si>
  <si>
    <t>WRJC168137012D-R840AK</t>
  </si>
  <si>
    <t>WRJE175152012D-R970BK</t>
  </si>
  <si>
    <t>1-10271</t>
  </si>
  <si>
    <t>WRJA224205009D-R470BK</t>
  </si>
  <si>
    <t>1-10272</t>
  </si>
  <si>
    <t>WRJC084043003D-R990AK</t>
  </si>
  <si>
    <t>1-10273</t>
  </si>
  <si>
    <t>WRJE252229012D-R970BK</t>
  </si>
  <si>
    <t>1-10274</t>
  </si>
  <si>
    <t>WRJE226202012D-R970BK</t>
  </si>
  <si>
    <t>1-10275</t>
  </si>
  <si>
    <t>WRJE212188016D-R970BK</t>
  </si>
  <si>
    <t>1-10276</t>
  </si>
  <si>
    <t>WRJA302279012D-R970BK</t>
  </si>
  <si>
    <t>1-10277</t>
  </si>
  <si>
    <t>WRJC087067009D-R470BK</t>
  </si>
  <si>
    <t>1-10278</t>
  </si>
  <si>
    <t>WRJC043028006D-R485AK</t>
  </si>
  <si>
    <t>1-10280</t>
  </si>
  <si>
    <t>WRJC125100006D-R570AK</t>
  </si>
  <si>
    <t>1-10281</t>
  </si>
  <si>
    <t>WRJC087072004D-R570AK</t>
  </si>
  <si>
    <t>1-10282</t>
  </si>
  <si>
    <t>WRJC049040004D-R570AK</t>
  </si>
  <si>
    <t>1-10283</t>
  </si>
  <si>
    <t>WRJA362338012D-R970BK</t>
  </si>
  <si>
    <t>WRJE134111012D-R970BK</t>
  </si>
  <si>
    <t>1-10285</t>
  </si>
  <si>
    <t>WRJC166131012D-R955AK</t>
  </si>
  <si>
    <t>1-10286</t>
  </si>
  <si>
    <t>WRJA423395011D-R980BK</t>
  </si>
  <si>
    <t>1-10287</t>
  </si>
  <si>
    <t>WRJC047032008D-R970BK</t>
  </si>
  <si>
    <t>WRJC121061009K-R870AK</t>
  </si>
  <si>
    <t>1-10292</t>
  </si>
  <si>
    <t>WRJE049034007D-R970BK</t>
  </si>
  <si>
    <t>1-10293</t>
  </si>
  <si>
    <t>WRJA198184006D-R980BK</t>
  </si>
  <si>
    <t>1-10294</t>
  </si>
  <si>
    <t>WRJC043031004D-R570AK</t>
  </si>
  <si>
    <t>1-10295</t>
  </si>
  <si>
    <t>WRJC054032011D-R970BK</t>
  </si>
  <si>
    <t>WRJC093050007D-R470BK</t>
  </si>
  <si>
    <t>WRJC038031006D-R470AK</t>
  </si>
  <si>
    <t>1-10298</t>
  </si>
  <si>
    <t>WRJA446426009D-R570AK</t>
  </si>
  <si>
    <t>1-10299</t>
  </si>
  <si>
    <t>WRJC100062006D-R485AK</t>
  </si>
  <si>
    <t>1-10300</t>
  </si>
  <si>
    <t>WRJC143100012D-R470BK</t>
  </si>
  <si>
    <t>1-10301</t>
  </si>
  <si>
    <t>WRJE176152011D-R970BK</t>
  </si>
  <si>
    <t>1-10302</t>
  </si>
  <si>
    <t>WRJC092076007D-R470BK</t>
  </si>
  <si>
    <t>WRJA427407012D-R980BK</t>
  </si>
  <si>
    <t>1-10304</t>
  </si>
  <si>
    <t>WRJE207183012D-R970BK</t>
  </si>
  <si>
    <t>WRJC212198005D-R470AK</t>
  </si>
  <si>
    <t>1-10306</t>
  </si>
  <si>
    <t>WRJA341313012D-R760AK</t>
  </si>
  <si>
    <t>1-10307</t>
  </si>
  <si>
    <t>WRJC087023012D-R490BK</t>
  </si>
  <si>
    <t>1-10308</t>
  </si>
  <si>
    <t>WRJC149136005D-R470AK</t>
  </si>
  <si>
    <t>1-10309</t>
  </si>
  <si>
    <t>WRJE188164012D-R970BK</t>
  </si>
  <si>
    <t>1-10310</t>
  </si>
  <si>
    <t>WRJA364288007D-R040AB</t>
  </si>
  <si>
    <t>WRJA250159012D-R590AK</t>
  </si>
  <si>
    <t>WRJE195171012D-R970BK</t>
  </si>
  <si>
    <t>1-10313</t>
  </si>
  <si>
    <t>WRJC075031002D-R450AK</t>
  </si>
  <si>
    <t>1-10314</t>
  </si>
  <si>
    <t>WRJC053016012D-R560AR</t>
  </si>
  <si>
    <t>1-10315</t>
  </si>
  <si>
    <t>WRJE187164012D-R970BK</t>
  </si>
  <si>
    <t>WRJE261236012D-R970BK</t>
  </si>
  <si>
    <t>WRJA284259012D-R970BK</t>
  </si>
  <si>
    <t>WRJE243218012D-R970BK</t>
  </si>
  <si>
    <t>WRJE214190012D-R970BK</t>
  </si>
  <si>
    <t>1-10321</t>
  </si>
  <si>
    <t>WRJE249224012D-R970BK</t>
  </si>
  <si>
    <t>1-10322</t>
  </si>
  <si>
    <t>WRJE145122012D-R970BK</t>
  </si>
  <si>
    <t>1-10323</t>
  </si>
  <si>
    <t>WRJE191167012D-R970BK</t>
  </si>
  <si>
    <t>1-10325</t>
  </si>
  <si>
    <t>WRJE156136010D-R970BK</t>
  </si>
  <si>
    <t>1-10326</t>
  </si>
  <si>
    <t>WRJE242216012D-R970BK</t>
  </si>
  <si>
    <t>1-10327</t>
  </si>
  <si>
    <t>WRJA229209010D-R980BK</t>
  </si>
  <si>
    <t>1-10328</t>
  </si>
  <si>
    <t>WRJC187054002D-R455BK</t>
  </si>
  <si>
    <t>WRJC054035009D-R970BK</t>
  </si>
  <si>
    <t>WRJC051028008D-R170AK</t>
  </si>
  <si>
    <t>WRJC035017004D-R170AK</t>
  </si>
  <si>
    <t>1-10333</t>
  </si>
  <si>
    <t>WRJC096083011D-R470AK</t>
  </si>
  <si>
    <t>WRJC105092007D-R470AK</t>
  </si>
  <si>
    <t>1-10335</t>
  </si>
  <si>
    <t>WRJE169148010D-R470BK</t>
  </si>
  <si>
    <t>1-10336</t>
  </si>
  <si>
    <t>WRJE241217011D-R470BK</t>
  </si>
  <si>
    <t>1-10337</t>
  </si>
  <si>
    <t>WRJE206182012D-R970BK</t>
  </si>
  <si>
    <t>1-10338</t>
  </si>
  <si>
    <t>WRJC075034006D-R470BK</t>
  </si>
  <si>
    <t>1-10339</t>
  </si>
  <si>
    <t>WRJC050025012D-R070AR</t>
  </si>
  <si>
    <t>1-10340</t>
  </si>
  <si>
    <t>WRJE265240012D-R970BK</t>
  </si>
  <si>
    <t>WRJE277253012D-R970BK</t>
  </si>
  <si>
    <t>1-10342</t>
  </si>
  <si>
    <t>WRJA343313008D-R470BK</t>
  </si>
  <si>
    <t>WRJC041024008D-R970BK</t>
  </si>
  <si>
    <t>1-10344</t>
  </si>
  <si>
    <t>WRJC069012012D-R540AK</t>
  </si>
  <si>
    <t>WRJE143120013D-R970BK</t>
  </si>
  <si>
    <t>1-10346</t>
  </si>
  <si>
    <t>WRJC050031011D-R970BK</t>
  </si>
  <si>
    <t>1-10347</t>
  </si>
  <si>
    <t>WRJC060025012D-R470BK</t>
  </si>
  <si>
    <t>WRJC040021006D-R970BK</t>
  </si>
  <si>
    <t>1-10351</t>
  </si>
  <si>
    <t>WRJA216198011D-R170AK</t>
  </si>
  <si>
    <t>WRJC031018006D-R470BK</t>
  </si>
  <si>
    <t>1-10354</t>
  </si>
  <si>
    <t>WRJC050042004D-R470BK</t>
  </si>
  <si>
    <t>1-10355</t>
  </si>
  <si>
    <t>WRJC087073004D-R470BK</t>
  </si>
  <si>
    <t>1-10357</t>
  </si>
  <si>
    <t>WRJC300253012D-R170AK</t>
  </si>
  <si>
    <t>1-10358</t>
  </si>
  <si>
    <t>WRJE263240011D-R970BK</t>
  </si>
  <si>
    <t>WRJE152129011D-R970BK</t>
  </si>
  <si>
    <t>1-10360</t>
  </si>
  <si>
    <t>WRJC156134012D-R460AK</t>
  </si>
  <si>
    <t>WRJC084050003D-R990AK</t>
  </si>
  <si>
    <t>WRJC050028013D-R470BK</t>
  </si>
  <si>
    <t>1-10364</t>
  </si>
  <si>
    <t>WRJC080066011D-R970AK</t>
  </si>
  <si>
    <t>WRJC188120012D-R590AK</t>
  </si>
  <si>
    <t>WRJA284258012D-R175BK</t>
  </si>
  <si>
    <t>1-10370</t>
  </si>
  <si>
    <t>WRJC040027007D-R970BK</t>
  </si>
  <si>
    <t>1-10372</t>
  </si>
  <si>
    <t>WRJC080064007D-R470BK</t>
  </si>
  <si>
    <t>WRJA287243003D-R470BK</t>
  </si>
  <si>
    <t>1-10375</t>
  </si>
  <si>
    <t>WRJE222198012D-R970BK</t>
  </si>
  <si>
    <t>1-10377</t>
  </si>
  <si>
    <t>WRJC217192012D-R970BK</t>
  </si>
  <si>
    <t>1-10378</t>
  </si>
  <si>
    <t>WRJE157133012D-R970BK</t>
  </si>
  <si>
    <t>1-10380</t>
  </si>
  <si>
    <t>WRJC105095010D-R470BK</t>
  </si>
  <si>
    <t>1-10381</t>
  </si>
  <si>
    <t>WRJC123099012D-R470BK</t>
  </si>
  <si>
    <t>WRJC054040007D-R970BK</t>
  </si>
  <si>
    <t>WRJE150127012D-R970BK</t>
  </si>
  <si>
    <t>WRJA260211002D-R463AK</t>
  </si>
  <si>
    <t>WRJC131116003D-R060AK</t>
  </si>
  <si>
    <t>1-10387</t>
  </si>
  <si>
    <t>WRJC075034012D-R490AK</t>
  </si>
  <si>
    <t>WRJC050043006D-R470AK</t>
  </si>
  <si>
    <t>WRJA300260007D-R480AK</t>
  </si>
  <si>
    <t>1-10391</t>
  </si>
  <si>
    <t>WRJA338311012K-R470BK</t>
  </si>
  <si>
    <t>1-10392</t>
  </si>
  <si>
    <t>WRJE253228012D-R970BK</t>
  </si>
  <si>
    <t>WRJC125101012D-R970BK</t>
  </si>
  <si>
    <t>WRJC075045006D-R470AK</t>
  </si>
  <si>
    <t>1-10397</t>
  </si>
  <si>
    <t>WRJC115075005D-R560AK</t>
  </si>
  <si>
    <t>1-10398</t>
  </si>
  <si>
    <t>WRJE175152011D-R970BK</t>
  </si>
  <si>
    <t>1-10399</t>
  </si>
  <si>
    <t>WRJC187162011D-R470AK</t>
  </si>
  <si>
    <t>1-10400</t>
  </si>
  <si>
    <t>WRJC142093010D-R948AK</t>
  </si>
  <si>
    <t>WRJA206186099D-R490CK</t>
  </si>
  <si>
    <t>1-10402</t>
  </si>
  <si>
    <t>WRJC137117009D-R470AK</t>
  </si>
  <si>
    <t>1-10403</t>
  </si>
  <si>
    <t>WRJC187167009D-R470AK</t>
  </si>
  <si>
    <t>WRJC085034012D-R470BK</t>
  </si>
  <si>
    <t>WRJC142093005D-R948AK</t>
  </si>
  <si>
    <t>WRJC088054006D-R948AK</t>
  </si>
  <si>
    <t>WRJC157118011D-R470AK</t>
  </si>
  <si>
    <t>WRJC104062007D-R470BK</t>
  </si>
  <si>
    <t>WRJC102051009D-R470AK</t>
  </si>
  <si>
    <t>WRJA429362009D-R470BK</t>
  </si>
  <si>
    <t>1-10415</t>
  </si>
  <si>
    <t>WRJC049026006D-R470AK</t>
  </si>
  <si>
    <t>1-1049</t>
  </si>
  <si>
    <t>WRJC075050012D-R470EK</t>
  </si>
  <si>
    <t>1-1059</t>
  </si>
  <si>
    <t>WRJC195179007D-R955AK</t>
  </si>
  <si>
    <t>1-1060</t>
  </si>
  <si>
    <t>WRJA364345009D-R470BK</t>
  </si>
  <si>
    <t>WRJC122075003Q-R463AK</t>
  </si>
  <si>
    <t>1-114</t>
  </si>
  <si>
    <t>WRJC031012009D-R550AK</t>
  </si>
  <si>
    <t>1-1180</t>
  </si>
  <si>
    <t>WRJC021012003D-R560AR</t>
  </si>
  <si>
    <t>WRJC154119006Q-R560AR</t>
  </si>
  <si>
    <t>1-1201</t>
  </si>
  <si>
    <t>WRJC043031012D-R475AK</t>
  </si>
  <si>
    <t>1-1243</t>
  </si>
  <si>
    <t>WRJA540475009D-R470BK</t>
  </si>
  <si>
    <t>1-1321</t>
  </si>
  <si>
    <t>WRJA443325004D-R860AK</t>
  </si>
  <si>
    <t>1-1374</t>
  </si>
  <si>
    <t>WRJC137100012D-R570AK</t>
  </si>
  <si>
    <t>1-1394</t>
  </si>
  <si>
    <t>WRJC216180006D-R340AK</t>
  </si>
  <si>
    <t>1-1395</t>
  </si>
  <si>
    <t>WRJC100075005Q-R470DK</t>
  </si>
  <si>
    <t>1-1419</t>
  </si>
  <si>
    <t>WRJC062048006D-R470AK</t>
  </si>
  <si>
    <t>1-1445</t>
  </si>
  <si>
    <t>WRJA250212012D-R475AK</t>
  </si>
  <si>
    <t>1-1473</t>
  </si>
  <si>
    <t>WRJA218198010D-R960AK</t>
  </si>
  <si>
    <t>1-1480</t>
  </si>
  <si>
    <t>WRJA261253012D-R850AK</t>
  </si>
  <si>
    <t>WRJC163153006D-R550AK</t>
  </si>
  <si>
    <t>1-1497</t>
  </si>
  <si>
    <t>WRJC115056009D-R850AK</t>
  </si>
  <si>
    <t>1-1528</t>
  </si>
  <si>
    <t>WRJA342325006O-R470BK</t>
  </si>
  <si>
    <t>1-1557</t>
  </si>
  <si>
    <t>WRJC053032008D-R175AN</t>
  </si>
  <si>
    <t>1-1571</t>
  </si>
  <si>
    <t>WRJC055042006D-R470BK</t>
  </si>
  <si>
    <t>1-1659</t>
  </si>
  <si>
    <t>WRJC081070006D-R470BK</t>
  </si>
  <si>
    <t>1-168</t>
  </si>
  <si>
    <t>WRJA272216006D-R460AK</t>
  </si>
  <si>
    <t>1-169</t>
  </si>
  <si>
    <t>WRJA354331009D-R470BK</t>
  </si>
  <si>
    <t>1-1705</t>
  </si>
  <si>
    <t>WRJA152100009D-R475AK</t>
  </si>
  <si>
    <t>1-1710</t>
  </si>
  <si>
    <t>WRJA253227003D-R490AK</t>
  </si>
  <si>
    <t>1-1718</t>
  </si>
  <si>
    <t>WRJC104070007D-R463AK</t>
  </si>
  <si>
    <t>1-1728</t>
  </si>
  <si>
    <t>WRJA244194012D-R475AK</t>
  </si>
  <si>
    <t>1-1733</t>
  </si>
  <si>
    <t>WRJC106094003D-R450AK</t>
  </si>
  <si>
    <t>1-1740</t>
  </si>
  <si>
    <t>WRJC085075006D-R860AK</t>
  </si>
  <si>
    <t>1-1764</t>
  </si>
  <si>
    <t>WRJC094076008D-R760AK</t>
  </si>
  <si>
    <t>1-1829</t>
  </si>
  <si>
    <t>WRJC066046005K-R470BK</t>
  </si>
  <si>
    <t>WRJA213140003Q-R470JK</t>
  </si>
  <si>
    <t>1-1857</t>
  </si>
  <si>
    <t>WRJC052034005K-R970DK</t>
  </si>
  <si>
    <t>WRJA259187009D-R470DK</t>
  </si>
  <si>
    <t>1-1864</t>
  </si>
  <si>
    <t>WRJC201180012D-R470GK</t>
  </si>
  <si>
    <t>1-1880</t>
  </si>
  <si>
    <t>WRJC068049010D-R460AK</t>
  </si>
  <si>
    <t>1-1882</t>
  </si>
  <si>
    <t>WRJC080074005D-R470AK</t>
  </si>
  <si>
    <t>WRJC124111005D-R470AK</t>
  </si>
  <si>
    <t>1-192</t>
  </si>
  <si>
    <t>WRJA175100012D-R380AK</t>
  </si>
  <si>
    <t>1-1924</t>
  </si>
  <si>
    <t>WRJA232187012D-R475AK</t>
  </si>
  <si>
    <t>1-1943</t>
  </si>
  <si>
    <t>WRJA249200012D-R475AK</t>
  </si>
  <si>
    <t>1-1949</t>
  </si>
  <si>
    <t>WRJC075046004D-R540AK</t>
  </si>
  <si>
    <t>1-1988</t>
  </si>
  <si>
    <t>WRJC157075012D-R840AK</t>
  </si>
  <si>
    <t>1-1995</t>
  </si>
  <si>
    <t>WRJC162128012D-R570AK</t>
  </si>
  <si>
    <t>1-2022</t>
  </si>
  <si>
    <t>WRJC166128009D-R465BK</t>
  </si>
  <si>
    <t>1-2025</t>
  </si>
  <si>
    <t>WRJC046022012D-R485AK</t>
  </si>
  <si>
    <t>1-2034</t>
  </si>
  <si>
    <t>WRJC150118006D-R470BK</t>
  </si>
  <si>
    <t>1-204</t>
  </si>
  <si>
    <t>WRJC083057009D-R970DK</t>
  </si>
  <si>
    <t>1-2041</t>
  </si>
  <si>
    <t>WRJA324285008D-R470AK</t>
  </si>
  <si>
    <t>1-2054</t>
  </si>
  <si>
    <t>WRJC069049012D-R470GK</t>
  </si>
  <si>
    <t>1-2061</t>
  </si>
  <si>
    <t>WRJC138117012D-R470GK</t>
  </si>
  <si>
    <t>1-2076</t>
  </si>
  <si>
    <t>WRJA209190004D-R550BK</t>
  </si>
  <si>
    <t>1-2082</t>
  </si>
  <si>
    <t>WRJC088068012D-R470GK</t>
  </si>
  <si>
    <t>1-2096</t>
  </si>
  <si>
    <t>WRJC122112008D-R470BK</t>
  </si>
  <si>
    <t>1-2103</t>
  </si>
  <si>
    <t>WRJC123103011D-R260AK</t>
  </si>
  <si>
    <t>1-2105</t>
  </si>
  <si>
    <t>WRJC089064005D-R470BK</t>
  </si>
  <si>
    <t>1-2106</t>
  </si>
  <si>
    <t>WRJC062043012D-R470BK</t>
  </si>
  <si>
    <t>1-212</t>
  </si>
  <si>
    <t>WRJC121087012D-R380AK</t>
  </si>
  <si>
    <t>1-2148</t>
  </si>
  <si>
    <t>WRJC125069003D-R540AK</t>
  </si>
  <si>
    <t>1-2166</t>
  </si>
  <si>
    <t>WRJC053027012D-R465BK</t>
  </si>
  <si>
    <t>1-2175</t>
  </si>
  <si>
    <t>WRJC150115012D-R380AK</t>
  </si>
  <si>
    <t>1-2186</t>
  </si>
  <si>
    <t>WRJC030019007D-R450AK</t>
  </si>
  <si>
    <t>WRJC211197007D-R470BK</t>
  </si>
  <si>
    <t>1-2208</t>
  </si>
  <si>
    <t>WRJC112098005D-R470AK</t>
  </si>
  <si>
    <t>1-221</t>
  </si>
  <si>
    <t>WRJC068048010D-R470AK</t>
  </si>
  <si>
    <t>1-2257</t>
  </si>
  <si>
    <t>WRJC069044008D-R460EK</t>
  </si>
  <si>
    <t>1-2262</t>
  </si>
  <si>
    <t>WRJC128114012D-R970DK</t>
  </si>
  <si>
    <t>1-2271</t>
  </si>
  <si>
    <t>WRJC071053009D-R490AK</t>
  </si>
  <si>
    <t>1-2281</t>
  </si>
  <si>
    <t>WRJC157122005D-R970AK</t>
  </si>
  <si>
    <t>WRJC106034012D-R380AK</t>
  </si>
  <si>
    <t>1-2293</t>
  </si>
  <si>
    <t>WRJC074062003D-R940AK</t>
  </si>
  <si>
    <t>1-232</t>
  </si>
  <si>
    <t>WRJA284211012D-R480AK</t>
  </si>
  <si>
    <t>WRJA230194007D-R970DK</t>
  </si>
  <si>
    <t>1-233</t>
  </si>
  <si>
    <t>WRJA181140012D-R480AK</t>
  </si>
  <si>
    <t>1-2346</t>
  </si>
  <si>
    <t>WRJC105095010D-R470CK</t>
  </si>
  <si>
    <t>WRJC120090007Q-R463AK</t>
  </si>
  <si>
    <t>WRJC050027004D-R570AK</t>
  </si>
  <si>
    <t>1-284</t>
  </si>
  <si>
    <t>WRJA256076003D-R480CK</t>
  </si>
  <si>
    <t>1-2929</t>
  </si>
  <si>
    <t>WRJC042029008D-R460CK</t>
  </si>
  <si>
    <t>1-3045</t>
  </si>
  <si>
    <t>WRJC075050004D-R570AK</t>
  </si>
  <si>
    <t>1-3046</t>
  </si>
  <si>
    <t>WRJC053035004D-R570AK</t>
  </si>
  <si>
    <t>1-3209</t>
  </si>
  <si>
    <t>WRJC028018009D-R490AK</t>
  </si>
  <si>
    <t>1-3223</t>
  </si>
  <si>
    <t>WRJA218184011D-R450AK</t>
  </si>
  <si>
    <t>1-3298</t>
  </si>
  <si>
    <t>WRJC100064012D-R860AK</t>
  </si>
  <si>
    <t>1-3346</t>
  </si>
  <si>
    <t>WRJA256206012D-R450AK</t>
  </si>
  <si>
    <t>1-3468</t>
  </si>
  <si>
    <t>WRJA263249010D-R570AK</t>
  </si>
  <si>
    <t>1-3526</t>
  </si>
  <si>
    <t>WRJC070032009D-R580AK</t>
  </si>
  <si>
    <t>WRJA208116006K-R470DK</t>
  </si>
  <si>
    <t>1-364</t>
  </si>
  <si>
    <t>WRJA378358009D-R470AK</t>
  </si>
  <si>
    <t>1-374</t>
  </si>
  <si>
    <t>WRJC097084012D-R460EK</t>
  </si>
  <si>
    <t>1-3847</t>
  </si>
  <si>
    <t>WRJC062038012D-R470EK</t>
  </si>
  <si>
    <t>1-3907</t>
  </si>
  <si>
    <t>WRJC081012006D-R580AK</t>
  </si>
  <si>
    <t>1-396</t>
  </si>
  <si>
    <t>WRJC078038006D-R470BK</t>
  </si>
  <si>
    <t>WRJC198100005Q-R463AK</t>
  </si>
  <si>
    <t>WRJC150050012Q-R950AK</t>
  </si>
  <si>
    <t>WRJC117102007D-R970DK</t>
  </si>
  <si>
    <t>1-442</t>
  </si>
  <si>
    <t>WRJC067054006D-R970DK</t>
  </si>
  <si>
    <t>1-4435</t>
  </si>
  <si>
    <t>WRJA246229012D-R550AK</t>
  </si>
  <si>
    <t>1-449</t>
  </si>
  <si>
    <t>WRJC065050004D-R570AK</t>
  </si>
  <si>
    <t>WRJA415368009D-R470BK</t>
  </si>
  <si>
    <t>1-456</t>
  </si>
  <si>
    <t>WRJC095083006D-R470BK</t>
  </si>
  <si>
    <t>1-4656</t>
  </si>
  <si>
    <t>WRJC030015007D-R470BK</t>
  </si>
  <si>
    <t>1-470</t>
  </si>
  <si>
    <t>WRJA580547007D-R470BK</t>
  </si>
  <si>
    <t>1-4704</t>
  </si>
  <si>
    <t>WRJC042020007D-R490AK</t>
  </si>
  <si>
    <t>WRJA268248010D-R470AK</t>
  </si>
  <si>
    <t>1-484</t>
  </si>
  <si>
    <t>WRJA287267009D-R470AK</t>
  </si>
  <si>
    <t>1-4900</t>
  </si>
  <si>
    <t>WRJA360336012D-R470EK</t>
  </si>
  <si>
    <t>1-496</t>
  </si>
  <si>
    <t>WRJA300253012D-R470AK</t>
  </si>
  <si>
    <t>1-5009</t>
  </si>
  <si>
    <t>WRJC051035010D-R470BK</t>
  </si>
  <si>
    <t>1-5192</t>
  </si>
  <si>
    <t>WRJC076062003D-R840AK</t>
  </si>
  <si>
    <t>1-521</t>
  </si>
  <si>
    <t>WRJC143123011D-R470BK</t>
  </si>
  <si>
    <t>1-531</t>
  </si>
  <si>
    <t>WRJC042015012D-R470BK</t>
  </si>
  <si>
    <t>1-5387</t>
  </si>
  <si>
    <t>WRJA312250006D-R470AK</t>
  </si>
  <si>
    <t>1-542</t>
  </si>
  <si>
    <t>WRJC061053004D-R470AK</t>
  </si>
  <si>
    <t>1-5590</t>
  </si>
  <si>
    <t>WRJC156125005D-R570AK</t>
  </si>
  <si>
    <t>1-5603</t>
  </si>
  <si>
    <t>WRJC081061012D-R470BK</t>
  </si>
  <si>
    <t>1-5669</t>
  </si>
  <si>
    <t>WRJA241220006D-R835AK</t>
  </si>
  <si>
    <t>1-591</t>
  </si>
  <si>
    <t>WRJC081025006D-R470BK</t>
  </si>
  <si>
    <t>1-602</t>
  </si>
  <si>
    <t>WRJC194178004D-R850AK</t>
  </si>
  <si>
    <t>1-6038</t>
  </si>
  <si>
    <t>WRJA200134013D-R460AK</t>
  </si>
  <si>
    <t>1-605</t>
  </si>
  <si>
    <t>WRJA246210007D-R470BK</t>
  </si>
  <si>
    <t>1-6168</t>
  </si>
  <si>
    <t>WRJC134093013D-R480AK</t>
  </si>
  <si>
    <t>WRJC140100012D-R470BK</t>
  </si>
  <si>
    <t>1-6223</t>
  </si>
  <si>
    <t>WRJC090053012D-R480AK</t>
  </si>
  <si>
    <t>1-6253</t>
  </si>
  <si>
    <t>WRJC075049012D-R860AK</t>
  </si>
  <si>
    <t>1-6287</t>
  </si>
  <si>
    <t>WRJC043031006K-R570AK</t>
  </si>
  <si>
    <t>1-6299</t>
  </si>
  <si>
    <t>WRJA291267012D-R460CK</t>
  </si>
  <si>
    <t>1-630</t>
  </si>
  <si>
    <t>WRJA371321004D-R850AK</t>
  </si>
  <si>
    <t>1-6302</t>
  </si>
  <si>
    <t>WRJC150028012D-R380AK</t>
  </si>
  <si>
    <t>WRJA238220005D-R460CK</t>
  </si>
  <si>
    <t>WRJC081062012K-R490AK</t>
  </si>
  <si>
    <t>1-6474</t>
  </si>
  <si>
    <t>WRJC031017012D-R470BK</t>
  </si>
  <si>
    <t>1-6497</t>
  </si>
  <si>
    <t>WRJC132050006D-R850AK</t>
  </si>
  <si>
    <t>1-6522</t>
  </si>
  <si>
    <t>WRJA337256012D-R450AK</t>
  </si>
  <si>
    <t>WRJA212134012D-R590AK</t>
  </si>
  <si>
    <t>1-6624</t>
  </si>
  <si>
    <t>WRJC175147009D-R380AK</t>
  </si>
  <si>
    <t>1-6660</t>
  </si>
  <si>
    <t>WRJC267175006D-R470AK</t>
  </si>
  <si>
    <t>1-6729</t>
  </si>
  <si>
    <t>WRJC059043004D-R980AK</t>
  </si>
  <si>
    <t>1-6748</t>
  </si>
  <si>
    <t>WRJC095062006D-R470BK</t>
  </si>
  <si>
    <t>1-6767</t>
  </si>
  <si>
    <t>WRJC197181005D-R470AK</t>
  </si>
  <si>
    <t>1-679</t>
  </si>
  <si>
    <t>WRJA601576012D-R470BK</t>
  </si>
  <si>
    <t>WRJC124100007Q-R540AK</t>
  </si>
  <si>
    <t>1-6985</t>
  </si>
  <si>
    <t>WRJC095073010D-R570AK</t>
  </si>
  <si>
    <t>1-6990</t>
  </si>
  <si>
    <t>WRJC075030012D-R490AK</t>
  </si>
  <si>
    <t>WRJA203158009D-R480AK</t>
  </si>
  <si>
    <t>1-703</t>
  </si>
  <si>
    <t>WRJA153127009D-R480AK</t>
  </si>
  <si>
    <t>1-7034</t>
  </si>
  <si>
    <t>WRJC231075004D-R475AK</t>
  </si>
  <si>
    <t>1-7042</t>
  </si>
  <si>
    <t>WRJC113093012D-R490AK</t>
  </si>
  <si>
    <t>1-7066</t>
  </si>
  <si>
    <t>WRJC053020012D-R980AK</t>
  </si>
  <si>
    <t>1-7089</t>
  </si>
  <si>
    <t>WRJC038029004D-R460CK</t>
  </si>
  <si>
    <t>WRJA519502012D-R470BK</t>
  </si>
  <si>
    <t>1-715</t>
  </si>
  <si>
    <t>WRJC085033012D-R470BK</t>
  </si>
  <si>
    <t>WRJC187143012D-R570AK</t>
  </si>
  <si>
    <t>1-7192</t>
  </si>
  <si>
    <t>WRJA209166012D-R465BK</t>
  </si>
  <si>
    <t>1-7199</t>
  </si>
  <si>
    <t>WRJA188147009D-R465BK</t>
  </si>
  <si>
    <t>1-726</t>
  </si>
  <si>
    <t>WRJC153087005D-R463AK</t>
  </si>
  <si>
    <t>1-7261</t>
  </si>
  <si>
    <t>WRJC097072009D-R465BK</t>
  </si>
  <si>
    <t>1-728</t>
  </si>
  <si>
    <t>WRJC193178006D-R850AK</t>
  </si>
  <si>
    <t>1-7286</t>
  </si>
  <si>
    <t>WRJC100063012D-R970AK</t>
  </si>
  <si>
    <t>1-7318</t>
  </si>
  <si>
    <t>WRJC193173009D-R870AK</t>
  </si>
  <si>
    <t>1-7319</t>
  </si>
  <si>
    <t>WRJC152132009D-R870AK</t>
  </si>
  <si>
    <t>1-7320</t>
  </si>
  <si>
    <t>WRJC166128012D-R465BK</t>
  </si>
  <si>
    <t>1-7349</t>
  </si>
  <si>
    <t>WRJC169046006D-R550BK</t>
  </si>
  <si>
    <t>1-7350</t>
  </si>
  <si>
    <t>WRJA281219012D-R465BK</t>
  </si>
  <si>
    <t>1-7357</t>
  </si>
  <si>
    <t>WRJC128097009D-R465BK</t>
  </si>
  <si>
    <t>1-7372</t>
  </si>
  <si>
    <t>WRJC140125003D-R540AK</t>
  </si>
  <si>
    <t>1-7414</t>
  </si>
  <si>
    <t>WRJC095083006D-R460CK</t>
  </si>
  <si>
    <t>1-7433</t>
  </si>
  <si>
    <t>WRJA375331003D-R870AK</t>
  </si>
  <si>
    <t>1-7441</t>
  </si>
  <si>
    <t>WRJC123112007D-R460CK</t>
  </si>
  <si>
    <t>1-7443</t>
  </si>
  <si>
    <t>WRJA262198004D-R460AK</t>
  </si>
  <si>
    <t>1-7461</t>
  </si>
  <si>
    <t>WRJC106068009D-R580AK</t>
  </si>
  <si>
    <t>1-7481</t>
  </si>
  <si>
    <t>WRJC067054006D-R480AK</t>
  </si>
  <si>
    <t>1-749</t>
  </si>
  <si>
    <t>WRJA250093012D-R450BK</t>
  </si>
  <si>
    <t>1-7500</t>
  </si>
  <si>
    <t>WRJC045031012D-R470AK</t>
  </si>
  <si>
    <t>1-758</t>
  </si>
  <si>
    <t>WRJC081067004D-R470BK</t>
  </si>
  <si>
    <t>1-7602</t>
  </si>
  <si>
    <t>WRJC062044012D-R460CK</t>
  </si>
  <si>
    <t>1-761</t>
  </si>
  <si>
    <t>WRJA228192006D-R490AK</t>
  </si>
  <si>
    <t>1-7610</t>
  </si>
  <si>
    <t>WRJC056038007D-R460CK</t>
  </si>
  <si>
    <t>1-7684</t>
  </si>
  <si>
    <t>WRJC050024012D-R470AK</t>
  </si>
  <si>
    <t>1-7765</t>
  </si>
  <si>
    <t>WRJA208116004D-R470DK</t>
  </si>
  <si>
    <t>1-78</t>
  </si>
  <si>
    <t>WRJC054037007D-R470BK</t>
  </si>
  <si>
    <t>1-7847</t>
  </si>
  <si>
    <t>WRJC037024006D-R480AK</t>
  </si>
  <si>
    <t>WRJA337312012D-R550BK</t>
  </si>
  <si>
    <t>1-791</t>
  </si>
  <si>
    <t>WRJC093081009D-R470BK</t>
  </si>
  <si>
    <t>1-7935</t>
  </si>
  <si>
    <t>WRJC208076004Q-R470HK</t>
  </si>
  <si>
    <t>1-7968</t>
  </si>
  <si>
    <t>WRJC082062012D-R460AK</t>
  </si>
  <si>
    <t>1-8005</t>
  </si>
  <si>
    <t>WRJA342323009D-R460AK</t>
  </si>
  <si>
    <t>1-8014</t>
  </si>
  <si>
    <t>WRJA181076006Q-R470HK</t>
  </si>
  <si>
    <t>1-804</t>
  </si>
  <si>
    <t>WRJC092082003D-R470AK</t>
  </si>
  <si>
    <t>1-8043</t>
  </si>
  <si>
    <t>WRJC208166009D-R460CK</t>
  </si>
  <si>
    <t>WRJA402384009D-R490AK</t>
  </si>
  <si>
    <t>WRJC155118007D-R450CK</t>
  </si>
  <si>
    <t>1-8076</t>
  </si>
  <si>
    <t>WRJC150106009D-R850AK</t>
  </si>
  <si>
    <t>WRJC200076003Q-R465AK</t>
  </si>
  <si>
    <t>1-8166</t>
  </si>
  <si>
    <t>WRJC112059006D-R560AR</t>
  </si>
  <si>
    <t>1-8216</t>
  </si>
  <si>
    <t>WRJA250235007D-R470JK</t>
  </si>
  <si>
    <t>1-8221</t>
  </si>
  <si>
    <t>WRJC075045009D-R450AK</t>
  </si>
  <si>
    <t>WRJC075057006D-R980BK</t>
  </si>
  <si>
    <t>1-8329</t>
  </si>
  <si>
    <t>WRJC092074007D-R760AK</t>
  </si>
  <si>
    <t>1-8332</t>
  </si>
  <si>
    <t>WRJC080063007D-R760AK</t>
  </si>
  <si>
    <t>1-8350</t>
  </si>
  <si>
    <t>WRJC121066009K-R870AK</t>
  </si>
  <si>
    <t>1-8351</t>
  </si>
  <si>
    <t>WRJC121054009K-R870AK</t>
  </si>
  <si>
    <t>WRJC121042009D-R870AK</t>
  </si>
  <si>
    <t>1-8383</t>
  </si>
  <si>
    <t>WRJA554526009D-R470AK</t>
  </si>
  <si>
    <t>1-8391</t>
  </si>
  <si>
    <t>WRJC075059003D-R490AK</t>
  </si>
  <si>
    <t>WRJA321283009D-R470BK</t>
  </si>
  <si>
    <t>1-8422</t>
  </si>
  <si>
    <t>WRJC098051005D-R550BK</t>
  </si>
  <si>
    <t>1-8496</t>
  </si>
  <si>
    <t>WRJC125091006D-R485AK</t>
  </si>
  <si>
    <t>1-8498</t>
  </si>
  <si>
    <t>WRJC106029011D-R463AK</t>
  </si>
  <si>
    <t>1-8578</t>
  </si>
  <si>
    <t>WRJC078061004D-R970AK</t>
  </si>
  <si>
    <t>1-8585</t>
  </si>
  <si>
    <t>WRJA256236009D-R470BK</t>
  </si>
  <si>
    <t>WRJC157082004Q-R463AK</t>
  </si>
  <si>
    <t>1-861</t>
  </si>
  <si>
    <t>WRJC025011009D-R465BK</t>
  </si>
  <si>
    <t>1-863</t>
  </si>
  <si>
    <t>WRJC106026003D-R480CK</t>
  </si>
  <si>
    <t>1-8643</t>
  </si>
  <si>
    <t>WRJC100063013D-R470BK</t>
  </si>
  <si>
    <t>1-867</t>
  </si>
  <si>
    <t>WRJA269175006Q-R455AK</t>
  </si>
  <si>
    <t>1-8678</t>
  </si>
  <si>
    <t>WRJA180137012D-R580AK</t>
  </si>
  <si>
    <t>1-8695</t>
  </si>
  <si>
    <t>WRJA200140003D-R540AK</t>
  </si>
  <si>
    <t>1-8712</t>
  </si>
  <si>
    <t>WRJC106071009D-R470BK</t>
  </si>
  <si>
    <t>1-8722</t>
  </si>
  <si>
    <t>WRJA225112005Q-R463AK</t>
  </si>
  <si>
    <t>1-8727</t>
  </si>
  <si>
    <t>WRJC112047006D-R560AR</t>
  </si>
  <si>
    <t>1-8741</t>
  </si>
  <si>
    <t>WRJC062037006D-R980BK</t>
  </si>
  <si>
    <t>1-8766</t>
  </si>
  <si>
    <t>WRJC100065012D-R580AK</t>
  </si>
  <si>
    <t>1-8800</t>
  </si>
  <si>
    <t>WRJC068038010D-R463AK</t>
  </si>
  <si>
    <t>1-8818</t>
  </si>
  <si>
    <t>WRJC107029011D-R463AK</t>
  </si>
  <si>
    <t>1-8828</t>
  </si>
  <si>
    <t>WRJA319222012D-R465BK</t>
  </si>
  <si>
    <t>1-8836</t>
  </si>
  <si>
    <t>WRJC056045011D-R470AK</t>
  </si>
  <si>
    <t>1-8838</t>
  </si>
  <si>
    <t>WRJC095083011D-R470AK</t>
  </si>
  <si>
    <t>1-8839</t>
  </si>
  <si>
    <t>WRJC100020012D-R475AK</t>
  </si>
  <si>
    <t>1-8840</t>
  </si>
  <si>
    <t>WRJC175150012D-R475AK</t>
  </si>
  <si>
    <t>1-8841</t>
  </si>
  <si>
    <t>WRJC200025012D-R475AK</t>
  </si>
  <si>
    <t>WRJC100076009D-R475AK</t>
  </si>
  <si>
    <t>1-8845</t>
  </si>
  <si>
    <t>WRJC137025012D-R475AK</t>
  </si>
  <si>
    <t>1-8894</t>
  </si>
  <si>
    <t>WRJC064037012D-R590AK</t>
  </si>
  <si>
    <t>WRJC050031004D-R470FK</t>
  </si>
  <si>
    <t>1-8903</t>
  </si>
  <si>
    <t>WRJA213153003Q-R470DK</t>
  </si>
  <si>
    <t>1-8911</t>
  </si>
  <si>
    <t>WRJC080070004D-R470BK</t>
  </si>
  <si>
    <t>1-8926</t>
  </si>
  <si>
    <t>WRJC056036009D-R970DK</t>
  </si>
  <si>
    <t>1-8930</t>
  </si>
  <si>
    <t>WRJC150131012D-R870AK</t>
  </si>
  <si>
    <t>1-8936</t>
  </si>
  <si>
    <t>WRJC065043004D-R570AK</t>
  </si>
  <si>
    <t>1-8953</t>
  </si>
  <si>
    <t>WRJA287212012D-R470BK</t>
  </si>
  <si>
    <t>1-8961</t>
  </si>
  <si>
    <t>WRJC112093012D-R870AK</t>
  </si>
  <si>
    <t>1-8977</t>
  </si>
  <si>
    <t>WRJC132102007K-R463AK</t>
  </si>
  <si>
    <t>1-9024</t>
  </si>
  <si>
    <t>WRJC193025025D-R490AK</t>
  </si>
  <si>
    <t>1-9045</t>
  </si>
  <si>
    <t>WRJC138093005D-R955AK</t>
  </si>
  <si>
    <t>1-9083</t>
  </si>
  <si>
    <t>WRJC100073002D-R560AR</t>
  </si>
  <si>
    <t>1-9089</t>
  </si>
  <si>
    <t>WRJC027021006D-R980AK</t>
  </si>
  <si>
    <t>1-9103</t>
  </si>
  <si>
    <t>WRJC214165012D-R465BK</t>
  </si>
  <si>
    <t>1-9107</t>
  </si>
  <si>
    <t>WRJA224211006D-R470AK</t>
  </si>
  <si>
    <t>WRJC043030006D-R470JK</t>
  </si>
  <si>
    <t>1-9114</t>
  </si>
  <si>
    <t>WRJC062048006D-R470JK</t>
  </si>
  <si>
    <t>1-9175</t>
  </si>
  <si>
    <t>WRJA214196003D-R460AK</t>
  </si>
  <si>
    <t>WRJA318294012D-R970BK</t>
  </si>
  <si>
    <t>1-9179</t>
  </si>
  <si>
    <t>WRJA299275012D-R970BK</t>
  </si>
  <si>
    <t>WRJA334310012D-R970BK</t>
  </si>
  <si>
    <t>1-9182</t>
  </si>
  <si>
    <t>WRJE236212012D-R970BK</t>
  </si>
  <si>
    <t>WRJE236217012D-R970BK</t>
  </si>
  <si>
    <t>1-9219</t>
  </si>
  <si>
    <t>WRJA221102004D-R870AK</t>
  </si>
  <si>
    <t>1-9220</t>
  </si>
  <si>
    <t>WRJC030017018D-R470DK</t>
  </si>
  <si>
    <t>1-9226</t>
  </si>
  <si>
    <t>WRJC099078009D-R475AK</t>
  </si>
  <si>
    <t>1-9241</t>
  </si>
  <si>
    <t>WRJC028015006D-R475AK</t>
  </si>
  <si>
    <t>1-9262</t>
  </si>
  <si>
    <t>WRJC142101007D-R470BK</t>
  </si>
  <si>
    <t>1-9284</t>
  </si>
  <si>
    <t>WRJC131098012D-R465BK</t>
  </si>
  <si>
    <t>WRJE237217012D-R970BK</t>
  </si>
  <si>
    <t>WRJC170157008D-R175AK</t>
  </si>
  <si>
    <t>1-9298</t>
  </si>
  <si>
    <t>WRJA256200012D-R470BK</t>
  </si>
  <si>
    <t>1-9301</t>
  </si>
  <si>
    <t>WRJE211187012D-R970BK</t>
  </si>
  <si>
    <t>1-9330</t>
  </si>
  <si>
    <t>WRJC050036007D-R470AK</t>
  </si>
  <si>
    <t>1-9331</t>
  </si>
  <si>
    <t>WRJA368348010D-R470AK</t>
  </si>
  <si>
    <t>WRJA393373009D-R470AK</t>
  </si>
  <si>
    <t>WRJE237213012D-R970BK</t>
  </si>
  <si>
    <t>1-9352</t>
  </si>
  <si>
    <t>WRJC181145005D-R970AK</t>
  </si>
  <si>
    <t>1-9356</t>
  </si>
  <si>
    <t>WRJC081071003D-R470BK</t>
  </si>
  <si>
    <t>1-9388</t>
  </si>
  <si>
    <t>WRJC033020007D-R970AK</t>
  </si>
  <si>
    <t>WRJE225202012D-R970BK</t>
  </si>
  <si>
    <t>1-9417</t>
  </si>
  <si>
    <t>WRJE183160012D-R970BK</t>
  </si>
  <si>
    <t>1-9423</t>
  </si>
  <si>
    <t>WRJA209190008D-R550BK</t>
  </si>
  <si>
    <t>1-9442</t>
  </si>
  <si>
    <t>WRJC109087006D-R965AN</t>
  </si>
  <si>
    <t>1-9478</t>
  </si>
  <si>
    <t>WRJC045034004D-R970AK</t>
  </si>
  <si>
    <t>1-9515</t>
  </si>
  <si>
    <t>WRJC075055006D-R470AK</t>
  </si>
  <si>
    <t>1-9535</t>
  </si>
  <si>
    <t>WRJC027016004D-R970DK</t>
  </si>
  <si>
    <t>1-9536</t>
  </si>
  <si>
    <t>WRJC140101008D-R560AR</t>
  </si>
  <si>
    <t>1-955</t>
  </si>
  <si>
    <t>WRJC061018013K-R470GK</t>
  </si>
  <si>
    <t>1-9559</t>
  </si>
  <si>
    <t>WRJC071040009D-R960AK</t>
  </si>
  <si>
    <t>WRJA334315009D-R470BK</t>
  </si>
  <si>
    <t>1-9564</t>
  </si>
  <si>
    <t>WRJE255231012D-R970BK</t>
  </si>
  <si>
    <t>1-9566</t>
  </si>
  <si>
    <t>WRJC104092006D-R470AK</t>
  </si>
  <si>
    <t>1-9580</t>
  </si>
  <si>
    <t>WRJC112020012D-R490AK</t>
  </si>
  <si>
    <t>1-9581</t>
  </si>
  <si>
    <t>WRJA197187005D-R980BK</t>
  </si>
  <si>
    <t>1-9583</t>
  </si>
  <si>
    <t>WRJC065053006D-R475AK</t>
  </si>
  <si>
    <t>1-9585</t>
  </si>
  <si>
    <t>WRJC086049006K-R460EK</t>
  </si>
  <si>
    <t>1-9597</t>
  </si>
  <si>
    <t>WRJE213189012D-R970BK</t>
  </si>
  <si>
    <t>1-9598</t>
  </si>
  <si>
    <t>WRJE192168012D-R970BK</t>
  </si>
  <si>
    <t>1-9599</t>
  </si>
  <si>
    <t>WRJE214191012D-R970BK</t>
  </si>
  <si>
    <t>1-9603</t>
  </si>
  <si>
    <t>WRJE262239012D-R970BK</t>
  </si>
  <si>
    <t>1-9604</t>
  </si>
  <si>
    <t>WRJC109088007D-R470AK</t>
  </si>
  <si>
    <t>1-9610</t>
  </si>
  <si>
    <t>WRJE175151012D-R970BK</t>
  </si>
  <si>
    <t>WRJA339315012D-R970BK</t>
  </si>
  <si>
    <t>WRJE194171012D-R970BK</t>
  </si>
  <si>
    <t>WRJC113099012Q-R960AK</t>
  </si>
  <si>
    <t>WRJA196157003Q-R470DK</t>
  </si>
  <si>
    <t>WRJE263238012D-R970BK</t>
  </si>
  <si>
    <t>1-9626</t>
  </si>
  <si>
    <t>WRJC050024006D-R460EK</t>
  </si>
  <si>
    <t>1-9643</t>
  </si>
  <si>
    <t>WRJA252236012D-R470AK</t>
  </si>
  <si>
    <t>1-9651</t>
  </si>
  <si>
    <t>WRJE190166012D-R970BK</t>
  </si>
  <si>
    <t>1-966</t>
  </si>
  <si>
    <t>WRJA450318012D-R860AK</t>
  </si>
  <si>
    <t>1-9662</t>
  </si>
  <si>
    <t>WRJC087055009D-R560AR</t>
  </si>
  <si>
    <t>1-9675</t>
  </si>
  <si>
    <t>WRJC084074007D-R460CK</t>
  </si>
  <si>
    <t>1-9677</t>
  </si>
  <si>
    <t>WRJC200179007D-R450AK</t>
  </si>
  <si>
    <t>WRJC106097012D-R460EK</t>
  </si>
  <si>
    <t>1-9681</t>
  </si>
  <si>
    <t>WRJE193168012D-R970BK</t>
  </si>
  <si>
    <t>WRJE173148012D-R970BK</t>
  </si>
  <si>
    <t>1-9697</t>
  </si>
  <si>
    <t>WRJC112088008D-R760AK</t>
  </si>
  <si>
    <t>WRJC064047007D-R970BK</t>
  </si>
  <si>
    <t>1-9702</t>
  </si>
  <si>
    <t>WRJE162138012D-R970BK</t>
  </si>
  <si>
    <t>1-9706</t>
  </si>
  <si>
    <t>WRJE142119012D-R970BK</t>
  </si>
  <si>
    <t>1-9710</t>
  </si>
  <si>
    <t>WRJA281215006D-R460EK</t>
  </si>
  <si>
    <t>WRJA269198006Q-R460EK</t>
  </si>
  <si>
    <t>1-9712</t>
  </si>
  <si>
    <t>WRJC088044006D-R460CK</t>
  </si>
  <si>
    <t>1-9713</t>
  </si>
  <si>
    <t>WRJC032012006D-R560AR</t>
  </si>
  <si>
    <t>1-9716</t>
  </si>
  <si>
    <t>WRJE229204012D-R970BK</t>
  </si>
  <si>
    <t>WRJE193170012D-R970BK</t>
  </si>
  <si>
    <t>1-9723</t>
  </si>
  <si>
    <t>WRJC183126006Q-R463AK</t>
  </si>
  <si>
    <t>1-9730</t>
  </si>
  <si>
    <t>WRJE174150012D-R970BK</t>
  </si>
  <si>
    <t>1-9738</t>
  </si>
  <si>
    <t>WRJE146122011D-R970BK</t>
  </si>
  <si>
    <t>1-975</t>
  </si>
  <si>
    <t>WRJC142101010D-R470BK</t>
  </si>
  <si>
    <t>1-9750</t>
  </si>
  <si>
    <t>WRJC047031008D-R460EK</t>
  </si>
  <si>
    <t>WRJC095083011D-R470BK</t>
  </si>
  <si>
    <t>WRJC055044011D-R470BK</t>
  </si>
  <si>
    <t>WRJC055044007D-R470BK</t>
  </si>
  <si>
    <t>1-9764</t>
  </si>
  <si>
    <t>WRJC094080007D-R970AK</t>
  </si>
  <si>
    <t>1-9765</t>
  </si>
  <si>
    <t>WRJA214195004D-R460AK</t>
  </si>
  <si>
    <t>1-9772</t>
  </si>
  <si>
    <t>WRJC055028007D-R570AK</t>
  </si>
  <si>
    <t>1-9776</t>
  </si>
  <si>
    <t>WRJC079055006D-R463AK</t>
  </si>
  <si>
    <t>1-9778</t>
  </si>
  <si>
    <t>WRJA219190012D-R580AK</t>
  </si>
  <si>
    <t>WRJA423405009D-R460BK</t>
  </si>
  <si>
    <t>WRJC056020012D-R570AK</t>
  </si>
  <si>
    <t>1-9796</t>
  </si>
  <si>
    <t>WRJA212162012D-R860AK</t>
  </si>
  <si>
    <t>1-9798</t>
  </si>
  <si>
    <t>WRJC031018009D-R480CK</t>
  </si>
  <si>
    <t>1-9799</t>
  </si>
  <si>
    <t>WRJC103084010K-R160AK</t>
  </si>
  <si>
    <t>1-9802</t>
  </si>
  <si>
    <t>WRJC035022010D-R450AK</t>
  </si>
  <si>
    <t>1-9807</t>
  </si>
  <si>
    <t>WRJC110077006D-R970DK</t>
  </si>
  <si>
    <t>1-9811</t>
  </si>
  <si>
    <t>WRJA223193003D-R550BK</t>
  </si>
  <si>
    <t>WRJA265234006D-R463AK</t>
  </si>
  <si>
    <t>1-9814</t>
  </si>
  <si>
    <t>WRJA246217006D-R560AR</t>
  </si>
  <si>
    <t>1-9819</t>
  </si>
  <si>
    <t>WRJC104094012D-R960AK</t>
  </si>
  <si>
    <t>1-9821</t>
  </si>
  <si>
    <t>WRJA463415009D-R540AK</t>
  </si>
  <si>
    <t>1-9827</t>
  </si>
  <si>
    <t>WRJC069037007D-R470BK</t>
  </si>
  <si>
    <t>1-9835</t>
  </si>
  <si>
    <t>WRJC067040009D-R460EK</t>
  </si>
  <si>
    <t>1-9837</t>
  </si>
  <si>
    <t>WRJA250175012D-R540AK</t>
  </si>
  <si>
    <t>1-9838</t>
  </si>
  <si>
    <t>WRJC087037012D-R540AK</t>
  </si>
  <si>
    <t>1-9864</t>
  </si>
  <si>
    <t>WRJA343323009D-R470BK</t>
  </si>
  <si>
    <t>1-9865</t>
  </si>
  <si>
    <t>WRJC074035012D-R970DK</t>
  </si>
  <si>
    <t>1-9866</t>
  </si>
  <si>
    <t>WRJC050018006D-R970DK</t>
  </si>
  <si>
    <t>1-9870</t>
  </si>
  <si>
    <t>WRJC043032006D-R470BK</t>
  </si>
  <si>
    <t>1-9894</t>
  </si>
  <si>
    <t>WRJC102044007D-R950AK</t>
  </si>
  <si>
    <t>1-9898</t>
  </si>
  <si>
    <t>WRJC074051003D-R470BK</t>
  </si>
  <si>
    <t>1-9908</t>
  </si>
  <si>
    <t>WRJC086061012D-R460EK</t>
  </si>
  <si>
    <t>WRJC077039006D-R980AK</t>
  </si>
  <si>
    <t>1-9944</t>
  </si>
  <si>
    <t>WRJC103084010D-R460AK</t>
  </si>
  <si>
    <t>1-9946</t>
  </si>
  <si>
    <t>WRJC087030012D-R490BK</t>
  </si>
  <si>
    <t>1-9967</t>
  </si>
  <si>
    <t>WRJC037024006D-R470BK</t>
  </si>
  <si>
    <t>WRJA443423010D-R470BK</t>
  </si>
  <si>
    <t>1-9969</t>
  </si>
  <si>
    <t>WRJA286273006D-R470BK</t>
  </si>
  <si>
    <t>WRJA398386007D-R470BK</t>
  </si>
  <si>
    <t>1-9975</t>
  </si>
  <si>
    <t>WRJA233203003D-R850AK</t>
  </si>
  <si>
    <t>1-9983</t>
  </si>
  <si>
    <t>WRJA438418010D-R490AK</t>
  </si>
  <si>
    <t>1-9985</t>
  </si>
  <si>
    <t>WRJA374361006D-R470BK</t>
  </si>
  <si>
    <t>1-9986</t>
  </si>
  <si>
    <t>WRJA503484010D-R470BK</t>
  </si>
  <si>
    <t>1-9987</t>
  </si>
  <si>
    <t>WRJA326318006D-R460AK</t>
  </si>
  <si>
    <t>WRJA487473006D-R470BK</t>
  </si>
  <si>
    <t>1-9994</t>
  </si>
  <si>
    <t>WRJC110061012D-R955AK</t>
  </si>
  <si>
    <t>WRJE232209012D-R970BK</t>
  </si>
  <si>
    <t>1-9997</t>
  </si>
  <si>
    <t>WRJC103084010K-R560AR</t>
  </si>
  <si>
    <t>20002</t>
  </si>
  <si>
    <t>WPOT074068007D-PGX15W</t>
  </si>
  <si>
    <t>20004</t>
  </si>
  <si>
    <t>WFFH205149030D-PXX00W</t>
  </si>
  <si>
    <t>20005</t>
  </si>
  <si>
    <t>WPSM110087005D-PXX00W</t>
  </si>
  <si>
    <t>20006</t>
  </si>
  <si>
    <t>WSNC133108004B-PXX00W</t>
  </si>
  <si>
    <t>20010</t>
  </si>
  <si>
    <t>WPSM082077014Q-PGX15W</t>
  </si>
  <si>
    <t>WPBR162161009Q-TGX15W</t>
  </si>
  <si>
    <t>20020</t>
  </si>
  <si>
    <t>WSSL156106025D-PXX00W</t>
  </si>
  <si>
    <t>20023</t>
  </si>
  <si>
    <t>WSNC355337024Q-PGX15W</t>
  </si>
  <si>
    <t>20027</t>
  </si>
  <si>
    <t>WFFB162105023D-PXX00W</t>
  </si>
  <si>
    <t>20028</t>
  </si>
  <si>
    <t>WFFB162128026D-PXX00W</t>
  </si>
  <si>
    <t>20078</t>
  </si>
  <si>
    <t>WSNC366206031D-PXX00W</t>
  </si>
  <si>
    <t>20080</t>
  </si>
  <si>
    <t>WSNC262200025D-PXX00W</t>
  </si>
  <si>
    <t>20085</t>
  </si>
  <si>
    <t>WFFB124068029D-PGX15W</t>
  </si>
  <si>
    <t>WPBR180179009Q-TGX15W</t>
  </si>
  <si>
    <t>20115</t>
  </si>
  <si>
    <t>WSMP348251018Q-PGX25K</t>
  </si>
  <si>
    <t>WPBR092091009Q-TGX15W</t>
  </si>
  <si>
    <t>WPBR188186009Q-TGX15W</t>
  </si>
  <si>
    <t>WPBR141139009Q-TGX15W</t>
  </si>
  <si>
    <t>WPBR094092009Q-TGX15W</t>
  </si>
  <si>
    <t>WPBR150149009Q-TGX15W</t>
  </si>
  <si>
    <t>WPOT162156018Q-PXX00W</t>
  </si>
  <si>
    <t>20131</t>
  </si>
  <si>
    <t>WSNC280150031D-PXX00W</t>
  </si>
  <si>
    <t>WPBR137136009Q-TGX15W</t>
  </si>
  <si>
    <t>WPBR169168009Q-TGX15W</t>
  </si>
  <si>
    <t>WPSM278266009Q-PGX15W</t>
  </si>
  <si>
    <t>WSLD481453018Q-PGX15W</t>
  </si>
  <si>
    <t>WPSM235223009Q-PGX15W</t>
  </si>
  <si>
    <t>WPBR158157009Q-TGX15W</t>
  </si>
  <si>
    <t>20150</t>
  </si>
  <si>
    <t>WSNC500462012D-PGX25W</t>
  </si>
  <si>
    <t>20157</t>
  </si>
  <si>
    <t>WFFB042000031D-PGX25W</t>
  </si>
  <si>
    <t>WSLD537494018Q-PGX15W</t>
  </si>
  <si>
    <t>20169</t>
  </si>
  <si>
    <t>WSLD575547018B-PGX15W</t>
  </si>
  <si>
    <t>WPBR129128009Q-TGX15W</t>
  </si>
  <si>
    <t>WSLD550522018Q-PGX15W</t>
  </si>
  <si>
    <t>WSLD850799018Q-PGX15W</t>
  </si>
  <si>
    <t>WSLD675632018Q-PGX15W</t>
  </si>
  <si>
    <t>WPBR136135009Q-TGX15W</t>
  </si>
  <si>
    <t>WPBR143142009Q-TGX15W</t>
  </si>
  <si>
    <t>WSLD750709018Q-PGX15W</t>
  </si>
  <si>
    <t>20185</t>
  </si>
  <si>
    <t>WSNC114085016Q-PXX00W</t>
  </si>
  <si>
    <t>WSMP950893018Q-PGX15W</t>
  </si>
  <si>
    <t>20191</t>
  </si>
  <si>
    <t>WSLD675647018Q-PGX15W</t>
  </si>
  <si>
    <t>20192</t>
  </si>
  <si>
    <t>WSNC402379024D-PGM15K</t>
  </si>
  <si>
    <t>20193</t>
  </si>
  <si>
    <t>WSNC374309027Q-PGX15W</t>
  </si>
  <si>
    <t>WPSM200188009D-PGX15W</t>
  </si>
  <si>
    <t>20230</t>
  </si>
  <si>
    <t>WSNC687674018D-PXX00W</t>
  </si>
  <si>
    <t>20231</t>
  </si>
  <si>
    <t>WPSM381358014Q-PGX15W</t>
  </si>
  <si>
    <t>WSNC112090011S-PXX00W</t>
  </si>
  <si>
    <t>20239</t>
  </si>
  <si>
    <t>WSNC273162031D-PXX00W</t>
  </si>
  <si>
    <t>WPBR121120090Q-TGX15W</t>
  </si>
  <si>
    <t>WPBR069068009Q-TGX15W</t>
  </si>
  <si>
    <t>WPBR121120009Q-TGX15W</t>
  </si>
  <si>
    <t>20282</t>
  </si>
  <si>
    <t>WSNC829800036D-PGM15K</t>
  </si>
  <si>
    <t>20284</t>
  </si>
  <si>
    <t>WSLD402379024Q-PGX25K</t>
  </si>
  <si>
    <t>WPBR111110009Q-TGX15W</t>
  </si>
  <si>
    <t>20330</t>
  </si>
  <si>
    <t>WPSM150125009Q-PGX15W</t>
  </si>
  <si>
    <t>WSLD326310024Q-PGX25K</t>
  </si>
  <si>
    <t>20360</t>
  </si>
  <si>
    <t>WPSM099036002D-PNX15W</t>
  </si>
  <si>
    <t>20361</t>
  </si>
  <si>
    <t>WPSM247195002D-PNX15W</t>
  </si>
  <si>
    <t>20363</t>
  </si>
  <si>
    <t>WSNC117098012Z-PXX00W</t>
  </si>
  <si>
    <t>WFFB150102016D-PXX00W</t>
  </si>
  <si>
    <t>20369</t>
  </si>
  <si>
    <t>WSNC552529036D-PGM15K</t>
  </si>
  <si>
    <t>WFFH200150018D-PXX00W</t>
  </si>
  <si>
    <t>20374</t>
  </si>
  <si>
    <t>WSNC452429024D-PGX25K</t>
  </si>
  <si>
    <t>20375</t>
  </si>
  <si>
    <t>WSNC703674036D-PGM15K</t>
  </si>
  <si>
    <t>WSLD850799018B-PGX15W</t>
  </si>
  <si>
    <t>20377</t>
  </si>
  <si>
    <t>WSLD750709018B-PGX15W</t>
  </si>
  <si>
    <t>20380</t>
  </si>
  <si>
    <t>WSLD675647018D-PGX15W</t>
  </si>
  <si>
    <t>20386</t>
  </si>
  <si>
    <t>WPSM068021002D-PNX15W</t>
  </si>
  <si>
    <t>20389</t>
  </si>
  <si>
    <t>WSSL080051021D-PXX00W</t>
  </si>
  <si>
    <t>20390</t>
  </si>
  <si>
    <t>WSSL087056024D-PXX00W</t>
  </si>
  <si>
    <t>20391</t>
  </si>
  <si>
    <t>WPSM099075005D-PXX00W</t>
  </si>
  <si>
    <t>20393</t>
  </si>
  <si>
    <t>WSNC217155024D-PXX00W</t>
  </si>
  <si>
    <t>20394</t>
  </si>
  <si>
    <t>WSNC261192024D-PXX00W</t>
  </si>
  <si>
    <t>20399</t>
  </si>
  <si>
    <t>WSSL143100024D-PXX00W</t>
  </si>
  <si>
    <t>WFFH255205023D-PXX00W</t>
  </si>
  <si>
    <t>WPSM063047008Q-PGX15W</t>
  </si>
  <si>
    <t>20402</t>
  </si>
  <si>
    <t>WPSM075059004Q-PGX15W</t>
  </si>
  <si>
    <t>20407</t>
  </si>
  <si>
    <t>WPSM099075006Q-PGX15W</t>
  </si>
  <si>
    <t>WPSA062050003D-PGX15W</t>
  </si>
  <si>
    <t>WFFL080057028D-PGX15W</t>
  </si>
  <si>
    <t>WFFB105075031D-PGX15W</t>
  </si>
  <si>
    <t>20413</t>
  </si>
  <si>
    <t>WPSM063054006Q-PGX15W</t>
  </si>
  <si>
    <t>20420</t>
  </si>
  <si>
    <t>WFFB055026008D-PXX00W</t>
  </si>
  <si>
    <t>WPSM496470011D-PNX15W</t>
  </si>
  <si>
    <t>20425</t>
  </si>
  <si>
    <t>WPOT139120009D-PGX15W</t>
  </si>
  <si>
    <t>20428</t>
  </si>
  <si>
    <t>WSSL193135025D-PXX00W</t>
  </si>
  <si>
    <t>20432</t>
  </si>
  <si>
    <t>WPSM075063006Q-PGX15W</t>
  </si>
  <si>
    <t>20434</t>
  </si>
  <si>
    <t>WPSM062050006D-PXX00W</t>
  </si>
  <si>
    <t>20440</t>
  </si>
  <si>
    <t>WSMPE215PXXR45</t>
  </si>
  <si>
    <t>20442</t>
  </si>
  <si>
    <t>WSMPE215PXXR16</t>
  </si>
  <si>
    <t>20443</t>
  </si>
  <si>
    <t>WSMPE221PXXR45</t>
  </si>
  <si>
    <t>20444</t>
  </si>
  <si>
    <t>WSMPE221PXXR16</t>
  </si>
  <si>
    <t>20445</t>
  </si>
  <si>
    <t>WSSLE226PXXR45</t>
  </si>
  <si>
    <t>20446</t>
  </si>
  <si>
    <t>WSSLE226PXXR55</t>
  </si>
  <si>
    <t>20447</t>
  </si>
  <si>
    <t>WSNCE226PXXR16</t>
  </si>
  <si>
    <t>20448</t>
  </si>
  <si>
    <t>WPSM197172009D-PGX15W</t>
  </si>
  <si>
    <t>20458</t>
  </si>
  <si>
    <t>WSMPE237PXX055</t>
  </si>
  <si>
    <t>20459</t>
  </si>
  <si>
    <t>WSMPE237PXXR45</t>
  </si>
  <si>
    <t>20461</t>
  </si>
  <si>
    <t>WSNC350320008S-PZM55N</t>
  </si>
  <si>
    <t>20465</t>
  </si>
  <si>
    <t>WPFS237212089D-PXX00W</t>
  </si>
  <si>
    <t>20485</t>
  </si>
  <si>
    <t>WSNC050012000Q-PXX00W</t>
  </si>
  <si>
    <t>20491</t>
  </si>
  <si>
    <t>WPFS148120131D-PXX00W</t>
  </si>
  <si>
    <t>20492</t>
  </si>
  <si>
    <t>WSNCE221PXXR55</t>
  </si>
  <si>
    <t>20496</t>
  </si>
  <si>
    <t>WPSM183164009D-PGX15Y</t>
  </si>
  <si>
    <t>20501</t>
  </si>
  <si>
    <t>WPFS103076114D-PXX00W</t>
  </si>
  <si>
    <t>20502</t>
  </si>
  <si>
    <t>WPFS087067125D-PXX00W</t>
  </si>
  <si>
    <t>20504</t>
  </si>
  <si>
    <t>WSNC343274056D-PXX00W</t>
  </si>
  <si>
    <t>20505</t>
  </si>
  <si>
    <t>WSNC112077104D-PXX00W</t>
  </si>
  <si>
    <t>WPFS135116150D-PXX00W</t>
  </si>
  <si>
    <t>20514</t>
  </si>
  <si>
    <t>WPFS104084106D-PXX00W</t>
  </si>
  <si>
    <t>WPOT099075006D-PXX00W</t>
  </si>
  <si>
    <t>WPSA075057006D-PGX15W</t>
  </si>
  <si>
    <t>WPSA075057006D-PXX00W</t>
  </si>
  <si>
    <t>20536</t>
  </si>
  <si>
    <t>WPFS099079128D-PXX00W</t>
  </si>
  <si>
    <t>20537</t>
  </si>
  <si>
    <t>WSNC175156100D-PXX00W</t>
  </si>
  <si>
    <t>20543</t>
  </si>
  <si>
    <t>WSOT088078009D-PXX00W</t>
  </si>
  <si>
    <t>20544</t>
  </si>
  <si>
    <t>WSNC024000008D-DA025N</t>
  </si>
  <si>
    <t>20562</t>
  </si>
  <si>
    <t>WFFL075059065D-PXX00W</t>
  </si>
  <si>
    <t>20570</t>
  </si>
  <si>
    <t>WSNC218162025D-PXX00W</t>
  </si>
  <si>
    <t>20581</t>
  </si>
  <si>
    <t>WSLD401382034D-PGM15K</t>
  </si>
  <si>
    <t>20582</t>
  </si>
  <si>
    <t>WSNC451432034D-PGM15K</t>
  </si>
  <si>
    <t>20583</t>
  </si>
  <si>
    <t>WSLD501476043D-PGM15K</t>
  </si>
  <si>
    <t>20584</t>
  </si>
  <si>
    <t>WPFS088069100D-PXX00W</t>
  </si>
  <si>
    <t>20585</t>
  </si>
  <si>
    <t>WSNC091072104D-PXX00W</t>
  </si>
  <si>
    <t>WPSA075062006D-PXX00W</t>
  </si>
  <si>
    <t>20587</t>
  </si>
  <si>
    <t>WSSL103068015D-PXX00W</t>
  </si>
  <si>
    <t>20588</t>
  </si>
  <si>
    <t>WSSL371300025D-PXX00W</t>
  </si>
  <si>
    <t>20589</t>
  </si>
  <si>
    <t>WPOT111100008D-PXX00W</t>
  </si>
  <si>
    <t>20590</t>
  </si>
  <si>
    <t>WPFS097084126D-PXX00W</t>
  </si>
  <si>
    <t>WSMP032028033D-BP05BX</t>
  </si>
  <si>
    <t>20618</t>
  </si>
  <si>
    <t>WSNC487400025D-PXX00W</t>
  </si>
  <si>
    <t>20622</t>
  </si>
  <si>
    <t>WFFB034018015D-PXX00W</t>
  </si>
  <si>
    <t>20654</t>
  </si>
  <si>
    <t>WSNC156085025D-PXX00W</t>
  </si>
  <si>
    <t>20656</t>
  </si>
  <si>
    <t>WPOT056047001D-PXX00W</t>
  </si>
  <si>
    <t>20660</t>
  </si>
  <si>
    <t>WPSA054038005Q-PXX00W</t>
  </si>
  <si>
    <t>20661</t>
  </si>
  <si>
    <t>WPSM095078007Q-PGX15W</t>
  </si>
  <si>
    <t>WFFL080038018Q-PGX20A</t>
  </si>
  <si>
    <t>20681</t>
  </si>
  <si>
    <t>WSNC200180006S-PGX15W</t>
  </si>
  <si>
    <t>20682</t>
  </si>
  <si>
    <t>WSNC263243007S-PGX15B</t>
  </si>
  <si>
    <t>WSNC068021012D-PXX00W</t>
  </si>
  <si>
    <t>WSNC093025012D-PXX00W</t>
  </si>
  <si>
    <t>WSNC123025012D-PXX00W</t>
  </si>
  <si>
    <t>WSNC150031018D-PXX00W</t>
  </si>
  <si>
    <t>WSNC175050018D-PXX00W</t>
  </si>
  <si>
    <t>WSNC228051025D-PXX00W</t>
  </si>
  <si>
    <t>20703</t>
  </si>
  <si>
    <t>WFFL075050014D-PGX15W</t>
  </si>
  <si>
    <t>20704</t>
  </si>
  <si>
    <t>WFFL100068015D-PGX15W</t>
  </si>
  <si>
    <t>WFFB125088016D-PGX15W</t>
  </si>
  <si>
    <t>WFFL044031015D-PXX00W</t>
  </si>
  <si>
    <t>20709</t>
  </si>
  <si>
    <t>WFFL056039021D-PXX00W</t>
  </si>
  <si>
    <t>WPSA051039005Q-PXX00W</t>
  </si>
  <si>
    <t>20711</t>
  </si>
  <si>
    <t>WSNC502479036D-PGM15K</t>
  </si>
  <si>
    <t>20719</t>
  </si>
  <si>
    <t>WPBR195194009Q-TGX15W</t>
  </si>
  <si>
    <t>WFFL062037012D-PGX15W</t>
  </si>
  <si>
    <t>20729</t>
  </si>
  <si>
    <t>WFFB149087032D-PGX20A</t>
  </si>
  <si>
    <t>WFFB150106019D-PGX15W</t>
  </si>
  <si>
    <t>20733</t>
  </si>
  <si>
    <t>WFFB175132019D-PGX15W</t>
  </si>
  <si>
    <t>WFFH213157022D-PGX15W</t>
  </si>
  <si>
    <t>WPSA075060002D-PGX25W</t>
  </si>
  <si>
    <t>WFFL080059023D-PXX00W</t>
  </si>
  <si>
    <t>20744</t>
  </si>
  <si>
    <t>WSNC929000036D-PGM15K</t>
  </si>
  <si>
    <t>20748</t>
  </si>
  <si>
    <t>WFFH244194027D-PXX00W</t>
  </si>
  <si>
    <t>WPST050043001D-PXX00W</t>
  </si>
  <si>
    <t>20751</t>
  </si>
  <si>
    <t>WFFL063047021D-PGX20A</t>
  </si>
  <si>
    <t>20754</t>
  </si>
  <si>
    <t>WPSM043018003D-PXX00W</t>
  </si>
  <si>
    <t>20755</t>
  </si>
  <si>
    <t>WPSM051039005D-PXX00W</t>
  </si>
  <si>
    <t>WPSA050036010D-PGX20A</t>
  </si>
  <si>
    <t>20764</t>
  </si>
  <si>
    <t>WPSM302278018D-PGM15K</t>
  </si>
  <si>
    <t>WPSA063050006Q-PXX00W</t>
  </si>
  <si>
    <t>WFFB114079015D-PXX00W</t>
  </si>
  <si>
    <t>20776</t>
  </si>
  <si>
    <t>WFFB133098015D-PXX00W</t>
  </si>
  <si>
    <t>WPST043038001Q-PGX15W</t>
  </si>
  <si>
    <t>WPST056046009Q-PGX15W</t>
  </si>
  <si>
    <t>20789</t>
  </si>
  <si>
    <t>WFFB093050018D-PXX00W</t>
  </si>
  <si>
    <t>20790</t>
  </si>
  <si>
    <t>WFFL105075031D-PXX00W</t>
  </si>
  <si>
    <t>20791</t>
  </si>
  <si>
    <t>WPOS057040020S-PXX00W</t>
  </si>
  <si>
    <t>20792</t>
  </si>
  <si>
    <t>WSNC027012004D-PGX15W</t>
  </si>
  <si>
    <t>20796</t>
  </si>
  <si>
    <t>WPSM142106006D-PGX15W</t>
  </si>
  <si>
    <t>20797</t>
  </si>
  <si>
    <t>WPSM112087006D-PGX15W</t>
  </si>
  <si>
    <t>WPSM134110008Q-PXX00W</t>
  </si>
  <si>
    <t>20802</t>
  </si>
  <si>
    <t>WFFL080057028D-PXX00W</t>
  </si>
  <si>
    <t>WPBR106105009Q-TGX15W</t>
  </si>
  <si>
    <t>WPBR113112009Q-TGX15W</t>
  </si>
  <si>
    <t>20811</t>
  </si>
  <si>
    <t>WSNCE210PGXR47</t>
  </si>
  <si>
    <t>WPOS031021050S-PGX15W</t>
  </si>
  <si>
    <t>20813</t>
  </si>
  <si>
    <t>WFFL080037013D-PCG10K</t>
  </si>
  <si>
    <t>20814</t>
  </si>
  <si>
    <t>WFFL054033025D-PXX00W</t>
  </si>
  <si>
    <t>20815</t>
  </si>
  <si>
    <t>WFFB050031015D-PXX00W</t>
  </si>
  <si>
    <t>20818</t>
  </si>
  <si>
    <t>WSNC728699036D-PGX25K</t>
  </si>
  <si>
    <t>20821</t>
  </si>
  <si>
    <t>WPSM075057010D-PGX15W</t>
  </si>
  <si>
    <t>20822</t>
  </si>
  <si>
    <t>WPSA043031008D-GGX15B</t>
  </si>
  <si>
    <t>20825</t>
  </si>
  <si>
    <t>WSNC063044008D-PGX20W</t>
  </si>
  <si>
    <t>20829</t>
  </si>
  <si>
    <t>WSNC087067002D-PGX25W</t>
  </si>
  <si>
    <t>20830</t>
  </si>
  <si>
    <t>WFFB086066032D-PXX00W</t>
  </si>
  <si>
    <t>20831</t>
  </si>
  <si>
    <t>WFFL282229027D-PGX15W</t>
  </si>
  <si>
    <t>20832</t>
  </si>
  <si>
    <t>WFFH330269028D-PGX15W</t>
  </si>
  <si>
    <t>WPBR118117009Q-TGX15W</t>
  </si>
  <si>
    <t>WSMP566538018Q-PGX15W</t>
  </si>
  <si>
    <t>WPOT226203018Q-PGX25K</t>
  </si>
  <si>
    <t>WPOT326303017Q-PGX25K</t>
  </si>
  <si>
    <t>WPBR079078009Q-TGX15W</t>
  </si>
  <si>
    <t>WPBR141139090Q-TGX15W</t>
  </si>
  <si>
    <t>WPBR081080009Q-TGX15W</t>
  </si>
  <si>
    <t>20840</t>
  </si>
  <si>
    <t>WFFL055038021D-PXX00W</t>
  </si>
  <si>
    <t>20841</t>
  </si>
  <si>
    <t>WFFL043030015D-PXX00W</t>
  </si>
  <si>
    <t>WPST040031004D-PGX25W</t>
  </si>
  <si>
    <t>WPSA054039004D-PGX25W</t>
  </si>
  <si>
    <t>WFFB068042026D-PXX00W</t>
  </si>
  <si>
    <t>WFFB068031026D-PXX00W</t>
  </si>
  <si>
    <t>WPSM309297009Q-PGX15W</t>
  </si>
  <si>
    <t>WSMP031024200D-BP03AN</t>
  </si>
  <si>
    <t>20853</t>
  </si>
  <si>
    <t>WPSA051039006Q-PXX00W</t>
  </si>
  <si>
    <t>20854</t>
  </si>
  <si>
    <t>WFFB113068018D-PGX15W</t>
  </si>
  <si>
    <t>20857</t>
  </si>
  <si>
    <t>WPOT223211010D-PGX15W</t>
  </si>
  <si>
    <t>20860</t>
  </si>
  <si>
    <t>WSNC376353018D-PGM15K</t>
  </si>
  <si>
    <t>20861</t>
  </si>
  <si>
    <t>WSNC251227018D-PGM15K</t>
  </si>
  <si>
    <t>20865</t>
  </si>
  <si>
    <t>WPSM100075008D-PGX15W</t>
  </si>
  <si>
    <t>20868</t>
  </si>
  <si>
    <t>WSNC248214007S-PGM15K</t>
  </si>
  <si>
    <t>20871</t>
  </si>
  <si>
    <t>WPSM633595007D-PGX15W</t>
  </si>
  <si>
    <t>20873</t>
  </si>
  <si>
    <t>WSNC552534004D-PGX15W</t>
  </si>
  <si>
    <t>20874</t>
  </si>
  <si>
    <t>WPOT152128011D-PGM15K</t>
  </si>
  <si>
    <t>20878</t>
  </si>
  <si>
    <t>WSNC427404024D-PGM15K</t>
  </si>
  <si>
    <t>20885</t>
  </si>
  <si>
    <t>WPSM057038012D-PGX15W</t>
  </si>
  <si>
    <t>20886</t>
  </si>
  <si>
    <t>WPFS097072089D-PXX00W</t>
  </si>
  <si>
    <t>20890</t>
  </si>
  <si>
    <t>WPFS172102162D-PXX00W</t>
  </si>
  <si>
    <t>WFFL093053014D-PCG10K</t>
  </si>
  <si>
    <t>WFFB116069023D-PCG10K</t>
  </si>
  <si>
    <t>20896</t>
  </si>
  <si>
    <t>WFFM154090023D-PGC10K</t>
  </si>
  <si>
    <t>WFFL044031014Q-PGX15W</t>
  </si>
  <si>
    <t>WFFL080050018D-PGX15W</t>
  </si>
  <si>
    <t>20901</t>
  </si>
  <si>
    <t>WFFL093050018D-PGC10K</t>
  </si>
  <si>
    <t>WFFH213125034D-PCG10K</t>
  </si>
  <si>
    <t>WFFH250149031D-PGC10K</t>
  </si>
  <si>
    <t>20906</t>
  </si>
  <si>
    <t>WFFL044031018D-PCX20K</t>
  </si>
  <si>
    <t>20907</t>
  </si>
  <si>
    <t>WFFL057038024D-PCX20K</t>
  </si>
  <si>
    <t>WFFL080050023D-PCX20K</t>
  </si>
  <si>
    <t>20909</t>
  </si>
  <si>
    <t>WFFH395310029D-PXX00W</t>
  </si>
  <si>
    <t>WPSM093075004D-MXX00W</t>
  </si>
  <si>
    <t>20911</t>
  </si>
  <si>
    <t>WSNC392317034D-PXX00W</t>
  </si>
  <si>
    <t>20914</t>
  </si>
  <si>
    <t>WPSA050038019D-PGX15W</t>
  </si>
  <si>
    <t>20915</t>
  </si>
  <si>
    <t>WSNC056040012Q-PGX15W</t>
  </si>
  <si>
    <t>20916</t>
  </si>
  <si>
    <t>WSNC068046019Q-PGX15W</t>
  </si>
  <si>
    <t>20917</t>
  </si>
  <si>
    <t>WSNC079057027Q-PGX15W</t>
  </si>
  <si>
    <t>20918</t>
  </si>
  <si>
    <t>WSSL216153026D-PCG10K</t>
  </si>
  <si>
    <t>20919</t>
  </si>
  <si>
    <t>WPST043038003Q-PGX15W</t>
  </si>
  <si>
    <t>WSST037031003Q-PXX00W</t>
  </si>
  <si>
    <t>WPSA044031007D-PGX15W</t>
  </si>
  <si>
    <t>20924</t>
  </si>
  <si>
    <t>WFFL057038016D-PXX00W</t>
  </si>
  <si>
    <t>20925</t>
  </si>
  <si>
    <t>WSNC528504036D-PGM15K</t>
  </si>
  <si>
    <t>20926</t>
  </si>
  <si>
    <t>WSNC232209009D-PXX00W</t>
  </si>
  <si>
    <t>20931</t>
  </si>
  <si>
    <t>WSNC043031001D-DV100N</t>
  </si>
  <si>
    <t>20935</t>
  </si>
  <si>
    <t>WPOT235223009D-PGX15W</t>
  </si>
  <si>
    <t>20936</t>
  </si>
  <si>
    <t>WPSM278266009D-PGX15W</t>
  </si>
  <si>
    <t>WPSM309297009D-PGX15W</t>
  </si>
  <si>
    <t>20939</t>
  </si>
  <si>
    <t>WPBR076075009Q-TGX15W</t>
  </si>
  <si>
    <t>WPBR128127009Q-TGX15W</t>
  </si>
  <si>
    <t>WPBR130129009Q-TGX15W</t>
  </si>
  <si>
    <t>20949</t>
  </si>
  <si>
    <t>WPBR146144009Q-TGX15W</t>
  </si>
  <si>
    <t>20954</t>
  </si>
  <si>
    <t>WPBR119118090Q-TGX15W</t>
  </si>
  <si>
    <t>20955</t>
  </si>
  <si>
    <t>WFFH250149031D-PXX00W</t>
  </si>
  <si>
    <t>20960</t>
  </si>
  <si>
    <t>WSLD675632018B-PGX15W</t>
  </si>
  <si>
    <t>20961</t>
  </si>
  <si>
    <t>WFFM062033009D-PXX00W</t>
  </si>
  <si>
    <t>20962</t>
  </si>
  <si>
    <t>WFFL080050018D-PXX00W</t>
  </si>
  <si>
    <t>20964</t>
  </si>
  <si>
    <t>WSNC328259037D-PCG10K</t>
  </si>
  <si>
    <t>20965</t>
  </si>
  <si>
    <t>WSNC212125032D-DV225N</t>
  </si>
  <si>
    <t>20966</t>
  </si>
  <si>
    <t>WFFB129075022D-PNX25G</t>
  </si>
  <si>
    <t>20967</t>
  </si>
  <si>
    <t>WFFL172099028D-PNX25G</t>
  </si>
  <si>
    <t>20968</t>
  </si>
  <si>
    <t>WFFL154090023O-PNX25G</t>
  </si>
  <si>
    <t>20970</t>
  </si>
  <si>
    <t>WFFH213125034D-PXX00W</t>
  </si>
  <si>
    <t>20971</t>
  </si>
  <si>
    <t>WFFB080037013D-PXX00W</t>
  </si>
  <si>
    <t>20972</t>
  </si>
  <si>
    <t>WFFH173099028D-PXX00W</t>
  </si>
  <si>
    <t>20973</t>
  </si>
  <si>
    <t>WSNC093050015D-DV100N</t>
  </si>
  <si>
    <t>20974</t>
  </si>
  <si>
    <t>WSNC082074010S-PXX00W</t>
  </si>
  <si>
    <t>WFFL086051016Q-PGX20A</t>
  </si>
  <si>
    <t>20977</t>
  </si>
  <si>
    <t>WSNC044031007D-PXX00W</t>
  </si>
  <si>
    <t>20978</t>
  </si>
  <si>
    <t>WFFH093053014D-PXX00W</t>
  </si>
  <si>
    <t>WFFH154090023D-PXX00W</t>
  </si>
  <si>
    <t>20981</t>
  </si>
  <si>
    <t>WSNC201178018D-PGM15K</t>
  </si>
  <si>
    <t>20983</t>
  </si>
  <si>
    <t>WSLD537494018B-PGX15W</t>
  </si>
  <si>
    <t>20984</t>
  </si>
  <si>
    <t>WSNC043031004D-PXX00W</t>
  </si>
  <si>
    <t>WSNC118092012D-PXX00W</t>
  </si>
  <si>
    <t>20986</t>
  </si>
  <si>
    <t>WFFB093050018D-PNX25G</t>
  </si>
  <si>
    <t>20989</t>
  </si>
  <si>
    <t>WSNC336299007D-PGX15W</t>
  </si>
  <si>
    <t>20992</t>
  </si>
  <si>
    <t>WPOS336302007S-PGM15K</t>
  </si>
  <si>
    <t>20994</t>
  </si>
  <si>
    <t>WFFH213125047D-PNX25G</t>
  </si>
  <si>
    <t>20995</t>
  </si>
  <si>
    <t>WFFH116069023D-PNX25G</t>
  </si>
  <si>
    <t>WFFH310254023D-PXX00W</t>
  </si>
  <si>
    <t>WFFB150102014D-PXX00W</t>
  </si>
  <si>
    <t>WFFB120076016D-PXX00W</t>
  </si>
  <si>
    <t>21000</t>
  </si>
  <si>
    <t>WFFH200150016D-PXX00W</t>
  </si>
  <si>
    <t>WFFH255205023A-PXX00W</t>
  </si>
  <si>
    <t>21018</t>
  </si>
  <si>
    <t>WFFM044031016D-PCX20K</t>
  </si>
  <si>
    <t>21019</t>
  </si>
  <si>
    <t>WFFB105075011D-PCX20K</t>
  </si>
  <si>
    <t>WFFL105075015D-PCX20K</t>
  </si>
  <si>
    <t>21021</t>
  </si>
  <si>
    <t>WFFL080057010D-PCX20K</t>
  </si>
  <si>
    <t>WFFL080057013D-PCX20K</t>
  </si>
  <si>
    <t>WPSA068051004D-PXX00W</t>
  </si>
  <si>
    <t>WPSA075056004D-PXX00W</t>
  </si>
  <si>
    <t>WPSM125100004D-PXX00W</t>
  </si>
  <si>
    <t>21026</t>
  </si>
  <si>
    <t>WFFM051025013D-PXX00W</t>
  </si>
  <si>
    <t>21027</t>
  </si>
  <si>
    <t>WSNC215153026D-PNX25G</t>
  </si>
  <si>
    <t>21028</t>
  </si>
  <si>
    <t>WPSA075061006Q-PGX15W</t>
  </si>
  <si>
    <t>WSMP436402007S-PGM15K</t>
  </si>
  <si>
    <t>21032</t>
  </si>
  <si>
    <t>WFFH250149031D-PNX25G</t>
  </si>
  <si>
    <t>21034</t>
  </si>
  <si>
    <t>WFFM090063012D-PGC10K</t>
  </si>
  <si>
    <t>21035</t>
  </si>
  <si>
    <t>WFFM090063012D-PXX00W</t>
  </si>
  <si>
    <t>WFFL076052009D-PCG10K</t>
  </si>
  <si>
    <t>WFFL076052009D-PXX00W</t>
  </si>
  <si>
    <t>21039</t>
  </si>
  <si>
    <t>WFFM075052009D-PNX25G</t>
  </si>
  <si>
    <t>WFFL130075022D-PCG10K</t>
  </si>
  <si>
    <t>21043</t>
  </si>
  <si>
    <t>WSSL216153026D-PXX00W</t>
  </si>
  <si>
    <t>21047</t>
  </si>
  <si>
    <t>WFFL093053014D-PNX25G</t>
  </si>
  <si>
    <t>21048</t>
  </si>
  <si>
    <t>WSNC085063020D-DX100N</t>
  </si>
  <si>
    <t>2-1048</t>
  </si>
  <si>
    <t>WRJC096080013D-R470CK</t>
  </si>
  <si>
    <t>21052</t>
  </si>
  <si>
    <t>WFFH080037013D-PNX25G</t>
  </si>
  <si>
    <t>21054</t>
  </si>
  <si>
    <t>WSNC173099022D-PXX00W</t>
  </si>
  <si>
    <t>21057</t>
  </si>
  <si>
    <t>WFFM059024028D-PGX20W</t>
  </si>
  <si>
    <t>21058</t>
  </si>
  <si>
    <t>WSNC172100026D-DV175N</t>
  </si>
  <si>
    <t>2-1059</t>
  </si>
  <si>
    <t>WRJC150075024D-R560AR</t>
  </si>
  <si>
    <t>WSMP097050002L-AXX00K</t>
  </si>
  <si>
    <t>21066</t>
  </si>
  <si>
    <t>WSNC128084018D-PCG10K</t>
  </si>
  <si>
    <t>WSMP128084018D-PXX00W</t>
  </si>
  <si>
    <t>21092</t>
  </si>
  <si>
    <t>WFFM066037009D-PGC10K</t>
  </si>
  <si>
    <t>WPST037031003Q-PGX15W</t>
  </si>
  <si>
    <t>21097</t>
  </si>
  <si>
    <t>WFFM050019012D-PXX00W</t>
  </si>
  <si>
    <t>21098</t>
  </si>
  <si>
    <t>WFFB053019012D-PXX00W</t>
  </si>
  <si>
    <t>21099</t>
  </si>
  <si>
    <t>WFFL056019012D-PXX00W</t>
  </si>
  <si>
    <t>21100</t>
  </si>
  <si>
    <t>WFFB053019025D-PXX00W</t>
  </si>
  <si>
    <t>21102</t>
  </si>
  <si>
    <t>WFFM056019023D-PXX00W</t>
  </si>
  <si>
    <t>21103</t>
  </si>
  <si>
    <t>WFFL059019025D-PXX00W</t>
  </si>
  <si>
    <t>21104</t>
  </si>
  <si>
    <t>WFFM062019020D-PXX00W</t>
  </si>
  <si>
    <t>21105</t>
  </si>
  <si>
    <t>WSNC143103018D-PCG10K</t>
  </si>
  <si>
    <t>21107</t>
  </si>
  <si>
    <t>WSNC092081009D-PXX00W</t>
  </si>
  <si>
    <t>21109</t>
  </si>
  <si>
    <t>WSMP328259036D-PNX25G</t>
  </si>
  <si>
    <t>21110</t>
  </si>
  <si>
    <t>WSNC328259038D-MXX00W</t>
  </si>
  <si>
    <t>21111</t>
  </si>
  <si>
    <t>WSMP950893018B-PGX15W</t>
  </si>
  <si>
    <t>21112</t>
  </si>
  <si>
    <t>WSNC323285011D-PXX00W</t>
  </si>
  <si>
    <t>21115</t>
  </si>
  <si>
    <t>WPSM235223009D-PGX15W</t>
  </si>
  <si>
    <t>21117</t>
  </si>
  <si>
    <t>WSNC200120100D-PXX00W</t>
  </si>
  <si>
    <t>21119</t>
  </si>
  <si>
    <t>WFFM173117020D-PXX00W</t>
  </si>
  <si>
    <t>21120</t>
  </si>
  <si>
    <t>WFFM173117031D-PXX00W</t>
  </si>
  <si>
    <t>21122</t>
  </si>
  <si>
    <t>WSNC351328018D-PGM15K</t>
  </si>
  <si>
    <t>21123</t>
  </si>
  <si>
    <t>WPSM327303018D-PGX25K</t>
  </si>
  <si>
    <t>21125</t>
  </si>
  <si>
    <t>WSNC615596031S-GCX25K</t>
  </si>
  <si>
    <t>2-1125</t>
  </si>
  <si>
    <t>WRJC115071012D-R870AK</t>
  </si>
  <si>
    <t>21126</t>
  </si>
  <si>
    <t>WSNC242222031S-GCX25K</t>
  </si>
  <si>
    <t>WSOT379361027D-PGM15K</t>
  </si>
  <si>
    <t>21129</t>
  </si>
  <si>
    <t>WSNC477000024D-PGM15K</t>
  </si>
  <si>
    <t>21130</t>
  </si>
  <si>
    <t>WSNC854825036D-PGM15K</t>
  </si>
  <si>
    <t>21131</t>
  </si>
  <si>
    <t>WFFM056037018D-PXX00W</t>
  </si>
  <si>
    <t>21135</t>
  </si>
  <si>
    <t>WSNC327279015S-PXX00W</t>
  </si>
  <si>
    <t>21148</t>
  </si>
  <si>
    <t>WSNC200137113D-PXX00W</t>
  </si>
  <si>
    <t>2-1149</t>
  </si>
  <si>
    <t>WRJC100080013D-R470GK</t>
  </si>
  <si>
    <t>21152</t>
  </si>
  <si>
    <t>WSNC112074010D-MXX00W</t>
  </si>
  <si>
    <t>21153</t>
  </si>
  <si>
    <t>WSNC176118014D-MXX00W</t>
  </si>
  <si>
    <t>21154</t>
  </si>
  <si>
    <t>WSNC203138014D-MXX00W</t>
  </si>
  <si>
    <t>21155</t>
  </si>
  <si>
    <t>WSNC219157015D-MXX00W</t>
  </si>
  <si>
    <t>21159</t>
  </si>
  <si>
    <t>WSLD568525018B-PGX15W</t>
  </si>
  <si>
    <t>21160</t>
  </si>
  <si>
    <t>WSNC642614031S-GCX25K</t>
  </si>
  <si>
    <t>WFFB111068016D-PGX25A</t>
  </si>
  <si>
    <t>WFFB137087016D-PGX20A</t>
  </si>
  <si>
    <t>21172</t>
  </si>
  <si>
    <t>WSNC642618031S-GCX25K</t>
  </si>
  <si>
    <t>21174</t>
  </si>
  <si>
    <t>WFFM175138026D-MXX00W</t>
  </si>
  <si>
    <t>WSNC142100031D-MXX00W</t>
  </si>
  <si>
    <t>21176</t>
  </si>
  <si>
    <t>WFFM102072026D-MXX00W</t>
  </si>
  <si>
    <t>21177</t>
  </si>
  <si>
    <t>WFFL081057018D-MXX00W</t>
  </si>
  <si>
    <t>21178</t>
  </si>
  <si>
    <t>WSNC392317034D-MXX00W</t>
  </si>
  <si>
    <t>21179</t>
  </si>
  <si>
    <t>WSNC548463040D-MXX00W</t>
  </si>
  <si>
    <t>21180</t>
  </si>
  <si>
    <t>WSNC510432050D-MXX00W</t>
  </si>
  <si>
    <t>21181</t>
  </si>
  <si>
    <t>WSNC739628060D-MXX00W</t>
  </si>
  <si>
    <t>21182</t>
  </si>
  <si>
    <t>WFFM261213031D-MXX00W</t>
  </si>
  <si>
    <t>21183</t>
  </si>
  <si>
    <t>WFFM151114022D-MXX00W</t>
  </si>
  <si>
    <t>21184</t>
  </si>
  <si>
    <t>WSNC115084025D-MXX00W</t>
  </si>
  <si>
    <t>2-1184</t>
  </si>
  <si>
    <t>WRJC070037013D-R460AK</t>
  </si>
  <si>
    <t>21185</t>
  </si>
  <si>
    <t>WSNC086059018D-MXX00W</t>
  </si>
  <si>
    <t>21189</t>
  </si>
  <si>
    <t>WFFB147090025D-MXX00W</t>
  </si>
  <si>
    <t>21191</t>
  </si>
  <si>
    <t>WSNC778749036D-PGM15K</t>
  </si>
  <si>
    <t>2-1191</t>
  </si>
  <si>
    <t>WRJA467416014D-R475AK</t>
  </si>
  <si>
    <t>21193</t>
  </si>
  <si>
    <t>WFFL068031008D-PXX00W</t>
  </si>
  <si>
    <t>2-1195</t>
  </si>
  <si>
    <t>WRJC201181016D-R465BK</t>
  </si>
  <si>
    <t>21197</t>
  </si>
  <si>
    <t>WFFM066037009D-PXX00W</t>
  </si>
  <si>
    <t>21198</t>
  </si>
  <si>
    <t>WSNC739628060D-PNX25G</t>
  </si>
  <si>
    <t>21202</t>
  </si>
  <si>
    <t>WSNC160082009Q-PGM15K</t>
  </si>
  <si>
    <t>21203</t>
  </si>
  <si>
    <t>WSNC099075006D-DK100N</t>
  </si>
  <si>
    <t>21204</t>
  </si>
  <si>
    <t>WPSM315295004D-PXX00W</t>
  </si>
  <si>
    <t>21206</t>
  </si>
  <si>
    <t>WSNC032015011D-PXX00W</t>
  </si>
  <si>
    <t>21207</t>
  </si>
  <si>
    <t>WPSS083058012B-MXX00W</t>
  </si>
  <si>
    <t>21208</t>
  </si>
  <si>
    <t>WPSS131106012B-MXX00W</t>
  </si>
  <si>
    <t>21209</t>
  </si>
  <si>
    <t>WPSS172147012B-MXX00W</t>
  </si>
  <si>
    <t>21210</t>
  </si>
  <si>
    <t>WPSM103080006D-PXX00W</t>
  </si>
  <si>
    <t>21212</t>
  </si>
  <si>
    <t>WPSM112105007D-PGX15W</t>
  </si>
  <si>
    <t>21213</t>
  </si>
  <si>
    <t>WPSM084078007D-PGX15W</t>
  </si>
  <si>
    <t>21221</t>
  </si>
  <si>
    <t>WFFM145106021D-PXX00W</t>
  </si>
  <si>
    <t>21222</t>
  </si>
  <si>
    <t>WFFB287213040D-PXX00W</t>
  </si>
  <si>
    <t>21223</t>
  </si>
  <si>
    <t>WSNC069061006D-PXX00W</t>
  </si>
  <si>
    <t>2-1223</t>
  </si>
  <si>
    <t>WRJA268188025D-R240AK</t>
  </si>
  <si>
    <t>21224</t>
  </si>
  <si>
    <t>WPOT064057012D-PXX00W</t>
  </si>
  <si>
    <t>21226</t>
  </si>
  <si>
    <t>WPSM187148010D-PXX00W</t>
  </si>
  <si>
    <t>21227</t>
  </si>
  <si>
    <t>WSNC115006036D-PGX15W</t>
  </si>
  <si>
    <t>WFFB142078015D-PXX00W</t>
  </si>
  <si>
    <t>21231</t>
  </si>
  <si>
    <t>WSLD854814036D-PZM55N</t>
  </si>
  <si>
    <t>21232</t>
  </si>
  <si>
    <t>WPSM187172007D-PXX00W</t>
  </si>
  <si>
    <t>21235</t>
  </si>
  <si>
    <t>WFFH337075005D-PMX25B</t>
  </si>
  <si>
    <t>21236</t>
  </si>
  <si>
    <t>WPSM075040003Q-PXX00W</t>
  </si>
  <si>
    <t>21246</t>
  </si>
  <si>
    <t>WSNC201173031S-GCX25K</t>
  </si>
  <si>
    <t>21247</t>
  </si>
  <si>
    <t>WSNC425404031B-GCX25K</t>
  </si>
  <si>
    <t>21248</t>
  </si>
  <si>
    <t>WSNC182157031S-GCX25K</t>
  </si>
  <si>
    <t>21249</t>
  </si>
  <si>
    <t>WSNC200163025O-MXX00W</t>
  </si>
  <si>
    <t>21251</t>
  </si>
  <si>
    <t>WSNC236093050D-MXX00W</t>
  </si>
  <si>
    <t>21254</t>
  </si>
  <si>
    <t>WSNC618337050D-MXX00W</t>
  </si>
  <si>
    <t>WPOT132104013D-PXX00W</t>
  </si>
  <si>
    <t>21257</t>
  </si>
  <si>
    <t>WFFB080037020D-PGX15W</t>
  </si>
  <si>
    <t>WSNC225150023D-PXX00W</t>
  </si>
  <si>
    <t>21261</t>
  </si>
  <si>
    <t>WFFB117069023D-MXX00W</t>
  </si>
  <si>
    <t>21262</t>
  </si>
  <si>
    <t>WFFL099064022D-PXX00W</t>
  </si>
  <si>
    <t>21263</t>
  </si>
  <si>
    <t>WFFL098062032D-PXX00W</t>
  </si>
  <si>
    <t>21264</t>
  </si>
  <si>
    <t>WFFL099064032D-PXX00W</t>
  </si>
  <si>
    <t>WFFL124089022D-PXX00W</t>
  </si>
  <si>
    <t>21266</t>
  </si>
  <si>
    <t>WFFL123087032D-PXX00W</t>
  </si>
  <si>
    <t>WFFL124089032D-PXX00W</t>
  </si>
  <si>
    <t>21268</t>
  </si>
  <si>
    <t>WFFL159111026D-PXX00W</t>
  </si>
  <si>
    <t>21269</t>
  </si>
  <si>
    <t>WFFB157109040D-PXX00W</t>
  </si>
  <si>
    <t>21270</t>
  </si>
  <si>
    <t>WFFB159111040D-PXX00W</t>
  </si>
  <si>
    <t>WFFB187139026D-PXX00W</t>
  </si>
  <si>
    <t>21272</t>
  </si>
  <si>
    <t>WFFB185137040D-PXX00W</t>
  </si>
  <si>
    <t>21273</t>
  </si>
  <si>
    <t>WFFB187139040D-PXX00W</t>
  </si>
  <si>
    <t>21274</t>
  </si>
  <si>
    <t>WFFB212164026D-PXX00W</t>
  </si>
  <si>
    <t>21275</t>
  </si>
  <si>
    <t>WFFB210162040D-PXX00W</t>
  </si>
  <si>
    <t>21276</t>
  </si>
  <si>
    <t>WFFB212164040D-PXX00W</t>
  </si>
  <si>
    <t>WPSA043038003D-PXX00W</t>
  </si>
  <si>
    <t>21280</t>
  </si>
  <si>
    <t>WSNC175138025D-MXX00W</t>
  </si>
  <si>
    <t>21283</t>
  </si>
  <si>
    <t>WSNC046038003D-PXX00W</t>
  </si>
  <si>
    <t>2-1284</t>
  </si>
  <si>
    <t>WRJC056037013D-R470GK</t>
  </si>
  <si>
    <t>2-1285</t>
  </si>
  <si>
    <t>WRJC075054013D-R470GK</t>
  </si>
  <si>
    <t>21286</t>
  </si>
  <si>
    <t>WFFM058038012D-PGX15W</t>
  </si>
  <si>
    <t>2-1286</t>
  </si>
  <si>
    <t>WRJC094074012D-R470GK</t>
  </si>
  <si>
    <t>2-1287</t>
  </si>
  <si>
    <t>WRJC188168013D-R470GK</t>
  </si>
  <si>
    <t>2-1288</t>
  </si>
  <si>
    <t>WRJA237218013D-R470GK</t>
  </si>
  <si>
    <t>21290</t>
  </si>
  <si>
    <t>WSNC055047003D-PXX00W</t>
  </si>
  <si>
    <t>21291</t>
  </si>
  <si>
    <t>WSNC255150027D-PGX15W</t>
  </si>
  <si>
    <t>WPOT132126009D-PXX00W</t>
  </si>
  <si>
    <t>21294</t>
  </si>
  <si>
    <t>WSNC087061012D-PXX00W</t>
  </si>
  <si>
    <t>21298</t>
  </si>
  <si>
    <t>WFFB069047015D-PXX00W</t>
  </si>
  <si>
    <t>21300</t>
  </si>
  <si>
    <t>WFFM077050014D-PGX15W</t>
  </si>
  <si>
    <t>21301</t>
  </si>
  <si>
    <t>WFFM101068019D-PGX15W</t>
  </si>
  <si>
    <t>21302</t>
  </si>
  <si>
    <t>WFFM081059019D-PXX00W</t>
  </si>
  <si>
    <t>21303</t>
  </si>
  <si>
    <t>WFFB081059019D-PXX00W</t>
  </si>
  <si>
    <t>21304</t>
  </si>
  <si>
    <t>WPSM074059003D-PXX00W</t>
  </si>
  <si>
    <t>2-1307</t>
  </si>
  <si>
    <t>WRJA521512024D-R970DK</t>
  </si>
  <si>
    <t>21310</t>
  </si>
  <si>
    <t>WFFM125087020D-PGX15W</t>
  </si>
  <si>
    <t>21311</t>
  </si>
  <si>
    <t>WFFM176125026D-PGX15W</t>
  </si>
  <si>
    <t>2-1313</t>
  </si>
  <si>
    <t>WRJC047024016D-R870AK</t>
  </si>
  <si>
    <t>21314</t>
  </si>
  <si>
    <t>WSNC203150029D-PGX15W</t>
  </si>
  <si>
    <t>21329</t>
  </si>
  <si>
    <t>WFFM057017013D-PNX25G</t>
  </si>
  <si>
    <t>21330</t>
  </si>
  <si>
    <t>WSSL105059020D-PGX15W</t>
  </si>
  <si>
    <t>21331</t>
  </si>
  <si>
    <t>WSSL154095023D-PGX15W</t>
  </si>
  <si>
    <t>21334</t>
  </si>
  <si>
    <t>WSNC081075017D-PGX15W</t>
  </si>
  <si>
    <t>21335</t>
  </si>
  <si>
    <t>WFFM063033040D-PCX20K</t>
  </si>
  <si>
    <t>21336</t>
  </si>
  <si>
    <t>WSOR130113007B-BG15DS</t>
  </si>
  <si>
    <t>WFFL066037009D-PCG10K</t>
  </si>
  <si>
    <t>2-1337</t>
  </si>
  <si>
    <t>WRJA300266019D-R070BK</t>
  </si>
  <si>
    <t>WFFL090063012D-PCG10K</t>
  </si>
  <si>
    <t>21340</t>
  </si>
  <si>
    <t>WPSM064052010D-PXX00W</t>
  </si>
  <si>
    <t>21341</t>
  </si>
  <si>
    <t>WPFS099079100D-PXX00W</t>
  </si>
  <si>
    <t>WFFL061044035D-PXX00W</t>
  </si>
  <si>
    <t>21343</t>
  </si>
  <si>
    <t>WSNC367225040D-PGX15W</t>
  </si>
  <si>
    <t>21344</t>
  </si>
  <si>
    <t>WSNC093050028D-PGX20W</t>
  </si>
  <si>
    <t>21346</t>
  </si>
  <si>
    <t>WSMP184130025D-PNX25G</t>
  </si>
  <si>
    <t>21347</t>
  </si>
  <si>
    <t>WSLD481453018D-PGX15W</t>
  </si>
  <si>
    <t>21348</t>
  </si>
  <si>
    <t>WSMP134116008S-PGR15K</t>
  </si>
  <si>
    <t>WSMP111075031D-DK125N</t>
  </si>
  <si>
    <t>21353</t>
  </si>
  <si>
    <t>WPOT127117010D-PGX15W</t>
  </si>
  <si>
    <t>21354</t>
  </si>
  <si>
    <t>WPOT140119011D-PGX15W</t>
  </si>
  <si>
    <t>21355</t>
  </si>
  <si>
    <t>WPOT158138011D-PGX15W</t>
  </si>
  <si>
    <t>21356</t>
  </si>
  <si>
    <t>WSNC053031010D-PXX00W</t>
  </si>
  <si>
    <t>21357</t>
  </si>
  <si>
    <t>WSNC328259038D-PXX00W</t>
  </si>
  <si>
    <t>21358</t>
  </si>
  <si>
    <t>WPOT049031003D-DK050N</t>
  </si>
  <si>
    <t>21360</t>
  </si>
  <si>
    <t>WSNC274257010D-PXX00W</t>
  </si>
  <si>
    <t>21361</t>
  </si>
  <si>
    <t>WSNC140132013D-PXX00W</t>
  </si>
  <si>
    <t>21362</t>
  </si>
  <si>
    <t>WSNC107044006D-PXX00W</t>
  </si>
  <si>
    <t>21363</t>
  </si>
  <si>
    <t>WPOT046032001D-PXX00W</t>
  </si>
  <si>
    <t>2-1364</t>
  </si>
  <si>
    <t>WRJA455446024D-R970DK</t>
  </si>
  <si>
    <t>21366</t>
  </si>
  <si>
    <t>WSNC212137038D-PNX25G</t>
  </si>
  <si>
    <t>21367</t>
  </si>
  <si>
    <t>WFFB147100024D-PGX15W</t>
  </si>
  <si>
    <t>21368</t>
  </si>
  <si>
    <t>WFFB198125036D-PGX15W</t>
  </si>
  <si>
    <t>21369</t>
  </si>
  <si>
    <t>WFFH226150033D-PGX15W</t>
  </si>
  <si>
    <t>2-1371</t>
  </si>
  <si>
    <t>WRJC171093021D-R380AK</t>
  </si>
  <si>
    <t>21373</t>
  </si>
  <si>
    <t>WFFM066042014D-PNX25G</t>
  </si>
  <si>
    <t>21374</t>
  </si>
  <si>
    <t>WSNC086054020D-PNX25G</t>
  </si>
  <si>
    <t>21376</t>
  </si>
  <si>
    <t>WFFM066042014D-PGC10K</t>
  </si>
  <si>
    <t>21377</t>
  </si>
  <si>
    <t>WSNC184130025D-PGC10K</t>
  </si>
  <si>
    <t>21378</t>
  </si>
  <si>
    <t>WSNC846500050D-MXX00W</t>
  </si>
  <si>
    <t>21379</t>
  </si>
  <si>
    <t>WPOT075050003D-PXX00W</t>
  </si>
  <si>
    <t>21380</t>
  </si>
  <si>
    <t>WSNC098075009D-PXX00W</t>
  </si>
  <si>
    <t>21381</t>
  </si>
  <si>
    <t>WSNC200150175D-PXX00W</t>
  </si>
  <si>
    <t>WSSL422373037D-PXX00W</t>
  </si>
  <si>
    <t>WSMP392317034D-MXX00W</t>
  </si>
  <si>
    <t>21396</t>
  </si>
  <si>
    <t>WSNC053031012D-PXX00W</t>
  </si>
  <si>
    <t>WPFS102081115D-PXX00W</t>
  </si>
  <si>
    <t>2-1401</t>
  </si>
  <si>
    <t>WRJA300271018D-R470GK</t>
  </si>
  <si>
    <t>21404</t>
  </si>
  <si>
    <t>WSNC089054014D-DZ100N</t>
  </si>
  <si>
    <t>21407</t>
  </si>
  <si>
    <t>WSNC195150027D-PXX00W</t>
  </si>
  <si>
    <t>21411</t>
  </si>
  <si>
    <t>WSNC370053004D-TXX00W</t>
  </si>
  <si>
    <t>WSMP510432050D-MXX00W</t>
  </si>
  <si>
    <t>21416</t>
  </si>
  <si>
    <t>WFFM140100020D-PGX15W</t>
  </si>
  <si>
    <t>21418</t>
  </si>
  <si>
    <t>WFFM125087020D-PXX00W</t>
  </si>
  <si>
    <t>WSNC203150029D-PXX00W</t>
  </si>
  <si>
    <t>21420</t>
  </si>
  <si>
    <t>WSNC262200226D-DU275N</t>
  </si>
  <si>
    <t>21421</t>
  </si>
  <si>
    <t>WSNC337250031D-PGX25W</t>
  </si>
  <si>
    <t>21422</t>
  </si>
  <si>
    <t>WFFM077050014D-PXX00W</t>
  </si>
  <si>
    <t>WSMP069047031X-PXX00W</t>
  </si>
  <si>
    <t>2-1423</t>
  </si>
  <si>
    <t>WRJA352300014D-R475AK</t>
  </si>
  <si>
    <t>21425</t>
  </si>
  <si>
    <t>WFFM037015015D-PXX00W</t>
  </si>
  <si>
    <t>21426</t>
  </si>
  <si>
    <t>WSNC044031007D-PCX20K</t>
  </si>
  <si>
    <t>21427</t>
  </si>
  <si>
    <t>WFFM057038016D-PCX20K</t>
  </si>
  <si>
    <t>21428</t>
  </si>
  <si>
    <t>WPOT264251011D-PXX00W</t>
  </si>
  <si>
    <t>21429</t>
  </si>
  <si>
    <t>WPOT230214010D-PXX00W</t>
  </si>
  <si>
    <t>WSNC112074010A-MXX00W</t>
  </si>
  <si>
    <t>WSMP329259038D-MXX00W</t>
  </si>
  <si>
    <t>21434</t>
  </si>
  <si>
    <t>WSNC143100150D-PXX00W</t>
  </si>
  <si>
    <t>21437</t>
  </si>
  <si>
    <t>WFFM101068019D-PXX00W</t>
  </si>
  <si>
    <t>21441</t>
  </si>
  <si>
    <t>WSMP216153026D-PCG10K</t>
  </si>
  <si>
    <t>21442</t>
  </si>
  <si>
    <t>WSMP739628060D-MXX00W</t>
  </si>
  <si>
    <t>21443</t>
  </si>
  <si>
    <t>WPFS101081125D-PXX00W</t>
  </si>
  <si>
    <t>21448</t>
  </si>
  <si>
    <t>WSNC143103019D-PCG10K</t>
  </si>
  <si>
    <t>21449</t>
  </si>
  <si>
    <t>WFFM176125026D-PXX00W</t>
  </si>
  <si>
    <t>21450</t>
  </si>
  <si>
    <t>WSNC248170027D-PXX00W</t>
  </si>
  <si>
    <t>21451</t>
  </si>
  <si>
    <t>WFFM058038013D-PXX00W</t>
  </si>
  <si>
    <t>21452</t>
  </si>
  <si>
    <t>WSMP870758033D-PXX00W</t>
  </si>
  <si>
    <t>21457</t>
  </si>
  <si>
    <t>WSNC145100014D-PXX00W</t>
  </si>
  <si>
    <t>21458</t>
  </si>
  <si>
    <t>WSSL152103016D-PGX15W</t>
  </si>
  <si>
    <t>21459</t>
  </si>
  <si>
    <t>WSNC037016040D-PXX00W</t>
  </si>
  <si>
    <t>WSMP256150101D-PXX00W</t>
  </si>
  <si>
    <t>21461</t>
  </si>
  <si>
    <t>WSMP183103018D-PXX00W</t>
  </si>
  <si>
    <t>21462</t>
  </si>
  <si>
    <t>WSNC209050025D-PXX00W</t>
  </si>
  <si>
    <t>21464</t>
  </si>
  <si>
    <t>WFFB112075015D-PXX00W</t>
  </si>
  <si>
    <t>2-1465</t>
  </si>
  <si>
    <t>WRJC093064021D-R560AR</t>
  </si>
  <si>
    <t>21466</t>
  </si>
  <si>
    <t>WFFM108072023D-PGC10K</t>
  </si>
  <si>
    <t>21467</t>
  </si>
  <si>
    <t>WFFM108072023D-PNX25G</t>
  </si>
  <si>
    <t>21468</t>
  </si>
  <si>
    <t>WSNC510432050D-PNX25G</t>
  </si>
  <si>
    <t>21470</t>
  </si>
  <si>
    <t>WSNC093050015D-DZ100N</t>
  </si>
  <si>
    <t>21471</t>
  </si>
  <si>
    <t>WSNC111073020D-UXX00W</t>
  </si>
  <si>
    <t>21472</t>
  </si>
  <si>
    <t>WSNC086054020D-PCG10K</t>
  </si>
  <si>
    <t>21481</t>
  </si>
  <si>
    <t>WSNC147090025D-PNX25G</t>
  </si>
  <si>
    <t>21483</t>
  </si>
  <si>
    <t>WSNC201141023D-PXX00W</t>
  </si>
  <si>
    <t>WPOS099087009S-PGX25W</t>
  </si>
  <si>
    <t>21485</t>
  </si>
  <si>
    <t>WPOS079067009S-PGX25W</t>
  </si>
  <si>
    <t>21486</t>
  </si>
  <si>
    <t>WSNC043031001D-DK050N</t>
  </si>
  <si>
    <t>21488</t>
  </si>
  <si>
    <t>WSNC050038003D-DK050N</t>
  </si>
  <si>
    <t>21490</t>
  </si>
  <si>
    <t>WSNC567483033D-PXX00W</t>
  </si>
  <si>
    <t>21491</t>
  </si>
  <si>
    <t>WPOT079067004D-PXX00W</t>
  </si>
  <si>
    <t>WPOT293275006D-PXX00W</t>
  </si>
  <si>
    <t>21496</t>
  </si>
  <si>
    <t>WSMPV3MFC09PXX</t>
  </si>
  <si>
    <t>21497</t>
  </si>
  <si>
    <t>WSNC090084220D-PCR23K</t>
  </si>
  <si>
    <t>21498</t>
  </si>
  <si>
    <t>WSNC059039003D-PXX00W</t>
  </si>
  <si>
    <t>21499</t>
  </si>
  <si>
    <t>WFFB149097018D-PXX00W</t>
  </si>
  <si>
    <t>21500</t>
  </si>
  <si>
    <t>WSMP056043015D-PXX00W</t>
  </si>
  <si>
    <t>WSNC165107018D-PXX00W</t>
  </si>
  <si>
    <t>WPOT058043002D-PXX00W</t>
  </si>
  <si>
    <t>21504</t>
  </si>
  <si>
    <t>WPOT196180003D-PXX00W</t>
  </si>
  <si>
    <t>21506</t>
  </si>
  <si>
    <t>WSNC392266045D-PXX00W</t>
  </si>
  <si>
    <t>21507</t>
  </si>
  <si>
    <t>WSNC232214009D-PXX00W</t>
  </si>
  <si>
    <t>21508</t>
  </si>
  <si>
    <t>WSNC079037015D-DV100N</t>
  </si>
  <si>
    <t>21510</t>
  </si>
  <si>
    <t>WSNC632605037D-PZM55N</t>
  </si>
  <si>
    <t>21513</t>
  </si>
  <si>
    <t>WSNC116069023D-MXX00W</t>
  </si>
  <si>
    <t>21514</t>
  </si>
  <si>
    <t>WSSL154088025D-MXX00W</t>
  </si>
  <si>
    <t>21515</t>
  </si>
  <si>
    <t>WSNC213126037D-MXX00W</t>
  </si>
  <si>
    <t>21516</t>
  </si>
  <si>
    <t>WSNC250150032D-MXX00W</t>
  </si>
  <si>
    <t>21517</t>
  </si>
  <si>
    <t>WSNC331200032D-MXX00W</t>
  </si>
  <si>
    <t>21518</t>
  </si>
  <si>
    <t>WSNC173100029D-MXX00W</t>
  </si>
  <si>
    <t>21519</t>
  </si>
  <si>
    <t>WSNC093050019D-MXX00W</t>
  </si>
  <si>
    <t>21520</t>
  </si>
  <si>
    <t>WSNC051036018D-PXX00W</t>
  </si>
  <si>
    <t>WSOS172160009S-PGX25W</t>
  </si>
  <si>
    <t>21522</t>
  </si>
  <si>
    <t>WSNC184130026D-PCG10K</t>
  </si>
  <si>
    <t>21523</t>
  </si>
  <si>
    <t>WPOS148137009S-PGX25W</t>
  </si>
  <si>
    <t>21524</t>
  </si>
  <si>
    <t>WPOT036023001D-PGX15W</t>
  </si>
  <si>
    <t>21526</t>
  </si>
  <si>
    <t>WSNC105032023D-PXX00W</t>
  </si>
  <si>
    <t>21528</t>
  </si>
  <si>
    <t>WSNC092043003D-PRX15K</t>
  </si>
  <si>
    <t>21529</t>
  </si>
  <si>
    <t>WFFM044031018D-MXX00W</t>
  </si>
  <si>
    <t>21530</t>
  </si>
  <si>
    <t>WFFM057038024D-MXX00W</t>
  </si>
  <si>
    <t>21531</t>
  </si>
  <si>
    <t>WFFM080050023D-MXX00W</t>
  </si>
  <si>
    <t>21532</t>
  </si>
  <si>
    <t>WPSA048031011D-PGX15W</t>
  </si>
  <si>
    <t>21533</t>
  </si>
  <si>
    <t>WPSA057038012D-PGX15W</t>
  </si>
  <si>
    <t>21534</t>
  </si>
  <si>
    <t>WSNC081050015D-PGX15W</t>
  </si>
  <si>
    <t>21535</t>
  </si>
  <si>
    <t>WSNC184130026D-PXX00W</t>
  </si>
  <si>
    <t>21536</t>
  </si>
  <si>
    <t>WFFM173117027D-PXX00W</t>
  </si>
  <si>
    <t>21537</t>
  </si>
  <si>
    <t>WSNC174133021D-DK200N</t>
  </si>
  <si>
    <t>WPSA050036010D-MXX00W</t>
  </si>
  <si>
    <t>21539</t>
  </si>
  <si>
    <t>WSNC197185009L-PGX25W</t>
  </si>
  <si>
    <t>21540</t>
  </si>
  <si>
    <t>WSMP037016075D-PXX00W</t>
  </si>
  <si>
    <t>21541</t>
  </si>
  <si>
    <t>WSNC162145010D-PXX00W</t>
  </si>
  <si>
    <t>21542</t>
  </si>
  <si>
    <t>WSNC125109010D-PXX00W</t>
  </si>
  <si>
    <t>21543</t>
  </si>
  <si>
    <t>WSMP314303010D-PGX25W</t>
  </si>
  <si>
    <t>21544</t>
  </si>
  <si>
    <t>WSNC854829035D-PZM55N</t>
  </si>
  <si>
    <t>21545</t>
  </si>
  <si>
    <t>WSNC094080003D-PXX00W</t>
  </si>
  <si>
    <t>21546</t>
  </si>
  <si>
    <t>WSNC038028009S-PXX00W</t>
  </si>
  <si>
    <t>21547</t>
  </si>
  <si>
    <t>WSNC049037005S-PXX00W</t>
  </si>
  <si>
    <t>21548</t>
  </si>
  <si>
    <t>WSNC181075187X-PDX00Z</t>
  </si>
  <si>
    <t>21549</t>
  </si>
  <si>
    <t>WSNC046031010D-DK050N</t>
  </si>
  <si>
    <t>21550</t>
  </si>
  <si>
    <t>WSNC099057016D-PXX00W</t>
  </si>
  <si>
    <t>21551</t>
  </si>
  <si>
    <t>WSNC242140029D-PXX00W</t>
  </si>
  <si>
    <t>21552</t>
  </si>
  <si>
    <t>WSNC280166033D-PXX00W</t>
  </si>
  <si>
    <t>21553</t>
  </si>
  <si>
    <t>WSNC399248051D-PXX00W</t>
  </si>
  <si>
    <t>21554</t>
  </si>
  <si>
    <t>WSNC080043019D-PXX00W</t>
  </si>
  <si>
    <t>21555</t>
  </si>
  <si>
    <t>WSMP101068018D-PCG18K</t>
  </si>
  <si>
    <t>WSMP203150027D-PCG18K</t>
  </si>
  <si>
    <t>21557</t>
  </si>
  <si>
    <t>WPOT131111009D-PXX00W</t>
  </si>
  <si>
    <t>21558</t>
  </si>
  <si>
    <t>WSNC186161191D-PXX00W</t>
  </si>
  <si>
    <t>21559</t>
  </si>
  <si>
    <t>WSNC205153013D-PXX00W</t>
  </si>
  <si>
    <t>21560</t>
  </si>
  <si>
    <t>WFFM149090025D-MXX00W</t>
  </si>
  <si>
    <t>21561</t>
  </si>
  <si>
    <t>WFFM099053014D-MXX00W</t>
  </si>
  <si>
    <t>21562</t>
  </si>
  <si>
    <t>WFFM118069023D-MXX00W</t>
  </si>
  <si>
    <t>21564</t>
  </si>
  <si>
    <t>WSNC301278018D-PGM15K</t>
  </si>
  <si>
    <t>21565</t>
  </si>
  <si>
    <t>WSNC176118014D-DK200N</t>
  </si>
  <si>
    <t>21566</t>
  </si>
  <si>
    <t>WSMP077050014D-PCG18K</t>
  </si>
  <si>
    <t>21567</t>
  </si>
  <si>
    <t>WSNC040028009S-PGX25W</t>
  </si>
  <si>
    <t>21568</t>
  </si>
  <si>
    <t>WSNC062053003D-PXX00W</t>
  </si>
  <si>
    <t>21569</t>
  </si>
  <si>
    <t>WSNC150107009D-PXX00W</t>
  </si>
  <si>
    <t>WSMP058038013D-PCG18K</t>
  </si>
  <si>
    <t>21571</t>
  </si>
  <si>
    <t>WSMP176125025D-PCG18K</t>
  </si>
  <si>
    <t>21572</t>
  </si>
  <si>
    <t>WPSM076060005Q-PGX15W</t>
  </si>
  <si>
    <t>21573</t>
  </si>
  <si>
    <t>WPSM070054004Q-PGX15W</t>
  </si>
  <si>
    <t>21574</t>
  </si>
  <si>
    <t>WSMP125090021D-PCG18K</t>
  </si>
  <si>
    <t>21575</t>
  </si>
  <si>
    <t>WSNC465414038D-MXX00W</t>
  </si>
  <si>
    <t>21576</t>
  </si>
  <si>
    <t>WSNC365315038D-MXX00W</t>
  </si>
  <si>
    <t>21577</t>
  </si>
  <si>
    <t>WSNC118107008Q-PGX15W</t>
  </si>
  <si>
    <t>21578</t>
  </si>
  <si>
    <t>WSNC143131007Q-PGX15W</t>
  </si>
  <si>
    <t>21579</t>
  </si>
  <si>
    <t>WPOT192179010D-PGX15W</t>
  </si>
  <si>
    <t>21580</t>
  </si>
  <si>
    <t>WSMP160076071D-PXX00W</t>
  </si>
  <si>
    <t>21581</t>
  </si>
  <si>
    <t>WFFL060047009D-PXX00W</t>
  </si>
  <si>
    <t>21582</t>
  </si>
  <si>
    <t>WFFL072053009D-PXX00W</t>
  </si>
  <si>
    <t>21583</t>
  </si>
  <si>
    <t>WSNC146075012D-PXX00W</t>
  </si>
  <si>
    <t>WPOT284276007Q-PGX15W</t>
  </si>
  <si>
    <t>21585</t>
  </si>
  <si>
    <t>WSNC236125034D-PXX00W</t>
  </si>
  <si>
    <t>21586</t>
  </si>
  <si>
    <t>WSNC086063004D-PCG12K</t>
  </si>
  <si>
    <t>21588</t>
  </si>
  <si>
    <t>WPSM315295008D-PXX00W</t>
  </si>
  <si>
    <t>21589</t>
  </si>
  <si>
    <t>WSNC099043016D-DV100N</t>
  </si>
  <si>
    <t>21590</t>
  </si>
  <si>
    <t>WSMP140100020D-PCG18K</t>
  </si>
  <si>
    <t>21591</t>
  </si>
  <si>
    <t>WSNC176122002D-PRX10K</t>
  </si>
  <si>
    <t>21592</t>
  </si>
  <si>
    <t>WSNC164111002D-PRX10K</t>
  </si>
  <si>
    <t>21595</t>
  </si>
  <si>
    <t>WSLDE260PGMR47</t>
  </si>
  <si>
    <t>21596</t>
  </si>
  <si>
    <t>WSLDE270PGMR47</t>
  </si>
  <si>
    <t>21597</t>
  </si>
  <si>
    <t>WSMP050038003D-DZ100N</t>
  </si>
  <si>
    <t>21599</t>
  </si>
  <si>
    <t>WSNC165150200Q-PZM55N</t>
  </si>
  <si>
    <t>21600</t>
  </si>
  <si>
    <t>WSNC228152009Q-PZM55N</t>
  </si>
  <si>
    <t>21601</t>
  </si>
  <si>
    <t>WSNC149125006D-DV175N</t>
  </si>
  <si>
    <t>21602</t>
  </si>
  <si>
    <t>WSNC241200020D-PXX00W</t>
  </si>
  <si>
    <t>21603</t>
  </si>
  <si>
    <t>WPSM386358008D-PXX00W</t>
  </si>
  <si>
    <t>WSMP262188022L-PZM55N</t>
  </si>
  <si>
    <t>21605</t>
  </si>
  <si>
    <t>WFFL069040010D-PGX15W</t>
  </si>
  <si>
    <t>21606</t>
  </si>
  <si>
    <t>WSNC099079030D-PGX20W</t>
  </si>
  <si>
    <t>21607</t>
  </si>
  <si>
    <t>WSNC075050003D-DZ100N</t>
  </si>
  <si>
    <t>21608</t>
  </si>
  <si>
    <t>WSNC706600025D-PXX00W</t>
  </si>
  <si>
    <t>21609</t>
  </si>
  <si>
    <t>WSNC025012090D-PXX00R</t>
  </si>
  <si>
    <t>21610</t>
  </si>
  <si>
    <t>WSNC025012090D-PXX00G</t>
  </si>
  <si>
    <t>21611</t>
  </si>
  <si>
    <t>WSLD315283023B-PZM55N</t>
  </si>
  <si>
    <t>21612</t>
  </si>
  <si>
    <t>WSLD629598035B-PZM55N</t>
  </si>
  <si>
    <t>21613</t>
  </si>
  <si>
    <t>WSLD669638035B-PZM55N</t>
  </si>
  <si>
    <t>21614</t>
  </si>
  <si>
    <t>WSLD708677035B-PZM55N</t>
  </si>
  <si>
    <t>21615</t>
  </si>
  <si>
    <t>WSLD748716035B-PZM55N</t>
  </si>
  <si>
    <t>21616</t>
  </si>
  <si>
    <t>WSLD866834035B-PZM55N</t>
  </si>
  <si>
    <t>21617</t>
  </si>
  <si>
    <t>WSNC350314007S-PXX00W</t>
  </si>
  <si>
    <t>WSMP346295011S-PZM55N</t>
  </si>
  <si>
    <t>21619</t>
  </si>
  <si>
    <t>WSNC156111002D-PRX10K</t>
  </si>
  <si>
    <t>21620</t>
  </si>
  <si>
    <t>WFFL089054015D-PGX15W</t>
  </si>
  <si>
    <t>21621</t>
  </si>
  <si>
    <t>WPSM050036006D-PGX20W</t>
  </si>
  <si>
    <t>21622</t>
  </si>
  <si>
    <t>WFFL095072009D-PXX00W</t>
  </si>
  <si>
    <t>WFFB144105009D-PXX00W</t>
  </si>
  <si>
    <t>21624</t>
  </si>
  <si>
    <t>WSNC033004089D-PXX00W</t>
  </si>
  <si>
    <t>21625</t>
  </si>
  <si>
    <t>WSNC140100020D-PXX00W</t>
  </si>
  <si>
    <t>21626</t>
  </si>
  <si>
    <t>WSNC170090050D-PXX00G</t>
  </si>
  <si>
    <t>21627</t>
  </si>
  <si>
    <t>WSNC143133004D-PXX00W</t>
  </si>
  <si>
    <t>21628</t>
  </si>
  <si>
    <t>WSNC087070004S-PGX15W</t>
  </si>
  <si>
    <t>21629</t>
  </si>
  <si>
    <t>WSNC137120004S-PGX15W</t>
  </si>
  <si>
    <t>21630</t>
  </si>
  <si>
    <t>WSMP213189004S-PGX15W</t>
  </si>
  <si>
    <t>WPSA047037032Q-MXX00W</t>
  </si>
  <si>
    <t>WPOT060049010Q-MXX00W</t>
  </si>
  <si>
    <t>21633</t>
  </si>
  <si>
    <t>WSNC042015125D-PXX00W</t>
  </si>
  <si>
    <t>21634</t>
  </si>
  <si>
    <t>WPOT247223006D-PGX15W</t>
  </si>
  <si>
    <t>21636</t>
  </si>
  <si>
    <t>WPOT080074005D-PXX00W</t>
  </si>
  <si>
    <t>21637</t>
  </si>
  <si>
    <t>WSNC224150032Q-PGX15W</t>
  </si>
  <si>
    <t>21638</t>
  </si>
  <si>
    <t>WPOT342325004D-PXX00W</t>
  </si>
  <si>
    <t>21639</t>
  </si>
  <si>
    <t>WSNC038012011D-PXX00W</t>
  </si>
  <si>
    <t>21640</t>
  </si>
  <si>
    <t>WPSM063054006Q-MGX15B</t>
  </si>
  <si>
    <t>WPOT260249007Q-PGX15W</t>
  </si>
  <si>
    <t>21642</t>
  </si>
  <si>
    <t>WSNC072067050D-PXX00W</t>
  </si>
  <si>
    <t>21643</t>
  </si>
  <si>
    <t>WSNC081076050D-PXX00W</t>
  </si>
  <si>
    <t>21644</t>
  </si>
  <si>
    <t>WSNC114109063D-PXX00W</t>
  </si>
  <si>
    <t>21645</t>
  </si>
  <si>
    <t>WSNC202151023D-PGX15W</t>
  </si>
  <si>
    <t>21646</t>
  </si>
  <si>
    <t>WSNC258207023D-PGX15W</t>
  </si>
  <si>
    <t>21647</t>
  </si>
  <si>
    <t>WFFM255205023D-PXX00W</t>
  </si>
  <si>
    <t>21648</t>
  </si>
  <si>
    <t>WSNC095079003D-PXX00W</t>
  </si>
  <si>
    <t>21649</t>
  </si>
  <si>
    <t>WSNC102079019D-PXX00W</t>
  </si>
  <si>
    <t>21650</t>
  </si>
  <si>
    <t>WSNC102079020D-PXX00W</t>
  </si>
  <si>
    <t>21651</t>
  </si>
  <si>
    <t>WSNC102079014D-PXX00W</t>
  </si>
  <si>
    <t>WSNC095018006D-PXX00W</t>
  </si>
  <si>
    <t>21653</t>
  </si>
  <si>
    <t>WSNC087057006D-PGX15W</t>
  </si>
  <si>
    <t>21654</t>
  </si>
  <si>
    <t>WSNC129098007S-PZM55N</t>
  </si>
  <si>
    <t>21655</t>
  </si>
  <si>
    <t>WSNC088060003D-PGX15W</t>
  </si>
  <si>
    <t>WPOS281257006S-PRX10K</t>
  </si>
  <si>
    <t>21657</t>
  </si>
  <si>
    <t>WSNC235210007Q-PGX15W</t>
  </si>
  <si>
    <t>21658</t>
  </si>
  <si>
    <t>WPOS087062006S-PGX15W</t>
  </si>
  <si>
    <t>21659</t>
  </si>
  <si>
    <t>WFFB169131009D-PXX00W</t>
  </si>
  <si>
    <t>21660</t>
  </si>
  <si>
    <t>WSNC162115034D-MXX00W</t>
  </si>
  <si>
    <t>21661</t>
  </si>
  <si>
    <t>WSNC665615041D-MXX00W</t>
  </si>
  <si>
    <t>21663</t>
  </si>
  <si>
    <t>WSNC105064065D-PGX20W</t>
  </si>
  <si>
    <t>21664</t>
  </si>
  <si>
    <t>WSNC087062006S-PGX15W</t>
  </si>
  <si>
    <t>21665</t>
  </si>
  <si>
    <t>WSNC117105012D-PXX00W</t>
  </si>
  <si>
    <t>21666</t>
  </si>
  <si>
    <t>WSNC354334038S-PGX25K</t>
  </si>
  <si>
    <t>21667</t>
  </si>
  <si>
    <t>WSLD492461031S-PZM55N</t>
  </si>
  <si>
    <t>21668</t>
  </si>
  <si>
    <t>WSNC491471005D-PGX25K</t>
  </si>
  <si>
    <t>21669</t>
  </si>
  <si>
    <t>WSNC200177004D-PGX25K</t>
  </si>
  <si>
    <t>21670</t>
  </si>
  <si>
    <t>WPSA075063006Q-PGX15W</t>
  </si>
  <si>
    <t>21671</t>
  </si>
  <si>
    <t>WSNC293224020D-PGX25W</t>
  </si>
  <si>
    <t>21680</t>
  </si>
  <si>
    <t>WSNC175162025S-PCR23K</t>
  </si>
  <si>
    <t>21683</t>
  </si>
  <si>
    <t>WPOT354334004D-PGX15W</t>
  </si>
  <si>
    <t>21686</t>
  </si>
  <si>
    <t>WPOT237217019D-PZM55N</t>
  </si>
  <si>
    <t>21687</t>
  </si>
  <si>
    <t>WSNC277258019D-PZM55N</t>
  </si>
  <si>
    <t>21688</t>
  </si>
  <si>
    <t>WSNC356336023D-PZM55N</t>
  </si>
  <si>
    <t>21692</t>
  </si>
  <si>
    <t>WSNC267210035D-MXX00W</t>
  </si>
  <si>
    <t>21693</t>
  </si>
  <si>
    <t>WSNC392310045D-MXX00W</t>
  </si>
  <si>
    <t>21696</t>
  </si>
  <si>
    <t>WSNC082055012D-MXX00W</t>
  </si>
  <si>
    <t>21697</t>
  </si>
  <si>
    <t>WSMP326281018D-PXX00W</t>
  </si>
  <si>
    <t>21699</t>
  </si>
  <si>
    <t>WSNC173134027D-MXX00W</t>
  </si>
  <si>
    <t>21700</t>
  </si>
  <si>
    <t>WSNC200157030D-MXX00W</t>
  </si>
  <si>
    <t>WPOT080069005D-PCR23K</t>
  </si>
  <si>
    <t>21703</t>
  </si>
  <si>
    <t>WPOT124100005D-PCR23K</t>
  </si>
  <si>
    <t>21704</t>
  </si>
  <si>
    <t>WPOT212175007D-PCR23K</t>
  </si>
  <si>
    <t>WPOT175138007D-PCR23K</t>
  </si>
  <si>
    <t>21707</t>
  </si>
  <si>
    <t>WSNC357344011D-PGX15W</t>
  </si>
  <si>
    <t>21709</t>
  </si>
  <si>
    <t>WPOT111087005D-PCR23K</t>
  </si>
  <si>
    <t>21710</t>
  </si>
  <si>
    <t>WSNC250205027D-PXX00W</t>
  </si>
  <si>
    <t>21711</t>
  </si>
  <si>
    <t>WSNC255199020D-PGX25W</t>
  </si>
  <si>
    <t>WSOR075061006D-DV100N</t>
  </si>
  <si>
    <t>WSNC050032100D-PGX25R</t>
  </si>
  <si>
    <t>21714</t>
  </si>
  <si>
    <t>WSNC270224020D-PGX25W</t>
  </si>
  <si>
    <t>21715</t>
  </si>
  <si>
    <t>WSNC382368011D-PGX25W</t>
  </si>
  <si>
    <t>WPOT224187007D-PCR23K</t>
  </si>
  <si>
    <t>WSNC056032037D-PGX25R</t>
  </si>
  <si>
    <t>21718</t>
  </si>
  <si>
    <t>WPOS195177004S-PZM55N</t>
  </si>
  <si>
    <t>21719</t>
  </si>
  <si>
    <t>WSMP392354007S-PZM55N</t>
  </si>
  <si>
    <t>WPOS274236007S-PZM55N</t>
  </si>
  <si>
    <t>WPOS314275007S-PZM55N</t>
  </si>
  <si>
    <t>21722</t>
  </si>
  <si>
    <t>WPOS235196007S-PZM55N</t>
  </si>
  <si>
    <t>21723</t>
  </si>
  <si>
    <t>WSOS589551007S-PZM55N</t>
  </si>
  <si>
    <t>21724</t>
  </si>
  <si>
    <t>WPOS176157004S-PZM55N</t>
  </si>
  <si>
    <t>21725</t>
  </si>
  <si>
    <t>WPOS196173004S-PZM55N</t>
  </si>
  <si>
    <t>21727</t>
  </si>
  <si>
    <t>WSNC060036003D-PGX15W</t>
  </si>
  <si>
    <t>21728</t>
  </si>
  <si>
    <t>WSNC943905007D-PGX15W</t>
  </si>
  <si>
    <t>21729</t>
  </si>
  <si>
    <t>WSNC336317004D-PGX15W</t>
  </si>
  <si>
    <t>21730</t>
  </si>
  <si>
    <t>WSNC548530004D-PGX15W</t>
  </si>
  <si>
    <t>21731</t>
  </si>
  <si>
    <t>WSNC489471004D-PGX15W</t>
  </si>
  <si>
    <t>21733</t>
  </si>
  <si>
    <t>WFFB162100019D-PGX20A</t>
  </si>
  <si>
    <t>21735</t>
  </si>
  <si>
    <t>WSMP225156033D-PCR23K</t>
  </si>
  <si>
    <t>21742</t>
  </si>
  <si>
    <t>WSNC475397011S-BI50PN</t>
  </si>
  <si>
    <t>21744</t>
  </si>
  <si>
    <t>WSNC230174020D-PGX25W</t>
  </si>
  <si>
    <t>21745</t>
  </si>
  <si>
    <t>WPSA050039005D-PCR23K</t>
  </si>
  <si>
    <t>21746</t>
  </si>
  <si>
    <t>WSNC031021005S-DK037N</t>
  </si>
  <si>
    <t>21748</t>
  </si>
  <si>
    <t>WFFB150000100L-PGX25W</t>
  </si>
  <si>
    <t>21749</t>
  </si>
  <si>
    <t>WSNC093044021D-PXX00W</t>
  </si>
  <si>
    <t>WPOT095075004D-PXX00W</t>
  </si>
  <si>
    <t>21754</t>
  </si>
  <si>
    <t>WSOT069051005D-PCR23K</t>
  </si>
  <si>
    <t>21755</t>
  </si>
  <si>
    <t>WPOT149125005D-PCR23K</t>
  </si>
  <si>
    <t>21758</t>
  </si>
  <si>
    <t>WSNC111087021D-PRX10K</t>
  </si>
  <si>
    <t>21759</t>
  </si>
  <si>
    <t>WSOT240199020D-PGX25W</t>
  </si>
  <si>
    <t>WSOR018000006D-DA025N</t>
  </si>
  <si>
    <t>21761</t>
  </si>
  <si>
    <t>WFFM050019011D-PGX25L</t>
  </si>
  <si>
    <t>21762</t>
  </si>
  <si>
    <t>WFFM093053014D-MXX00W</t>
  </si>
  <si>
    <t>21763</t>
  </si>
  <si>
    <t>WSNC105085001D-PGX15W</t>
  </si>
  <si>
    <t>21765</t>
  </si>
  <si>
    <t>WSNC124082016D-MXX00W</t>
  </si>
  <si>
    <t>2-1768</t>
  </si>
  <si>
    <t>WRJC100059025D-R850AK</t>
  </si>
  <si>
    <t>21769</t>
  </si>
  <si>
    <t>WSNC042009002D-PGX25W</t>
  </si>
  <si>
    <t>21770</t>
  </si>
  <si>
    <t>WSNC042009006D-PGX25W</t>
  </si>
  <si>
    <t>21771</t>
  </si>
  <si>
    <t>WSNC393334011S-PZM55N</t>
  </si>
  <si>
    <t>21772</t>
  </si>
  <si>
    <t>WSNC112088200D-PGX25R</t>
  </si>
  <si>
    <t>WSNC062032100D-PGX25R</t>
  </si>
  <si>
    <t>21776</t>
  </si>
  <si>
    <t>WSNC631619009D-PXX00W</t>
  </si>
  <si>
    <t>21777</t>
  </si>
  <si>
    <t>WSNC275271010D-PXX00W</t>
  </si>
  <si>
    <t>WSMPV7MFC13PGM</t>
  </si>
  <si>
    <t>WFFH675062006Q-PMX25B</t>
  </si>
  <si>
    <t>WFFH575062006Q-PMX25B</t>
  </si>
  <si>
    <t>21784</t>
  </si>
  <si>
    <t>WSNC033023005S-DK037N</t>
  </si>
  <si>
    <t>21785</t>
  </si>
  <si>
    <t>WSNC037027005S-DK037N</t>
  </si>
  <si>
    <t>21786</t>
  </si>
  <si>
    <t>WSNC344338007D-PXX00W</t>
  </si>
  <si>
    <t>21787</t>
  </si>
  <si>
    <t>WFFB118075024D-PXX00W</t>
  </si>
  <si>
    <t>21788</t>
  </si>
  <si>
    <t>WFFB118075019D-PXX00W</t>
  </si>
  <si>
    <t>21789</t>
  </si>
  <si>
    <t>WFFB118075026D-PXX00W</t>
  </si>
  <si>
    <t>21790</t>
  </si>
  <si>
    <t>WSFB118075062D-PXX00W</t>
  </si>
  <si>
    <t>21791</t>
  </si>
  <si>
    <t>WSNC202137025D-PXX00W</t>
  </si>
  <si>
    <t>21792</t>
  </si>
  <si>
    <t>WPSA063044008D-PCR23K</t>
  </si>
  <si>
    <t>21793</t>
  </si>
  <si>
    <t>WSNC074059003D-DM075N</t>
  </si>
  <si>
    <t>21795</t>
  </si>
  <si>
    <t>WSNC165110021D-MXX00W</t>
  </si>
  <si>
    <t>21796</t>
  </si>
  <si>
    <t>WSNC175164005Q-PXX00W</t>
  </si>
  <si>
    <t>21797</t>
  </si>
  <si>
    <t>WSNC200150010S-PGX25W</t>
  </si>
  <si>
    <t>21798</t>
  </si>
  <si>
    <t>WSNC518512007D-PXX00W</t>
  </si>
  <si>
    <t>21799</t>
  </si>
  <si>
    <t>WSNC087033021D-MMX10B</t>
  </si>
  <si>
    <t>21800</t>
  </si>
  <si>
    <t>WSNC076063006D-PXX00W</t>
  </si>
  <si>
    <t>21803</t>
  </si>
  <si>
    <t>WSNC043013057D-PXX00W</t>
  </si>
  <si>
    <t>21804</t>
  </si>
  <si>
    <t>WSNC071052003D-PXX00W</t>
  </si>
  <si>
    <t>21805</t>
  </si>
  <si>
    <t>WSNC062038009D-PXX00W</t>
  </si>
  <si>
    <t>21807</t>
  </si>
  <si>
    <t>WSNC119113007D-PXX00W</t>
  </si>
  <si>
    <t>21808</t>
  </si>
  <si>
    <t>WSNC220216010D-PXX00W</t>
  </si>
  <si>
    <t>WPOT100087006D-PXX00W</t>
  </si>
  <si>
    <t>21810</t>
  </si>
  <si>
    <t>WSNC638633010D-PXX00W</t>
  </si>
  <si>
    <t>21811</t>
  </si>
  <si>
    <t>WFFM093050018D-PXX00W</t>
  </si>
  <si>
    <t>21812</t>
  </si>
  <si>
    <t>WFFM130075022D-PXX00W</t>
  </si>
  <si>
    <t>21813</t>
  </si>
  <si>
    <t>WSNC173099028D-PXX00W</t>
  </si>
  <si>
    <t>21814</t>
  </si>
  <si>
    <t>WFFM250149031D-PXX00W</t>
  </si>
  <si>
    <t>21816</t>
  </si>
  <si>
    <t>WFFM057038016D-PXX00W</t>
  </si>
  <si>
    <t>21817</t>
  </si>
  <si>
    <t>WFFM105075031D-PXX00W</t>
  </si>
  <si>
    <t>21818</t>
  </si>
  <si>
    <t>WPSM043038003D-PXX00W</t>
  </si>
  <si>
    <t>21819</t>
  </si>
  <si>
    <t>WSNC099075006D-PXX00W</t>
  </si>
  <si>
    <t>21820</t>
  </si>
  <si>
    <t>WSNC118075006D-PXX00W</t>
  </si>
  <si>
    <t>21823</t>
  </si>
  <si>
    <t>WFFH395300029D-PXX00W</t>
  </si>
  <si>
    <t>21824</t>
  </si>
  <si>
    <t>WPSM125101004D-PXX00W</t>
  </si>
  <si>
    <t>21825</t>
  </si>
  <si>
    <t>WSSL144100024D-PXX00W</t>
  </si>
  <si>
    <t>21826</t>
  </si>
  <si>
    <t>WFFH256207023D-PXX00W</t>
  </si>
  <si>
    <t>21827</t>
  </si>
  <si>
    <t>WSNC031015005D-DP037W</t>
  </si>
  <si>
    <t>21829</t>
  </si>
  <si>
    <t>WSNC331200031D-PXX00W</t>
  </si>
  <si>
    <t>21830</t>
  </si>
  <si>
    <t>WSNC326250039D-PXX00W</t>
  </si>
  <si>
    <t>2-1830</t>
  </si>
  <si>
    <t>WRJC059036018D-R570AK</t>
  </si>
  <si>
    <t>21831</t>
  </si>
  <si>
    <t>WSNC219213007D-PXX00W</t>
  </si>
  <si>
    <t>21832</t>
  </si>
  <si>
    <t>WSNC337286037D-PXX00W</t>
  </si>
  <si>
    <t>21834</t>
  </si>
  <si>
    <t>WFFL225187023D-PXX00W</t>
  </si>
  <si>
    <t>21836</t>
  </si>
  <si>
    <t>WSNC189181014D-PXX00W</t>
  </si>
  <si>
    <t>21837</t>
  </si>
  <si>
    <t>WSNC173158005D-DK175N</t>
  </si>
  <si>
    <t>21839</t>
  </si>
  <si>
    <t>WSNC161075008D-PXX00W</t>
  </si>
  <si>
    <t>21841</t>
  </si>
  <si>
    <t>WFFM044031018D-PCX20K</t>
  </si>
  <si>
    <t>21843</t>
  </si>
  <si>
    <t>WSNC087064015D-PGX20W</t>
  </si>
  <si>
    <t>21844</t>
  </si>
  <si>
    <t>WSNC033010036D-DP037W</t>
  </si>
  <si>
    <t>21846</t>
  </si>
  <si>
    <t>WSNC043016098D-PXX00W</t>
  </si>
  <si>
    <t>21848</t>
  </si>
  <si>
    <t>WSNC043020124D-PXX00W</t>
  </si>
  <si>
    <t>21852</t>
  </si>
  <si>
    <t>WSNC043025109D-PXX00W</t>
  </si>
  <si>
    <t>21853</t>
  </si>
  <si>
    <t>WSNC043021098D-PXX00W</t>
  </si>
  <si>
    <t>21854</t>
  </si>
  <si>
    <t>WSNC043012119D-PXX00W</t>
  </si>
  <si>
    <t>21857</t>
  </si>
  <si>
    <t>WSNC043011114D-PXX00W</t>
  </si>
  <si>
    <t>21859</t>
  </si>
  <si>
    <t>WSNC038012073D-PXX00W</t>
  </si>
  <si>
    <t>21864</t>
  </si>
  <si>
    <t>WSNC154088025D-MXX00W</t>
  </si>
  <si>
    <t>21865</t>
  </si>
  <si>
    <t>WFFB154090023D-PXX00W</t>
  </si>
  <si>
    <t>21870</t>
  </si>
  <si>
    <t>WFFM080057010D-PCX20K</t>
  </si>
  <si>
    <t>21873</t>
  </si>
  <si>
    <t>WSLD246227037S-PZX40N</t>
  </si>
  <si>
    <t>21874</t>
  </si>
  <si>
    <t>WPSM037031003D-PGX15W</t>
  </si>
  <si>
    <t>21875</t>
  </si>
  <si>
    <t>WSNC625603005S-PXX00W</t>
  </si>
  <si>
    <t>21876</t>
  </si>
  <si>
    <t>WSOR075007112D-DC100N</t>
  </si>
  <si>
    <t>21877</t>
  </si>
  <si>
    <t>WFFL102072026D-MXX00W</t>
  </si>
  <si>
    <t>21879</t>
  </si>
  <si>
    <t>WFFL175138026D-MXX00W</t>
  </si>
  <si>
    <t>21880</t>
  </si>
  <si>
    <t>WPOT062031006D-PXX00W</t>
  </si>
  <si>
    <t>21881</t>
  </si>
  <si>
    <t>WFFM105075031D-PGX15W</t>
  </si>
  <si>
    <t>21882</t>
  </si>
  <si>
    <t>WPSM062050003D-PGX15W</t>
  </si>
  <si>
    <t>21884</t>
  </si>
  <si>
    <t>WSNC069021037D-PXX00W</t>
  </si>
  <si>
    <t>21885</t>
  </si>
  <si>
    <t>WSNC034025051D-PXX00W</t>
  </si>
  <si>
    <t>21886</t>
  </si>
  <si>
    <t>WSNC106080014D-PGX25W</t>
  </si>
  <si>
    <t>21887</t>
  </si>
  <si>
    <t>WSOR085063020D-DX100N</t>
  </si>
  <si>
    <t>21888</t>
  </si>
  <si>
    <t>WFFM116069023D-PGC10K</t>
  </si>
  <si>
    <t>21891</t>
  </si>
  <si>
    <t>WFFM213125035D-PNX25G</t>
  </si>
  <si>
    <t>WSMP548463040D-MXX00W</t>
  </si>
  <si>
    <t>21895</t>
  </si>
  <si>
    <t>WFFM080050018D-PGX15W</t>
  </si>
  <si>
    <t>21896</t>
  </si>
  <si>
    <t>WPSM099075006D-PGX15W</t>
  </si>
  <si>
    <t>21898</t>
  </si>
  <si>
    <t>WSNC300200275D-PXX00W</t>
  </si>
  <si>
    <t>21899</t>
  </si>
  <si>
    <t>WSNC042029001D-PGX15W</t>
  </si>
  <si>
    <t>21900</t>
  </si>
  <si>
    <t>WFFL116069023D-PNX25G</t>
  </si>
  <si>
    <t>21901</t>
  </si>
  <si>
    <t>WPOT199188006D-PXX00W</t>
  </si>
  <si>
    <t>21902</t>
  </si>
  <si>
    <t>WSOT130119006D-PXX00W</t>
  </si>
  <si>
    <t>21903</t>
  </si>
  <si>
    <t>WPOT149138006D-PXX00W</t>
  </si>
  <si>
    <t>WFFB111077020D-PGX15W</t>
  </si>
  <si>
    <t>21905</t>
  </si>
  <si>
    <t>WSNC112081003D-PXX00W</t>
  </si>
  <si>
    <t>21906</t>
  </si>
  <si>
    <t>WSNC167158018D-PXX00W</t>
  </si>
  <si>
    <t>21907</t>
  </si>
  <si>
    <t>WSNC142106027D-PXX00W</t>
  </si>
  <si>
    <t>21908</t>
  </si>
  <si>
    <t>WSNC142106026D-PXX00W</t>
  </si>
  <si>
    <t>21909</t>
  </si>
  <si>
    <t>WSNC142106022D-PXX00W</t>
  </si>
  <si>
    <t>21910</t>
  </si>
  <si>
    <t>WSNC142106112D-PXX00W</t>
  </si>
  <si>
    <t>21911</t>
  </si>
  <si>
    <t>WSNC230214018D-PXX00W</t>
  </si>
  <si>
    <t>21912</t>
  </si>
  <si>
    <t>WSNC280264018D-PXX00W</t>
  </si>
  <si>
    <t>21913</t>
  </si>
  <si>
    <t>WSNC417406018D-PXX00W</t>
  </si>
  <si>
    <t>21914</t>
  </si>
  <si>
    <t>WSNC535513015D-PXX00W</t>
  </si>
  <si>
    <t>21915</t>
  </si>
  <si>
    <t>WSNC094087009D-PXX00W</t>
  </si>
  <si>
    <t>21916</t>
  </si>
  <si>
    <t>WSNC248170027D-PGX15W</t>
  </si>
  <si>
    <t>21917</t>
  </si>
  <si>
    <t>WFFM440355043D-PGX15W</t>
  </si>
  <si>
    <t>21918</t>
  </si>
  <si>
    <t>WSNC112106024D-PGX15W</t>
  </si>
  <si>
    <t>21919</t>
  </si>
  <si>
    <t>WSNC161155030D-PGX15W</t>
  </si>
  <si>
    <t>21921</t>
  </si>
  <si>
    <t>WSLDE255PGMR47</t>
  </si>
  <si>
    <t>21922</t>
  </si>
  <si>
    <t>WPSS068058002S-PXX00W</t>
  </si>
  <si>
    <t>21924</t>
  </si>
  <si>
    <t>WSNC038025013D-PXX00W</t>
  </si>
  <si>
    <t>21926</t>
  </si>
  <si>
    <t>WSNC100050025D-PGX15W</t>
  </si>
  <si>
    <t>21928</t>
  </si>
  <si>
    <t>WSNC100050031D-PGX15W</t>
  </si>
  <si>
    <t>21929</t>
  </si>
  <si>
    <t>WSNC100050092D-PGX15W</t>
  </si>
  <si>
    <t>21933</t>
  </si>
  <si>
    <t>WSNC100050052D-PGX15W</t>
  </si>
  <si>
    <t>21934</t>
  </si>
  <si>
    <t>WSMP562407035D-PXX00W</t>
  </si>
  <si>
    <t>21935</t>
  </si>
  <si>
    <t>WPSM326303017D-PGX25K</t>
  </si>
  <si>
    <t>21936</t>
  </si>
  <si>
    <t>WFFM080037013D-PNX25G</t>
  </si>
  <si>
    <t>21937</t>
  </si>
  <si>
    <t>WSNC183057049S-PXX00W</t>
  </si>
  <si>
    <t>21938</t>
  </si>
  <si>
    <t>WSNC284078049S-PXX00W</t>
  </si>
  <si>
    <t>21939</t>
  </si>
  <si>
    <t>WSNC184056068D-PXX00W</t>
  </si>
  <si>
    <t>21941</t>
  </si>
  <si>
    <t>WFFM080021018D-PXX00W</t>
  </si>
  <si>
    <t>21945</t>
  </si>
  <si>
    <t>WSNC330259043D-MXX00W</t>
  </si>
  <si>
    <t>21947</t>
  </si>
  <si>
    <t>WSNC191155027D-PXX00W</t>
  </si>
  <si>
    <t>21948</t>
  </si>
  <si>
    <t>WSNC191155022D-PXX00W</t>
  </si>
  <si>
    <t>21949</t>
  </si>
  <si>
    <t>WSNC191155026D-PXX00W</t>
  </si>
  <si>
    <t>21950</t>
  </si>
  <si>
    <t>WSNC191155112D-PXX00W</t>
  </si>
  <si>
    <t>21951</t>
  </si>
  <si>
    <t>WSNC704690013D-PXX00W</t>
  </si>
  <si>
    <t>21952</t>
  </si>
  <si>
    <t>WFFB092050012D-PGX15W</t>
  </si>
  <si>
    <t>21953</t>
  </si>
  <si>
    <t>WSNC145100014D-PGX15W</t>
  </si>
  <si>
    <t>21954</t>
  </si>
  <si>
    <t>WSNC201138023D-PGX15W</t>
  </si>
  <si>
    <t>21955</t>
  </si>
  <si>
    <t>WSNC567483033D-PGX15W</t>
  </si>
  <si>
    <t>21956</t>
  </si>
  <si>
    <t>WSNC145101021D-PCG18K</t>
  </si>
  <si>
    <t>21958</t>
  </si>
  <si>
    <t>WPSM124100003D-PXX00W</t>
  </si>
  <si>
    <t>21959</t>
  </si>
  <si>
    <t>WSNC118103007D-PGX15W</t>
  </si>
  <si>
    <t>WRJC118090014D-R570AK</t>
  </si>
  <si>
    <t>21960</t>
  </si>
  <si>
    <t>WSNC043013028D-PXX00W</t>
  </si>
  <si>
    <t>21961</t>
  </si>
  <si>
    <t>WSNC028009045D-DP037W</t>
  </si>
  <si>
    <t>21963</t>
  </si>
  <si>
    <t>WSNC087020104D-PXX00W</t>
  </si>
  <si>
    <t>21964</t>
  </si>
  <si>
    <t>WSNC041012076D-PXX00W</t>
  </si>
  <si>
    <t>21966</t>
  </si>
  <si>
    <t>WSNC053015067D-PXX00W</t>
  </si>
  <si>
    <t>21967</t>
  </si>
  <si>
    <t>WSNC049000102D-PXX00W</t>
  </si>
  <si>
    <t>21968</t>
  </si>
  <si>
    <t>WSNC053016094D-PXX00W</t>
  </si>
  <si>
    <t>WRJC026015021D-R580AK</t>
  </si>
  <si>
    <t>21969</t>
  </si>
  <si>
    <t>WSNC108031054D-PXX00W</t>
  </si>
  <si>
    <t>2-1969</t>
  </si>
  <si>
    <t>WRJC039021023D-R580AK</t>
  </si>
  <si>
    <t>21970</t>
  </si>
  <si>
    <t>WSNC060021051O-PXX00W</t>
  </si>
  <si>
    <t>21971</t>
  </si>
  <si>
    <t>WFFM089028035D-PXX00W</t>
  </si>
  <si>
    <t>21973</t>
  </si>
  <si>
    <t>WSNC070027020D-PXX00W</t>
  </si>
  <si>
    <t>21977</t>
  </si>
  <si>
    <t>WSNC043016124D-PXX00W</t>
  </si>
  <si>
    <t>21978</t>
  </si>
  <si>
    <t>WSNC043017119D-PXX00W</t>
  </si>
  <si>
    <t>21979</t>
  </si>
  <si>
    <t>WSNC078024026D-PXX00W</t>
  </si>
  <si>
    <t>2-1981</t>
  </si>
  <si>
    <t>WRJC084059022D-R470EK</t>
  </si>
  <si>
    <t>21982</t>
  </si>
  <si>
    <t>WSNC036010023D-PXX00W</t>
  </si>
  <si>
    <t>21983</t>
  </si>
  <si>
    <t>WSNC040012016D-PXX00W</t>
  </si>
  <si>
    <t>21984</t>
  </si>
  <si>
    <t>WSNC038018065D-PXX00W</t>
  </si>
  <si>
    <t>21985</t>
  </si>
  <si>
    <t>WSNC091068025D-PXX00W</t>
  </si>
  <si>
    <t>WPOT114100007D-PGX25W</t>
  </si>
  <si>
    <t>21989</t>
  </si>
  <si>
    <t>WSNC033012015D-PXX00W</t>
  </si>
  <si>
    <t>21990</t>
  </si>
  <si>
    <t>WSNC065045015D-PXX00W</t>
  </si>
  <si>
    <t>21991</t>
  </si>
  <si>
    <t>WSNC396383011D-PGX15W</t>
  </si>
  <si>
    <t>21992</t>
  </si>
  <si>
    <t>WSNC049025009D-PGX25W</t>
  </si>
  <si>
    <t>21994</t>
  </si>
  <si>
    <t>WSNC116079002D-PAX10W</t>
  </si>
  <si>
    <t>21995</t>
  </si>
  <si>
    <t>WSNC043017124D-PXX00W</t>
  </si>
  <si>
    <t>21997</t>
  </si>
  <si>
    <t>WSNC038012081D-PXX00W</t>
  </si>
  <si>
    <t>21999</t>
  </si>
  <si>
    <t>WPSM049039003D-PXX00W</t>
  </si>
  <si>
    <t>2-200</t>
  </si>
  <si>
    <t>WRJA316250021D-R470AK</t>
  </si>
  <si>
    <t>22000</t>
  </si>
  <si>
    <t>WPSM074062003D-PXX00W</t>
  </si>
  <si>
    <t>22002</t>
  </si>
  <si>
    <t>WFFM057038016D-PGX15W</t>
  </si>
  <si>
    <t>22004</t>
  </si>
  <si>
    <t>WPSM043038003D-PGX15W</t>
  </si>
  <si>
    <t>22009</t>
  </si>
  <si>
    <t>WPOT121107005D-PXX00W</t>
  </si>
  <si>
    <t>WPSM120062003Q-PFX15K</t>
  </si>
  <si>
    <t>22011</t>
  </si>
  <si>
    <t>WSNC530300063D-MXX00W</t>
  </si>
  <si>
    <t>22012</t>
  </si>
  <si>
    <t>WSNC052038015D-PXX00W</t>
  </si>
  <si>
    <t>22014</t>
  </si>
  <si>
    <t>WSMP706593025D-PXX00W</t>
  </si>
  <si>
    <t>22015</t>
  </si>
  <si>
    <t>WSNC080060001D-PGX15W</t>
  </si>
  <si>
    <t>22016</t>
  </si>
  <si>
    <t>WSNC063049003S-PGX25R</t>
  </si>
  <si>
    <t>22019</t>
  </si>
  <si>
    <t>WFFM105075011D-PCX20K</t>
  </si>
  <si>
    <t>22020</t>
  </si>
  <si>
    <t>WFFB105075015D-PCX20K</t>
  </si>
  <si>
    <t>22021</t>
  </si>
  <si>
    <t>WFFM080057028D-PGX15W</t>
  </si>
  <si>
    <t>22022</t>
  </si>
  <si>
    <t>WSMP086027037D-PXX00W</t>
  </si>
  <si>
    <t>22023</t>
  </si>
  <si>
    <t>WSNC125118019D-PCR23K</t>
  </si>
  <si>
    <t>22024</t>
  </si>
  <si>
    <t>WPSM050036003D-PGX20A</t>
  </si>
  <si>
    <t>22025</t>
  </si>
  <si>
    <t>WSNC093075006D-PXX00W</t>
  </si>
  <si>
    <t>22026</t>
  </si>
  <si>
    <t>WFFB151114022D-MXX00W</t>
  </si>
  <si>
    <t>22028</t>
  </si>
  <si>
    <t>WSNC828799036D-PGM15K</t>
  </si>
  <si>
    <t>22030</t>
  </si>
  <si>
    <t>WPOT099084008D-PXX00W</t>
  </si>
  <si>
    <t>22031</t>
  </si>
  <si>
    <t>WSNC113106007D-PMX05K</t>
  </si>
  <si>
    <t>22036</t>
  </si>
  <si>
    <t>WSNC074059003D-DO087K</t>
  </si>
  <si>
    <t>WSNC225181018D-PXX00W</t>
  </si>
  <si>
    <t>22040</t>
  </si>
  <si>
    <t>WSNC401383030D-PZX40N</t>
  </si>
  <si>
    <t>WSSL115084025O-MXX00W</t>
  </si>
  <si>
    <t>22043</t>
  </si>
  <si>
    <t>WSNC151025062D-PXX00W</t>
  </si>
  <si>
    <t>22044</t>
  </si>
  <si>
    <t>WFFM078019012D-PXX00W</t>
  </si>
  <si>
    <t>22045</t>
  </si>
  <si>
    <t>WSNC575553005S-PXX00W</t>
  </si>
  <si>
    <t>22046</t>
  </si>
  <si>
    <t>WPOT155112004D-PXX00W</t>
  </si>
  <si>
    <t>2-2046</t>
  </si>
  <si>
    <t>WRJC037012015D-R550AK</t>
  </si>
  <si>
    <t>WSNC288268021D-PXX00W</t>
  </si>
  <si>
    <t>WSSL086059018D-MXX00W</t>
  </si>
  <si>
    <t>22050</t>
  </si>
  <si>
    <t>WSNC086015037D-PXX00W</t>
  </si>
  <si>
    <t>22051</t>
  </si>
  <si>
    <t>WSNC040012052D-PXX00W</t>
  </si>
  <si>
    <t>22052</t>
  </si>
  <si>
    <t>WSNC227073049D-PXX00W</t>
  </si>
  <si>
    <t>22053</t>
  </si>
  <si>
    <t>WSNC183057049D-PXX00W</t>
  </si>
  <si>
    <t>22055</t>
  </si>
  <si>
    <t>WSMP164047024D-PXX00W</t>
  </si>
  <si>
    <t>22056</t>
  </si>
  <si>
    <t>WFFM175140023D-PXX00W</t>
  </si>
  <si>
    <t>22058</t>
  </si>
  <si>
    <t>WSNC198185012D-PCR23K</t>
  </si>
  <si>
    <t>WSNC138117009D-PGX25W</t>
  </si>
  <si>
    <t>WSNC031020007D-PGX20W</t>
  </si>
  <si>
    <t>22061</t>
  </si>
  <si>
    <t>WSNC212203007D-PRX15K</t>
  </si>
  <si>
    <t>22062</t>
  </si>
  <si>
    <t>WSNC150107009D-BO17CK</t>
  </si>
  <si>
    <t>22064</t>
  </si>
  <si>
    <t>WSNC166136006D-PGX15W</t>
  </si>
  <si>
    <t>22065</t>
  </si>
  <si>
    <t>WSNC087068003D-PXX00W</t>
  </si>
  <si>
    <t>22067</t>
  </si>
  <si>
    <t>WSNC169106021D-PXX00W</t>
  </si>
  <si>
    <t>22068</t>
  </si>
  <si>
    <t>WSNC169163007D-PXX00W</t>
  </si>
  <si>
    <t>22069</t>
  </si>
  <si>
    <t>WPSM075057006D-PGX15W</t>
  </si>
  <si>
    <t>WPOT207195010D-PPC15K</t>
  </si>
  <si>
    <t>22071</t>
  </si>
  <si>
    <t>WSNC237203028D-PGX15W</t>
  </si>
  <si>
    <t>22072</t>
  </si>
  <si>
    <t>WSNC269263007D-PXX00W</t>
  </si>
  <si>
    <t>22074</t>
  </si>
  <si>
    <t>WSNC142100031D-DV150N</t>
  </si>
  <si>
    <t>22075</t>
  </si>
  <si>
    <t>WFFM143100031O-MXX00W</t>
  </si>
  <si>
    <t>22077</t>
  </si>
  <si>
    <t>WSNC086054014D-PCG18K</t>
  </si>
  <si>
    <t>22078</t>
  </si>
  <si>
    <t>WSNC044005003D-PRX15K</t>
  </si>
  <si>
    <t>2-2078</t>
  </si>
  <si>
    <t>WRJC042023019D-R480AK</t>
  </si>
  <si>
    <t>22079</t>
  </si>
  <si>
    <t>WSSL231188028D-PXX00W</t>
  </si>
  <si>
    <t>22080</t>
  </si>
  <si>
    <t>WSNC075050003D-MXX00W</t>
  </si>
  <si>
    <t>22081</t>
  </si>
  <si>
    <t>WSNC111075006D-MXX00W</t>
  </si>
  <si>
    <t>22082</t>
  </si>
  <si>
    <t>WSNC050042031S-MXX00W</t>
  </si>
  <si>
    <t>22083</t>
  </si>
  <si>
    <t>WSNC076065044S-MXX00W</t>
  </si>
  <si>
    <t>WFFB051036011D-PCG18K</t>
  </si>
  <si>
    <t>WFFL068047015D-PCG18K</t>
  </si>
  <si>
    <t>WFFL081059019D-PCG18K</t>
  </si>
  <si>
    <t>22087</t>
  </si>
  <si>
    <t>WSNC175170010D-PXX00W</t>
  </si>
  <si>
    <t>22088</t>
  </si>
  <si>
    <t>WSNC100068017D-PCG18K</t>
  </si>
  <si>
    <t>22091</t>
  </si>
  <si>
    <t>WSNC176125025D-PCG18K</t>
  </si>
  <si>
    <t>22092</t>
  </si>
  <si>
    <t>WSNC218150027D-PCG18K</t>
  </si>
  <si>
    <t>22093</t>
  </si>
  <si>
    <t>WSNC294200036D-PCG18K</t>
  </si>
  <si>
    <t>22095</t>
  </si>
  <si>
    <t>WSNC486466015D-PXX00W</t>
  </si>
  <si>
    <t>22096</t>
  </si>
  <si>
    <t>WSNC299187097D-PXX00W</t>
  </si>
  <si>
    <t>22097</t>
  </si>
  <si>
    <t>WSNC501483025D-PZX40N</t>
  </si>
  <si>
    <t>22102</t>
  </si>
  <si>
    <t>WSNC149102022D-PCR23K</t>
  </si>
  <si>
    <t>22103</t>
  </si>
  <si>
    <t>WSNC175122008D-MXX00W</t>
  </si>
  <si>
    <t>22104</t>
  </si>
  <si>
    <t>WSNC119109050S-MXX00W</t>
  </si>
  <si>
    <t>22105</t>
  </si>
  <si>
    <t>WPST064055004D-PXX00W</t>
  </si>
  <si>
    <t>22106</t>
  </si>
  <si>
    <t>WSNC067032024D-PXX00W</t>
  </si>
  <si>
    <t>22108</t>
  </si>
  <si>
    <t>WSNC100056143D-PGX15W</t>
  </si>
  <si>
    <t>22109</t>
  </si>
  <si>
    <t>WSNC056050014D-PGX15W</t>
  </si>
  <si>
    <t>22110</t>
  </si>
  <si>
    <t>WSNC358345011D-PGX15W</t>
  </si>
  <si>
    <t>22111</t>
  </si>
  <si>
    <t>WSNC165137012D-PXX00W</t>
  </si>
  <si>
    <t>WPSA062049008Q-PXX00W</t>
  </si>
  <si>
    <t>WPOT149135007D-PGX25W</t>
  </si>
  <si>
    <t>22114</t>
  </si>
  <si>
    <t>WFFM170150009D-PXX00W</t>
  </si>
  <si>
    <t>22116</t>
  </si>
  <si>
    <t>WPOT080067009D-PGX15W</t>
  </si>
  <si>
    <t>22118</t>
  </si>
  <si>
    <t>WSNC169156007D-PXX00W</t>
  </si>
  <si>
    <t>22119</t>
  </si>
  <si>
    <t>WSNC388375007D-PXX00W</t>
  </si>
  <si>
    <t>22120</t>
  </si>
  <si>
    <t>WSNC037025047D-PXX00W</t>
  </si>
  <si>
    <t>22121</t>
  </si>
  <si>
    <t>WPSM152137007D-PGX15B</t>
  </si>
  <si>
    <t>22122</t>
  </si>
  <si>
    <t>WSNC079057003D-DK100N</t>
  </si>
  <si>
    <t>22123</t>
  </si>
  <si>
    <t>WSNC081031018D-PXX00W</t>
  </si>
  <si>
    <t>22124</t>
  </si>
  <si>
    <t>WSNC062028011D-DN062N</t>
  </si>
  <si>
    <t>22125</t>
  </si>
  <si>
    <t>WSNC050035012D-DA050N</t>
  </si>
  <si>
    <t>22126</t>
  </si>
  <si>
    <t>WPOT131112009D-PGM15K</t>
  </si>
  <si>
    <t>22127</t>
  </si>
  <si>
    <t>WPOT118113008D-PGX15W</t>
  </si>
  <si>
    <t>22128</t>
  </si>
  <si>
    <t>WSMP329312015D-PGX15W</t>
  </si>
  <si>
    <t>WPOT183172007D-PGX15K</t>
  </si>
  <si>
    <t>WPOT262225007D-PCR23K</t>
  </si>
  <si>
    <t>22131</t>
  </si>
  <si>
    <t>WSNC087039006D-PXX00W</t>
  </si>
  <si>
    <t>WPSM204191008D-PGX15B</t>
  </si>
  <si>
    <t>22133</t>
  </si>
  <si>
    <t>WSNC099057023D-PGX15W</t>
  </si>
  <si>
    <t>WPSM068059004Q-PXX00W</t>
  </si>
  <si>
    <t>WPSM076067003Q-PXX00W</t>
  </si>
  <si>
    <t>22136</t>
  </si>
  <si>
    <t>WPSM315302011D-GGX15B</t>
  </si>
  <si>
    <t>WPSM150135008D-PGX15G</t>
  </si>
  <si>
    <t>22138</t>
  </si>
  <si>
    <t>WPSA075063005D-PGX15W</t>
  </si>
  <si>
    <t>WPSM087075009D-PGX15W</t>
  </si>
  <si>
    <t>22141</t>
  </si>
  <si>
    <t>WFFL080038016Q-PGX20A</t>
  </si>
  <si>
    <t>22143</t>
  </si>
  <si>
    <t>WFFH197136018D-PXX00W</t>
  </si>
  <si>
    <t>22144</t>
  </si>
  <si>
    <t>WFFH251186018D-PXX00W</t>
  </si>
  <si>
    <t>22145</t>
  </si>
  <si>
    <t>WSNC603574014D-PGX15B</t>
  </si>
  <si>
    <t>22146</t>
  </si>
  <si>
    <t>WSNC295014001D-PXX00W</t>
  </si>
  <si>
    <t>22147</t>
  </si>
  <si>
    <t>WSNC261249011D-PRX10K</t>
  </si>
  <si>
    <t>22148</t>
  </si>
  <si>
    <t>WSNC056038003D-MXX00W</t>
  </si>
  <si>
    <t>22149</t>
  </si>
  <si>
    <t>WSNC038030031S-MXX00W</t>
  </si>
  <si>
    <t>WFFB119068024Q-PGX20A</t>
  </si>
  <si>
    <t>22151</t>
  </si>
  <si>
    <t>WSNC327314011Q-PGX15W</t>
  </si>
  <si>
    <t>22152</t>
  </si>
  <si>
    <t>WSNC357325027D-PXX00W</t>
  </si>
  <si>
    <t>22153</t>
  </si>
  <si>
    <t>WFFH357286018D-PXX00W</t>
  </si>
  <si>
    <t>WPOT131100006D-PXX00W</t>
  </si>
  <si>
    <t>WPSM278264011D-PGX15B</t>
  </si>
  <si>
    <t>22156</t>
  </si>
  <si>
    <t>WSNC374300037S-PGM15K</t>
  </si>
  <si>
    <t>22157</t>
  </si>
  <si>
    <t>WPSM164149007D-PRX10K</t>
  </si>
  <si>
    <t>22158</t>
  </si>
  <si>
    <t>WPSM263251008D-PGX15B</t>
  </si>
  <si>
    <t>22159</t>
  </si>
  <si>
    <t>WSNC098081038Z-PXX00W</t>
  </si>
  <si>
    <t>22160</t>
  </si>
  <si>
    <t>WPSM170156009D-PGX15B</t>
  </si>
  <si>
    <t>WPSM120106007D-PRX10K</t>
  </si>
  <si>
    <t>22162</t>
  </si>
  <si>
    <t>WPSM151139007D-PGX15D</t>
  </si>
  <si>
    <t>WPSM336322009D-PGX15B</t>
  </si>
  <si>
    <t>22165</t>
  </si>
  <si>
    <t>WSMPE237PGMR47</t>
  </si>
  <si>
    <t>22166</t>
  </si>
  <si>
    <t>WPSM068050006D-PXX00W</t>
  </si>
  <si>
    <t>WFFB149087027Q-PGX20A</t>
  </si>
  <si>
    <t>22168</t>
  </si>
  <si>
    <t>WPSM112087003Q-PXX00W</t>
  </si>
  <si>
    <t>22169</t>
  </si>
  <si>
    <t>WPOT068051004D-PXX00W</t>
  </si>
  <si>
    <t>22170</t>
  </si>
  <si>
    <t>WPSM170151009D-PGX15B</t>
  </si>
  <si>
    <t>22171</t>
  </si>
  <si>
    <t>WPST053045006D-PXX00W</t>
  </si>
  <si>
    <t>22172</t>
  </si>
  <si>
    <t>WPSA060051004D-PXX00W</t>
  </si>
  <si>
    <t>22173</t>
  </si>
  <si>
    <t>WSMPE227PGMR47</t>
  </si>
  <si>
    <t>22179</t>
  </si>
  <si>
    <t>WSNC125086020D-PXX00W</t>
  </si>
  <si>
    <t>22180</t>
  </si>
  <si>
    <t>WPSM094064003D-PXX00W</t>
  </si>
  <si>
    <t>22181</t>
  </si>
  <si>
    <t>WFFB051036009D-PCG18K</t>
  </si>
  <si>
    <t>22183</t>
  </si>
  <si>
    <t>WFFM051036008D-PCG18K</t>
  </si>
  <si>
    <t>22184</t>
  </si>
  <si>
    <t>WFFM069047012D-PCG18K</t>
  </si>
  <si>
    <t>22185</t>
  </si>
  <si>
    <t>WFFM069047014D-PXX00W</t>
  </si>
  <si>
    <t>22186</t>
  </si>
  <si>
    <t>WFFM069047011D-PCG18K</t>
  </si>
  <si>
    <t>22187</t>
  </si>
  <si>
    <t>WFFM080059012D-PCG18K</t>
  </si>
  <si>
    <t>22188</t>
  </si>
  <si>
    <t>WFFM081059014D-PXX00W</t>
  </si>
  <si>
    <t>22189</t>
  </si>
  <si>
    <t>WFFM080059011D-PCG18K</t>
  </si>
  <si>
    <t>22190</t>
  </si>
  <si>
    <t>WSNC094080003D-DK100N</t>
  </si>
  <si>
    <t>22193</t>
  </si>
  <si>
    <t>WSLDE265PGMR47</t>
  </si>
  <si>
    <t>22194</t>
  </si>
  <si>
    <t>WSSL239199020D-PGX25W</t>
  </si>
  <si>
    <t>22195</t>
  </si>
  <si>
    <t>WSNC205137027D-MXX00W</t>
  </si>
  <si>
    <t>22196</t>
  </si>
  <si>
    <t>WSMP349316028D-PGX15W</t>
  </si>
  <si>
    <t>22198</t>
  </si>
  <si>
    <t>WSNC069047003D-PCG18K</t>
  </si>
  <si>
    <t>22199</t>
  </si>
  <si>
    <t>WSNC081059003D-PCG18K</t>
  </si>
  <si>
    <t>2-220</t>
  </si>
  <si>
    <t>WRJA376300021D-R470AK</t>
  </si>
  <si>
    <t>22200</t>
  </si>
  <si>
    <t>WSMP144089022D-BO17CK</t>
  </si>
  <si>
    <t>22201</t>
  </si>
  <si>
    <t>WSNC043036003D-PCG18K</t>
  </si>
  <si>
    <t>22202</t>
  </si>
  <si>
    <t>WSNC062047004D-DO087K</t>
  </si>
  <si>
    <t>22203</t>
  </si>
  <si>
    <t>WSNC055047003D-PCG18K</t>
  </si>
  <si>
    <t>22204</t>
  </si>
  <si>
    <t>WSNC074059003D-PCG18K</t>
  </si>
  <si>
    <t>22205</t>
  </si>
  <si>
    <t>WFFH304236018D-PXX00W</t>
  </si>
  <si>
    <t>WFFH467381018D-PXX00W</t>
  </si>
  <si>
    <t>22207</t>
  </si>
  <si>
    <t>WPSM200185008D-PGX15K</t>
  </si>
  <si>
    <t>22208</t>
  </si>
  <si>
    <t>WSMP179151183D-PXX00W</t>
  </si>
  <si>
    <t>22209</t>
  </si>
  <si>
    <t>WSNC114067019D-BK12BN</t>
  </si>
  <si>
    <t>WFFL086051016Q-MXX00W</t>
  </si>
  <si>
    <t>22212</t>
  </si>
  <si>
    <t>WSSL105032033D-PXX00W</t>
  </si>
  <si>
    <t>22213</t>
  </si>
  <si>
    <t>WFFM051036008D-PXX00W</t>
  </si>
  <si>
    <t>22214</t>
  </si>
  <si>
    <t>WSNC087061030D-PXX00W</t>
  </si>
  <si>
    <t>22216</t>
  </si>
  <si>
    <t>WSNC131100006D-PGX15W</t>
  </si>
  <si>
    <t>22217</t>
  </si>
  <si>
    <t>WSNC223150023D-MXX00W</t>
  </si>
  <si>
    <t>22218</t>
  </si>
  <si>
    <t>WSNC164107018D-MXX00W</t>
  </si>
  <si>
    <t>22219</t>
  </si>
  <si>
    <t>WSNC062043006D-PCR23K</t>
  </si>
  <si>
    <t>WPOT094080012D-PGX15W</t>
  </si>
  <si>
    <t>WSNC383370011D-PGX15W</t>
  </si>
  <si>
    <t>22222</t>
  </si>
  <si>
    <t>WPSM183171008D-PGX15B</t>
  </si>
  <si>
    <t>22223</t>
  </si>
  <si>
    <t>WSNC502479011D-PGX15B</t>
  </si>
  <si>
    <t>WSOT099090009D-PXX00W</t>
  </si>
  <si>
    <t>22225</t>
  </si>
  <si>
    <t>WSNC186118028D-PGX25W</t>
  </si>
  <si>
    <t>22226</t>
  </si>
  <si>
    <t>WSSL312237025D-PXX00W</t>
  </si>
  <si>
    <t>22227</t>
  </si>
  <si>
    <t>WSNC302272020D-PZX60N</t>
  </si>
  <si>
    <t>22228</t>
  </si>
  <si>
    <t>WSNC177147012D-PZX60N</t>
  </si>
  <si>
    <t>22229</t>
  </si>
  <si>
    <t>WSNC452434027D-PZX60N</t>
  </si>
  <si>
    <t>22230</t>
  </si>
  <si>
    <t>WSNC079064006D-DK100N</t>
  </si>
  <si>
    <t>22231</t>
  </si>
  <si>
    <t>WSNC231150006D-PXX00W</t>
  </si>
  <si>
    <t>22232</t>
  </si>
  <si>
    <t>WSNC104076030D-PGX15W</t>
  </si>
  <si>
    <t>22234</t>
  </si>
  <si>
    <t>WSNC419413007D-PXX00W</t>
  </si>
  <si>
    <t>22235</t>
  </si>
  <si>
    <t>WSMP724609054D-PCR23K</t>
  </si>
  <si>
    <t>22236</t>
  </si>
  <si>
    <t>WSNC078062004D-DO087K</t>
  </si>
  <si>
    <t>22237</t>
  </si>
  <si>
    <t>WPOT127090006D-PXX00W</t>
  </si>
  <si>
    <t>22238</t>
  </si>
  <si>
    <t>WPOT176137007D-PXX00W</t>
  </si>
  <si>
    <t>22239</t>
  </si>
  <si>
    <t>WPOT227188007D-PXX00W</t>
  </si>
  <si>
    <t>22246</t>
  </si>
  <si>
    <t>WSNC087062006D-PGX15W</t>
  </si>
  <si>
    <t>22247</t>
  </si>
  <si>
    <t>WSNC213124028D-PXX00W</t>
  </si>
  <si>
    <t>22249</t>
  </si>
  <si>
    <t>WSNC230173020D-PGX15B</t>
  </si>
  <si>
    <t>22250</t>
  </si>
  <si>
    <t>WSNC247169030D-PCG18K</t>
  </si>
  <si>
    <t>22251</t>
  </si>
  <si>
    <t>WSNC075026018D-PXX00W</t>
  </si>
  <si>
    <t>22252</t>
  </si>
  <si>
    <t>WPSA094080007Q-PGX15B</t>
  </si>
  <si>
    <t>22254</t>
  </si>
  <si>
    <t>WSNCE247PGMR47</t>
  </si>
  <si>
    <t>22255</t>
  </si>
  <si>
    <t>WSMP289208038D-PCR23K</t>
  </si>
  <si>
    <t>22256</t>
  </si>
  <si>
    <t>WSMP501409043D-PCR23K</t>
  </si>
  <si>
    <t>22257</t>
  </si>
  <si>
    <t>WSNC074037015D-PCR23K</t>
  </si>
  <si>
    <t>22258</t>
  </si>
  <si>
    <t>WSMP137077022D-PCR23K</t>
  </si>
  <si>
    <t>22259</t>
  </si>
  <si>
    <t>WSMP399312041D-PCR23K</t>
  </si>
  <si>
    <t>22260</t>
  </si>
  <si>
    <t>WSNC187137019D-PXX00W</t>
  </si>
  <si>
    <t>22261</t>
  </si>
  <si>
    <t>WSNC187137025D-PXX00W</t>
  </si>
  <si>
    <t>22264</t>
  </si>
  <si>
    <t>WSNC047018032D-PXX00W</t>
  </si>
  <si>
    <t>22265</t>
  </si>
  <si>
    <t>WPOT168137006D-PXX00W</t>
  </si>
  <si>
    <t>22267</t>
  </si>
  <si>
    <t>WPOT293250006D-PXX00W</t>
  </si>
  <si>
    <t>WSNC183151021S-PRX15K</t>
  </si>
  <si>
    <t>22269</t>
  </si>
  <si>
    <t>WPOT188172009D-PGM15K</t>
  </si>
  <si>
    <t>2-227</t>
  </si>
  <si>
    <t>WRJA202162025D-R450BK</t>
  </si>
  <si>
    <t>22270</t>
  </si>
  <si>
    <t>WSMP333320013D-PGX15W</t>
  </si>
  <si>
    <t>22271</t>
  </si>
  <si>
    <t>WSNC119106007D-PGM15K</t>
  </si>
  <si>
    <t>22272</t>
  </si>
  <si>
    <t>WSNC637595031S-PGX25W</t>
  </si>
  <si>
    <t>22273</t>
  </si>
  <si>
    <t>WPOT104050003D-PZX40N</t>
  </si>
  <si>
    <t>22275</t>
  </si>
  <si>
    <t>WSOR107057014D-DD125N</t>
  </si>
  <si>
    <t>22276</t>
  </si>
  <si>
    <t>WSNC043036003D-PGX25W</t>
  </si>
  <si>
    <t>22277</t>
  </si>
  <si>
    <t>WSNC046038003D-PGX25W</t>
  </si>
  <si>
    <t>22278</t>
  </si>
  <si>
    <t>WSNC055047003D-PGX25W</t>
  </si>
  <si>
    <t>22279</t>
  </si>
  <si>
    <t>WPSM074059003D-PGX25W</t>
  </si>
  <si>
    <t>22280</t>
  </si>
  <si>
    <t>WSNC080041013D-DV100N</t>
  </si>
  <si>
    <t>22282</t>
  </si>
  <si>
    <t>WPOS150118006S-PXX00W</t>
  </si>
  <si>
    <t>22283</t>
  </si>
  <si>
    <t>WSMP163132048S-PRX15K</t>
  </si>
  <si>
    <t>22284</t>
  </si>
  <si>
    <t>WSOR179122019D-DU200Y</t>
  </si>
  <si>
    <t>22285</t>
  </si>
  <si>
    <t>WSNC176122017D-PGX20W</t>
  </si>
  <si>
    <t>22286</t>
  </si>
  <si>
    <t>WSNC079041014D-PGX20W</t>
  </si>
  <si>
    <t>22287</t>
  </si>
  <si>
    <t>WSNC107057017D-PGX20W</t>
  </si>
  <si>
    <t>22288</t>
  </si>
  <si>
    <t>WSOR031020007S-DP037W</t>
  </si>
  <si>
    <t>22289</t>
  </si>
  <si>
    <t>WSOR008000035D-DP018N</t>
  </si>
  <si>
    <t>22290</t>
  </si>
  <si>
    <t>WSNC950550255D-MXX00W</t>
  </si>
  <si>
    <t>22291</t>
  </si>
  <si>
    <t>WSNC950550195D-MXX00W</t>
  </si>
  <si>
    <t>22292</t>
  </si>
  <si>
    <t>WSBR095055450D-MXX00W</t>
  </si>
  <si>
    <t>22293</t>
  </si>
  <si>
    <t>WSNC311261037D-PXX00W</t>
  </si>
  <si>
    <t>22294</t>
  </si>
  <si>
    <t>WSNC160101030D-PGX15W</t>
  </si>
  <si>
    <t>22295</t>
  </si>
  <si>
    <t>WSNC125110003D-BK12BN</t>
  </si>
  <si>
    <t>22296</t>
  </si>
  <si>
    <t>WSNC265235020D-PZX60N</t>
  </si>
  <si>
    <t>22297</t>
  </si>
  <si>
    <t>WPOT237200006D-PXX00W</t>
  </si>
  <si>
    <t>22298</t>
  </si>
  <si>
    <t>WSNC132126009D-DV150N</t>
  </si>
  <si>
    <t>22299</t>
  </si>
  <si>
    <t>WSNC112088150D-PGX25R</t>
  </si>
  <si>
    <t>22300</t>
  </si>
  <si>
    <t>WSNC665615041D-PCG10K</t>
  </si>
  <si>
    <t>22301</t>
  </si>
  <si>
    <t>WSNC325281006S-PXX00W</t>
  </si>
  <si>
    <t>22302</t>
  </si>
  <si>
    <t>WSNC369273037D-PXX00W</t>
  </si>
  <si>
    <t>22303</t>
  </si>
  <si>
    <t>WSSL183137028D-PXX00W</t>
  </si>
  <si>
    <t>22304</t>
  </si>
  <si>
    <t>WSNC062053003D-PGX25W</t>
  </si>
  <si>
    <t>22305</t>
  </si>
  <si>
    <t>WSNC094080003D-PGX25W</t>
  </si>
  <si>
    <t>22306</t>
  </si>
  <si>
    <t>WSNC112081003D-PGX25W</t>
  </si>
  <si>
    <t>22307</t>
  </si>
  <si>
    <t>WSNC150107009D-PGX25W</t>
  </si>
  <si>
    <t>22308</t>
  </si>
  <si>
    <t>WSNC200157009D-PGX25W</t>
  </si>
  <si>
    <t>22309</t>
  </si>
  <si>
    <t>WSNC136125050S-MXX00W</t>
  </si>
  <si>
    <t>2-231</t>
  </si>
  <si>
    <t>WRJC134103018D-R870AK</t>
  </si>
  <si>
    <t>22310</t>
  </si>
  <si>
    <t>WSNC255150033D-PXX00W</t>
  </si>
  <si>
    <t>22311</t>
  </si>
  <si>
    <t>WSNC255217028D-PXX00W</t>
  </si>
  <si>
    <t>22312</t>
  </si>
  <si>
    <t>WSNC330284043D-PXX00W</t>
  </si>
  <si>
    <t>22313</t>
  </si>
  <si>
    <t>WSNC089074009D-PXX00W</t>
  </si>
  <si>
    <t>22315</t>
  </si>
  <si>
    <t>WSMP331200031D-PNX25G</t>
  </si>
  <si>
    <t>22316</t>
  </si>
  <si>
    <t>WFFB057038010D-PXX00W</t>
  </si>
  <si>
    <t>22317</t>
  </si>
  <si>
    <t>WPSM087062006D-PXX00W</t>
  </si>
  <si>
    <t>22318</t>
  </si>
  <si>
    <t>WSMP145125050Q-PGX25W</t>
  </si>
  <si>
    <t>22319</t>
  </si>
  <si>
    <t>WSMP439355037D-PCG18K</t>
  </si>
  <si>
    <t>22320</t>
  </si>
  <si>
    <t>WPOT069047003D-PCG18K</t>
  </si>
  <si>
    <t>22321</t>
  </si>
  <si>
    <t>WPOT081059003D-PCG18K</t>
  </si>
  <si>
    <t>22322</t>
  </si>
  <si>
    <t>WSNC180142019D-PGX15W</t>
  </si>
  <si>
    <t>22323</t>
  </si>
  <si>
    <t>WSNC180142017D-PGX15W</t>
  </si>
  <si>
    <t>22324</t>
  </si>
  <si>
    <t>WSNC180142025D-PXX00W</t>
  </si>
  <si>
    <t>WSNC101068017D-PCG18K</t>
  </si>
  <si>
    <t>22326</t>
  </si>
  <si>
    <t>WSMP218150027D-PCG18K</t>
  </si>
  <si>
    <t>22331</t>
  </si>
  <si>
    <t>WSNC075050031D-PXX00W</t>
  </si>
  <si>
    <t>22332</t>
  </si>
  <si>
    <t>WSNC050036005D-PXX00W</t>
  </si>
  <si>
    <t>22333</t>
  </si>
  <si>
    <t>WSNC119009021D-PXX00W</t>
  </si>
  <si>
    <t>22337</t>
  </si>
  <si>
    <t>WSNC164112023D-BO17CK</t>
  </si>
  <si>
    <t>22338</t>
  </si>
  <si>
    <t>WSNC205151030D-PGX15W</t>
  </si>
  <si>
    <t>2-234</t>
  </si>
  <si>
    <t>WRJC051034015D-R470BK</t>
  </si>
  <si>
    <t>22340</t>
  </si>
  <si>
    <t>WSNC129098015D-PGX15W</t>
  </si>
  <si>
    <t>22341</t>
  </si>
  <si>
    <t>WSNC165126018D-PGX15W</t>
  </si>
  <si>
    <t>WSNC186149020D-PGX15W</t>
  </si>
  <si>
    <t>22343</t>
  </si>
  <si>
    <t>WSNC247200023D-PGX15W</t>
  </si>
  <si>
    <t>22344</t>
  </si>
  <si>
    <t>WPOT343300006D-PXX00W</t>
  </si>
  <si>
    <t>22345</t>
  </si>
  <si>
    <t>WSNC049044008D-PXX00W</t>
  </si>
  <si>
    <t>22346</t>
  </si>
  <si>
    <t>WSOT352336009D-PXX00W</t>
  </si>
  <si>
    <t>22349</t>
  </si>
  <si>
    <t>WSMP195165007S-PXX00W</t>
  </si>
  <si>
    <t>22350</t>
  </si>
  <si>
    <t>WSMP118075017D-PCG18K</t>
  </si>
  <si>
    <t>WSNC423341100D-PCG18K</t>
  </si>
  <si>
    <t>22353</t>
  </si>
  <si>
    <t>WFFL050025012D-PXX00W</t>
  </si>
  <si>
    <t>22354</t>
  </si>
  <si>
    <t>WSNC324250275D-PXX00W</t>
  </si>
  <si>
    <t>22355</t>
  </si>
  <si>
    <t>WSNC430383024D-PXX00W</t>
  </si>
  <si>
    <t>WSOR044033009D-DL050N</t>
  </si>
  <si>
    <t>22357</t>
  </si>
  <si>
    <t>WSOT061045002Q-PXX00W</t>
  </si>
  <si>
    <t>WFFL050026013D-MXX00W</t>
  </si>
  <si>
    <t>22359</t>
  </si>
  <si>
    <t>WPOS100076004S-PGX15W</t>
  </si>
  <si>
    <t>22360</t>
  </si>
  <si>
    <t>WSNC125074016D-PGX20W</t>
  </si>
  <si>
    <t>22362</t>
  </si>
  <si>
    <t>WSNC158051018D-PXX00W</t>
  </si>
  <si>
    <t>WPOT087063002D-PGX25W</t>
  </si>
  <si>
    <t>22365</t>
  </si>
  <si>
    <t>WSNC066050004D-DO087K</t>
  </si>
  <si>
    <t>WSNC080062023D-PXX00W</t>
  </si>
  <si>
    <t>22367</t>
  </si>
  <si>
    <t>WSNC145100023D-PXX00W</t>
  </si>
  <si>
    <t>22368</t>
  </si>
  <si>
    <t>WSNC327314011D-PGX15W</t>
  </si>
  <si>
    <t>2-237</t>
  </si>
  <si>
    <t>WRJC112041025D-R570AK</t>
  </si>
  <si>
    <t>22370</t>
  </si>
  <si>
    <t>WSNC347310007Q-PGX15W</t>
  </si>
  <si>
    <t>22372</t>
  </si>
  <si>
    <t>WSNC326250037D-PXX00W</t>
  </si>
  <si>
    <t>22373</t>
  </si>
  <si>
    <t>WSNC028015012D-DP037W</t>
  </si>
  <si>
    <t>22374</t>
  </si>
  <si>
    <t>WSNC034025004D-PXX00W</t>
  </si>
  <si>
    <t>WPOS049039002S-PXX00W</t>
  </si>
  <si>
    <t>WFFB108072023D-PXX00W</t>
  </si>
  <si>
    <t>WSMP112037003L-PRX15K</t>
  </si>
  <si>
    <t>WPSM267251012D-PXX00W</t>
  </si>
  <si>
    <t>WPSM366347011D-PXX00W</t>
  </si>
  <si>
    <t>22382</t>
  </si>
  <si>
    <t>WPOT110098006D-PXX00W</t>
  </si>
  <si>
    <t>WPOT148135007D-PXX00W</t>
  </si>
  <si>
    <t>WPOT094081006D-PXX00W</t>
  </si>
  <si>
    <t>WSNC541522011D-PXX00W</t>
  </si>
  <si>
    <t>22386</t>
  </si>
  <si>
    <t>WPOT191173010D-PXX00W</t>
  </si>
  <si>
    <t>22387</t>
  </si>
  <si>
    <t>WPOT080067011D-PZX40N</t>
  </si>
  <si>
    <t>22388</t>
  </si>
  <si>
    <t>WSNC211202012D-PXX00W</t>
  </si>
  <si>
    <t>22389</t>
  </si>
  <si>
    <t>WSNC293220027D-PGX15W</t>
  </si>
  <si>
    <t>22390</t>
  </si>
  <si>
    <t>WSNC392266045D-PCG18K</t>
  </si>
  <si>
    <t>22392</t>
  </si>
  <si>
    <t>WFFM175150013D-PXX00W</t>
  </si>
  <si>
    <t>22393</t>
  </si>
  <si>
    <t>WSNC153139011D-PGX25K</t>
  </si>
  <si>
    <t>22394</t>
  </si>
  <si>
    <t>WSNC237209018S-PGX25K</t>
  </si>
  <si>
    <t>22395</t>
  </si>
  <si>
    <t>WSNC134099006D-DK200N</t>
  </si>
  <si>
    <t>22396</t>
  </si>
  <si>
    <t>WPSM088062003D-PXX00W</t>
  </si>
  <si>
    <t>22397</t>
  </si>
  <si>
    <t>WSNC043031008D-PXX00W</t>
  </si>
  <si>
    <t>22398</t>
  </si>
  <si>
    <t>WPOT201178011D-PGX15W</t>
  </si>
  <si>
    <t>22399</t>
  </si>
  <si>
    <t>WPOS109096009S-PZF30N</t>
  </si>
  <si>
    <t>22400</t>
  </si>
  <si>
    <t>WSMP198104034D-USX50S</t>
  </si>
  <si>
    <t>22404</t>
  </si>
  <si>
    <t>WSNC080062005S-PXX00W</t>
  </si>
  <si>
    <t>22405</t>
  </si>
  <si>
    <t>WSNC099075005S-PXX00W</t>
  </si>
  <si>
    <t>22406</t>
  </si>
  <si>
    <t>WSNC212175006S-PXX00W</t>
  </si>
  <si>
    <t>WPSA050031005D-PGX25W</t>
  </si>
  <si>
    <t>WPSA066044005D-PGX25W</t>
  </si>
  <si>
    <t>WPOT100062005D-PGX25W</t>
  </si>
  <si>
    <t>22411</t>
  </si>
  <si>
    <t>WPOT125075005D-PGX25W</t>
  </si>
  <si>
    <t>22412</t>
  </si>
  <si>
    <t>WFFB148112008D-PGX25W</t>
  </si>
  <si>
    <t>WPOT173124008D-PGX25W</t>
  </si>
  <si>
    <t>22414</t>
  </si>
  <si>
    <t>WPOT094082006D-PGX25W</t>
  </si>
  <si>
    <t>22415</t>
  </si>
  <si>
    <t>WPOT199150009D-PGX25W</t>
  </si>
  <si>
    <t>22416</t>
  </si>
  <si>
    <t>WSNC331307012D-PXX00W</t>
  </si>
  <si>
    <t>22417</t>
  </si>
  <si>
    <t>WPSS200162006S-PGX25W</t>
  </si>
  <si>
    <t>22418</t>
  </si>
  <si>
    <t>WSNC287167003D-PPC15K</t>
  </si>
  <si>
    <t>22419</t>
  </si>
  <si>
    <t>WSNC099000037D-PGX25W</t>
  </si>
  <si>
    <t>WPOT326312007D-PGX15W</t>
  </si>
  <si>
    <t>22421</t>
  </si>
  <si>
    <t>WSNC353348010D-PXX00W</t>
  </si>
  <si>
    <t>22422</t>
  </si>
  <si>
    <t>WPOS176152004D-PGX25W</t>
  </si>
  <si>
    <t>WPOT078061012D-PXX00W</t>
  </si>
  <si>
    <t>22424</t>
  </si>
  <si>
    <t>WSNC082063004D-PXX00W</t>
  </si>
  <si>
    <t>22425</t>
  </si>
  <si>
    <t>WSNC090081009D-PXX00W</t>
  </si>
  <si>
    <t>WPOT111086009D-PGX25W</t>
  </si>
  <si>
    <t>22427</t>
  </si>
  <si>
    <t>WSNC177161009S-PZF30N</t>
  </si>
  <si>
    <t>22428</t>
  </si>
  <si>
    <t>WSMP205093058D-PXX00W</t>
  </si>
  <si>
    <t>22429</t>
  </si>
  <si>
    <t>WSNC255143059D-PXX00W</t>
  </si>
  <si>
    <t>22430</t>
  </si>
  <si>
    <t>WSNC027004060D-DP037W</t>
  </si>
  <si>
    <t>22431</t>
  </si>
  <si>
    <t>WSNC027013100D-DP037W</t>
  </si>
  <si>
    <t>22432</t>
  </si>
  <si>
    <t>WSSL241200018D-PXX00W</t>
  </si>
  <si>
    <t>WSNC061030012D-MRX10K</t>
  </si>
  <si>
    <t>22434</t>
  </si>
  <si>
    <t>WSOR112100003D-BN12CN</t>
  </si>
  <si>
    <t>22435</t>
  </si>
  <si>
    <t>WSNC429424010D-PXX00W</t>
  </si>
  <si>
    <t>22436</t>
  </si>
  <si>
    <t>WSMP199000027D-PZX40N</t>
  </si>
  <si>
    <t>22438</t>
  </si>
  <si>
    <t>WSOT282265005D-PGX15W</t>
  </si>
  <si>
    <t>22439</t>
  </si>
  <si>
    <t>WPOT336316004D-PGX15W</t>
  </si>
  <si>
    <t>22440</t>
  </si>
  <si>
    <t>WPOT330310004D-PGX15W</t>
  </si>
  <si>
    <t>22444</t>
  </si>
  <si>
    <t>WSNC136120012D-PXX00W</t>
  </si>
  <si>
    <t>22446</t>
  </si>
  <si>
    <t>WSNC112087005S-PGX15W</t>
  </si>
  <si>
    <t>22453</t>
  </si>
  <si>
    <t>WSMP133102098D-PGX15W</t>
  </si>
  <si>
    <t>WPOT197185009D-PGR25K</t>
  </si>
  <si>
    <t>22456</t>
  </si>
  <si>
    <t>WSOR025016049D-DD037N</t>
  </si>
  <si>
    <t>22458</t>
  </si>
  <si>
    <t>WSNC086058018D-PXX00W</t>
  </si>
  <si>
    <t>22460</t>
  </si>
  <si>
    <t>WSNC099000017D-PZX40N</t>
  </si>
  <si>
    <t>WPOT383370011D-PXX00W</t>
  </si>
  <si>
    <t>WSNC093000046D-PXX00W</t>
  </si>
  <si>
    <t>22463</t>
  </si>
  <si>
    <t>WSNC260254038S-BR26KK</t>
  </si>
  <si>
    <t>WPOT148136006D-PXX00W</t>
  </si>
  <si>
    <t>22465</t>
  </si>
  <si>
    <t>WSNC064036200D-PXX00W</t>
  </si>
  <si>
    <t>22467</t>
  </si>
  <si>
    <t>WSNC077050014D-DV087W</t>
  </si>
  <si>
    <t>22468</t>
  </si>
  <si>
    <t>WSNC031005067D-PGX10W</t>
  </si>
  <si>
    <t>22471</t>
  </si>
  <si>
    <t>WSNC062037006D-PGX15W</t>
  </si>
  <si>
    <t>22472</t>
  </si>
  <si>
    <t>WPOT075048003D-PGX15W</t>
  </si>
  <si>
    <t>22473</t>
  </si>
  <si>
    <t>WSNC225194006D-PYX15Y</t>
  </si>
  <si>
    <t>22474</t>
  </si>
  <si>
    <t>WSNC125086006D-PYX15Y</t>
  </si>
  <si>
    <t>WSNC180031063D-PXX00W</t>
  </si>
  <si>
    <t>22476</t>
  </si>
  <si>
    <t>WSNC125031050D-PXX00W</t>
  </si>
  <si>
    <t>22477</t>
  </si>
  <si>
    <t>WSNC199161020D-PGX25W</t>
  </si>
  <si>
    <t>22478</t>
  </si>
  <si>
    <t>WSMP162125028D-BA17DN</t>
  </si>
  <si>
    <t>22479</t>
  </si>
  <si>
    <t>WSMP305193058D-PXX00W</t>
  </si>
  <si>
    <t>22480</t>
  </si>
  <si>
    <t>WSNC076049015D-PXX00W</t>
  </si>
  <si>
    <t>22481</t>
  </si>
  <si>
    <t>WSNC158138017D-PZX40N</t>
  </si>
  <si>
    <t>22482</t>
  </si>
  <si>
    <t>WSNC115085022D-DD125N</t>
  </si>
  <si>
    <t>22483</t>
  </si>
  <si>
    <t>WPOT101000011D-PFX15K</t>
  </si>
  <si>
    <t>22485</t>
  </si>
  <si>
    <t>WPOT237231009D-PXX00W</t>
  </si>
  <si>
    <t>22486</t>
  </si>
  <si>
    <t>WSNC125088155D-PGX25R</t>
  </si>
  <si>
    <t>22487</t>
  </si>
  <si>
    <t>WSLD655580018D-PXX00W</t>
  </si>
  <si>
    <t>22488</t>
  </si>
  <si>
    <t>WSLD856781018D-PXX00W</t>
  </si>
  <si>
    <t>22489</t>
  </si>
  <si>
    <t>WSNC255236004D-PXX00W</t>
  </si>
  <si>
    <t>22490</t>
  </si>
  <si>
    <t>WSSL212174020D-PGX15B</t>
  </si>
  <si>
    <t>22491</t>
  </si>
  <si>
    <t>WSNC104098012D-PXX00W</t>
  </si>
  <si>
    <t>22492</t>
  </si>
  <si>
    <t>WSOT226215005D-PGX25B</t>
  </si>
  <si>
    <t>22493</t>
  </si>
  <si>
    <t>WSMP150113021D-DX175N</t>
  </si>
  <si>
    <t>22494</t>
  </si>
  <si>
    <t>WSNC150075059D-PXX00B</t>
  </si>
  <si>
    <t>22495</t>
  </si>
  <si>
    <t>WSNC205093058D-PXX00B</t>
  </si>
  <si>
    <t>22496</t>
  </si>
  <si>
    <t>WSNC255200059D-PXX00B</t>
  </si>
  <si>
    <t>22497</t>
  </si>
  <si>
    <t>WSNC305193058D-PXX00B</t>
  </si>
  <si>
    <t>22498</t>
  </si>
  <si>
    <t>WSNC388350019D-PXX00W</t>
  </si>
  <si>
    <t>WSMP200163007S-PGX15W</t>
  </si>
  <si>
    <t>22500</t>
  </si>
  <si>
    <t>WSSL149102015D-MXX00W</t>
  </si>
  <si>
    <t>WSSL199149023D-MXX00W</t>
  </si>
  <si>
    <t>WSSL254204023D-MXX00W</t>
  </si>
  <si>
    <t>22503</t>
  </si>
  <si>
    <t>WSNC503445006S-PXX00W</t>
  </si>
  <si>
    <t>22504</t>
  </si>
  <si>
    <t>WSNC107000009D-DD125N</t>
  </si>
  <si>
    <t>22505</t>
  </si>
  <si>
    <t>WSNC046038003D-DU062N</t>
  </si>
  <si>
    <t>22506</t>
  </si>
  <si>
    <t>WSNC087031004D-PMX05K</t>
  </si>
  <si>
    <t>22507</t>
  </si>
  <si>
    <t>WSNC075022002D-PXX00W</t>
  </si>
  <si>
    <t>22508</t>
  </si>
  <si>
    <t>WSNC105068059O-PXX00W</t>
  </si>
  <si>
    <t>22509</t>
  </si>
  <si>
    <t>WSNC105068059D-PXX00B</t>
  </si>
  <si>
    <t>22510</t>
  </si>
  <si>
    <t>WSNC406293059D-PXX00W</t>
  </si>
  <si>
    <t>22511</t>
  </si>
  <si>
    <t>WSNC406293059D-PXX00B</t>
  </si>
  <si>
    <t>22512</t>
  </si>
  <si>
    <t>WSNC398384009D-PXX00B</t>
  </si>
  <si>
    <t>22513</t>
  </si>
  <si>
    <t>WPOT265251008D-GCX25K</t>
  </si>
  <si>
    <t>22514</t>
  </si>
  <si>
    <t>WSNC189174011D-PXX00B</t>
  </si>
  <si>
    <t>22515</t>
  </si>
  <si>
    <t>WSNC394381011D-PXX00W</t>
  </si>
  <si>
    <t>22516</t>
  </si>
  <si>
    <t>WSNC206195011D-GCX25K</t>
  </si>
  <si>
    <t>22517</t>
  </si>
  <si>
    <t>WSNC169162013D-PXX00W</t>
  </si>
  <si>
    <t>WPOT197183010D-PGX15G</t>
  </si>
  <si>
    <t>22519</t>
  </si>
  <si>
    <t>WSNC605491061D-PXX00W</t>
  </si>
  <si>
    <t>22520</t>
  </si>
  <si>
    <t>WSMP605491061D-PXX00B</t>
  </si>
  <si>
    <t>22521</t>
  </si>
  <si>
    <t>WSNC072054006D-PZF30N</t>
  </si>
  <si>
    <t>22522</t>
  </si>
  <si>
    <t>WSMP275263008D-PGX25W</t>
  </si>
  <si>
    <t>22523</t>
  </si>
  <si>
    <t>WSNC035012038D-DN037N</t>
  </si>
  <si>
    <t>22524</t>
  </si>
  <si>
    <t>WSNC397349006D-PGX15W</t>
  </si>
  <si>
    <t>22525</t>
  </si>
  <si>
    <t>WSNC128102012S-PXX00W</t>
  </si>
  <si>
    <t>22526</t>
  </si>
  <si>
    <t>WSNC225200012D-PXX00W</t>
  </si>
  <si>
    <t>22528</t>
  </si>
  <si>
    <t>WSOT178158007D-PGX20W</t>
  </si>
  <si>
    <t>22530</t>
  </si>
  <si>
    <t>WSNC193138000D-PXX00W</t>
  </si>
  <si>
    <t>22534</t>
  </si>
  <si>
    <t>WSNC298261015D-PXX00W</t>
  </si>
  <si>
    <t>22535</t>
  </si>
  <si>
    <t>WFFH240187035D-PXX00W</t>
  </si>
  <si>
    <t>22536</t>
  </si>
  <si>
    <t>WFFH240187035D-PXX00B</t>
  </si>
  <si>
    <t>22537</t>
  </si>
  <si>
    <t>WSNC298235008D-PXX00W</t>
  </si>
  <si>
    <t>22538</t>
  </si>
  <si>
    <t>WSNC195163041D-PGX25W</t>
  </si>
  <si>
    <t>WPOT100050002D-PFX15K</t>
  </si>
  <si>
    <t>22541</t>
  </si>
  <si>
    <t>WSNC153143007D-PGX15W</t>
  </si>
  <si>
    <t>WSNC285272010D-PGX15B</t>
  </si>
  <si>
    <t>22543</t>
  </si>
  <si>
    <t>WSMP197183010O-PGX25W</t>
  </si>
  <si>
    <t>22544</t>
  </si>
  <si>
    <t>WPOT128116006D-PRX10K</t>
  </si>
  <si>
    <t>22545</t>
  </si>
  <si>
    <t>WSOT326310010D-PXX00W</t>
  </si>
  <si>
    <t>22546</t>
  </si>
  <si>
    <t>WSOR059047090D-DD062N</t>
  </si>
  <si>
    <t>22548</t>
  </si>
  <si>
    <t>WSOR072061099D-DD075N</t>
  </si>
  <si>
    <t>22549</t>
  </si>
  <si>
    <t>WSNC026018049D-DD037N</t>
  </si>
  <si>
    <t>22551</t>
  </si>
  <si>
    <t>WSNC136126018D-PXX00W</t>
  </si>
  <si>
    <t>22552</t>
  </si>
  <si>
    <t>WSMPE208PXXR47</t>
  </si>
  <si>
    <t>22554</t>
  </si>
  <si>
    <t>WFFL148087030D-PGX15W</t>
  </si>
  <si>
    <t>22555</t>
  </si>
  <si>
    <t>WPOT050031003D-PXX00W</t>
  </si>
  <si>
    <t>22556</t>
  </si>
  <si>
    <t>WSMP277254011S-PGX15Y</t>
  </si>
  <si>
    <t>22557</t>
  </si>
  <si>
    <t>WSNC124087022D-PXX00W</t>
  </si>
  <si>
    <t>22559</t>
  </si>
  <si>
    <t>WSOR021015012D-DA025N</t>
  </si>
  <si>
    <t>22560</t>
  </si>
  <si>
    <t>WSNC328266196D-PGX25W</t>
  </si>
  <si>
    <t>22561</t>
  </si>
  <si>
    <t>WSNC180156009B-PXX00W</t>
  </si>
  <si>
    <t>22562</t>
  </si>
  <si>
    <t>WFFH197085018D-PXX00W</t>
  </si>
  <si>
    <t>22563</t>
  </si>
  <si>
    <t>WPOT337323007D-PGX15W</t>
  </si>
  <si>
    <t>WPSS098086024B-PFX15K</t>
  </si>
  <si>
    <t>22565</t>
  </si>
  <si>
    <t>WSLD655580018D-PXX00B</t>
  </si>
  <si>
    <t>22566</t>
  </si>
  <si>
    <t>WPOT204196007D-PGX15B</t>
  </si>
  <si>
    <t>22567</t>
  </si>
  <si>
    <t>WSNC168150012D-PXX00W</t>
  </si>
  <si>
    <t>WSNC062051005D-PCR23K</t>
  </si>
  <si>
    <t>WPOT062055035D-PXX00W</t>
  </si>
  <si>
    <t>WPOT047039035D-PXX00W</t>
  </si>
  <si>
    <t>22571</t>
  </si>
  <si>
    <t>WSOR132096011D-DU150Y</t>
  </si>
  <si>
    <t>22573</t>
  </si>
  <si>
    <t>WSNC222177019D-PXX00W</t>
  </si>
  <si>
    <t>WFFH197136018D-PXX00B</t>
  </si>
  <si>
    <t>WFFH251186018D-PXX00B</t>
  </si>
  <si>
    <t>22576</t>
  </si>
  <si>
    <t>WFFH304236018D-PXX00B</t>
  </si>
  <si>
    <t>22577</t>
  </si>
  <si>
    <t>WFFH357286018D-PXX00B</t>
  </si>
  <si>
    <t>WFFH467381018D-PXX00B</t>
  </si>
  <si>
    <t>22579</t>
  </si>
  <si>
    <t>WSNC163147016D-PGX15W</t>
  </si>
  <si>
    <t>22580</t>
  </si>
  <si>
    <t>WPOT047039027D-PXX00W</t>
  </si>
  <si>
    <t>22581</t>
  </si>
  <si>
    <t>WSNC055047047D-PXX00W</t>
  </si>
  <si>
    <t>WFFH345287038D-PXX00W</t>
  </si>
  <si>
    <t>WFFH344288037D-PXX00B</t>
  </si>
  <si>
    <t>22584</t>
  </si>
  <si>
    <t>WSNC051029022D-MXX00W</t>
  </si>
  <si>
    <t>22585</t>
  </si>
  <si>
    <t>WSNC068025009D-PXX00W</t>
  </si>
  <si>
    <t>22586</t>
  </si>
  <si>
    <t>WSNC328283006S-PXX00W</t>
  </si>
  <si>
    <t>22587</t>
  </si>
  <si>
    <t>WSOR062000029D-DY100G</t>
  </si>
  <si>
    <t>22588</t>
  </si>
  <si>
    <t>WSOR104063008D-DN150K</t>
  </si>
  <si>
    <t>22589</t>
  </si>
  <si>
    <t>WSOR019000020D-DN025K</t>
  </si>
  <si>
    <t>WSOR045018031D-DN050K</t>
  </si>
  <si>
    <t>22591</t>
  </si>
  <si>
    <t>WSNC100017092D-DN150K</t>
  </si>
  <si>
    <t>22592</t>
  </si>
  <si>
    <t>WSNC523475018D-PXX00W</t>
  </si>
  <si>
    <t>22594</t>
  </si>
  <si>
    <t>WSNC189136017D-PGX20W</t>
  </si>
  <si>
    <t>22595</t>
  </si>
  <si>
    <t>WSNC064036168D-PXX00W</t>
  </si>
  <si>
    <t>22596</t>
  </si>
  <si>
    <t>WFFH185139035D-PXX00W</t>
  </si>
  <si>
    <t>22597</t>
  </si>
  <si>
    <t>WFFH292239035D-PXX00W</t>
  </si>
  <si>
    <t>22598</t>
  </si>
  <si>
    <t>WFFH291238035D-PXX00B</t>
  </si>
  <si>
    <t>22600</t>
  </si>
  <si>
    <t>WPOT276255011D-PGX15B</t>
  </si>
  <si>
    <t>WSMP154140007O-PGX15W</t>
  </si>
  <si>
    <t>22602</t>
  </si>
  <si>
    <t>WSNC400351006S-PXX00W</t>
  </si>
  <si>
    <t>22603</t>
  </si>
  <si>
    <t>WSNC300275037S-PZX40N</t>
  </si>
  <si>
    <t>22604</t>
  </si>
  <si>
    <t>WSMP387362037S-PZX40N</t>
  </si>
  <si>
    <t>22605</t>
  </si>
  <si>
    <t>WSNC024005008D-DA025N</t>
  </si>
  <si>
    <t>22606</t>
  </si>
  <si>
    <t>WSNC027004060D-PXX00B</t>
  </si>
  <si>
    <t>22607</t>
  </si>
  <si>
    <t>WSNC027004060D-PXX00Y</t>
  </si>
  <si>
    <t>22608</t>
  </si>
  <si>
    <t>WSNC027004060D-PXX00R</t>
  </si>
  <si>
    <t>22609</t>
  </si>
  <si>
    <t>WSNC027013100D-PXX00B</t>
  </si>
  <si>
    <t>22610</t>
  </si>
  <si>
    <t>WSNC027013100D-PXX00Y</t>
  </si>
  <si>
    <t>22611</t>
  </si>
  <si>
    <t>WSNC027013100D-PXX00R</t>
  </si>
  <si>
    <t>WPSM093071011D-PXX00W</t>
  </si>
  <si>
    <t>22613</t>
  </si>
  <si>
    <t>WSNC100083003S-PGX25W</t>
  </si>
  <si>
    <t>WSNC420407011D-PGX15W</t>
  </si>
  <si>
    <t>WSNC197109034D-PXX00W</t>
  </si>
  <si>
    <t>22616</t>
  </si>
  <si>
    <t>WPSA075064006D-PXX00W</t>
  </si>
  <si>
    <t>22617</t>
  </si>
  <si>
    <t>WSNC201160032D-PXX00W</t>
  </si>
  <si>
    <t>22618</t>
  </si>
  <si>
    <t>WSNC033011005D-MXX00W</t>
  </si>
  <si>
    <t>22619</t>
  </si>
  <si>
    <t>WSNC403352006S-PXX00W</t>
  </si>
  <si>
    <t>22620</t>
  </si>
  <si>
    <t>WSNC337284020D-PXX00W</t>
  </si>
  <si>
    <t>22621</t>
  </si>
  <si>
    <t>WSNC490434020D-PXX00W</t>
  </si>
  <si>
    <t>22622</t>
  </si>
  <si>
    <t>WSMP182132025D-PGX25W</t>
  </si>
  <si>
    <t>WSNC090074016D-PGX15W</t>
  </si>
  <si>
    <t>22624</t>
  </si>
  <si>
    <t>WSNC249225012S-PXX00W</t>
  </si>
  <si>
    <t>22625</t>
  </si>
  <si>
    <t>WSNC050009037D-DN062N</t>
  </si>
  <si>
    <t>22626</t>
  </si>
  <si>
    <t>WPOT204176012D-PXX00W</t>
  </si>
  <si>
    <t>22628</t>
  </si>
  <si>
    <t>WSNC661567026D-PCF18K</t>
  </si>
  <si>
    <t>22629</t>
  </si>
  <si>
    <t>WSNC315275095D-PRX15K</t>
  </si>
  <si>
    <t>22630</t>
  </si>
  <si>
    <t>WSNC077050014D-PCG18K</t>
  </si>
  <si>
    <t>22632</t>
  </si>
  <si>
    <t>WFFL086043017D-PXX00W</t>
  </si>
  <si>
    <t>22633</t>
  </si>
  <si>
    <t>WFFL086064017D-PXX00W</t>
  </si>
  <si>
    <t>22634</t>
  </si>
  <si>
    <t>WFFH240187034D-PXX00W</t>
  </si>
  <si>
    <t>22635</t>
  </si>
  <si>
    <t>WFFH240187043D-PXX00W</t>
  </si>
  <si>
    <t>WFFH293239034D-PXX00W</t>
  </si>
  <si>
    <t>WFFH294238043D-PXX00W</t>
  </si>
  <si>
    <t>22638</t>
  </si>
  <si>
    <t>WFFH343289036D-PXX00W</t>
  </si>
  <si>
    <t>WFFH344287047D-PXX00W</t>
  </si>
  <si>
    <t>22640</t>
  </si>
  <si>
    <t>WSLD856781018D-PXX00B</t>
  </si>
  <si>
    <t>22644</t>
  </si>
  <si>
    <t>WSNC087062051D-PXX00W</t>
  </si>
  <si>
    <t>22645</t>
  </si>
  <si>
    <t>WSNC888775006D-PXX00W</t>
  </si>
  <si>
    <t>WFFH501387020D-PXX00W</t>
  </si>
  <si>
    <t>22647</t>
  </si>
  <si>
    <t>WSNC292223020D-PGX25W</t>
  </si>
  <si>
    <t>WSNC190174016D-PGX15W</t>
  </si>
  <si>
    <t>22649</t>
  </si>
  <si>
    <t>WSNC075050012D-PXX00W</t>
  </si>
  <si>
    <t>22650</t>
  </si>
  <si>
    <t>WPOT274225007D-PCR23K</t>
  </si>
  <si>
    <t>22651</t>
  </si>
  <si>
    <t>WPSM100037002Q-PGX15W</t>
  </si>
  <si>
    <t>22652</t>
  </si>
  <si>
    <t>WSNC100086007D-PCR23K</t>
  </si>
  <si>
    <t>22654</t>
  </si>
  <si>
    <t>WFFB108081015D-PXX00W</t>
  </si>
  <si>
    <t>22655</t>
  </si>
  <si>
    <t>WSNC212131026D-PXX00W</t>
  </si>
  <si>
    <t>22656</t>
  </si>
  <si>
    <t>WSMP236165028B-PGX25W</t>
  </si>
  <si>
    <t>22657</t>
  </si>
  <si>
    <t>WSNC055037031D-PXX00W</t>
  </si>
  <si>
    <t>22658</t>
  </si>
  <si>
    <t>WSNC037025031D-PXX00W</t>
  </si>
  <si>
    <t>22660</t>
  </si>
  <si>
    <t>WSNC038029005S-PXX00W</t>
  </si>
  <si>
    <t>22661</t>
  </si>
  <si>
    <t>WSNC112095003S-PGX25W</t>
  </si>
  <si>
    <t>22662</t>
  </si>
  <si>
    <t>WFFH185139035D-PXX00B</t>
  </si>
  <si>
    <t>22663</t>
  </si>
  <si>
    <t>WSNC528429034D-PXX00W</t>
  </si>
  <si>
    <t>22664</t>
  </si>
  <si>
    <t>WSNC087068016D-PXX00W</t>
  </si>
  <si>
    <t>22665</t>
  </si>
  <si>
    <t>WSMP692579006D-PXX00W</t>
  </si>
  <si>
    <t>22666</t>
  </si>
  <si>
    <t>WPSM448436009Q-PGX15W</t>
  </si>
  <si>
    <t>22667</t>
  </si>
  <si>
    <t>WSNC088063012D-PXX00W</t>
  </si>
  <si>
    <t>22668</t>
  </si>
  <si>
    <t>WSNC151123015D-PRX15K</t>
  </si>
  <si>
    <t>22669</t>
  </si>
  <si>
    <t>WSNC021012021D-DA025N</t>
  </si>
  <si>
    <t>22670</t>
  </si>
  <si>
    <t>WPOT056037006D-PXX00W</t>
  </si>
  <si>
    <t>22672</t>
  </si>
  <si>
    <t>WSNC125105013D-PXX00W</t>
  </si>
  <si>
    <t>WPOT142130007D-PGX15B</t>
  </si>
  <si>
    <t>22674</t>
  </si>
  <si>
    <t>WPSM067024002Q-PGX25W</t>
  </si>
  <si>
    <t>22675</t>
  </si>
  <si>
    <t>WPOS074062012S-PGX15W</t>
  </si>
  <si>
    <t>22676</t>
  </si>
  <si>
    <t>WPOS187175024S-PGX15W</t>
  </si>
  <si>
    <t>22677</t>
  </si>
  <si>
    <t>WSNC056044012D-PGX15W</t>
  </si>
  <si>
    <t>WPOS137125012S-PGX15W</t>
  </si>
  <si>
    <t>22679</t>
  </si>
  <si>
    <t>WPOS199187018S-PGX15W</t>
  </si>
  <si>
    <t>WPOS099087012D-PGX15W</t>
  </si>
  <si>
    <t>22681</t>
  </si>
  <si>
    <t>WSNC175164017D-PGM15K</t>
  </si>
  <si>
    <t>WPOT260249007D-PGX15W</t>
  </si>
  <si>
    <t>22685</t>
  </si>
  <si>
    <t>WPSM113100015Q-PGX25B</t>
  </si>
  <si>
    <t>22686</t>
  </si>
  <si>
    <t>WPSM125111015Q-PGX25B</t>
  </si>
  <si>
    <t>22687</t>
  </si>
  <si>
    <t>WSNC233215004D-PYX07W</t>
  </si>
  <si>
    <t>22688</t>
  </si>
  <si>
    <t>WSNC384366004D-PYX07W</t>
  </si>
  <si>
    <t>22689</t>
  </si>
  <si>
    <t>WFFS143120150D-PXX00W</t>
  </si>
  <si>
    <t>WFFL900450200L-PRX15K</t>
  </si>
  <si>
    <t>22691</t>
  </si>
  <si>
    <t>WSNC025014015D-DP037W</t>
  </si>
  <si>
    <t>22692</t>
  </si>
  <si>
    <t>WSMP147110007D-DA162N</t>
  </si>
  <si>
    <t>22694</t>
  </si>
  <si>
    <t>WSNC045036007D-PFX15K</t>
  </si>
  <si>
    <t>22695</t>
  </si>
  <si>
    <t>WFFL092042039Q-PXX00W</t>
  </si>
  <si>
    <t>22696</t>
  </si>
  <si>
    <t>WSMP113093199Q-PXX00W</t>
  </si>
  <si>
    <t>22697</t>
  </si>
  <si>
    <t>WSMP113038255Q-PXX00W</t>
  </si>
  <si>
    <t>22698</t>
  </si>
  <si>
    <t>WSNC107000169Q-PXX00W</t>
  </si>
  <si>
    <t>22700</t>
  </si>
  <si>
    <t>WSMP113038141Q-PXX00W</t>
  </si>
  <si>
    <t>WPOT205190007D-PGX15B</t>
  </si>
  <si>
    <t>22702</t>
  </si>
  <si>
    <t>WPOT284276007D-PGX15W</t>
  </si>
  <si>
    <t>WPOT187168007D-PRX15K</t>
  </si>
  <si>
    <t>22705</t>
  </si>
  <si>
    <t>WSNC602582009D-PGM05K</t>
  </si>
  <si>
    <t>22706</t>
  </si>
  <si>
    <t>WSNC206192025D-PGX25W</t>
  </si>
  <si>
    <t>22707</t>
  </si>
  <si>
    <t>WSNC037031003D-DU075N</t>
  </si>
  <si>
    <t>22708</t>
  </si>
  <si>
    <t>WSMP100087009S-PGX25W</t>
  </si>
  <si>
    <t>22709</t>
  </si>
  <si>
    <t>WPOT148130009D-PRX15K</t>
  </si>
  <si>
    <t>WSNC112099010D-MXX00T</t>
  </si>
  <si>
    <t>22711</t>
  </si>
  <si>
    <t>WSNC344275058D-PXX00W</t>
  </si>
  <si>
    <t>22712</t>
  </si>
  <si>
    <t>WPOT140124019D-PGX15W</t>
  </si>
  <si>
    <t>WSNC122096011D-PXX00W</t>
  </si>
  <si>
    <t>22714</t>
  </si>
  <si>
    <t>WPFM100077116D-PXX00W</t>
  </si>
  <si>
    <t>22715</t>
  </si>
  <si>
    <t>WSMP066041017D-PXX00W</t>
  </si>
  <si>
    <t>22716</t>
  </si>
  <si>
    <t>WSNC332261081D-MXX00W</t>
  </si>
  <si>
    <t>WSMPM202011MXX</t>
  </si>
  <si>
    <t>22719</t>
  </si>
  <si>
    <t>WPOT103085009D-PXX00W</t>
  </si>
  <si>
    <t>2-272</t>
  </si>
  <si>
    <t>WRJC187139017D-R460AR</t>
  </si>
  <si>
    <t>22720</t>
  </si>
  <si>
    <t>WPOT233214009D-PXX00W</t>
  </si>
  <si>
    <t>22721</t>
  </si>
  <si>
    <t>WSNC063048013D-PXX00W</t>
  </si>
  <si>
    <t>WPOT177158012D-GGX15B</t>
  </si>
  <si>
    <t>22724</t>
  </si>
  <si>
    <t>WPOT290277008D-PGX15W</t>
  </si>
  <si>
    <t>WPSM125111009D-PGX15W</t>
  </si>
  <si>
    <t>22726</t>
  </si>
  <si>
    <t>WPSM112099011Q-PGX25R</t>
  </si>
  <si>
    <t>22727</t>
  </si>
  <si>
    <t>WPSA104084106D-PXX00W</t>
  </si>
  <si>
    <t>22728</t>
  </si>
  <si>
    <t>WSNC118105012Z-PGX25W</t>
  </si>
  <si>
    <t>22729</t>
  </si>
  <si>
    <t>WSNC245232021D-PGX25W</t>
  </si>
  <si>
    <t>WFFL086050014D-PXX00W</t>
  </si>
  <si>
    <t>WFFB115075015D-PXX00W</t>
  </si>
  <si>
    <t>22732</t>
  </si>
  <si>
    <t>WFFL143102025D-PXX00W</t>
  </si>
  <si>
    <t>22733</t>
  </si>
  <si>
    <t>WFFH200150030D-PXX00W</t>
  </si>
  <si>
    <t>WFFH254200032D-PXX00W</t>
  </si>
  <si>
    <t>WFFH312244038D-PXX00W</t>
  </si>
  <si>
    <t>22736</t>
  </si>
  <si>
    <t>WFFH373293041D-PXX00W</t>
  </si>
  <si>
    <t>22737</t>
  </si>
  <si>
    <t>WPOT151137007D-PXX00W</t>
  </si>
  <si>
    <t>22738</t>
  </si>
  <si>
    <t>WSNC176125015D-MPX15W</t>
  </si>
  <si>
    <t>22740</t>
  </si>
  <si>
    <t>WSNC027012120D-DP037W</t>
  </si>
  <si>
    <t>WSMP250224259D-PXX00W</t>
  </si>
  <si>
    <t>22742</t>
  </si>
  <si>
    <t>WSNC070025188D-DN075K</t>
  </si>
  <si>
    <t>22743</t>
  </si>
  <si>
    <t>WPOT256242009D-PGX15W</t>
  </si>
  <si>
    <t>22744</t>
  </si>
  <si>
    <t>WFFH185139033D-PXX00W</t>
  </si>
  <si>
    <t>22745</t>
  </si>
  <si>
    <t>WFFH240187031D-PXX00W</t>
  </si>
  <si>
    <t>WFFH343289033D-PXX00W</t>
  </si>
  <si>
    <t>22749</t>
  </si>
  <si>
    <t>WSMP304225018D-PXX00W</t>
  </si>
  <si>
    <t>2-275</t>
  </si>
  <si>
    <t>WRJA250203018D-R460AK</t>
  </si>
  <si>
    <t>22750</t>
  </si>
  <si>
    <t>WSNC347273013D-PCF18K</t>
  </si>
  <si>
    <t>WSNC446373013D-PCF18K</t>
  </si>
  <si>
    <t>22752</t>
  </si>
  <si>
    <t>WSNC649571017D-MCF18K</t>
  </si>
  <si>
    <t>22753</t>
  </si>
  <si>
    <t>WSNC848768017D-MCF18K</t>
  </si>
  <si>
    <t>22754</t>
  </si>
  <si>
    <t>WPOS147134024S-PYX20Y</t>
  </si>
  <si>
    <t>22755</t>
  </si>
  <si>
    <t>WPOS055042024S-PYX20Y</t>
  </si>
  <si>
    <t>22756</t>
  </si>
  <si>
    <t>WFFH412334017D-PXX00W</t>
  </si>
  <si>
    <t>22757</t>
  </si>
  <si>
    <t>WSMP092031165Q-PXX00W</t>
  </si>
  <si>
    <t>22758</t>
  </si>
  <si>
    <t>WSMP084025169Q-PXX00W</t>
  </si>
  <si>
    <t>22759</t>
  </si>
  <si>
    <t>WSMP463627012D-BN05RN</t>
  </si>
  <si>
    <t>WSNC627604012D-PGX25W</t>
  </si>
  <si>
    <t>22761</t>
  </si>
  <si>
    <t>WSMP150075059O-MXX00W</t>
  </si>
  <si>
    <t>WSMP205093058O-MXX00W</t>
  </si>
  <si>
    <t>WSMP255200059O-MXX00W</t>
  </si>
  <si>
    <t>22764</t>
  </si>
  <si>
    <t>WSMP305193058O-MXX00W</t>
  </si>
  <si>
    <t>22765</t>
  </si>
  <si>
    <t>WSMP406293059O-MXX00W</t>
  </si>
  <si>
    <t>22766</t>
  </si>
  <si>
    <t>WPOS110097036S-PCR23K</t>
  </si>
  <si>
    <t>22769</t>
  </si>
  <si>
    <t>WSNC136123025Z-PZX40N</t>
  </si>
  <si>
    <t>22770</t>
  </si>
  <si>
    <t>WSNC084060012S-PXX00W</t>
  </si>
  <si>
    <t>22771</t>
  </si>
  <si>
    <t>WPFS099079101D-PXX00W</t>
  </si>
  <si>
    <t>22772</t>
  </si>
  <si>
    <t>WSNC164111027D-PGX15W</t>
  </si>
  <si>
    <t>WPOT149139015D-PGX15W</t>
  </si>
  <si>
    <t>22774</t>
  </si>
  <si>
    <t>WFFH197085018D-PXX00B</t>
  </si>
  <si>
    <t>22776</t>
  </si>
  <si>
    <t>WSNC037019009D-PGX15W</t>
  </si>
  <si>
    <t>22777</t>
  </si>
  <si>
    <t>WSNC037019009A-PGX15W</t>
  </si>
  <si>
    <t>22778</t>
  </si>
  <si>
    <t>WFFB103400200L-PRX15K</t>
  </si>
  <si>
    <t>22779</t>
  </si>
  <si>
    <t>WPOT270252008D-GGX15B</t>
  </si>
  <si>
    <t>22780</t>
  </si>
  <si>
    <t>WPOS296287049S-PCR23K</t>
  </si>
  <si>
    <t>22781</t>
  </si>
  <si>
    <t>WPOT188173011D-PRX10K</t>
  </si>
  <si>
    <t>22782</t>
  </si>
  <si>
    <t>WPOT315301009D-PGX15W</t>
  </si>
  <si>
    <t>WPOS147128024S-PCR23K</t>
  </si>
  <si>
    <t>22784</t>
  </si>
  <si>
    <t>WPOT250206009D-PXX00W</t>
  </si>
  <si>
    <t>22785</t>
  </si>
  <si>
    <t>WPOS056043003S-PXX00W</t>
  </si>
  <si>
    <t>22790</t>
  </si>
  <si>
    <t>WSMP187125142D-PGM15K</t>
  </si>
  <si>
    <t>WFFL600480200L-PRX15K</t>
  </si>
  <si>
    <t>22792</t>
  </si>
  <si>
    <t>WSOR086033017D-DV100N</t>
  </si>
  <si>
    <t>22793</t>
  </si>
  <si>
    <t>WSNC137075187X-PDX00Z</t>
  </si>
  <si>
    <t>22795</t>
  </si>
  <si>
    <t>WSNC104057021D-PCR23K</t>
  </si>
  <si>
    <t>22796</t>
  </si>
  <si>
    <t>WSNC137124003S-PXX00W</t>
  </si>
  <si>
    <t>22797</t>
  </si>
  <si>
    <t>WFFL088044019D-PXX00W</t>
  </si>
  <si>
    <t>22798</t>
  </si>
  <si>
    <t>WFFL046025015D-PXX00W</t>
  </si>
  <si>
    <t>22799</t>
  </si>
  <si>
    <t>WFFL087025023D-PXX00W</t>
  </si>
  <si>
    <t>22800</t>
  </si>
  <si>
    <t>WSNC148101020D-PXX00W</t>
  </si>
  <si>
    <t>22801</t>
  </si>
  <si>
    <t>WPOT132126010D-PGX15W</t>
  </si>
  <si>
    <t>WSMP701445054Q-PGX15W</t>
  </si>
  <si>
    <t>WSMP502300049Q-PGX15W</t>
  </si>
  <si>
    <t>22804</t>
  </si>
  <si>
    <t>WSNC184074039D-PGM05K</t>
  </si>
  <si>
    <t>22805</t>
  </si>
  <si>
    <t>WPSM109099010Q-PGX25K</t>
  </si>
  <si>
    <t>WSNC162076034D-USX50S</t>
  </si>
  <si>
    <t>22807</t>
  </si>
  <si>
    <t>WSNC137087095D-PXX00W</t>
  </si>
  <si>
    <t>WPOS085073024S-PFX15K</t>
  </si>
  <si>
    <t>22809</t>
  </si>
  <si>
    <t>WSMP170160009D-PRX10K</t>
  </si>
  <si>
    <t>22810</t>
  </si>
  <si>
    <t>WPSM127110014Q-PGX25B</t>
  </si>
  <si>
    <t>22811</t>
  </si>
  <si>
    <t>WPSM104093014Q-PGX25W</t>
  </si>
  <si>
    <t>22812</t>
  </si>
  <si>
    <t>WSNC175100075D-PGX25R</t>
  </si>
  <si>
    <t>22813</t>
  </si>
  <si>
    <t>WPOT062037010D-PXX00W</t>
  </si>
  <si>
    <t>22815</t>
  </si>
  <si>
    <t>WSNC118096082D-PXX00W</t>
  </si>
  <si>
    <t>WPOT158147007D-PZF30N</t>
  </si>
  <si>
    <t>22824</t>
  </si>
  <si>
    <t>WPOT132102016D-PGX25W</t>
  </si>
  <si>
    <t>22825</t>
  </si>
  <si>
    <t>WSNC040032004D-MXX00W</t>
  </si>
  <si>
    <t>22826</t>
  </si>
  <si>
    <t>WFFH185139042D-PXX00W</t>
  </si>
  <si>
    <t>22827</t>
  </si>
  <si>
    <t>WPOT200184018D-PRX15K</t>
  </si>
  <si>
    <t>22828</t>
  </si>
  <si>
    <t>WSNC027021008D-PMX05K</t>
  </si>
  <si>
    <t>22829</t>
  </si>
  <si>
    <t>WSNC071028019D-PXX00W</t>
  </si>
  <si>
    <t>22832</t>
  </si>
  <si>
    <t>WPOT183168007D-PGX15W</t>
  </si>
  <si>
    <t>22833</t>
  </si>
  <si>
    <t>WSNC149094023D-PXX00W</t>
  </si>
  <si>
    <t>WSNC126111007D-PCR23K</t>
  </si>
  <si>
    <t>22835</t>
  </si>
  <si>
    <t>WSNC108098017D-PFX15K</t>
  </si>
  <si>
    <t>22836</t>
  </si>
  <si>
    <t>WSMPO2034F5DU0</t>
  </si>
  <si>
    <t>22837</t>
  </si>
  <si>
    <t>WPOT187175007D-PGX15W</t>
  </si>
  <si>
    <t>WFFH198137020D-PXX00W</t>
  </si>
  <si>
    <t>22840</t>
  </si>
  <si>
    <t>WFFH251187020D-PXX00W</t>
  </si>
  <si>
    <t>22842</t>
  </si>
  <si>
    <t>WSNC085000017D-MSX50S</t>
  </si>
  <si>
    <t>22843</t>
  </si>
  <si>
    <t>WSSL137087018D-PGX20W</t>
  </si>
  <si>
    <t>22844</t>
  </si>
  <si>
    <t>WFFB085038017D-PXX00W</t>
  </si>
  <si>
    <t>22845</t>
  </si>
  <si>
    <t>WFFB085062017D-PXX00W</t>
  </si>
  <si>
    <t>22846</t>
  </si>
  <si>
    <t>WSSL198137020D-PXX00W</t>
  </si>
  <si>
    <t>22847</t>
  </si>
  <si>
    <t>WSNC385358028D-PCR23K</t>
  </si>
  <si>
    <t>22849</t>
  </si>
  <si>
    <t>WSNC199150016D-MXX00W</t>
  </si>
  <si>
    <t>WSNC700690017D-PMX05K</t>
  </si>
  <si>
    <t>22853</t>
  </si>
  <si>
    <t>WSNC253186003D-MSX50S</t>
  </si>
  <si>
    <t>22854</t>
  </si>
  <si>
    <t>WSNC263190021D-MSX50S</t>
  </si>
  <si>
    <t>WSOR055046010D-DV062N</t>
  </si>
  <si>
    <t>22856</t>
  </si>
  <si>
    <t>WPOT332288006D-PXX00W</t>
  </si>
  <si>
    <t>22857</t>
  </si>
  <si>
    <t>WSNC131083031D-PXX00W</t>
  </si>
  <si>
    <t>22858</t>
  </si>
  <si>
    <t>WFFH198137020D-MSX50S</t>
  </si>
  <si>
    <t>22861</t>
  </si>
  <si>
    <t>WSMP200181036S-PCR23K</t>
  </si>
  <si>
    <t>22862</t>
  </si>
  <si>
    <t>WPOS271246017S-PCR23K</t>
  </si>
  <si>
    <t>22863</t>
  </si>
  <si>
    <t>WFFB053045010L-PXX00W</t>
  </si>
  <si>
    <t>22864</t>
  </si>
  <si>
    <t>WFFB085038017D-MSX50S</t>
  </si>
  <si>
    <t>22865</t>
  </si>
  <si>
    <t>WFFB085062017D-MSX50S</t>
  </si>
  <si>
    <t>22866</t>
  </si>
  <si>
    <t>WSNC210140020D-MSX50S</t>
  </si>
  <si>
    <t>22867</t>
  </si>
  <si>
    <t>WSNC200138007D-MSX50S</t>
  </si>
  <si>
    <t>22868</t>
  </si>
  <si>
    <t>WSMP105068059O-MXX00W</t>
  </si>
  <si>
    <t>22869</t>
  </si>
  <si>
    <t>WSNC212145021D-MSX50S</t>
  </si>
  <si>
    <t>22870</t>
  </si>
  <si>
    <t>WSNC200138008D-MSX50S</t>
  </si>
  <si>
    <t>22871</t>
  </si>
  <si>
    <t>WSNC212145021D-PXX00W</t>
  </si>
  <si>
    <t>22872</t>
  </si>
  <si>
    <t>WSLD657583020D-PXX00B</t>
  </si>
  <si>
    <t>WSLD657583020D-PXX00W</t>
  </si>
  <si>
    <t>22874</t>
  </si>
  <si>
    <t>WSLD657583020D-MSX50S</t>
  </si>
  <si>
    <t>22875</t>
  </si>
  <si>
    <t>WSNC210145020D-PXX00W</t>
  </si>
  <si>
    <t>22876</t>
  </si>
  <si>
    <t>WSNC254186007D-MSX50S</t>
  </si>
  <si>
    <t>22877</t>
  </si>
  <si>
    <t>WSNC200138007A-MSX50S</t>
  </si>
  <si>
    <t>22878</t>
  </si>
  <si>
    <t>WSMPM206052MXX</t>
  </si>
  <si>
    <t>22879</t>
  </si>
  <si>
    <t>WPOT100050010D-PXX00W</t>
  </si>
  <si>
    <t>22880</t>
  </si>
  <si>
    <t>WSMP083039020D-PXX00W</t>
  </si>
  <si>
    <t>WSNC241202020D-MXX00W</t>
  </si>
  <si>
    <t>22882</t>
  </si>
  <si>
    <t>WPOT176141006D-PXX00W</t>
  </si>
  <si>
    <t>22883</t>
  </si>
  <si>
    <t>WPOT111087004D-PCR23K</t>
  </si>
  <si>
    <t>WSNC189175009D-PGX15W</t>
  </si>
  <si>
    <t>22888</t>
  </si>
  <si>
    <t>WPOT374361009D-PGX15G</t>
  </si>
  <si>
    <t>WPOT189175009D-PGX15O</t>
  </si>
  <si>
    <t>22890</t>
  </si>
  <si>
    <t>WSMP302247032D-MXX00W</t>
  </si>
  <si>
    <t>22891</t>
  </si>
  <si>
    <t>WSMP152100032D-MXX00W</t>
  </si>
  <si>
    <t>22892</t>
  </si>
  <si>
    <t>WSNC285174058D-MXX00W</t>
  </si>
  <si>
    <t>22893</t>
  </si>
  <si>
    <t>WSNC108096024Z-PZX40N</t>
  </si>
  <si>
    <t>22894</t>
  </si>
  <si>
    <t>WSNC352324023D-PZX40N</t>
  </si>
  <si>
    <t>22895</t>
  </si>
  <si>
    <t>WSNC052043013D-PXX00W</t>
  </si>
  <si>
    <t>WSNC045037013D-PXX00W</t>
  </si>
  <si>
    <t>22897</t>
  </si>
  <si>
    <t>WFFM050000170D-MXX00W</t>
  </si>
  <si>
    <t>22900</t>
  </si>
  <si>
    <t>WSSL251187020D-PXX00W</t>
  </si>
  <si>
    <t>22901</t>
  </si>
  <si>
    <t>WFFH251187020D-MSX50S</t>
  </si>
  <si>
    <t>22902</t>
  </si>
  <si>
    <t>WFFH357287020D-MSX50S</t>
  </si>
  <si>
    <t>22903</t>
  </si>
  <si>
    <t>WFFH305237020D-PXX00W</t>
  </si>
  <si>
    <t>22904</t>
  </si>
  <si>
    <t>WSNC362285007D-MSX50S</t>
  </si>
  <si>
    <t>22905</t>
  </si>
  <si>
    <t>WSNC472380007D-MSX50S</t>
  </si>
  <si>
    <t>22906</t>
  </si>
  <si>
    <t>WFFH198087020D-PXX00W</t>
  </si>
  <si>
    <t>22907</t>
  </si>
  <si>
    <t>WFFH198087020D-MSX50S</t>
  </si>
  <si>
    <t>22908</t>
  </si>
  <si>
    <t>WSSL198087020D-PXX00W</t>
  </si>
  <si>
    <t>22909</t>
  </si>
  <si>
    <t>WFFH305237020D-MSX50S</t>
  </si>
  <si>
    <t>WSNC043037007D-MXX00T</t>
  </si>
  <si>
    <t>22914</t>
  </si>
  <si>
    <t>WPOT332288006D-MSX50S</t>
  </si>
  <si>
    <t>22916</t>
  </si>
  <si>
    <t>WSNC472380007A-MSX50S</t>
  </si>
  <si>
    <t>22918</t>
  </si>
  <si>
    <t>WSMP201150032D-MXX00W</t>
  </si>
  <si>
    <t>22919</t>
  </si>
  <si>
    <t>WSMP252200032D-MXX00W</t>
  </si>
  <si>
    <t>WSNC400348032D-MXX00W</t>
  </si>
  <si>
    <t>22921</t>
  </si>
  <si>
    <t>WSNC616591017S-PCR23K</t>
  </si>
  <si>
    <t>22922</t>
  </si>
  <si>
    <t>WSOT131119007D-PRX10K</t>
  </si>
  <si>
    <t>22923</t>
  </si>
  <si>
    <t>WPOT170156009D-PRX10K</t>
  </si>
  <si>
    <t>22924</t>
  </si>
  <si>
    <t>WSNC038031008D-PGX25W</t>
  </si>
  <si>
    <t>22925</t>
  </si>
  <si>
    <t>WSLD568480020D-PXX00W</t>
  </si>
  <si>
    <t>22926</t>
  </si>
  <si>
    <t>WSLD468384020D-MSX50S</t>
  </si>
  <si>
    <t>22927</t>
  </si>
  <si>
    <t>WSLD468384020D-PXX00W</t>
  </si>
  <si>
    <t>22928</t>
  </si>
  <si>
    <t>WSLD857782020D-MSX50S</t>
  </si>
  <si>
    <t>22929</t>
  </si>
  <si>
    <t>WSLD857782020D-PXX00B</t>
  </si>
  <si>
    <t>22931</t>
  </si>
  <si>
    <t>WSNC133066020D-MSX50S</t>
  </si>
  <si>
    <t>22932</t>
  </si>
  <si>
    <t>WSNC657583020D-PXX00W</t>
  </si>
  <si>
    <t>22934</t>
  </si>
  <si>
    <t>WSNC023019075D-PGX25Y</t>
  </si>
  <si>
    <t>22935</t>
  </si>
  <si>
    <t>WSNC150140014D-PCX10K</t>
  </si>
  <si>
    <t>22940</t>
  </si>
  <si>
    <t>WSNC468384020D-PXX00W</t>
  </si>
  <si>
    <t>22943</t>
  </si>
  <si>
    <t>WSNC369291016D-MSX50S</t>
  </si>
  <si>
    <t>22946</t>
  </si>
  <si>
    <t>WPOT080055002D-PPM15K</t>
  </si>
  <si>
    <t>22947</t>
  </si>
  <si>
    <t>WSNC178165011D-GCX25K</t>
  </si>
  <si>
    <t>22948</t>
  </si>
  <si>
    <t>WSNC276263011D-GCX25K</t>
  </si>
  <si>
    <t>22949</t>
  </si>
  <si>
    <t>WSNC335322011D-GCX25K</t>
  </si>
  <si>
    <t>22952</t>
  </si>
  <si>
    <t>WSNC156114019D-PXX00W</t>
  </si>
  <si>
    <t>22954</t>
  </si>
  <si>
    <t>WSNC857781020D-PXX00W</t>
  </si>
  <si>
    <t>22955</t>
  </si>
  <si>
    <t>WSNC134092019D-DA162N</t>
  </si>
  <si>
    <t>22956</t>
  </si>
  <si>
    <t>WSNC337295018D-MXX00W</t>
  </si>
  <si>
    <t>22958</t>
  </si>
  <si>
    <t>WPOT091081004D-PXX00W</t>
  </si>
  <si>
    <t>22961</t>
  </si>
  <si>
    <t>WSNC085062017D-PXX00W</t>
  </si>
  <si>
    <t>22962</t>
  </si>
  <si>
    <t>WPSM134117014Q-PGX25W</t>
  </si>
  <si>
    <t>WPOT133123015D-PGX15W</t>
  </si>
  <si>
    <t>22965</t>
  </si>
  <si>
    <t>WFLD468384020D-PXX00B</t>
  </si>
  <si>
    <t>22966</t>
  </si>
  <si>
    <t>WSNC265177003D-PCR23K</t>
  </si>
  <si>
    <t>22967</t>
  </si>
  <si>
    <t>WSSL085038017D-PXX00W</t>
  </si>
  <si>
    <t>22968</t>
  </si>
  <si>
    <t>WFFM251187020D-PXX00B</t>
  </si>
  <si>
    <t>WFFL110380200L-PRX15K</t>
  </si>
  <si>
    <t>22970</t>
  </si>
  <si>
    <t>WSNC209140024D-MSX50S</t>
  </si>
  <si>
    <t>22971</t>
  </si>
  <si>
    <t>WSNC200138008A-MSX50S</t>
  </si>
  <si>
    <t>22972</t>
  </si>
  <si>
    <t>WSNC262190021D-MSX50S</t>
  </si>
  <si>
    <t>22973</t>
  </si>
  <si>
    <t>WSNC253186008D-MSX50S</t>
  </si>
  <si>
    <t>WSMP399288094D-PRX15K</t>
  </si>
  <si>
    <t>22988</t>
  </si>
  <si>
    <t>WSOR033022002D-DK050N</t>
  </si>
  <si>
    <t>22990</t>
  </si>
  <si>
    <t>WFFS104084124D-PXX00W</t>
  </si>
  <si>
    <t>22991</t>
  </si>
  <si>
    <t>WSOR177161003S-BG20FN</t>
  </si>
  <si>
    <t>22992</t>
  </si>
  <si>
    <t>WSOR198183003S-BH25GN</t>
  </si>
  <si>
    <t>22993</t>
  </si>
  <si>
    <t>WFFL046030014D-MCX25K</t>
  </si>
  <si>
    <t>WFFL050026013D-PCG18K</t>
  </si>
  <si>
    <t>23000</t>
  </si>
  <si>
    <t>WSNC047013098D-DA025N</t>
  </si>
  <si>
    <t>23001</t>
  </si>
  <si>
    <t>WSNC014006057D-DA025N</t>
  </si>
  <si>
    <t>23002</t>
  </si>
  <si>
    <t>WPOT170156010D-PGX25Y</t>
  </si>
  <si>
    <t>23004</t>
  </si>
  <si>
    <t>WSNC097079043D-PGX25W</t>
  </si>
  <si>
    <t>WPOT197181009D-PZF30N</t>
  </si>
  <si>
    <t>23009</t>
  </si>
  <si>
    <t>WFFM198137020D-PXX00P</t>
  </si>
  <si>
    <t>23010</t>
  </si>
  <si>
    <t>WFFM251187019D-PXX00P</t>
  </si>
  <si>
    <t>23011</t>
  </si>
  <si>
    <t>WFFM305237019D-PXX00P</t>
  </si>
  <si>
    <t>23012</t>
  </si>
  <si>
    <t>WFFM357287019D-PXX00P</t>
  </si>
  <si>
    <t>23013</t>
  </si>
  <si>
    <t>WSNC605492059D-MXX00W</t>
  </si>
  <si>
    <t>23014</t>
  </si>
  <si>
    <t>WSMP105050059D-MXX00W</t>
  </si>
  <si>
    <t>WSMP150075059D-MXX00W</t>
  </si>
  <si>
    <t>23016</t>
  </si>
  <si>
    <t>WSMP205093058D-MXX00W</t>
  </si>
  <si>
    <t>23017</t>
  </si>
  <si>
    <t>WSMP255200058D-MXX00W</t>
  </si>
  <si>
    <t>23018</t>
  </si>
  <si>
    <t>WSMP305193058D-MXX00W</t>
  </si>
  <si>
    <t>WSMP406293059D-MXX00W</t>
  </si>
  <si>
    <t>23021</t>
  </si>
  <si>
    <t>WSNC292205033D-MGX05W</t>
  </si>
  <si>
    <t>23022</t>
  </si>
  <si>
    <t>WPOT025003002D-PGM05K</t>
  </si>
  <si>
    <t>23024</t>
  </si>
  <si>
    <t>WPOT193143008D-PGM15K</t>
  </si>
  <si>
    <t>23025</t>
  </si>
  <si>
    <t>WPOT253190006D-PGM15K</t>
  </si>
  <si>
    <t>WPOT124116005D-PXX00W</t>
  </si>
  <si>
    <t>23027</t>
  </si>
  <si>
    <t>WPOT178164008D-PZF30N</t>
  </si>
  <si>
    <t>23028</t>
  </si>
  <si>
    <t>WPOT150138007D-PZF30N</t>
  </si>
  <si>
    <t>23029</t>
  </si>
  <si>
    <t>WSNC017010098D-DA025N</t>
  </si>
  <si>
    <t>23030</t>
  </si>
  <si>
    <t>WPOT215202010D-PGX15O</t>
  </si>
  <si>
    <t>23032</t>
  </si>
  <si>
    <t>WSNC127085018D-PXX00W</t>
  </si>
  <si>
    <t>WSNC241202020A-MXX00W</t>
  </si>
  <si>
    <t>23035</t>
  </si>
  <si>
    <t>WSNC136119003D-PGM15K</t>
  </si>
  <si>
    <t>23036</t>
  </si>
  <si>
    <t>WSNC208136017D-PXX00W</t>
  </si>
  <si>
    <t>23037</t>
  </si>
  <si>
    <t>WSNC204136014D-PXX00W</t>
  </si>
  <si>
    <t>23039</t>
  </si>
  <si>
    <t>WSNC124106003D-PGM15K</t>
  </si>
  <si>
    <t>23041</t>
  </si>
  <si>
    <t>WSNC071055011D-PZX40N</t>
  </si>
  <si>
    <t>23042</t>
  </si>
  <si>
    <t>WSNC071061010D-PZX40N</t>
  </si>
  <si>
    <t>23043</t>
  </si>
  <si>
    <t>WPOT168160004D-PXX00W</t>
  </si>
  <si>
    <t>23044</t>
  </si>
  <si>
    <t>WSNC077035018D-PXX00W</t>
  </si>
  <si>
    <t>WPOT185170009D-PGX15B</t>
  </si>
  <si>
    <t>23052</t>
  </si>
  <si>
    <t>WSNC212075187X-PDX00Z</t>
  </si>
  <si>
    <t>23054</t>
  </si>
  <si>
    <t>WPOS050041004S-PXX00W</t>
  </si>
  <si>
    <t>23056</t>
  </si>
  <si>
    <t>WSMPM204011MXX</t>
  </si>
  <si>
    <t>23061</t>
  </si>
  <si>
    <t>WPOT105099003D-PXX00W</t>
  </si>
  <si>
    <t>23062</t>
  </si>
  <si>
    <t>WSNC085062017D-MSX50S</t>
  </si>
  <si>
    <t>23063</t>
  </si>
  <si>
    <t>WFFH394309029O-MXX00W</t>
  </si>
  <si>
    <t>23064</t>
  </si>
  <si>
    <t>WSMP123104011Z-PRX10K</t>
  </si>
  <si>
    <t>23066</t>
  </si>
  <si>
    <t>WSNC247200025D-PCG18K</t>
  </si>
  <si>
    <t>23067</t>
  </si>
  <si>
    <t>WFFH189136032D-PXX00W</t>
  </si>
  <si>
    <t>23068</t>
  </si>
  <si>
    <t>WFFH236183031D-PXX00W</t>
  </si>
  <si>
    <t>23069</t>
  </si>
  <si>
    <t>WFFM295235034D-PXX00W</t>
  </si>
  <si>
    <t>23070</t>
  </si>
  <si>
    <t>WFFH340286031D-PXX00W</t>
  </si>
  <si>
    <t>WPSA041031002D-PXX00W</t>
  </si>
  <si>
    <t>23072</t>
  </si>
  <si>
    <t>WSMP063050011O-PZX40N</t>
  </si>
  <si>
    <t>WPOT168157007D-PRX10K</t>
  </si>
  <si>
    <t>23074</t>
  </si>
  <si>
    <t>WPOT111099007D-PRX10K</t>
  </si>
  <si>
    <t>WSNC035023028D-PRX15K</t>
  </si>
  <si>
    <t>23080</t>
  </si>
  <si>
    <t>WPOT040031004D-PGC15K</t>
  </si>
  <si>
    <t>23081</t>
  </si>
  <si>
    <t>WSNC072038018D-PRX15K</t>
  </si>
  <si>
    <t>23082</t>
  </si>
  <si>
    <t>WSNC062032009D-DU075N</t>
  </si>
  <si>
    <t>23084</t>
  </si>
  <si>
    <t>WSNC014003045D-DD037N</t>
  </si>
  <si>
    <t>23087</t>
  </si>
  <si>
    <t>WSMP087050060D-DX100N</t>
  </si>
  <si>
    <t>23090</t>
  </si>
  <si>
    <t>WSMP212134050D-DV225N</t>
  </si>
  <si>
    <t>WSNC027010120D-PXX00B</t>
  </si>
  <si>
    <t>23092</t>
  </si>
  <si>
    <t>WSNC027009060D-PXX00B</t>
  </si>
  <si>
    <t>23093</t>
  </si>
  <si>
    <t>WSNC027002060D-PXX00Y</t>
  </si>
  <si>
    <t>23094</t>
  </si>
  <si>
    <t>WSNC027010120D-PXX00Y</t>
  </si>
  <si>
    <t>23095</t>
  </si>
  <si>
    <t>WSNC027002060D-PXX00R</t>
  </si>
  <si>
    <t>23096</t>
  </si>
  <si>
    <t>WSNC027010120D-PXX00R</t>
  </si>
  <si>
    <t>23097</t>
  </si>
  <si>
    <t>WSOR192174008D-BG20FN</t>
  </si>
  <si>
    <t>23098</t>
  </si>
  <si>
    <t>WPOT324275007D-PCR23K</t>
  </si>
  <si>
    <t>23099</t>
  </si>
  <si>
    <t>WSNC152062031D-PCR23K</t>
  </si>
  <si>
    <t>23100</t>
  </si>
  <si>
    <t>WPOT220216010D-PXX00W</t>
  </si>
  <si>
    <t>23102</t>
  </si>
  <si>
    <t>WSNC063038023D-PRX15K</t>
  </si>
  <si>
    <t>WPSA035023002D-PXX00W</t>
  </si>
  <si>
    <t>23104</t>
  </si>
  <si>
    <t>WSNC078053023D-PRX15K</t>
  </si>
  <si>
    <t>WPOT143131008D-PXX00W</t>
  </si>
  <si>
    <t>23106</t>
  </si>
  <si>
    <t>WPOT250236007D-PGX25W</t>
  </si>
  <si>
    <t>23107</t>
  </si>
  <si>
    <t>WPOS254229012D-MXX00W</t>
  </si>
  <si>
    <t>23108</t>
  </si>
  <si>
    <t>WSNC131068075D-PMX25B</t>
  </si>
  <si>
    <t>23109</t>
  </si>
  <si>
    <t>WSNC094054019D-PXX00W</t>
  </si>
  <si>
    <t>23110</t>
  </si>
  <si>
    <t>WSNC141067025D-PCX15K</t>
  </si>
  <si>
    <t>23111</t>
  </si>
  <si>
    <t>WSNC081074010D-PAX10W</t>
  </si>
  <si>
    <t>23112</t>
  </si>
  <si>
    <t>WSMP392317034A-MXX00W</t>
  </si>
  <si>
    <t>23113</t>
  </si>
  <si>
    <t>WPOT192182009D-GGX15B</t>
  </si>
  <si>
    <t>23114</t>
  </si>
  <si>
    <t>WSMP034024006S-DD037N</t>
  </si>
  <si>
    <t>23115</t>
  </si>
  <si>
    <t>WSNC059037013D-PRX15K</t>
  </si>
  <si>
    <t>WSMP205092058D-PSX60B</t>
  </si>
  <si>
    <t>23117</t>
  </si>
  <si>
    <t>WSMP406293059D-PSX60B</t>
  </si>
  <si>
    <t>23118</t>
  </si>
  <si>
    <t>WPOT088078007D-PGX15B</t>
  </si>
  <si>
    <t>23119</t>
  </si>
  <si>
    <t>WSNC098039021D-PCX15K</t>
  </si>
  <si>
    <t>23121</t>
  </si>
  <si>
    <t>WSMP212150050D-DV225N</t>
  </si>
  <si>
    <t>23123</t>
  </si>
  <si>
    <t>WPOT333321011D-PGX15W</t>
  </si>
  <si>
    <t>23125</t>
  </si>
  <si>
    <t>WSNC050024016D-DN062N</t>
  </si>
  <si>
    <t>23126</t>
  </si>
  <si>
    <t>WSNC070039017D-PXX00W</t>
  </si>
  <si>
    <t>23128</t>
  </si>
  <si>
    <t>WSOT046033001D-DN062N</t>
  </si>
  <si>
    <t>23129</t>
  </si>
  <si>
    <t>WSOR046028010D-DN062N</t>
  </si>
  <si>
    <t>WPOT140125007D-PGX15W</t>
  </si>
  <si>
    <t>23131</t>
  </si>
  <si>
    <t>WSNC133069087D-DV150N</t>
  </si>
  <si>
    <t>23132</t>
  </si>
  <si>
    <t>WSNC018008105D-DD037N</t>
  </si>
  <si>
    <t>23135</t>
  </si>
  <si>
    <t>WSMP140070045D-DV150N</t>
  </si>
  <si>
    <t>WSNC326298026D-PMX05K</t>
  </si>
  <si>
    <t>23138</t>
  </si>
  <si>
    <t>WPOT168154009D-GGX15B</t>
  </si>
  <si>
    <t>23141</t>
  </si>
  <si>
    <t>WSNC059043011D-PGM15K</t>
  </si>
  <si>
    <t>23142</t>
  </si>
  <si>
    <t>WPOT197185008D-PGX15W</t>
  </si>
  <si>
    <t>23143</t>
  </si>
  <si>
    <t>WSMP070012038D-DD075N</t>
  </si>
  <si>
    <t>23144</t>
  </si>
  <si>
    <t>WSMP070016057D-DD075N</t>
  </si>
  <si>
    <t>23145</t>
  </si>
  <si>
    <t>WFLD468384019D-PXX00P</t>
  </si>
  <si>
    <t>23146</t>
  </si>
  <si>
    <t>WSLD657581019D-PXX00P</t>
  </si>
  <si>
    <t>23147</t>
  </si>
  <si>
    <t>WSNC095054021D-PRX15K</t>
  </si>
  <si>
    <t>23148</t>
  </si>
  <si>
    <t>WSNC094055021D-PXX00W</t>
  </si>
  <si>
    <t>WSMP056041007D-PGM15K</t>
  </si>
  <si>
    <t>23150</t>
  </si>
  <si>
    <t>WSMP264177220D-DU275N</t>
  </si>
  <si>
    <t>23152</t>
  </si>
  <si>
    <t>WSNC291246036D-PCR23K</t>
  </si>
  <si>
    <t>23154</t>
  </si>
  <si>
    <t>WPOT016007009D-PGX25W</t>
  </si>
  <si>
    <t>23155</t>
  </si>
  <si>
    <t>WPOT125116014D-PGX15W</t>
  </si>
  <si>
    <t>WFFH371310029D-MXX00W</t>
  </si>
  <si>
    <t>23157</t>
  </si>
  <si>
    <t>WSMP400367023B-PGX25W</t>
  </si>
  <si>
    <t>23158</t>
  </si>
  <si>
    <t>WPOT272248013D-PGX25W</t>
  </si>
  <si>
    <t>23159</t>
  </si>
  <si>
    <t>WSNC186071040D-PXX00W</t>
  </si>
  <si>
    <t>23160</t>
  </si>
  <si>
    <t>WSOR028004018D-DN037N</t>
  </si>
  <si>
    <t>23161</t>
  </si>
  <si>
    <t>WSNC067038014D-MGM20W</t>
  </si>
  <si>
    <t>23162</t>
  </si>
  <si>
    <t>WSNC030013008D-DV050N</t>
  </si>
  <si>
    <t>23163</t>
  </si>
  <si>
    <t>WSMP260186023D-PXX00W</t>
  </si>
  <si>
    <t>23164</t>
  </si>
  <si>
    <t>WSMP256186014D-PXX00W</t>
  </si>
  <si>
    <t>23165</t>
  </si>
  <si>
    <t>WPOT215200009D-PGX15G</t>
  </si>
  <si>
    <t>23166</t>
  </si>
  <si>
    <t>WSMP150137012D-PCR23K</t>
  </si>
  <si>
    <t>WPOT088081007D-PGM15K</t>
  </si>
  <si>
    <t>23168</t>
  </si>
  <si>
    <t>WSNC601582005D-PYX07W</t>
  </si>
  <si>
    <t>23169</t>
  </si>
  <si>
    <t>WPOT302254004D-PYX07W</t>
  </si>
  <si>
    <t>23173</t>
  </si>
  <si>
    <t>WSOR031017020D-DN037N</t>
  </si>
  <si>
    <t>23174</t>
  </si>
  <si>
    <t>WSOR024012020D-DN037N</t>
  </si>
  <si>
    <t>WPOS061049011S-PZX40N</t>
  </si>
  <si>
    <t>23177</t>
  </si>
  <si>
    <t>WFFB147087024D-PGX15W</t>
  </si>
  <si>
    <t>23178</t>
  </si>
  <si>
    <t>WPOT102075003D-PXX00W</t>
  </si>
  <si>
    <t>23179</t>
  </si>
  <si>
    <t>WSMP184000075D-MXX00W</t>
  </si>
  <si>
    <t>23180</t>
  </si>
  <si>
    <t>WSMP175000080D-MXX00W</t>
  </si>
  <si>
    <t>WSMP603575023D-PGM15K</t>
  </si>
  <si>
    <t>23183</t>
  </si>
  <si>
    <t>WSMP057022016D-PXX00W</t>
  </si>
  <si>
    <t>23185</t>
  </si>
  <si>
    <t>WSMP187133019D-DU200Y</t>
  </si>
  <si>
    <t>23186</t>
  </si>
  <si>
    <t>WSMP204075014D-PXX00W</t>
  </si>
  <si>
    <t>23187</t>
  </si>
  <si>
    <t>WSMP208075023D-PXX00W</t>
  </si>
  <si>
    <t>23188</t>
  </si>
  <si>
    <t>WSMP256075014D-PXX00W</t>
  </si>
  <si>
    <t>23189</t>
  </si>
  <si>
    <t>WSMP260075023D-PXX00W</t>
  </si>
  <si>
    <t>WPOS199162006S-PGX15W</t>
  </si>
  <si>
    <t>23191</t>
  </si>
  <si>
    <t>WSNC066041017D-PXX00W</t>
  </si>
  <si>
    <t>23193</t>
  </si>
  <si>
    <t>WSNC522495027D-PFX15K</t>
  </si>
  <si>
    <t>WPOT035030003Q-PXX00W</t>
  </si>
  <si>
    <t>WPSA040031001D-PGX25W</t>
  </si>
  <si>
    <t>WPOT067049005D-PCR23K</t>
  </si>
  <si>
    <t>23199</t>
  </si>
  <si>
    <t>WSOT092074005D-PCR23K</t>
  </si>
  <si>
    <t>WSOT082075005D-PXX00W</t>
  </si>
  <si>
    <t>WSMP087074007Z-PCX15K</t>
  </si>
  <si>
    <t>WSMP125111007Z-PCX15K</t>
  </si>
  <si>
    <t>23207</t>
  </si>
  <si>
    <t>WPSM120106007D-PGX15B</t>
  </si>
  <si>
    <t>23209</t>
  </si>
  <si>
    <t>WSNC070039011D-PXX00W</t>
  </si>
  <si>
    <t>23210</t>
  </si>
  <si>
    <t>WPOT185172008D-PXX00W</t>
  </si>
  <si>
    <t>WSSPS2V2287DD1</t>
  </si>
  <si>
    <t>23213</t>
  </si>
  <si>
    <t>WFFB080038015Q-MXX00W</t>
  </si>
  <si>
    <t>23215</t>
  </si>
  <si>
    <t>WPOT056043001D-PGX25W</t>
  </si>
  <si>
    <t>23216</t>
  </si>
  <si>
    <t>WSNC156093075D-PNX25G</t>
  </si>
  <si>
    <t>23218</t>
  </si>
  <si>
    <t>WSNC174095037D-PGM05K</t>
  </si>
  <si>
    <t>23219</t>
  </si>
  <si>
    <t>WSNC157092027D-PGM05K</t>
  </si>
  <si>
    <t>23220</t>
  </si>
  <si>
    <t>WSNC120000065D-MXX00W</t>
  </si>
  <si>
    <t>23221</t>
  </si>
  <si>
    <t>WPOS112087008S-PXX00W</t>
  </si>
  <si>
    <t>23222</t>
  </si>
  <si>
    <t>WPOT081056003D-PXX00W</t>
  </si>
  <si>
    <t>WSMP323307038D-PAX10W</t>
  </si>
  <si>
    <t>23224</t>
  </si>
  <si>
    <t>WSOR044024015D-DN062N</t>
  </si>
  <si>
    <t>23226</t>
  </si>
  <si>
    <t>WSLD510433018D-PXX00W</t>
  </si>
  <si>
    <t>23227</t>
  </si>
  <si>
    <t>WSNC172160024D-PCX15K</t>
  </si>
  <si>
    <t>23231</t>
  </si>
  <si>
    <t>WSNC062051011D-PXX00W</t>
  </si>
  <si>
    <t>23232</t>
  </si>
  <si>
    <t>WPOS027017004S-PXX00W</t>
  </si>
  <si>
    <t>WPOT086077007D-PGX15W</t>
  </si>
  <si>
    <t>23234</t>
  </si>
  <si>
    <t>WFFH277240009D-PSB50B</t>
  </si>
  <si>
    <t>23235</t>
  </si>
  <si>
    <t>WSNC035013040Q-PGX25W</t>
  </si>
  <si>
    <t>23236</t>
  </si>
  <si>
    <t>WPOS073061024S-PAX10W</t>
  </si>
  <si>
    <t>23238</t>
  </si>
  <si>
    <t>WSNC214204015D-GCX25K</t>
  </si>
  <si>
    <t>23239</t>
  </si>
  <si>
    <t>WSMP136000025D-PZX40N</t>
  </si>
  <si>
    <t>WSOR114083017D-DD125N</t>
  </si>
  <si>
    <t>WPOT075062006D-PXX00W</t>
  </si>
  <si>
    <t>WPOT048037005D-PFX15K</t>
  </si>
  <si>
    <t>23243</t>
  </si>
  <si>
    <t>WSMP150075059O-PSB50B</t>
  </si>
  <si>
    <t>23244</t>
  </si>
  <si>
    <t>WSMP255143059O-PSB50B</t>
  </si>
  <si>
    <t>23245</t>
  </si>
  <si>
    <t>WSMP305193058O-PSB50B</t>
  </si>
  <si>
    <t>23246</t>
  </si>
  <si>
    <t>WSMP105050059O-PSB50B</t>
  </si>
  <si>
    <t>WFFH176141009D-PSB50B</t>
  </si>
  <si>
    <t>23249</t>
  </si>
  <si>
    <t>WFFH226188009D-PSB50B</t>
  </si>
  <si>
    <t>WFFH332288009D-PSB50B</t>
  </si>
  <si>
    <t>23251</t>
  </si>
  <si>
    <t>WFFH430389009D-PSB50B</t>
  </si>
  <si>
    <t>23252</t>
  </si>
  <si>
    <t>WFFH198137019D-PSB50B</t>
  </si>
  <si>
    <t>23253</t>
  </si>
  <si>
    <t>WFFH251187019D-PSB50B</t>
  </si>
  <si>
    <t>WSOR080050017D-DV100N</t>
  </si>
  <si>
    <t>23255</t>
  </si>
  <si>
    <t>WPOT029019005D-PFX15K</t>
  </si>
  <si>
    <t>WSOR045024013D-DU050Y</t>
  </si>
  <si>
    <t>WFFB125097020Q-PXX00W</t>
  </si>
  <si>
    <t>WPOT046031007D-MGM20W</t>
  </si>
  <si>
    <t>23259</t>
  </si>
  <si>
    <t>WPOT070063050D-PXX00W</t>
  </si>
  <si>
    <t>23260</t>
  </si>
  <si>
    <t>WPOT070063034D-PXX00W</t>
  </si>
  <si>
    <t>23261</t>
  </si>
  <si>
    <t>WPOT352338014D-PGX15W</t>
  </si>
  <si>
    <t>WSMP108057023D-PXX00W</t>
  </si>
  <si>
    <t>23265</t>
  </si>
  <si>
    <t>WFFH198087020D-PSB50B</t>
  </si>
  <si>
    <t>23266</t>
  </si>
  <si>
    <t>WFFH305237020D-PSB50B</t>
  </si>
  <si>
    <t>23267</t>
  </si>
  <si>
    <t>WFFH357287019D-PSB50B</t>
  </si>
  <si>
    <t>23268</t>
  </si>
  <si>
    <t>WSNC111086021D-PRX10K</t>
  </si>
  <si>
    <t>23269</t>
  </si>
  <si>
    <t>WPOT118108011D-PXX00W</t>
  </si>
  <si>
    <t>WSOR019004014D-DK037N</t>
  </si>
  <si>
    <t>23271</t>
  </si>
  <si>
    <t>WSMP678646020D-PXX00W</t>
  </si>
  <si>
    <t>23272</t>
  </si>
  <si>
    <t>WPOT032021005D-PFX15K</t>
  </si>
  <si>
    <t>WSNC056048007D-PCR23K</t>
  </si>
  <si>
    <t>23274</t>
  </si>
  <si>
    <t>WSNC250240017D-PMX05K</t>
  </si>
  <si>
    <t>WPOT191176013D-PXX00W</t>
  </si>
  <si>
    <t>23279</t>
  </si>
  <si>
    <t>WSSP142109017D-DR150N</t>
  </si>
  <si>
    <t>23280</t>
  </si>
  <si>
    <t>WSLD468384019D-PSB50B</t>
  </si>
  <si>
    <t>23281</t>
  </si>
  <si>
    <t>WSMP049042007D-MXX00T</t>
  </si>
  <si>
    <t>23282</t>
  </si>
  <si>
    <t>WSMP087080007D-MXX00T</t>
  </si>
  <si>
    <t>23283</t>
  </si>
  <si>
    <t>WSMP062053011D-MXX00T</t>
  </si>
  <si>
    <t>23284</t>
  </si>
  <si>
    <t>WFFH211040020D-PXX00W</t>
  </si>
  <si>
    <t>23285</t>
  </si>
  <si>
    <t>WSMP256075014A-PXX00W</t>
  </si>
  <si>
    <t>23286</t>
  </si>
  <si>
    <t>WSMP204075014A-PXX00W</t>
  </si>
  <si>
    <t>23287</t>
  </si>
  <si>
    <t>WSMP260075017D-PXX00W</t>
  </si>
  <si>
    <t>23288</t>
  </si>
  <si>
    <t>WSMP208075017D-PXX00W</t>
  </si>
  <si>
    <t>23289</t>
  </si>
  <si>
    <t>WSOR037007009D-DV050N</t>
  </si>
  <si>
    <t>23290</t>
  </si>
  <si>
    <t>WSNC486449007D-PZX40N</t>
  </si>
  <si>
    <t>23291</t>
  </si>
  <si>
    <t>WSNC042036007D-MXX00T</t>
  </si>
  <si>
    <t>23292</t>
  </si>
  <si>
    <t>WSNC493481020D-PCR23K</t>
  </si>
  <si>
    <t>23294</t>
  </si>
  <si>
    <t>WPOT150140009D-PGX15B</t>
  </si>
  <si>
    <t>WFFL069040010D-PCG10K</t>
  </si>
  <si>
    <t>WPOT105099004D-PXX00W</t>
  </si>
  <si>
    <t>WFFL050027010Q-MXX00W</t>
  </si>
  <si>
    <t>23302</t>
  </si>
  <si>
    <t>WSNC120012165D-MXX00W</t>
  </si>
  <si>
    <t>23305</t>
  </si>
  <si>
    <t>WSNC119113013D-MXX00T</t>
  </si>
  <si>
    <t>23306</t>
  </si>
  <si>
    <t>WPOS139127015S-PCR23K</t>
  </si>
  <si>
    <t>WSNC054038012D-PZX40N</t>
  </si>
  <si>
    <t>23308</t>
  </si>
  <si>
    <t>WSMP031004000D-PXX00W</t>
  </si>
  <si>
    <t>23309</t>
  </si>
  <si>
    <t>WSMP315040083D-MXX00W</t>
  </si>
  <si>
    <t>WSNC137100150D-PGX25R</t>
  </si>
  <si>
    <t>23313</t>
  </si>
  <si>
    <t>WSNC323309023D-PAX10N</t>
  </si>
  <si>
    <t>WSOR017010010D-DA050N</t>
  </si>
  <si>
    <t>23317</t>
  </si>
  <si>
    <t>WSNC105099022D-MXX00W</t>
  </si>
  <si>
    <t>23318</t>
  </si>
  <si>
    <t>WSNC268254023D-PAX10N</t>
  </si>
  <si>
    <t>23319</t>
  </si>
  <si>
    <t>WSNC024011013D-DV050N</t>
  </si>
  <si>
    <t>23320</t>
  </si>
  <si>
    <t>WSSP253222014D-PGX25R</t>
  </si>
  <si>
    <t>WFFL074051012Q-PCG10K</t>
  </si>
  <si>
    <t>WFFB105076012Q-PCG10K</t>
  </si>
  <si>
    <t>WFFB130101014Q-PCG10K</t>
  </si>
  <si>
    <t>23326</t>
  </si>
  <si>
    <t>WSSL085062017D-PXX00W</t>
  </si>
  <si>
    <t>23327</t>
  </si>
  <si>
    <t>WFFH240187024D-PXX00W</t>
  </si>
  <si>
    <t>23330</t>
  </si>
  <si>
    <t>WPSM123000150D-PGX25R</t>
  </si>
  <si>
    <t>23334</t>
  </si>
  <si>
    <t>WSNC091080017D-MXX00W</t>
  </si>
  <si>
    <t>23335</t>
  </si>
  <si>
    <t>WSNC178158015D-PZX40N</t>
  </si>
  <si>
    <t>23336</t>
  </si>
  <si>
    <t>WSMP739715017D-PCR23K</t>
  </si>
  <si>
    <t>23340</t>
  </si>
  <si>
    <t>WPOT074050015D-PXX00W</t>
  </si>
  <si>
    <t>23342</t>
  </si>
  <si>
    <t>WSNC033031024D-PZX60N</t>
  </si>
  <si>
    <t>23343</t>
  </si>
  <si>
    <t>WPOT078070007D-PRX10K</t>
  </si>
  <si>
    <t>WPSM150135008D-PGX15B</t>
  </si>
  <si>
    <t>23345</t>
  </si>
  <si>
    <t>WPOT283275007D-PGX15W</t>
  </si>
  <si>
    <t>23346</t>
  </si>
  <si>
    <t>WPOS125113018S-PGX15W</t>
  </si>
  <si>
    <t>23347</t>
  </si>
  <si>
    <t>WPOT168155008D-PGX15B</t>
  </si>
  <si>
    <t>WPOS233213021S-PZX40N</t>
  </si>
  <si>
    <t>23349</t>
  </si>
  <si>
    <t>WFFH247153175D-PGX25G</t>
  </si>
  <si>
    <t>23351</t>
  </si>
  <si>
    <t>WSNC094079007D-PZX40N</t>
  </si>
  <si>
    <t>23353</t>
  </si>
  <si>
    <t>WPOT050025014D-PCR23K</t>
  </si>
  <si>
    <t>23354</t>
  </si>
  <si>
    <t>WPOT087076004D-PGX25B</t>
  </si>
  <si>
    <t>23355</t>
  </si>
  <si>
    <t>WPSM081037002Q-PGR20K</t>
  </si>
  <si>
    <t>WSMP227197017D-BU23GN</t>
  </si>
  <si>
    <t>WSNC066042013D-MXX00W</t>
  </si>
  <si>
    <t>23359</t>
  </si>
  <si>
    <t>WSMP247221011D-MXX00W</t>
  </si>
  <si>
    <t>WSMP128092018D-MXX00W</t>
  </si>
  <si>
    <t>23361</t>
  </si>
  <si>
    <t>WPOT050042005D-PCR23K</t>
  </si>
  <si>
    <t>23362</t>
  </si>
  <si>
    <t>WSNC097061021D-PZX40N</t>
  </si>
  <si>
    <t>23363</t>
  </si>
  <si>
    <t>WSNC079067011D-PZX40N</t>
  </si>
  <si>
    <t>23364</t>
  </si>
  <si>
    <t>WSNC053043012D-PZX40N</t>
  </si>
  <si>
    <t>23365</t>
  </si>
  <si>
    <t>WSNC071062008D-PZX40N</t>
  </si>
  <si>
    <t>23366</t>
  </si>
  <si>
    <t>WPOT073063005D-PFX15K</t>
  </si>
  <si>
    <t>23367</t>
  </si>
  <si>
    <t>WSNC053044008D-PZX40N</t>
  </si>
  <si>
    <t>23368</t>
  </si>
  <si>
    <t>WSNC149100050D-PXX00W</t>
  </si>
  <si>
    <t>23369</t>
  </si>
  <si>
    <t>WSNC209150050D-PXX00W</t>
  </si>
  <si>
    <t>23370</t>
  </si>
  <si>
    <t>WSLD657583019D-MSB50B</t>
  </si>
  <si>
    <t>23371</t>
  </si>
  <si>
    <t>WSLD857782019D-MSB50B</t>
  </si>
  <si>
    <t>WSSPS2G3077PMX</t>
  </si>
  <si>
    <t>WPOT140112005D-PXX00W</t>
  </si>
  <si>
    <t>23377</t>
  </si>
  <si>
    <t>WFFB151136014Q-PGX25W</t>
  </si>
  <si>
    <t>23378</t>
  </si>
  <si>
    <t>WSNC031023007D-PMX05K</t>
  </si>
  <si>
    <t>23380</t>
  </si>
  <si>
    <t>WSNC119112016D-MXX00T</t>
  </si>
  <si>
    <t>WSMP102013018D-PRX10K</t>
  </si>
  <si>
    <t>WSNCV3MFX25PCG</t>
  </si>
  <si>
    <t>23385.C01</t>
  </si>
  <si>
    <t>WSNC251173040D-MXX00W</t>
  </si>
  <si>
    <t>23385.C02</t>
  </si>
  <si>
    <t>WSNC251173040D-PCG10K</t>
  </si>
  <si>
    <t>23386</t>
  </si>
  <si>
    <t>WPOT080064004D-PGX15W</t>
  </si>
  <si>
    <t>23387</t>
  </si>
  <si>
    <t>WSNC092053025D-PXX00W</t>
  </si>
  <si>
    <t>2-3387</t>
  </si>
  <si>
    <t>WRJC140117018D-R460AK</t>
  </si>
  <si>
    <t>23390</t>
  </si>
  <si>
    <t>WPOT141128018D-GCX25K</t>
  </si>
  <si>
    <t>WSMP030000006D-PXX00W</t>
  </si>
  <si>
    <t>23392</t>
  </si>
  <si>
    <t>WPOS197172017S-PCR23K</t>
  </si>
  <si>
    <t>WSNC061044019D-PGM15K</t>
  </si>
  <si>
    <t>23394</t>
  </si>
  <si>
    <t>WSNC086063029D-PGM15K</t>
  </si>
  <si>
    <t>WSMP800790017D-PMX05K</t>
  </si>
  <si>
    <t>23396</t>
  </si>
  <si>
    <t>WPOT252229011D-PXX00W</t>
  </si>
  <si>
    <t>23398</t>
  </si>
  <si>
    <t>WSMP773749096D-PGX25W</t>
  </si>
  <si>
    <t>23399</t>
  </si>
  <si>
    <t>WPOT079057010D-PXX00W</t>
  </si>
  <si>
    <t>23401</t>
  </si>
  <si>
    <t>WPOT104094012Q-PPM15K</t>
  </si>
  <si>
    <t>23402</t>
  </si>
  <si>
    <t>WSNC111088030D-PGM15K</t>
  </si>
  <si>
    <t>2-3402</t>
  </si>
  <si>
    <t>WRJC150128015D-R260AK</t>
  </si>
  <si>
    <t>23403</t>
  </si>
  <si>
    <t>WSNC142113030D-PGM15K</t>
  </si>
  <si>
    <t>23404</t>
  </si>
  <si>
    <t>WSNC198163033D-PGM15K</t>
  </si>
  <si>
    <t>2-3404</t>
  </si>
  <si>
    <t>WRJA209191023D-R470AK</t>
  </si>
  <si>
    <t>WSNC280219055D-PGM15K</t>
  </si>
  <si>
    <t>23406</t>
  </si>
  <si>
    <t>WSNC167155022D-MXX00W</t>
  </si>
  <si>
    <t>23408</t>
  </si>
  <si>
    <t>WSMP208086023D-PXX00W</t>
  </si>
  <si>
    <t>23409</t>
  </si>
  <si>
    <t>WSMP204086014D-PXX00W</t>
  </si>
  <si>
    <t>23410</t>
  </si>
  <si>
    <t>WSMP208086017D-PXX00W</t>
  </si>
  <si>
    <t>2-3411</t>
  </si>
  <si>
    <t>WRJA386368015D-R560AR</t>
  </si>
  <si>
    <t>23412</t>
  </si>
  <si>
    <t>WPOT180168007D-PGX15W</t>
  </si>
  <si>
    <t>WSMPS2G3030PMX</t>
  </si>
  <si>
    <t>WSNC166146015D-PFX15K</t>
  </si>
  <si>
    <t>WSNC191171015D-PFX15K</t>
  </si>
  <si>
    <t>23416</t>
  </si>
  <si>
    <t>WSMP399337068D-PXX00W</t>
  </si>
  <si>
    <t>23417</t>
  </si>
  <si>
    <t>WSNC250188050D-PXX00W</t>
  </si>
  <si>
    <t>23418</t>
  </si>
  <si>
    <t>WSNC301238060D-PXX00W</t>
  </si>
  <si>
    <t>WFFL116225371Q-PGM15K</t>
  </si>
  <si>
    <t>23421</t>
  </si>
  <si>
    <t>WSMPS2G3027PMX</t>
  </si>
  <si>
    <t>WPOS179162004D-PXX00W</t>
  </si>
  <si>
    <t>23424</t>
  </si>
  <si>
    <t>WFFB104000137D-PGX25R</t>
  </si>
  <si>
    <t>WSMP061026070D-PXX00W</t>
  </si>
  <si>
    <t>23426</t>
  </si>
  <si>
    <t>WSNC185083024D-PXX00W</t>
  </si>
  <si>
    <t>23427</t>
  </si>
  <si>
    <t>WSNC185133024D-PXX00W</t>
  </si>
  <si>
    <t>23428</t>
  </si>
  <si>
    <t>WSNC235183024D-PXX00W</t>
  </si>
  <si>
    <t>23429</t>
  </si>
  <si>
    <t>WSNC292232024D-PXX00W</t>
  </si>
  <si>
    <t>23430</t>
  </si>
  <si>
    <t>WSNC342278024D-PXX00W</t>
  </si>
  <si>
    <t>23431</t>
  </si>
  <si>
    <t>WSNC062054012Q-PXX00W</t>
  </si>
  <si>
    <t>23432</t>
  </si>
  <si>
    <t>WPOS198185021D-PGX25W</t>
  </si>
  <si>
    <t>23433</t>
  </si>
  <si>
    <t>WPOT040027006D-PXX00W</t>
  </si>
  <si>
    <t>23438</t>
  </si>
  <si>
    <t>WFFL046030014D-MXX00W</t>
  </si>
  <si>
    <t>WPOT082074010Q-PPM15K</t>
  </si>
  <si>
    <t>23443</t>
  </si>
  <si>
    <t>WPOT176166010Q-PPM15K</t>
  </si>
  <si>
    <t>23444</t>
  </si>
  <si>
    <t>WSMP190161012D-PXX00W</t>
  </si>
  <si>
    <t>23445</t>
  </si>
  <si>
    <t>WPOT075056001D-PGX25W</t>
  </si>
  <si>
    <t>23446</t>
  </si>
  <si>
    <t>WFFB128098020D-PGX25R</t>
  </si>
  <si>
    <t>23448</t>
  </si>
  <si>
    <t>WSNC089062008D-MSX50S</t>
  </si>
  <si>
    <t>23449</t>
  </si>
  <si>
    <t>WPOT127105005D-PXX00W</t>
  </si>
  <si>
    <t>23450</t>
  </si>
  <si>
    <t>WPOS149118006S-PGX15W</t>
  </si>
  <si>
    <t>23451</t>
  </si>
  <si>
    <t>WSMP397326071D-PGM15K</t>
  </si>
  <si>
    <t>23452</t>
  </si>
  <si>
    <t>WSMP509438070Q-PGM15K</t>
  </si>
  <si>
    <t>WFFS088069113D-PXX00W</t>
  </si>
  <si>
    <t>23455</t>
  </si>
  <si>
    <t>WSNC247221011D-MXX00W</t>
  </si>
  <si>
    <t>23456</t>
  </si>
  <si>
    <t>WSMP097089004D-PXX00W</t>
  </si>
  <si>
    <t>WPOT087072004D-PGX15W</t>
  </si>
  <si>
    <t>23458</t>
  </si>
  <si>
    <t>WSNC035000034D-PGX25W</t>
  </si>
  <si>
    <t>23459</t>
  </si>
  <si>
    <t>WPOT073056005D-PFX15K</t>
  </si>
  <si>
    <t>WPSS118163006D-PYX07W</t>
  </si>
  <si>
    <t>23461</t>
  </si>
  <si>
    <t>WPOT348333009D-GGX15B</t>
  </si>
  <si>
    <t>23462</t>
  </si>
  <si>
    <t>WSNC059028039D-PGX25R</t>
  </si>
  <si>
    <t>23463</t>
  </si>
  <si>
    <t>WSNC068037026D-PCR23K</t>
  </si>
  <si>
    <t>23464</t>
  </si>
  <si>
    <t>WSNC197136019D-PXX00W</t>
  </si>
  <si>
    <t>23465</t>
  </si>
  <si>
    <t>WSNC251186019D-PXX00W</t>
  </si>
  <si>
    <t>23466</t>
  </si>
  <si>
    <t>WPOT147132010D-GGX15B</t>
  </si>
  <si>
    <t>23467</t>
  </si>
  <si>
    <t>WPOT175161007D-GGX15B</t>
  </si>
  <si>
    <t>23468</t>
  </si>
  <si>
    <t>WSOR081000025D-DT100W</t>
  </si>
  <si>
    <t>23471</t>
  </si>
  <si>
    <t>WPOT373359011D-PGX15W</t>
  </si>
  <si>
    <t>WSNC061052210D-PZX40N</t>
  </si>
  <si>
    <t>23473</t>
  </si>
  <si>
    <t>WSNCS2V3491PMX</t>
  </si>
  <si>
    <t>23474</t>
  </si>
  <si>
    <t>WSNC026011030D-DW062N</t>
  </si>
  <si>
    <t>2-3474</t>
  </si>
  <si>
    <t>WRJC068050014D-R470BK</t>
  </si>
  <si>
    <t>23475</t>
  </si>
  <si>
    <t>WSNC079068017D-MXX00W</t>
  </si>
  <si>
    <t>WPOT307294025D-PGX25W</t>
  </si>
  <si>
    <t>23477</t>
  </si>
  <si>
    <t>WSNC054043003D-FXX00K</t>
  </si>
  <si>
    <t>23480</t>
  </si>
  <si>
    <t>WPOT259244005Q-PXX00B</t>
  </si>
  <si>
    <t>23481</t>
  </si>
  <si>
    <t>WSOR032030023D-DN050K</t>
  </si>
  <si>
    <t>23483</t>
  </si>
  <si>
    <t>WFFH240187042D-PXX00W</t>
  </si>
  <si>
    <t>23484</t>
  </si>
  <si>
    <t>WSNC028010110D-PXX00W</t>
  </si>
  <si>
    <t>WPSM271184003Q-PGM05K</t>
  </si>
  <si>
    <t>23486</t>
  </si>
  <si>
    <t>WSMP377297050D-MCF18K</t>
  </si>
  <si>
    <t>23487</t>
  </si>
  <si>
    <t>WSMP189136017D-DU200Y</t>
  </si>
  <si>
    <t>23488</t>
  </si>
  <si>
    <t>WSMP244219037D-DU275N</t>
  </si>
  <si>
    <t>23489</t>
  </si>
  <si>
    <t>WSMPS2H3726DU2</t>
  </si>
  <si>
    <t>23490</t>
  </si>
  <si>
    <t>WSMPS2C0076DV0</t>
  </si>
  <si>
    <t>23491</t>
  </si>
  <si>
    <t>WPOT172159007D-PGX15W</t>
  </si>
  <si>
    <t>23492</t>
  </si>
  <si>
    <t>WFFH343287044D-PXX00W</t>
  </si>
  <si>
    <t>WFFB160126017Q-PCG10K</t>
  </si>
  <si>
    <t>WFFB187150017Q-PCG10K</t>
  </si>
  <si>
    <t>23495</t>
  </si>
  <si>
    <t>WFFB248201020Q-PCG10K</t>
  </si>
  <si>
    <t>WFFH297251023Q-PCG10K</t>
  </si>
  <si>
    <t>WFFH355301027Q-PCG10K</t>
  </si>
  <si>
    <t>WSNC485475017D-PXX00W</t>
  </si>
  <si>
    <t>23500</t>
  </si>
  <si>
    <t>WSNC357287022D-PXX00W</t>
  </si>
  <si>
    <t>WFFB101089015Q-PGX25K</t>
  </si>
  <si>
    <t>WFFB111099015Q-PGX25W</t>
  </si>
  <si>
    <t>23503</t>
  </si>
  <si>
    <t>WSNC062015090D-PXX00G</t>
  </si>
  <si>
    <t>WSNC111092013D-PMX05K</t>
  </si>
  <si>
    <t>23505</t>
  </si>
  <si>
    <t>WSMP132051004D-DN150K</t>
  </si>
  <si>
    <t>23506</t>
  </si>
  <si>
    <t>WPOT145128010B-PCX15K</t>
  </si>
  <si>
    <t>23507</t>
  </si>
  <si>
    <t>WSMP198028019D-PXX00W</t>
  </si>
  <si>
    <t>23508</t>
  </si>
  <si>
    <t>WSMP198062019D-PXX00W</t>
  </si>
  <si>
    <t>23509</t>
  </si>
  <si>
    <t>WSMP174150006D-FFX15K</t>
  </si>
  <si>
    <t>23510</t>
  </si>
  <si>
    <t>WSMP224200006D-FFX15K</t>
  </si>
  <si>
    <t>23511</t>
  </si>
  <si>
    <t>WPOT200175007D-PCR23K</t>
  </si>
  <si>
    <t>23512</t>
  </si>
  <si>
    <t>WPOT275249007D-PCR23K</t>
  </si>
  <si>
    <t>23513</t>
  </si>
  <si>
    <t>WPOT325300007D-PCR23K</t>
  </si>
  <si>
    <t>23514</t>
  </si>
  <si>
    <t>WPOT098085006D-PCR23K</t>
  </si>
  <si>
    <t>23515</t>
  </si>
  <si>
    <t>WPOT088074005D-PCR23K</t>
  </si>
  <si>
    <t>WSMP092067012S-PGM05K</t>
  </si>
  <si>
    <t>WPOT161145007D-PZF30N</t>
  </si>
  <si>
    <t>23518</t>
  </si>
  <si>
    <t>WPOT178162009D-PZF30N</t>
  </si>
  <si>
    <t>WSMP157143013Z-PAR10K</t>
  </si>
  <si>
    <t>23520</t>
  </si>
  <si>
    <t>WSMP705570038D-PXX00W</t>
  </si>
  <si>
    <t>23521</t>
  </si>
  <si>
    <t>WSMP877758040D-PGM15K</t>
  </si>
  <si>
    <t>23522</t>
  </si>
  <si>
    <t>WSMP393281037D-PXX00W</t>
  </si>
  <si>
    <t>23523</t>
  </si>
  <si>
    <t>WSMP492383037D-PXX00W</t>
  </si>
  <si>
    <t>23524</t>
  </si>
  <si>
    <t>WSNC043505031D-DN050K</t>
  </si>
  <si>
    <t>WFFL079015008L-PGM15K</t>
  </si>
  <si>
    <t>23527</t>
  </si>
  <si>
    <t>WSMPV3MFC10PCR</t>
  </si>
  <si>
    <t>23528</t>
  </si>
  <si>
    <t>WPOS180156011S-PYX07N</t>
  </si>
  <si>
    <t>23529</t>
  </si>
  <si>
    <t>WPOS073049011S-PYX07N</t>
  </si>
  <si>
    <t>23530</t>
  </si>
  <si>
    <t>WSMP440425009D-PGX15W</t>
  </si>
  <si>
    <t>23531</t>
  </si>
  <si>
    <t>WSNC190122029D-PCR23K</t>
  </si>
  <si>
    <t>23532</t>
  </si>
  <si>
    <t>WSMP705570038D-PGM15K</t>
  </si>
  <si>
    <t>WSOR052022013D-DU075Y</t>
  </si>
  <si>
    <t>23534</t>
  </si>
  <si>
    <t>WSMP393281037D-PGM15K</t>
  </si>
  <si>
    <t>23535</t>
  </si>
  <si>
    <t>WSMP492383033D-PGM15K</t>
  </si>
  <si>
    <t>23536</t>
  </si>
  <si>
    <t>WPOT337324011D-PGX15W</t>
  </si>
  <si>
    <t>WPOT341327011D-GGX15B</t>
  </si>
  <si>
    <t>23538</t>
  </si>
  <si>
    <t>WPOT181166007D-PGX20A</t>
  </si>
  <si>
    <t>2-3538</t>
  </si>
  <si>
    <t>WRJC059035014D-R560AR</t>
  </si>
  <si>
    <t>WSNC022008006D-PXX00W</t>
  </si>
  <si>
    <t>2-3539</t>
  </si>
  <si>
    <t>WRJA059035014D-R560AR</t>
  </si>
  <si>
    <t>23540</t>
  </si>
  <si>
    <t>WSMP351331031D-PXX00W</t>
  </si>
  <si>
    <t>23541</t>
  </si>
  <si>
    <t>WSNC088054010D-PAX10W</t>
  </si>
  <si>
    <t>23542</t>
  </si>
  <si>
    <t>WSNC149113113D-PGM15K</t>
  </si>
  <si>
    <t>23543</t>
  </si>
  <si>
    <t>WSNC492471015D-PSX50S</t>
  </si>
  <si>
    <t>23544</t>
  </si>
  <si>
    <t>WPOT174152006D-PGM15K</t>
  </si>
  <si>
    <t>23545</t>
  </si>
  <si>
    <t>WSNC060049017D-MXX00W</t>
  </si>
  <si>
    <t>23546</t>
  </si>
  <si>
    <t>WSNC085074017D-MXX00W</t>
  </si>
  <si>
    <t>23547</t>
  </si>
  <si>
    <t>WSNC110099022D-MXX00W</t>
  </si>
  <si>
    <t>23548</t>
  </si>
  <si>
    <t>WSMPV3MFC00PGX</t>
  </si>
  <si>
    <t>23549</t>
  </si>
  <si>
    <t>WSNC349322023D-PCF10K</t>
  </si>
  <si>
    <t>23550</t>
  </si>
  <si>
    <t>WPOT345320017S-PCR23K</t>
  </si>
  <si>
    <t>23551</t>
  </si>
  <si>
    <t>WSNC274247022D-PCF10K</t>
  </si>
  <si>
    <t>23552</t>
  </si>
  <si>
    <t>WSNC103037056D-PXX00W</t>
  </si>
  <si>
    <t>23553</t>
  </si>
  <si>
    <t>WFFB178125029D-PXX00W</t>
  </si>
  <si>
    <t>23554</t>
  </si>
  <si>
    <t>WSOR059037030D-DD062N</t>
  </si>
  <si>
    <t>23555</t>
  </si>
  <si>
    <t>WPOT360336016D-GCX25K</t>
  </si>
  <si>
    <t>23556</t>
  </si>
  <si>
    <t>WPOT215202010D-GGX15B</t>
  </si>
  <si>
    <t>23557</t>
  </si>
  <si>
    <t>WPOS027017004S-PCR23K</t>
  </si>
  <si>
    <t>WPOS049039004S-PCR23K</t>
  </si>
  <si>
    <t>23559</t>
  </si>
  <si>
    <t>WSNC138118009D-PGX15W</t>
  </si>
  <si>
    <t>WSOR065034016D-DU075Y</t>
  </si>
  <si>
    <t>WPOT059044003D-PXX00W</t>
  </si>
  <si>
    <t>23563</t>
  </si>
  <si>
    <t>WPSS095083009S-GGX15B</t>
  </si>
  <si>
    <t>23564</t>
  </si>
  <si>
    <t>WSOR026007030D-DW062N</t>
  </si>
  <si>
    <t>WSNC043017004Q-PNX15W</t>
  </si>
  <si>
    <t>WPOS299256006S-PGX15W</t>
  </si>
  <si>
    <t>23567</t>
  </si>
  <si>
    <t>WPOT099084006D-PCR23K</t>
  </si>
  <si>
    <t>23568</t>
  </si>
  <si>
    <t>WPOT088074006D-PCR23K</t>
  </si>
  <si>
    <t>23569</t>
  </si>
  <si>
    <t>WSMPO2199PXPSX</t>
  </si>
  <si>
    <t>23570</t>
  </si>
  <si>
    <t>WSNC060034020D-MXX00W</t>
  </si>
  <si>
    <t>23571</t>
  </si>
  <si>
    <t>WPOT250201025D-PGX25W</t>
  </si>
  <si>
    <t>23572</t>
  </si>
  <si>
    <t>WSNC295228027D-PGX25W</t>
  </si>
  <si>
    <t>23573</t>
  </si>
  <si>
    <t>WSNC295229027D-PGX25W</t>
  </si>
  <si>
    <t>23576</t>
  </si>
  <si>
    <t>WPOS200181036S-PCR23K</t>
  </si>
  <si>
    <t>23577</t>
  </si>
  <si>
    <t>WSNC074037056D-PXX00W</t>
  </si>
  <si>
    <t>23578</t>
  </si>
  <si>
    <t>WSMP295000086D-PGX25W</t>
  </si>
  <si>
    <t>23581</t>
  </si>
  <si>
    <t>WSNC099062008D-DD125N</t>
  </si>
  <si>
    <t>23582</t>
  </si>
  <si>
    <t>WSNC106099016D-MXX00T</t>
  </si>
  <si>
    <t>23583</t>
  </si>
  <si>
    <t>WPOT069063007D-MFX15N</t>
  </si>
  <si>
    <t>23584</t>
  </si>
  <si>
    <t>WSNC255198019D-PGX15W</t>
  </si>
  <si>
    <t>WPOT073062005D-PGX15W</t>
  </si>
  <si>
    <t>23587</t>
  </si>
  <si>
    <t>WSOT265255005Q-PGR20K</t>
  </si>
  <si>
    <t>23588</t>
  </si>
  <si>
    <t>WPOS069061012Z-PCF18K</t>
  </si>
  <si>
    <t>23589</t>
  </si>
  <si>
    <t>WPOS069061012Z-MFX15N</t>
  </si>
  <si>
    <t>WSMP111091014D-PMX05K</t>
  </si>
  <si>
    <t>23591</t>
  </si>
  <si>
    <t>WSSPS2V2L11PCR</t>
  </si>
  <si>
    <t>23592</t>
  </si>
  <si>
    <t>WSMP212189014D-PMX05K</t>
  </si>
  <si>
    <t>23593</t>
  </si>
  <si>
    <t>WPOS119091013S-PGX25W</t>
  </si>
  <si>
    <t>23594</t>
  </si>
  <si>
    <t>WPOS124113009S-PGX25W</t>
  </si>
  <si>
    <t>23595</t>
  </si>
  <si>
    <t>WSNC151076017D-PXX00W</t>
  </si>
  <si>
    <t>23596</t>
  </si>
  <si>
    <t>WSMPS2H0204PXX</t>
  </si>
  <si>
    <t>23598</t>
  </si>
  <si>
    <t>WSNC131037056D-PXX00W</t>
  </si>
  <si>
    <t>23600</t>
  </si>
  <si>
    <t>WSOT110087009D-PGX15W</t>
  </si>
  <si>
    <t>WSMP775750062D-PCR23K</t>
  </si>
  <si>
    <t>23602</t>
  </si>
  <si>
    <t>WSNC067040021D-PXX00W</t>
  </si>
  <si>
    <t>23603</t>
  </si>
  <si>
    <t>WSMP070040026D-PXX00W</t>
  </si>
  <si>
    <t>WSMP540350170L-PSX05S</t>
  </si>
  <si>
    <t>23607</t>
  </si>
  <si>
    <t>WPOT227188009D-PXX00W</t>
  </si>
  <si>
    <t>23608</t>
  </si>
  <si>
    <t>WPOT332287009D-PXX00W</t>
  </si>
  <si>
    <t>23610</t>
  </si>
  <si>
    <t>WSMP216190011D-MXX00T</t>
  </si>
  <si>
    <t>23611</t>
  </si>
  <si>
    <t>WSMP213187011D-MXX00T</t>
  </si>
  <si>
    <t>23612</t>
  </si>
  <si>
    <t>WPOT284266005D-PYX07W</t>
  </si>
  <si>
    <t>23613</t>
  </si>
  <si>
    <t>WPOT268250005D-PYX07W</t>
  </si>
  <si>
    <t>23614</t>
  </si>
  <si>
    <t>WSMP412397008D-PGX15B</t>
  </si>
  <si>
    <t>WSNC144120013D-PMX05K</t>
  </si>
  <si>
    <t>23617</t>
  </si>
  <si>
    <t>WSNC247221011A-MXX00W</t>
  </si>
  <si>
    <t>23627</t>
  </si>
  <si>
    <t>WSOR265242005D-BK27JN</t>
  </si>
  <si>
    <t>23628</t>
  </si>
  <si>
    <t>WSOR256233006D-BK27JN</t>
  </si>
  <si>
    <t>WSOR194171006D-BK20FN</t>
  </si>
  <si>
    <t>WSNC308294025D-PGX25W</t>
  </si>
  <si>
    <t>23634</t>
  </si>
  <si>
    <t>WSMP122000600L-PSX05S</t>
  </si>
  <si>
    <t>WSNC068062007D-MFX15N</t>
  </si>
  <si>
    <t>23638</t>
  </si>
  <si>
    <t>WSNC039009013D-PYX07N</t>
  </si>
  <si>
    <t>23641</t>
  </si>
  <si>
    <t>WSMP602589028D-PRX10K</t>
  </si>
  <si>
    <t>23647</t>
  </si>
  <si>
    <t>WSOR141119011D-BK15DN</t>
  </si>
  <si>
    <t>WSNC068060007D-PCF18K</t>
  </si>
  <si>
    <t>23649</t>
  </si>
  <si>
    <t>WFFL066014008L-PGM15K</t>
  </si>
  <si>
    <t>23650</t>
  </si>
  <si>
    <t>WSOR194172008D-BK20FN</t>
  </si>
  <si>
    <t>23652</t>
  </si>
  <si>
    <t>WSNC043037012D-PRX10K</t>
  </si>
  <si>
    <t>23653</t>
  </si>
  <si>
    <t>WSMP325216025D-PXX00W</t>
  </si>
  <si>
    <t>WPOT332287006D-MSX50S</t>
  </si>
  <si>
    <t>23655</t>
  </si>
  <si>
    <t>WPOT326312032D-PGX15W</t>
  </si>
  <si>
    <t>23656</t>
  </si>
  <si>
    <t>WSMPV3MFC03PXX</t>
  </si>
  <si>
    <t>23657</t>
  </si>
  <si>
    <t>WPOT074064004D-PXX00W</t>
  </si>
  <si>
    <t>23658</t>
  </si>
  <si>
    <t>WSOS174131021B-PZX60N</t>
  </si>
  <si>
    <t>23659</t>
  </si>
  <si>
    <t>WSNC062031075D-PXX00W</t>
  </si>
  <si>
    <t>23661</t>
  </si>
  <si>
    <t>WPOT150140007D-PRX10K</t>
  </si>
  <si>
    <t>23662</t>
  </si>
  <si>
    <t>WPOT210192008D-PGX15W</t>
  </si>
  <si>
    <t>23663</t>
  </si>
  <si>
    <t>WPOS209186006S-PGX15W</t>
  </si>
  <si>
    <t>2-3663</t>
  </si>
  <si>
    <t>WRJE093028013D-R970BK</t>
  </si>
  <si>
    <t>23664</t>
  </si>
  <si>
    <t>WSNC229124049D-PXX00W</t>
  </si>
  <si>
    <t>23665</t>
  </si>
  <si>
    <t>WSNC135100012D-BA19DN</t>
  </si>
  <si>
    <t>WSOR174137018D-BA19DN</t>
  </si>
  <si>
    <t>23668</t>
  </si>
  <si>
    <t>WFFB111095015Q-PGX25Y</t>
  </si>
  <si>
    <t>23672</t>
  </si>
  <si>
    <t>WSOR117087012D-BA13DN</t>
  </si>
  <si>
    <t>WSNC067040029D-PXX00W</t>
  </si>
  <si>
    <t>23674</t>
  </si>
  <si>
    <t>WSMP070040029D-PXX00W</t>
  </si>
  <si>
    <t>23675</t>
  </si>
  <si>
    <t>WSOR070051169D-DB100R</t>
  </si>
  <si>
    <t>23676</t>
  </si>
  <si>
    <t>WSNC295229035D-PGX25W</t>
  </si>
  <si>
    <t>23678</t>
  </si>
  <si>
    <t>WSNC137087000D-PGX25R</t>
  </si>
  <si>
    <t>WSMP562407035Q-PSX50S</t>
  </si>
  <si>
    <t>23680</t>
  </si>
  <si>
    <t>WPOT031020003D-PXX00W</t>
  </si>
  <si>
    <t>23681</t>
  </si>
  <si>
    <t>WPOT019009003D-PXX00W</t>
  </si>
  <si>
    <t>WPOT276237009D-PXX00W</t>
  </si>
  <si>
    <t>23683</t>
  </si>
  <si>
    <t>WPOT176137009D-PXX00W</t>
  </si>
  <si>
    <t>23684</t>
  </si>
  <si>
    <t>WSOR188167006Q-DA200W</t>
  </si>
  <si>
    <t>23685</t>
  </si>
  <si>
    <t>WSNC888775006D-PXX00B</t>
  </si>
  <si>
    <t>23686</t>
  </si>
  <si>
    <t>WSNC888775009D-PXX00W</t>
  </si>
  <si>
    <t>WSOR025000037D-DV050N</t>
  </si>
  <si>
    <t>23688</t>
  </si>
  <si>
    <t>WFFH432386006D-MSX50S</t>
  </si>
  <si>
    <t>23689</t>
  </si>
  <si>
    <t>WSOR050016043D-DN062K</t>
  </si>
  <si>
    <t>23690</t>
  </si>
  <si>
    <t>WSOR087012020D-DY100G</t>
  </si>
  <si>
    <t>23692</t>
  </si>
  <si>
    <t>WSOR169149015D-BR18FW</t>
  </si>
  <si>
    <t>WSOR276264011D-DU300N</t>
  </si>
  <si>
    <t>WSOR231220011D-DU250N</t>
  </si>
  <si>
    <t>23695</t>
  </si>
  <si>
    <t>WSOR168157011D-DV175N</t>
  </si>
  <si>
    <t>23696</t>
  </si>
  <si>
    <t>WSOR238219037S-DU250N</t>
  </si>
  <si>
    <t>WSNC125098012D-PXX00W</t>
  </si>
  <si>
    <t>23699</t>
  </si>
  <si>
    <t>WSOR117055117D-DE150S</t>
  </si>
  <si>
    <t>WSNC113068028Q-MXX00W</t>
  </si>
  <si>
    <t>23701</t>
  </si>
  <si>
    <t>WSOR090052018D-DQ100N</t>
  </si>
  <si>
    <t>WPOT041037005D-MXX00T</t>
  </si>
  <si>
    <t>WSLD568480020D-MSX50S</t>
  </si>
  <si>
    <t>23706</t>
  </si>
  <si>
    <t>WSPTV3MFC43PXX</t>
  </si>
  <si>
    <t>WPOT101087008D-PGX15W</t>
  </si>
  <si>
    <t>WSNC109099017Q-MXX00T</t>
  </si>
  <si>
    <t>WSMP026000026D-PXX00W</t>
  </si>
  <si>
    <t>23711</t>
  </si>
  <si>
    <t>WSMPS2C1265MFX</t>
  </si>
  <si>
    <t>23712</t>
  </si>
  <si>
    <t>WSMPS2C2510MFX</t>
  </si>
  <si>
    <t>23713</t>
  </si>
  <si>
    <t>WSMPS2C2353MFX</t>
  </si>
  <si>
    <t>23714</t>
  </si>
  <si>
    <t>WSMPS2C2746MFX</t>
  </si>
  <si>
    <t>23716</t>
  </si>
  <si>
    <t>WSPT578473030D-PXX00W</t>
  </si>
  <si>
    <t>23717</t>
  </si>
  <si>
    <t>WSPT162142025B-PZX60N</t>
  </si>
  <si>
    <t>WSMP322306039B-PYX07N</t>
  </si>
  <si>
    <t>WFFH402288020D-PXX00W</t>
  </si>
  <si>
    <t>WSNC351337026Q-MXX00T</t>
  </si>
  <si>
    <t>WPOS081056004S-PXX00W</t>
  </si>
  <si>
    <t>23723</t>
  </si>
  <si>
    <t>WPOT277237006D-PXX00W</t>
  </si>
  <si>
    <t>23724</t>
  </si>
  <si>
    <t>WSNC088074006D-PCR23K</t>
  </si>
  <si>
    <t>WSNC200175007D-PCR23K</t>
  </si>
  <si>
    <t>23726</t>
  </si>
  <si>
    <t>WSNC325300007D-PCR23K</t>
  </si>
  <si>
    <t>23728</t>
  </si>
  <si>
    <t>WPOT231220005D-PXX00W</t>
  </si>
  <si>
    <t>2-3728</t>
  </si>
  <si>
    <t>WRJC160135017D-R860AK</t>
  </si>
  <si>
    <t>23729</t>
  </si>
  <si>
    <t>WFFL064037015D-PXX00W</t>
  </si>
  <si>
    <t>WPOT313302010D-PGX25W</t>
  </si>
  <si>
    <t>23733</t>
  </si>
  <si>
    <t>WPOS110098018S-PCR23K</t>
  </si>
  <si>
    <t>23734</t>
  </si>
  <si>
    <t>WPOS148132023Q-PCX15K</t>
  </si>
  <si>
    <t>WSMP464350170L-PSX05S</t>
  </si>
  <si>
    <t>23737</t>
  </si>
  <si>
    <t>WSPT089076008D-DK100N</t>
  </si>
  <si>
    <t>23741</t>
  </si>
  <si>
    <t>WSNC497470011D-PNX15W</t>
  </si>
  <si>
    <t>23742</t>
  </si>
  <si>
    <t>WSOR088068008D-DK100N</t>
  </si>
  <si>
    <t>23743</t>
  </si>
  <si>
    <t>WPOS023012004S-PXX00W</t>
  </si>
  <si>
    <t>23747</t>
  </si>
  <si>
    <t>WFFH465378018D-PSB50B</t>
  </si>
  <si>
    <t>23748</t>
  </si>
  <si>
    <t>WFFB197085018D-PSB50B</t>
  </si>
  <si>
    <t>23749</t>
  </si>
  <si>
    <t>WFFB196135018D-PSB50B</t>
  </si>
  <si>
    <t>23750</t>
  </si>
  <si>
    <t>WFFH250185018D-PSB50B</t>
  </si>
  <si>
    <t>WFFH304236018D-PSB50B</t>
  </si>
  <si>
    <t>23752</t>
  </si>
  <si>
    <t>WFFH355284017D-PSB50B</t>
  </si>
  <si>
    <t>23753</t>
  </si>
  <si>
    <t>WSSL305238020D-PXX00W</t>
  </si>
  <si>
    <t>23754</t>
  </si>
  <si>
    <t>WSSL357287020D-PXX00W</t>
  </si>
  <si>
    <t>23755</t>
  </si>
  <si>
    <t>WSOR124108009D-BK15DN</t>
  </si>
  <si>
    <t>WSOR087068009D-DA100N</t>
  </si>
  <si>
    <t>23757</t>
  </si>
  <si>
    <t>WSMPS2C2982MFX</t>
  </si>
  <si>
    <t>23760</t>
  </si>
  <si>
    <t>WSMP595400006D-PGX25Y</t>
  </si>
  <si>
    <t>23761</t>
  </si>
  <si>
    <t>WSMP123086168D-DV150N</t>
  </si>
  <si>
    <t>23762</t>
  </si>
  <si>
    <t>WPOT124106005D-PXX00W</t>
  </si>
  <si>
    <t>23764</t>
  </si>
  <si>
    <t>WSMP099075058D-DD125N</t>
  </si>
  <si>
    <t>23765</t>
  </si>
  <si>
    <t>WSNC112062056D-PAX10N</t>
  </si>
  <si>
    <t>WSNC281258012D-MXX00W</t>
  </si>
  <si>
    <t>WSNC206181011D-MXX00W</t>
  </si>
  <si>
    <t>WSOR137081006D-DF150N</t>
  </si>
  <si>
    <t>23773</t>
  </si>
  <si>
    <t>WSNC124087016D-PPX25W</t>
  </si>
  <si>
    <t>23774</t>
  </si>
  <si>
    <t>WSNC125075016D-PPX25W</t>
  </si>
  <si>
    <t>23780</t>
  </si>
  <si>
    <t>WSOR093083004S-DK100N</t>
  </si>
  <si>
    <t>23781</t>
  </si>
  <si>
    <t>WPOS092080012S-PCR23K</t>
  </si>
  <si>
    <t>23782</t>
  </si>
  <si>
    <t>WSOR094082007D-DK100N</t>
  </si>
  <si>
    <t>WFFL062044005D-PGX15W</t>
  </si>
  <si>
    <t>WSNC188163011D-MXX00W</t>
  </si>
  <si>
    <t>23787</t>
  </si>
  <si>
    <t>WPOT253222012D-PXX00W</t>
  </si>
  <si>
    <t>WFFL035000011D-PXX00W</t>
  </si>
  <si>
    <t>23791</t>
  </si>
  <si>
    <t>WPSA087076006Q-PXX00W</t>
  </si>
  <si>
    <t>WPOT036033007D-MXX00T</t>
  </si>
  <si>
    <t>23794</t>
  </si>
  <si>
    <t>WSLD655580018D-PSB50B</t>
  </si>
  <si>
    <t>WSSL085038018D-PXX00W</t>
  </si>
  <si>
    <t>23799</t>
  </si>
  <si>
    <t>WSSL075062018D-PXX00W</t>
  </si>
  <si>
    <t>23801</t>
  </si>
  <si>
    <t>WPOT160111002Q-PXX00W</t>
  </si>
  <si>
    <t>23802</t>
  </si>
  <si>
    <t>WSNC186126037D-PNX15W</t>
  </si>
  <si>
    <t>23803</t>
  </si>
  <si>
    <t>WSMPS2C1218PNX</t>
  </si>
  <si>
    <t>23804</t>
  </si>
  <si>
    <t>WSOR052029013D-DU062N</t>
  </si>
  <si>
    <t>WSMP402372023D-PYX07N</t>
  </si>
  <si>
    <t>23806</t>
  </si>
  <si>
    <t>WSMPS2C0123PFX</t>
  </si>
  <si>
    <t>WPOT094080003Q-PXX00W</t>
  </si>
  <si>
    <t>23811</t>
  </si>
  <si>
    <t>WPOT100075015D-PXX00W</t>
  </si>
  <si>
    <t>23814</t>
  </si>
  <si>
    <t>WPOT125109006D-PCR23K</t>
  </si>
  <si>
    <t>23815</t>
  </si>
  <si>
    <t>WSNC027010120D-PXX00W</t>
  </si>
  <si>
    <t>23816</t>
  </si>
  <si>
    <t>WSNC027002055D-PXX00W</t>
  </si>
  <si>
    <t>23817</t>
  </si>
  <si>
    <t>WSNC027010120D-MXX00W</t>
  </si>
  <si>
    <t>23818</t>
  </si>
  <si>
    <t>WSNC027002060D-MXX00W</t>
  </si>
  <si>
    <t>23819</t>
  </si>
  <si>
    <t>WSMP394302040D-MXX00W</t>
  </si>
  <si>
    <t>23822</t>
  </si>
  <si>
    <t>WSMP124075116D-DV150N</t>
  </si>
  <si>
    <t>23823</t>
  </si>
  <si>
    <t>WSMPS2C1473PFX</t>
  </si>
  <si>
    <t>WSNC080063011D-PGX15W</t>
  </si>
  <si>
    <t>WSNC125106027D-PGX15W</t>
  </si>
  <si>
    <t>WSMP692579009D-PXX00W</t>
  </si>
  <si>
    <t>23827</t>
  </si>
  <si>
    <t>WSNC415393010D-PYX07N</t>
  </si>
  <si>
    <t>WSMP099074006Z-PXX00W</t>
  </si>
  <si>
    <t>23830</t>
  </si>
  <si>
    <t>WSNC130063038D-MXX00W</t>
  </si>
  <si>
    <t>23831</t>
  </si>
  <si>
    <t>WPOS049037009S-PGX25W</t>
  </si>
  <si>
    <t>23833</t>
  </si>
  <si>
    <t>WSNC050010020D-PRX15K</t>
  </si>
  <si>
    <t>23835</t>
  </si>
  <si>
    <t>WSMP157135011D-PGX15W</t>
  </si>
  <si>
    <t>WSNC045022013D-PRX10K</t>
  </si>
  <si>
    <t>WSNC149123012D-PXX00W</t>
  </si>
  <si>
    <t>23841</t>
  </si>
  <si>
    <t>WSNC086051017D-MXX00W</t>
  </si>
  <si>
    <t>WSMP424421049S-MPC10K</t>
  </si>
  <si>
    <t>WSMPS2C2L12MPC</t>
  </si>
  <si>
    <t>23844</t>
  </si>
  <si>
    <t>WSMP218205049D-MPC10K</t>
  </si>
  <si>
    <t>23845</t>
  </si>
  <si>
    <t>WSMPS2C2649MPC</t>
  </si>
  <si>
    <t>WSMP112099049D-MPC10K</t>
  </si>
  <si>
    <t>23847</t>
  </si>
  <si>
    <t>WSMPS2C2316MPC</t>
  </si>
  <si>
    <t>WSMP056045049S-MPC10K</t>
  </si>
  <si>
    <t>23853</t>
  </si>
  <si>
    <t>WSMP081038017D-PXX00W</t>
  </si>
  <si>
    <t>23854</t>
  </si>
  <si>
    <t>WSMP081064017D-PXX00W</t>
  </si>
  <si>
    <t>WSNC201179011D-PGM15K</t>
  </si>
  <si>
    <t>WSMP148090026D-PCR23K</t>
  </si>
  <si>
    <t>WSNC201174013D-PCR23K</t>
  </si>
  <si>
    <t>23859</t>
  </si>
  <si>
    <t>WSMP575451131D-PGX25W</t>
  </si>
  <si>
    <t>WSNC602592029D-PYX07N</t>
  </si>
  <si>
    <t>WSMP183155012D-MXX00T</t>
  </si>
  <si>
    <t>23863</t>
  </si>
  <si>
    <t>WSOR015005068D-DP037W</t>
  </si>
  <si>
    <t>23866</t>
  </si>
  <si>
    <t>WSMP393311041D-MXX00W</t>
  </si>
  <si>
    <t>23869</t>
  </si>
  <si>
    <t>WSMP919842020D-MSX50S</t>
  </si>
  <si>
    <t>23870</t>
  </si>
  <si>
    <t>WSMPS2H1501PNX</t>
  </si>
  <si>
    <t>23874</t>
  </si>
  <si>
    <t>WPOT104076004D-MXX00W</t>
  </si>
  <si>
    <t>23875</t>
  </si>
  <si>
    <t>WSNC128077017D-PXX00W</t>
  </si>
  <si>
    <t>WSOR030008024D-DU050Y</t>
  </si>
  <si>
    <t>23877</t>
  </si>
  <si>
    <t>WSNC122084018D-MXX00W</t>
  </si>
  <si>
    <t>23879</t>
  </si>
  <si>
    <t>WPOT081074130O-PCR23K</t>
  </si>
  <si>
    <t>23880</t>
  </si>
  <si>
    <t>WSNC053024005D-MXX00W</t>
  </si>
  <si>
    <t>23881</t>
  </si>
  <si>
    <t>WSNC074037005D-MXX00W</t>
  </si>
  <si>
    <t>23882</t>
  </si>
  <si>
    <t>WSNC099084006D-PCR23K</t>
  </si>
  <si>
    <t>23883</t>
  </si>
  <si>
    <t>WPOT075068130O-PCR23K</t>
  </si>
  <si>
    <t>2-3883</t>
  </si>
  <si>
    <t>WRJA256215018K-R470AK</t>
  </si>
  <si>
    <t>23884</t>
  </si>
  <si>
    <t>WPOT211188005D-PXX00W</t>
  </si>
  <si>
    <t>23885</t>
  </si>
  <si>
    <t>WSNC151100027D-PNX15W</t>
  </si>
  <si>
    <t>23886</t>
  </si>
  <si>
    <t>WSNC141118013D-PRX15K</t>
  </si>
  <si>
    <t>23889</t>
  </si>
  <si>
    <t>WSNC106056015D-BK12BN</t>
  </si>
  <si>
    <t>WPOT171160004D-PGX15W</t>
  </si>
  <si>
    <t>WSMP219194087S-PGX25R</t>
  </si>
  <si>
    <t>WSMP475450025D-PGX25R</t>
  </si>
  <si>
    <t>WSMP136065015D-DV150N</t>
  </si>
  <si>
    <t>23895</t>
  </si>
  <si>
    <t>WPOT031015006D-PXX00W</t>
  </si>
  <si>
    <t>23896</t>
  </si>
  <si>
    <t>WPOS079067005D-PFX15K</t>
  </si>
  <si>
    <t>23898</t>
  </si>
  <si>
    <t>WSMP445395006D-PXX00W</t>
  </si>
  <si>
    <t>23899</t>
  </si>
  <si>
    <t>WPOT062054012D-PGX25R</t>
  </si>
  <si>
    <t>23900</t>
  </si>
  <si>
    <t>WSNC080037018D-PXX00W</t>
  </si>
  <si>
    <t>23901</t>
  </si>
  <si>
    <t>WSMP307293025O-PYX07W</t>
  </si>
  <si>
    <t>23902</t>
  </si>
  <si>
    <t>WSNC240202021D-MXX00W</t>
  </si>
  <si>
    <t>WRJC181145021D-R850AK</t>
  </si>
  <si>
    <t>23903</t>
  </si>
  <si>
    <t>WSNC100050032D-PYM10W</t>
  </si>
  <si>
    <t>23904</t>
  </si>
  <si>
    <t>WPOS093076004S-PXX00W</t>
  </si>
  <si>
    <t>23905</t>
  </si>
  <si>
    <t>WSMPV5MFC00MPC</t>
  </si>
  <si>
    <t>23906</t>
  </si>
  <si>
    <t>WPOT111099007D-PGX15B</t>
  </si>
  <si>
    <t>23907</t>
  </si>
  <si>
    <t>WPOT176137008D-PGX15B</t>
  </si>
  <si>
    <t>23908</t>
  </si>
  <si>
    <t>WPOT154140007D-PGX25W</t>
  </si>
  <si>
    <t>23909</t>
  </si>
  <si>
    <t>WPOT078072008D-PXX00W</t>
  </si>
  <si>
    <t>23912</t>
  </si>
  <si>
    <t>WPOS251232009Q-PRX15K</t>
  </si>
  <si>
    <t>WPOT270252007Q-PGX15O</t>
  </si>
  <si>
    <t>23914</t>
  </si>
  <si>
    <t>WPOT205190007Q-PGX15B</t>
  </si>
  <si>
    <t>23915</t>
  </si>
  <si>
    <t>WSMP126114008Q-PCR31K</t>
  </si>
  <si>
    <t>23916</t>
  </si>
  <si>
    <t>WPOT188168007Q-PRX10K</t>
  </si>
  <si>
    <t>23917</t>
  </si>
  <si>
    <t>WPOT150141007Q-PGX15G</t>
  </si>
  <si>
    <t>WPOT129117006Q-PRX10K</t>
  </si>
  <si>
    <t>23919</t>
  </si>
  <si>
    <t>WPOT198184010Q-PGX15O</t>
  </si>
  <si>
    <t>23920</t>
  </si>
  <si>
    <t>WPOT130118007Q-PRX10K</t>
  </si>
  <si>
    <t>23921</t>
  </si>
  <si>
    <t>WPOT197185009Q-PGX25B</t>
  </si>
  <si>
    <t>23924</t>
  </si>
  <si>
    <t>WPOT205197007Q-PGX15B</t>
  </si>
  <si>
    <t>23925</t>
  </si>
  <si>
    <t>WPOS114102006Q-PGX25W</t>
  </si>
  <si>
    <t>23926</t>
  </si>
  <si>
    <t>WSMP275264008Q-PGX25W</t>
  </si>
  <si>
    <t>23928</t>
  </si>
  <si>
    <t>WSNC069063007D-PFX15K</t>
  </si>
  <si>
    <t>23929</t>
  </si>
  <si>
    <t>WPOT186162005D-PXX00W</t>
  </si>
  <si>
    <t>23931</t>
  </si>
  <si>
    <t>WSNC053047007D-PCX15K</t>
  </si>
  <si>
    <t>23936</t>
  </si>
  <si>
    <t>WSLD857782018D-PSB50B</t>
  </si>
  <si>
    <t>23937</t>
  </si>
  <si>
    <t>WSMP027012029O-DP037W</t>
  </si>
  <si>
    <t>WSSL468384020D-PXX00W</t>
  </si>
  <si>
    <t>23940</t>
  </si>
  <si>
    <t>WPOS210192008Q-PCR31K</t>
  </si>
  <si>
    <t>23941</t>
  </si>
  <si>
    <t>WPOT182169008Q-PGX15O</t>
  </si>
  <si>
    <t>23942</t>
  </si>
  <si>
    <t>WSMP103091009Q-PCR31K</t>
  </si>
  <si>
    <t>WPOT129117008Q-PGX15W</t>
  </si>
  <si>
    <t>23944</t>
  </si>
  <si>
    <t>WSMP103093009Q-PCR31K</t>
  </si>
  <si>
    <t>23945</t>
  </si>
  <si>
    <t>WSMP130118009Q-PCR31K</t>
  </si>
  <si>
    <t>WSNC163149008D-PRX10K</t>
  </si>
  <si>
    <t>23947</t>
  </si>
  <si>
    <t>WPOT193175009D-PGX15W</t>
  </si>
  <si>
    <t>23948</t>
  </si>
  <si>
    <t>WPOT180168007Q-PGX15W</t>
  </si>
  <si>
    <t>WSNC032012029D-DK037N</t>
  </si>
  <si>
    <t>23950</t>
  </si>
  <si>
    <t>WSMPS2C2219PRX</t>
  </si>
  <si>
    <t>23951</t>
  </si>
  <si>
    <t>WPOT187176009Q-PGX15W</t>
  </si>
  <si>
    <t>23952</t>
  </si>
  <si>
    <t>WPOT188175007Q-PGX15W</t>
  </si>
  <si>
    <t>WSOR037023006S-DV050N</t>
  </si>
  <si>
    <t>WSOR030023013D-DP037W</t>
  </si>
  <si>
    <t>WSOR025018003D-DJ030W</t>
  </si>
  <si>
    <t>23956</t>
  </si>
  <si>
    <t>WSMP888775009D-PXX00B</t>
  </si>
  <si>
    <t>23957</t>
  </si>
  <si>
    <t>WSMP322314019B-PYX07N</t>
  </si>
  <si>
    <t>WSNC070030033D-PGM05K</t>
  </si>
  <si>
    <t>23960</t>
  </si>
  <si>
    <t>WSOR027016015D-DP037W</t>
  </si>
  <si>
    <t>23961</t>
  </si>
  <si>
    <t>WPOT156147003D-PYX07N</t>
  </si>
  <si>
    <t>23962</t>
  </si>
  <si>
    <t>WSNC444435003D-PYX07N</t>
  </si>
  <si>
    <t>23963</t>
  </si>
  <si>
    <t>WSNC122096011Q-PXX00W</t>
  </si>
  <si>
    <t>WSNC036024008D-PMX05K</t>
  </si>
  <si>
    <t>23965</t>
  </si>
  <si>
    <t>WPOT187150006D-PCR23K</t>
  </si>
  <si>
    <t>23966</t>
  </si>
  <si>
    <t>WPOT175137005D-PCR23K</t>
  </si>
  <si>
    <t>23967</t>
  </si>
  <si>
    <t>WPOT124101005D-PCR23K</t>
  </si>
  <si>
    <t>WSNC105098014D-PCX15K</t>
  </si>
  <si>
    <t>23970</t>
  </si>
  <si>
    <t>WPOT112087005D-PCR23K</t>
  </si>
  <si>
    <t>23972</t>
  </si>
  <si>
    <t>WSNC142110019D-PYM10W</t>
  </si>
  <si>
    <t>WPOT176137006D-MSX50S</t>
  </si>
  <si>
    <t>WPOT227188009D-MSX50S</t>
  </si>
  <si>
    <t>23976</t>
  </si>
  <si>
    <t>WFFB115102015Q-PGX25W</t>
  </si>
  <si>
    <t>23977</t>
  </si>
  <si>
    <t>WFFL086043017D-PXX00B</t>
  </si>
  <si>
    <t>23978</t>
  </si>
  <si>
    <t>WFFL085064017D-PXX00B</t>
  </si>
  <si>
    <t>23982</t>
  </si>
  <si>
    <t>WPOS054037005S-PXX00W</t>
  </si>
  <si>
    <t>23983</t>
  </si>
  <si>
    <t>WSNC097050015D-PCR23K</t>
  </si>
  <si>
    <t>WSNC156129014D-PPM15K</t>
  </si>
  <si>
    <t>23985</t>
  </si>
  <si>
    <t>WSNC213185015D-MFX15N</t>
  </si>
  <si>
    <t>23986</t>
  </si>
  <si>
    <t>WSNC263235015D-MFX15N</t>
  </si>
  <si>
    <t>23987</t>
  </si>
  <si>
    <t>WSMP657583020D-PXX00W</t>
  </si>
  <si>
    <t>23989</t>
  </si>
  <si>
    <t>WSMP137090255D-DN150K</t>
  </si>
  <si>
    <t>WSNC213201013D-DV225N</t>
  </si>
  <si>
    <t>23991</t>
  </si>
  <si>
    <t>WSOR063057010D-DU075N</t>
  </si>
  <si>
    <t>23992</t>
  </si>
  <si>
    <t>WSOR088081010D-DV100N</t>
  </si>
  <si>
    <t>WSOR094088010D-DV100N</t>
  </si>
  <si>
    <t>23994</t>
  </si>
  <si>
    <t>WPOS085068005S-PXX00W</t>
  </si>
  <si>
    <t>23995</t>
  </si>
  <si>
    <t>WSNC126119006D-PGM15K</t>
  </si>
  <si>
    <t>WSNC117090013D-PXX00W</t>
  </si>
  <si>
    <t>WPOS238214004S-PXX00W</t>
  </si>
  <si>
    <t>23999</t>
  </si>
  <si>
    <t>WSMP134109025D-PRX10K</t>
  </si>
  <si>
    <t>24000</t>
  </si>
  <si>
    <t>WPOT121109009D-PGX15W</t>
  </si>
  <si>
    <t>24001</t>
  </si>
  <si>
    <t>WSOR076058015D-DV100N</t>
  </si>
  <si>
    <t>24002</t>
  </si>
  <si>
    <t>WSOR087072015D-DV100N</t>
  </si>
  <si>
    <t>WSNC081032016D-PYM10W</t>
  </si>
  <si>
    <t>24005</t>
  </si>
  <si>
    <t>WSNC070047014D-DU075K</t>
  </si>
  <si>
    <t>WSNC199157084D-PXX00W</t>
  </si>
  <si>
    <t>24007</t>
  </si>
  <si>
    <t>WPOT254235007D-PRX10K</t>
  </si>
  <si>
    <t>24008</t>
  </si>
  <si>
    <t>WPOT105093006D-MSF30M</t>
  </si>
  <si>
    <t>24009</t>
  </si>
  <si>
    <t>WPOT250233008D-MSF30S</t>
  </si>
  <si>
    <t>24010</t>
  </si>
  <si>
    <t>WPOT160113006D-PCR23K</t>
  </si>
  <si>
    <t>WSNC086080017D-PXX00W</t>
  </si>
  <si>
    <t>2-4012</t>
  </si>
  <si>
    <t>WRJC150040022D-R560AR</t>
  </si>
  <si>
    <t>WPSM142131007D-PGX15B</t>
  </si>
  <si>
    <t>24016</t>
  </si>
  <si>
    <t>WSNC075063017Q-PZX60N</t>
  </si>
  <si>
    <t>WSMP098090019S-PZX40N</t>
  </si>
  <si>
    <t>24018</t>
  </si>
  <si>
    <t>WSSL466382020D-PXX00W</t>
  </si>
  <si>
    <t>24019</t>
  </si>
  <si>
    <t>WPOT123110004D-PXX00W</t>
  </si>
  <si>
    <t>24020</t>
  </si>
  <si>
    <t>WPSS252237008S-PRX10F</t>
  </si>
  <si>
    <t>24021</t>
  </si>
  <si>
    <t>WPSS264244007S-PZF30N</t>
  </si>
  <si>
    <t>WPOS243228038S-PNM12S</t>
  </si>
  <si>
    <t>24025</t>
  </si>
  <si>
    <t>WSOR067038014D-CSWC1N</t>
  </si>
  <si>
    <t>24026</t>
  </si>
  <si>
    <t>WSMP035007040D-DN043N</t>
  </si>
  <si>
    <t>WPOT190176008D-PZF30N</t>
  </si>
  <si>
    <t>24028</t>
  </si>
  <si>
    <t>WPOS177161009B-PZF30N</t>
  </si>
  <si>
    <t>24029</t>
  </si>
  <si>
    <t>WSNC201174013A-PCR23K</t>
  </si>
  <si>
    <t>24039</t>
  </si>
  <si>
    <t>WPOT212175006D-PCR23K</t>
  </si>
  <si>
    <t>24043</t>
  </si>
  <si>
    <t>WSSL305237020D-PXX00W</t>
  </si>
  <si>
    <t>24047</t>
  </si>
  <si>
    <t>WSNC052045007D-PYX07N</t>
  </si>
  <si>
    <t>WPOS104088007S-PRX10K</t>
  </si>
  <si>
    <t>WPOS186169008S-PRX10K</t>
  </si>
  <si>
    <t>WPOS152136008S-PRX10K</t>
  </si>
  <si>
    <t>WSMP072007004L-PGX15W</t>
  </si>
  <si>
    <t>WSMP090082019S-PZX40N</t>
  </si>
  <si>
    <t>24054</t>
  </si>
  <si>
    <t>WPOT298262003D-PGX15W</t>
  </si>
  <si>
    <t>2-4054</t>
  </si>
  <si>
    <t>WRJA571512018D-R460CK</t>
  </si>
  <si>
    <t>WPOT173160008D-PGX15B</t>
  </si>
  <si>
    <t>WPSM314301011D-PGX15B</t>
  </si>
  <si>
    <t>24060</t>
  </si>
  <si>
    <t>WSOR050016006D-DN062K</t>
  </si>
  <si>
    <t>24061</t>
  </si>
  <si>
    <t>WPOS102087008S-PRX15K</t>
  </si>
  <si>
    <t>WPOT095083006D-PXX00W</t>
  </si>
  <si>
    <t>WPOT044033008D-PXX00W</t>
  </si>
  <si>
    <t>24064</t>
  </si>
  <si>
    <t>WPOT152141008D-PRX10K</t>
  </si>
  <si>
    <t>24065</t>
  </si>
  <si>
    <t>WPOT068054004D-PGX15W</t>
  </si>
  <si>
    <t>24066</t>
  </si>
  <si>
    <t>WPOT190175007D-PRX10K</t>
  </si>
  <si>
    <t>24067</t>
  </si>
  <si>
    <t>WPOT153138007D-PRX10K</t>
  </si>
  <si>
    <t>WPOT053035007D-PGX15B</t>
  </si>
  <si>
    <t>WPOT065055004D-PXX00W</t>
  </si>
  <si>
    <t>WPOT182168010D-PGX15A</t>
  </si>
  <si>
    <t>24071</t>
  </si>
  <si>
    <t>WPOT143129009D-PGX15B</t>
  </si>
  <si>
    <t>24072</t>
  </si>
  <si>
    <t>WPOT129117008D-PRX10K</t>
  </si>
  <si>
    <t>WPOT150136007D-PGX15B</t>
  </si>
  <si>
    <t>24074</t>
  </si>
  <si>
    <t>WPOT142131007D-PRX10K</t>
  </si>
  <si>
    <t>24075</t>
  </si>
  <si>
    <t>WPOT142130007A-PGX15B</t>
  </si>
  <si>
    <t>24076</t>
  </si>
  <si>
    <t>WPOT189175011D-PGX25B</t>
  </si>
  <si>
    <t>24077</t>
  </si>
  <si>
    <t>WSSL251188019D-PXX00W</t>
  </si>
  <si>
    <t>WSSL198088019D-PXX00W</t>
  </si>
  <si>
    <t>24079</t>
  </si>
  <si>
    <t>WSOR048038007D-DM075N</t>
  </si>
  <si>
    <t>WPOS037026004S-PXX00W</t>
  </si>
  <si>
    <t>24081</t>
  </si>
  <si>
    <t>WPSS088075007S-PZF30N</t>
  </si>
  <si>
    <t>24082</t>
  </si>
  <si>
    <t>WPOT150138007A-PZF30N</t>
  </si>
  <si>
    <t>24083</t>
  </si>
  <si>
    <t>WPOT140128007D-PRX10K</t>
  </si>
  <si>
    <t>24084</t>
  </si>
  <si>
    <t>WSNC363349009D-PGX15B</t>
  </si>
  <si>
    <t>24085</t>
  </si>
  <si>
    <t>WPOT141131007D-PZF30N</t>
  </si>
  <si>
    <t>WPOT204139004Q-PCX15K</t>
  </si>
  <si>
    <t>24087</t>
  </si>
  <si>
    <t>WSNC032011017D-PCF18K</t>
  </si>
  <si>
    <t>WPOT161146007D-PGX15B</t>
  </si>
  <si>
    <t>24089</t>
  </si>
  <si>
    <t>WPOT160146007D-PRX10K</t>
  </si>
  <si>
    <t>24090</t>
  </si>
  <si>
    <t>WPOT099089007D-PGX15W</t>
  </si>
  <si>
    <t>24091</t>
  </si>
  <si>
    <t>WPOT198186008D-PGX15B</t>
  </si>
  <si>
    <t>24092</t>
  </si>
  <si>
    <t>WPOT174159009D-PGX15B</t>
  </si>
  <si>
    <t>24093</t>
  </si>
  <si>
    <t>WPOT217204007D-PGX15W</t>
  </si>
  <si>
    <t>24094</t>
  </si>
  <si>
    <t>WPOT323309008D-PGX15B</t>
  </si>
  <si>
    <t>24095</t>
  </si>
  <si>
    <t>WPOT118109007D-PGX15W</t>
  </si>
  <si>
    <t>24096</t>
  </si>
  <si>
    <t>WPOT197185009D-PGX25B</t>
  </si>
  <si>
    <t>24097</t>
  </si>
  <si>
    <t>WPOS022012005S-PXX00W</t>
  </si>
  <si>
    <t>24101</t>
  </si>
  <si>
    <t>WPOT103091004D-PXX00W</t>
  </si>
  <si>
    <t>24102</t>
  </si>
  <si>
    <t>WPOT043031003Q-PXX00W</t>
  </si>
  <si>
    <t>24105</t>
  </si>
  <si>
    <t>WPOS076063007S-PRX15K</t>
  </si>
  <si>
    <t>WPOS255237009S-PRX15K</t>
  </si>
  <si>
    <t>WPSM266251007D-PCR23K</t>
  </si>
  <si>
    <t>24108</t>
  </si>
  <si>
    <t>WPOT144132006D-PZF30N</t>
  </si>
  <si>
    <t>24109</t>
  </si>
  <si>
    <t>WPOT142132007D-PGX15B</t>
  </si>
  <si>
    <t>WSNC405391009D-PGX15B</t>
  </si>
  <si>
    <t>24111</t>
  </si>
  <si>
    <t>WPOT280266011D-PGX15B</t>
  </si>
  <si>
    <t>24112</t>
  </si>
  <si>
    <t>WPOT348312007D-PGX15W</t>
  </si>
  <si>
    <t>24113</t>
  </si>
  <si>
    <t>WSOR075069010D-DV087W</t>
  </si>
  <si>
    <t>24115</t>
  </si>
  <si>
    <t>WSOR077051032D-DL087N</t>
  </si>
  <si>
    <t>WPOT149135009D-PGX15B</t>
  </si>
  <si>
    <t>24117</t>
  </si>
  <si>
    <t>WSNC131043075D-PMX25B</t>
  </si>
  <si>
    <t>WPOS031021005Q-PGX25W</t>
  </si>
  <si>
    <t>WSOR107100010D-DD125N</t>
  </si>
  <si>
    <t>24122</t>
  </si>
  <si>
    <t>WPOT100081006D-PXX00W</t>
  </si>
  <si>
    <t>24124</t>
  </si>
  <si>
    <t>WPOT069061150D-PCF18K</t>
  </si>
  <si>
    <t>WSOR081075010D-DV087W</t>
  </si>
  <si>
    <t>2-4125</t>
  </si>
  <si>
    <t>WRJC125040025D-R560AR</t>
  </si>
  <si>
    <t>24126</t>
  </si>
  <si>
    <t>WSNC107057005D-PXX00W</t>
  </si>
  <si>
    <t>24127</t>
  </si>
  <si>
    <t>WSMP094086019S-PZX40N</t>
  </si>
  <si>
    <t>WSMP167152007D-PAX10N</t>
  </si>
  <si>
    <t>WPOT162106003D-PPM15K</t>
  </si>
  <si>
    <t>24131</t>
  </si>
  <si>
    <t>WSNC200186008D-PRX15K</t>
  </si>
  <si>
    <t>WSMP248166021D-DD250K</t>
  </si>
  <si>
    <t>24134</t>
  </si>
  <si>
    <t>WSNC311253026D-MXX00W</t>
  </si>
  <si>
    <t>24135</t>
  </si>
  <si>
    <t>WPSS086072007B-PZF30N</t>
  </si>
  <si>
    <t>24136</t>
  </si>
  <si>
    <t>WPOT277260005D-PGX15G</t>
  </si>
  <si>
    <t>24137</t>
  </si>
  <si>
    <t>WPOT164152007D-PGX15W</t>
  </si>
  <si>
    <t>WPOT150141007D-PRX10K</t>
  </si>
  <si>
    <t>24139</t>
  </si>
  <si>
    <t>WPOT306293011D-PGX15W</t>
  </si>
  <si>
    <t>24140</t>
  </si>
  <si>
    <t>WPOT148137009D-PGX15W</t>
  </si>
  <si>
    <t>24141</t>
  </si>
  <si>
    <t>WPOT093082009D-PGX15W</t>
  </si>
  <si>
    <t>24142</t>
  </si>
  <si>
    <t>WPOT137126009D-PGX15W</t>
  </si>
  <si>
    <t>24143</t>
  </si>
  <si>
    <t>WSMP578473030D-PGM15K</t>
  </si>
  <si>
    <t>24144</t>
  </si>
  <si>
    <t>WSNC099075018D-PXX00W</t>
  </si>
  <si>
    <t>24145</t>
  </si>
  <si>
    <t>WPOT239227008D-PGX15B</t>
  </si>
  <si>
    <t>24147</t>
  </si>
  <si>
    <t>WSNC048040007D-PCF18K</t>
  </si>
  <si>
    <t>24150</t>
  </si>
  <si>
    <t>WPOS094080009Z-PRX15K</t>
  </si>
  <si>
    <t>24151</t>
  </si>
  <si>
    <t>WPOT101089008D-PGX15B</t>
  </si>
  <si>
    <t>24152</t>
  </si>
  <si>
    <t>WPOT165148011D-PGX25B</t>
  </si>
  <si>
    <t>WPOT199184010D-PGX15O</t>
  </si>
  <si>
    <t>24154</t>
  </si>
  <si>
    <t>WPOT162148010D-PZF30N</t>
  </si>
  <si>
    <t>24155</t>
  </si>
  <si>
    <t>WPOT172160007D-PZF30N</t>
  </si>
  <si>
    <t>WPOT209193009D-PZF30N</t>
  </si>
  <si>
    <t>WPOT177162007D-PRX10E</t>
  </si>
  <si>
    <t>24158</t>
  </si>
  <si>
    <t>WPOT158139009D-PGX15B</t>
  </si>
  <si>
    <t>WPOT203185008D-PRX10K</t>
  </si>
  <si>
    <t>WSNC049042013D-PXX00W</t>
  </si>
  <si>
    <t>WSNC157151003D-DV175N</t>
  </si>
  <si>
    <t>24162</t>
  </si>
  <si>
    <t>WSNC043034013D-PXX00W</t>
  </si>
  <si>
    <t>24163</t>
  </si>
  <si>
    <t>WSMP078070019S-PZX40N</t>
  </si>
  <si>
    <t>24165</t>
  </si>
  <si>
    <t>WPOS113102005S-PGX25B</t>
  </si>
  <si>
    <t>24166</t>
  </si>
  <si>
    <t>WPSM302282010D-MSF30S</t>
  </si>
  <si>
    <t>24167</t>
  </si>
  <si>
    <t>WPOS177162009B-PZF30N</t>
  </si>
  <si>
    <t>WSMP212149033D-MXX00W</t>
  </si>
  <si>
    <t>WSNC150101012D-PGM15K</t>
  </si>
  <si>
    <t>24171</t>
  </si>
  <si>
    <t>WPOS064053007S-PZF30N</t>
  </si>
  <si>
    <t>24172</t>
  </si>
  <si>
    <t>WPOS126111007S-PZF30N</t>
  </si>
  <si>
    <t>24173</t>
  </si>
  <si>
    <t>WPSM088072009D-PGX25A</t>
  </si>
  <si>
    <t>24174</t>
  </si>
  <si>
    <t>WPOT115097008D-PGX15D</t>
  </si>
  <si>
    <t>24175</t>
  </si>
  <si>
    <t>WPOT138126008D-PRX10K</t>
  </si>
  <si>
    <t>WPOS232217007B-PZF30N</t>
  </si>
  <si>
    <t>24177</t>
  </si>
  <si>
    <t>WPOS236220008S-PRX10K</t>
  </si>
  <si>
    <t>WSNC249232020D-PNM12S</t>
  </si>
  <si>
    <t>24179</t>
  </si>
  <si>
    <t>WSNC289266013D-PRX15K</t>
  </si>
  <si>
    <t>WSNC118090079D-PXX00W</t>
  </si>
  <si>
    <t>24181</t>
  </si>
  <si>
    <t>WPOS099087009S-PZF30N</t>
  </si>
  <si>
    <t>24182</t>
  </si>
  <si>
    <t>WPOS108094008Z-PGX35W</t>
  </si>
  <si>
    <t>24183</t>
  </si>
  <si>
    <t>WFFB183138035D-MSX50S</t>
  </si>
  <si>
    <t>24184</t>
  </si>
  <si>
    <t>WFFB238187023D-MSX50S</t>
  </si>
  <si>
    <t>WFFH290238036D-MSX50S</t>
  </si>
  <si>
    <t>WFFH342287040D-MSX50S</t>
  </si>
  <si>
    <t>WPOT192178009D-PGX15W</t>
  </si>
  <si>
    <t>24189</t>
  </si>
  <si>
    <t>WPOS267251008S-PRX10K</t>
  </si>
  <si>
    <t>WFFB127110014Q-PGX25K</t>
  </si>
  <si>
    <t>WSNC082059063D-PXX00W</t>
  </si>
  <si>
    <t>24194</t>
  </si>
  <si>
    <t>WSNC086051017D-PCR23K</t>
  </si>
  <si>
    <t>WPOT204196007A-PGX15B</t>
  </si>
  <si>
    <t>24197</t>
  </si>
  <si>
    <t>WSMP070039003B-PXX00W</t>
  </si>
  <si>
    <t>WSOR100088010D-DD125N</t>
  </si>
  <si>
    <t>WPOT139120009D-PGX15B</t>
  </si>
  <si>
    <t>24202</t>
  </si>
  <si>
    <t>WSNC026021008D-PRX15K</t>
  </si>
  <si>
    <t>24203</t>
  </si>
  <si>
    <t>WSNC153137007D-PXX00W</t>
  </si>
  <si>
    <t>24204</t>
  </si>
  <si>
    <t>WSNC187167007D-PXX00W</t>
  </si>
  <si>
    <t>WSNC255194035D-PFX15K</t>
  </si>
  <si>
    <t>24206</t>
  </si>
  <si>
    <t>WPOT137122009D-PGX15B</t>
  </si>
  <si>
    <t>24207</t>
  </si>
  <si>
    <t>WSNC130100023D-PRX10K</t>
  </si>
  <si>
    <t>24208</t>
  </si>
  <si>
    <t>WPOT168164009D-PGX35N</t>
  </si>
  <si>
    <t>24209</t>
  </si>
  <si>
    <t>WPOT149137009D-PGX15B</t>
  </si>
  <si>
    <t>24210</t>
  </si>
  <si>
    <t>WPOT235222007D-PGX15W</t>
  </si>
  <si>
    <t>24211</t>
  </si>
  <si>
    <t>WPOT125115015D-PGX15W</t>
  </si>
  <si>
    <t>24212</t>
  </si>
  <si>
    <t>WPOT157144007D-PGX25W</t>
  </si>
  <si>
    <t>WPOT149136010D-PGX15B</t>
  </si>
  <si>
    <t>24214</t>
  </si>
  <si>
    <t>WPOT239226008D-PGX15B</t>
  </si>
  <si>
    <t>WPOT172157007D-PRX10K</t>
  </si>
  <si>
    <t>WPOT161151009D-PGX15B</t>
  </si>
  <si>
    <t>24217</t>
  </si>
  <si>
    <t>WSNC039010013D-PYX15N</t>
  </si>
  <si>
    <t>24218</t>
  </si>
  <si>
    <t>WSNC372362017D-PXX00W</t>
  </si>
  <si>
    <t>24219</t>
  </si>
  <si>
    <t>WPOT161145007D-MSF30M</t>
  </si>
  <si>
    <t>WPOT181160008D-PGX35W</t>
  </si>
  <si>
    <t>24221</t>
  </si>
  <si>
    <t>WSMP392372021S-PRX15K</t>
  </si>
  <si>
    <t>24223</t>
  </si>
  <si>
    <t>WPOT156140011D-PGX15B</t>
  </si>
  <si>
    <t>WSNC063036026D-PYX07N</t>
  </si>
  <si>
    <t>WPOT052041005D-PGX25R</t>
  </si>
  <si>
    <t>WSMP100086007Z-PCX15K</t>
  </si>
  <si>
    <t>24227</t>
  </si>
  <si>
    <t>WPSM208190008D-PGX35A</t>
  </si>
  <si>
    <t>24228</t>
  </si>
  <si>
    <t>WSMP118107007Z-PZF30N</t>
  </si>
  <si>
    <t>24229</t>
  </si>
  <si>
    <t>WPOT118104008D-PZF30N</t>
  </si>
  <si>
    <t>WPOT182169008D-PGX15O</t>
  </si>
  <si>
    <t>24231</t>
  </si>
  <si>
    <t>WPOT182168010D-PGX15G</t>
  </si>
  <si>
    <t>24232</t>
  </si>
  <si>
    <t>WPOT180168007A-PGX15W</t>
  </si>
  <si>
    <t>24233</t>
  </si>
  <si>
    <t>WPOT169155007D-PGX15O</t>
  </si>
  <si>
    <t>24234</t>
  </si>
  <si>
    <t>WPOT129117008D-PGX15W</t>
  </si>
  <si>
    <t>24235</t>
  </si>
  <si>
    <t>WPOT181170009D-PGX15W</t>
  </si>
  <si>
    <t>24236</t>
  </si>
  <si>
    <t>WPOT178162007D-PZX40N</t>
  </si>
  <si>
    <t>24237</t>
  </si>
  <si>
    <t>WPOT165156009D-PRX10K</t>
  </si>
  <si>
    <t>WPOT187176009D-PGX15W</t>
  </si>
  <si>
    <t>WPOT178159007D-PCR23K</t>
  </si>
  <si>
    <t>24240</t>
  </si>
  <si>
    <t>WPOT071059006D-PXX00W</t>
  </si>
  <si>
    <t>24241</t>
  </si>
  <si>
    <t>WPOT150139007D-PZF30N</t>
  </si>
  <si>
    <t>24242</t>
  </si>
  <si>
    <t>WPSM118101009D-PGX35A</t>
  </si>
  <si>
    <t>24243</t>
  </si>
  <si>
    <t>WSNC108057022D-PXX00W</t>
  </si>
  <si>
    <t>WPOS098089007S-PZF30N</t>
  </si>
  <si>
    <t>24246</t>
  </si>
  <si>
    <t>WPOS133119009B-PZF30N</t>
  </si>
  <si>
    <t>24247</t>
  </si>
  <si>
    <t>WPOS052039008S-PZF30N</t>
  </si>
  <si>
    <t>24248</t>
  </si>
  <si>
    <t>WPOT150137007D-PGX15B</t>
  </si>
  <si>
    <t>24249</t>
  </si>
  <si>
    <t>WPOT151136007D-PGX15B</t>
  </si>
  <si>
    <t>24250</t>
  </si>
  <si>
    <t>WPOS113099007S-PZF30N</t>
  </si>
  <si>
    <t>24251</t>
  </si>
  <si>
    <t>WPOS257242009B-PZF30N</t>
  </si>
  <si>
    <t>24252</t>
  </si>
  <si>
    <t>WPOS058045006S-PRX10K</t>
  </si>
  <si>
    <t>WPSS184170009S-PRX15K</t>
  </si>
  <si>
    <t>24254</t>
  </si>
  <si>
    <t>WPOS137123007S-PZF30N</t>
  </si>
  <si>
    <t>24255</t>
  </si>
  <si>
    <t>WSMP172158009Z-PRX15K</t>
  </si>
  <si>
    <t>WPOT160149005D-PZF30N</t>
  </si>
  <si>
    <t>24257</t>
  </si>
  <si>
    <t>WPOT252236008D-PGX35A</t>
  </si>
  <si>
    <t>24258</t>
  </si>
  <si>
    <t>WPOS157141006S-PGX15J</t>
  </si>
  <si>
    <t>24259</t>
  </si>
  <si>
    <t>WPOS068058007B-PZF30N</t>
  </si>
  <si>
    <t>24260</t>
  </si>
  <si>
    <t>WPOT182167007D-PGX35A</t>
  </si>
  <si>
    <t>24261</t>
  </si>
  <si>
    <t>WPOT213198007D-PGX15B</t>
  </si>
  <si>
    <t>24262</t>
  </si>
  <si>
    <t>WPOS097080007S-PGX15B</t>
  </si>
  <si>
    <t>24263</t>
  </si>
  <si>
    <t>WPOS167151008S-PRX10K</t>
  </si>
  <si>
    <t>24264</t>
  </si>
  <si>
    <t>WPOS149133008S-PRX10K</t>
  </si>
  <si>
    <t>24265</t>
  </si>
  <si>
    <t>WPSS140124006S-PRX10K</t>
  </si>
  <si>
    <t>WSMP186161011Z-PFX15K</t>
  </si>
  <si>
    <t>24268</t>
  </si>
  <si>
    <t>WSMP235210011Z-PFX15K</t>
  </si>
  <si>
    <t>24269</t>
  </si>
  <si>
    <t>WPSM141123010D-PGX15C</t>
  </si>
  <si>
    <t>WPOS126111007S-PGX15W</t>
  </si>
  <si>
    <t>24271</t>
  </si>
  <si>
    <t>WPSS213196008S-PRX10K</t>
  </si>
  <si>
    <t>24272</t>
  </si>
  <si>
    <t>WSNC186137003D-PRX10K</t>
  </si>
  <si>
    <t>24273</t>
  </si>
  <si>
    <t>WSMP650613003D-PGX15W</t>
  </si>
  <si>
    <t>WPOS159148005B-PRX15K</t>
  </si>
  <si>
    <t>24275</t>
  </si>
  <si>
    <t>WPOS111097008S-PGX15G</t>
  </si>
  <si>
    <t>24276</t>
  </si>
  <si>
    <t>WPOS109093006S-PGX35B</t>
  </si>
  <si>
    <t>2-4276</t>
  </si>
  <si>
    <t>WRJA275171018D-R590AK</t>
  </si>
  <si>
    <t>24278</t>
  </si>
  <si>
    <t>WPOS236212008S-PRX10K</t>
  </si>
  <si>
    <t>24279</t>
  </si>
  <si>
    <t>WPSS236214007S-PRX10K</t>
  </si>
  <si>
    <t>24280</t>
  </si>
  <si>
    <t>WPOS088075008S-PZF30N</t>
  </si>
  <si>
    <t>WPSS164149009S-PZF30N</t>
  </si>
  <si>
    <t>WPSS200180006S-PRX10K</t>
  </si>
  <si>
    <t>24283</t>
  </si>
  <si>
    <t>WSMPE213PXX045</t>
  </si>
  <si>
    <t>24284</t>
  </si>
  <si>
    <t>WPOT165151008D-PRX10K</t>
  </si>
  <si>
    <t>24285</t>
  </si>
  <si>
    <t>WPOS142127007S-PZF30N</t>
  </si>
  <si>
    <t>24286</t>
  </si>
  <si>
    <t>WPOS214198008S-PRX10E</t>
  </si>
  <si>
    <t>WPSM202187008D-PRX10K</t>
  </si>
  <si>
    <t>24288</t>
  </si>
  <si>
    <t>WPSM195177009D-PGX35D</t>
  </si>
  <si>
    <t>2-4288</t>
  </si>
  <si>
    <t>WRJC071050018D-R860AK</t>
  </si>
  <si>
    <t>24289</t>
  </si>
  <si>
    <t>WPSM180166008D-PRX10K</t>
  </si>
  <si>
    <t>24290</t>
  </si>
  <si>
    <t>WPOS121109008S-PZF30N</t>
  </si>
  <si>
    <t>24291</t>
  </si>
  <si>
    <t>WPSS339323008S-PRX10K</t>
  </si>
  <si>
    <t>24292</t>
  </si>
  <si>
    <t>WPOS113102005S-PGX25Q</t>
  </si>
  <si>
    <t>24293</t>
  </si>
  <si>
    <t>WPOT093079009D-PGX35E</t>
  </si>
  <si>
    <t>WPOT170150012D-PGX15B</t>
  </si>
  <si>
    <t>WSNC124066034Q-PXX00W</t>
  </si>
  <si>
    <t>24297</t>
  </si>
  <si>
    <t>WSNC037029031D-PGX25W</t>
  </si>
  <si>
    <t>2-4297</t>
  </si>
  <si>
    <t>WRJC084044019D-R470AK</t>
  </si>
  <si>
    <t>24298</t>
  </si>
  <si>
    <t>WPOS178161009S-PZF30N</t>
  </si>
  <si>
    <t>2-4298</t>
  </si>
  <si>
    <t>WRJC075037015D-R850AK</t>
  </si>
  <si>
    <t>24300</t>
  </si>
  <si>
    <t>WPOS139126007S-PGX15B</t>
  </si>
  <si>
    <t>24301</t>
  </si>
  <si>
    <t>WPOS117105007S-PGX15O</t>
  </si>
  <si>
    <t>24302</t>
  </si>
  <si>
    <t>WPOT114101009D-PGX15O</t>
  </si>
  <si>
    <t>24303</t>
  </si>
  <si>
    <t>WPOT282266008D-PRX10K</t>
  </si>
  <si>
    <t>WPSM088072009D-PGX35D</t>
  </si>
  <si>
    <t>24305</t>
  </si>
  <si>
    <t>WSNC257243007B-PZF30N</t>
  </si>
  <si>
    <t>WSNC365330012D-PGX15W</t>
  </si>
  <si>
    <t>24307</t>
  </si>
  <si>
    <t>WPOS103091009S-PRX15K</t>
  </si>
  <si>
    <t>24308</t>
  </si>
  <si>
    <t>WPOS114101009S-PRX15K</t>
  </si>
  <si>
    <t>24309</t>
  </si>
  <si>
    <t>WSMP177161009Z-PRX15K</t>
  </si>
  <si>
    <t>2-4309</t>
  </si>
  <si>
    <t>WRJA343237015D-R460DK</t>
  </si>
  <si>
    <t>24310</t>
  </si>
  <si>
    <t>WPOS099088007S-PGX35W</t>
  </si>
  <si>
    <t>24311</t>
  </si>
  <si>
    <t>WSMP111098009Z-PGX35W</t>
  </si>
  <si>
    <t>WPOT290270004D-PGX15O</t>
  </si>
  <si>
    <t>WPOS168156007B-PCR31K</t>
  </si>
  <si>
    <t>24314</t>
  </si>
  <si>
    <t>WPOS078066007B-PZF30N</t>
  </si>
  <si>
    <t>24315</t>
  </si>
  <si>
    <t>WPOS140123007S-PGX15H</t>
  </si>
  <si>
    <t>WPOS086075006B-PRX15K</t>
  </si>
  <si>
    <t>24317</t>
  </si>
  <si>
    <t>WPSS216199009S-PZF30N</t>
  </si>
  <si>
    <t>WPOS179159006S-PGX15O</t>
  </si>
  <si>
    <t>WPOT064049009D-PGX15O</t>
  </si>
  <si>
    <t>24320</t>
  </si>
  <si>
    <t>WSNC114102015D-PGX25R</t>
  </si>
  <si>
    <t>WPSS194176009B-PZF30N</t>
  </si>
  <si>
    <t>24323</t>
  </si>
  <si>
    <t>WPOT115104007D-PGX25R</t>
  </si>
  <si>
    <t>24324</t>
  </si>
  <si>
    <t>WPOS242230007B-PRX15K</t>
  </si>
  <si>
    <t>WSMP120045003D-PAX10N</t>
  </si>
  <si>
    <t>WPOS064054007S-PZF30N</t>
  </si>
  <si>
    <t>WPOS160144006S-PRX10K</t>
  </si>
  <si>
    <t>24328</t>
  </si>
  <si>
    <t>WPOS127114007S-PGX15A</t>
  </si>
  <si>
    <t>24329</t>
  </si>
  <si>
    <t>WPOT106095006S-PGX25A</t>
  </si>
  <si>
    <t>WSNC074066007D-PCF18K</t>
  </si>
  <si>
    <t>WPOS143132007B-PZF30N</t>
  </si>
  <si>
    <t>24332</t>
  </si>
  <si>
    <t>WPOS140127008S-PRX10K</t>
  </si>
  <si>
    <t>24334</t>
  </si>
  <si>
    <t>WSNC108057023D-PXX00W</t>
  </si>
  <si>
    <t>24335</t>
  </si>
  <si>
    <t>WPOS149138004S-PXX00W</t>
  </si>
  <si>
    <t>WPOS132120009S-PZF30N</t>
  </si>
  <si>
    <t>WPSS238220009B-PZF30N</t>
  </si>
  <si>
    <t>24338</t>
  </si>
  <si>
    <t>WPOT110086013D-PGX35W</t>
  </si>
  <si>
    <t>24339</t>
  </si>
  <si>
    <t>WPOT111097008D-PGX15G</t>
  </si>
  <si>
    <t>WSMP133125019S-PZX40N</t>
  </si>
  <si>
    <t>WSNC690596011D-PSB50B</t>
  </si>
  <si>
    <t>24342</t>
  </si>
  <si>
    <t>WSLD655582019D-MSB50B</t>
  </si>
  <si>
    <t>2-4342</t>
  </si>
  <si>
    <t>WRJA281247016D-R460DK</t>
  </si>
  <si>
    <t>24343</t>
  </si>
  <si>
    <t>WSLD853778020D-MSB50B</t>
  </si>
  <si>
    <t>24345</t>
  </si>
  <si>
    <t>WSNC208153016D-PXX00W</t>
  </si>
  <si>
    <t>24346</t>
  </si>
  <si>
    <t>WPOS262244009B-PZF30N</t>
  </si>
  <si>
    <t>24348</t>
  </si>
  <si>
    <t>WSMPV5MFV00MPC</t>
  </si>
  <si>
    <t>24351</t>
  </si>
  <si>
    <t>WPOT115099008D-PGX35W</t>
  </si>
  <si>
    <t>24352</t>
  </si>
  <si>
    <t>WPOS204186008S-PZF30N</t>
  </si>
  <si>
    <t>24353</t>
  </si>
  <si>
    <t>WSMP522504008Z-PRX15K</t>
  </si>
  <si>
    <t>24354</t>
  </si>
  <si>
    <t>WPOS109093008S-PRX15K</t>
  </si>
  <si>
    <t>WPOS083071009S-PZF30N</t>
  </si>
  <si>
    <t>WSMPS2C4271PFX</t>
  </si>
  <si>
    <t>24358</t>
  </si>
  <si>
    <t>WPOS125113009S-PZF30N</t>
  </si>
  <si>
    <t>24359</t>
  </si>
  <si>
    <t>WPOT118105008D-PGX15W</t>
  </si>
  <si>
    <t>WPOS069053009S-PZF30N</t>
  </si>
  <si>
    <t>WPOT274255007D-PRX15K</t>
  </si>
  <si>
    <t>WPOT285270008D-PSC30E</t>
  </si>
  <si>
    <t>WPOT120105008D-PSC30E</t>
  </si>
  <si>
    <t>24364</t>
  </si>
  <si>
    <t>WPOT164149008D-PSC30E</t>
  </si>
  <si>
    <t>24365</t>
  </si>
  <si>
    <t>WPOT122106008D-PSC30E</t>
  </si>
  <si>
    <t>WSNC200150034D-PXX00W</t>
  </si>
  <si>
    <t>24368</t>
  </si>
  <si>
    <t>WSNC149125018D-BA19DN</t>
  </si>
  <si>
    <t>2-4369</t>
  </si>
  <si>
    <t>WRJC057012021D-R560AR</t>
  </si>
  <si>
    <t>WPOS175159008S-PGX15F</t>
  </si>
  <si>
    <t>WPOS117101008S-PRX15K</t>
  </si>
  <si>
    <t>WPOS187168006S-PGX15J</t>
  </si>
  <si>
    <t>2-4416</t>
  </si>
  <si>
    <t>WRJA500473013D-R460DK</t>
  </si>
  <si>
    <t>2-4433</t>
  </si>
  <si>
    <t>WRJC040021021D-R480CK</t>
  </si>
  <si>
    <t>WRJC050032025D-R590AK</t>
  </si>
  <si>
    <t>2-4579</t>
  </si>
  <si>
    <t>WRJC053034025D-R490AK</t>
  </si>
  <si>
    <t>2-4651</t>
  </si>
  <si>
    <t>WRJC104051018D-R560AR</t>
  </si>
  <si>
    <t>2-4682</t>
  </si>
  <si>
    <t>WRJE065037018D-R970BK</t>
  </si>
  <si>
    <t>WRJA337234018D-R590AK</t>
  </si>
  <si>
    <t>2-4737</t>
  </si>
  <si>
    <t>WRJC175106015D-R450AK</t>
  </si>
  <si>
    <t>2-4786</t>
  </si>
  <si>
    <t>WRJC092065014D-R480AK</t>
  </si>
  <si>
    <t>2-4791</t>
  </si>
  <si>
    <t>WRJC050036022D-R470BK</t>
  </si>
  <si>
    <t>2-4819</t>
  </si>
  <si>
    <t>WRJC237025025D-R490AK</t>
  </si>
  <si>
    <t>2-4955</t>
  </si>
  <si>
    <t>WRJC128100015D-R560AR</t>
  </si>
  <si>
    <t>2-498</t>
  </si>
  <si>
    <t>WRJC034021018D-R590AK</t>
  </si>
  <si>
    <t>2-4988</t>
  </si>
  <si>
    <t>WRJC054034025D-R570AK</t>
  </si>
  <si>
    <t>2-5020</t>
  </si>
  <si>
    <t>WRJC138089018D-R450AK</t>
  </si>
  <si>
    <t>2-720</t>
  </si>
  <si>
    <t>WRJA394356017D-R870AK</t>
  </si>
  <si>
    <t>2-735</t>
  </si>
  <si>
    <t>WRJA250112025D-R450AK</t>
  </si>
  <si>
    <t>2-779</t>
  </si>
  <si>
    <t>WRJC133095025D-R460AR</t>
  </si>
  <si>
    <t>2-787</t>
  </si>
  <si>
    <t>WRJA262224025D-R870AK</t>
  </si>
  <si>
    <t>WRJC043023018D-R550AK</t>
  </si>
  <si>
    <t>WRJA218182018K-R470AK</t>
  </si>
  <si>
    <t>WRJA298269014D-R470BK</t>
  </si>
  <si>
    <t>WRJE139114017D-R970BK</t>
  </si>
  <si>
    <t>2-8324</t>
  </si>
  <si>
    <t>WRJC148102020K-R450AK</t>
  </si>
  <si>
    <t>2-8330</t>
  </si>
  <si>
    <t>WRJA251191020K-R450AK</t>
  </si>
  <si>
    <t>2-8391</t>
  </si>
  <si>
    <t>WRJA651625025D-R570AK</t>
  </si>
  <si>
    <t>2-8392</t>
  </si>
  <si>
    <t>WRJA651625025D-R560AR</t>
  </si>
  <si>
    <t>2-8418</t>
  </si>
  <si>
    <t>WRJA652625025D-R570AK</t>
  </si>
  <si>
    <t>WRJC100067026D-R490AK</t>
  </si>
  <si>
    <t>2-8458</t>
  </si>
  <si>
    <t>WRJA250223013D-R980AK</t>
  </si>
  <si>
    <t>WRJA300246025K-R470AK</t>
  </si>
  <si>
    <t>2-8544</t>
  </si>
  <si>
    <t>WRJA287262014D-R070BK</t>
  </si>
  <si>
    <t>2-8553</t>
  </si>
  <si>
    <t>WRJC110097015D-R460EK</t>
  </si>
  <si>
    <t>2-8554</t>
  </si>
  <si>
    <t>WRJC056023009D-R460EK</t>
  </si>
  <si>
    <t>2-8584</t>
  </si>
  <si>
    <t>WRJC117068015D-R475AK</t>
  </si>
  <si>
    <t>2-8588</t>
  </si>
  <si>
    <t>WRJA262223017D-R470GK</t>
  </si>
  <si>
    <t>2-8589</t>
  </si>
  <si>
    <t>WRJC122097019D-R470GK</t>
  </si>
  <si>
    <t>2-8590</t>
  </si>
  <si>
    <t>WRJC088050020D-R470GK</t>
  </si>
  <si>
    <t>2-8591</t>
  </si>
  <si>
    <t>WRJC100063020D-R470GK</t>
  </si>
  <si>
    <t>2-8594</t>
  </si>
  <si>
    <t>WRJC036026012D-R580AK</t>
  </si>
  <si>
    <t>2-8595</t>
  </si>
  <si>
    <t>WRJC175155013D-R870AK</t>
  </si>
  <si>
    <t>2-8597</t>
  </si>
  <si>
    <t>WRJC037013018D-R470BK</t>
  </si>
  <si>
    <t>2-8632</t>
  </si>
  <si>
    <t>WRJA655625025D-R550BK</t>
  </si>
  <si>
    <t>WRJA655625026D-R540AK</t>
  </si>
  <si>
    <t>2-8723</t>
  </si>
  <si>
    <t>WRJA655625026D-R560AR</t>
  </si>
  <si>
    <t>WRJA309285015D-R970BK</t>
  </si>
  <si>
    <t>2-8766</t>
  </si>
  <si>
    <t>WRJA231206016D-R870AK</t>
  </si>
  <si>
    <t>WRJC143106018D-R175AK</t>
  </si>
  <si>
    <t>2-8797</t>
  </si>
  <si>
    <t>WRJE241217014D-R970BK</t>
  </si>
  <si>
    <t>2-8803</t>
  </si>
  <si>
    <t>WRJA390362014D-R470DK</t>
  </si>
  <si>
    <t>WRJA311287015D-R970BK</t>
  </si>
  <si>
    <t>2-8821</t>
  </si>
  <si>
    <t>WRJE236217013D-R970BK</t>
  </si>
  <si>
    <t>WRJE272246013D-R970BK</t>
  </si>
  <si>
    <t>2-8838</t>
  </si>
  <si>
    <t>WRJC142122016D-R980BK</t>
  </si>
  <si>
    <t>2-8841</t>
  </si>
  <si>
    <t>WRJC137087021D-R160AK</t>
  </si>
  <si>
    <t>2-8870</t>
  </si>
  <si>
    <t>WRJC037015019D-R940AK</t>
  </si>
  <si>
    <t>2-8872</t>
  </si>
  <si>
    <t>WRJC484028024K-R485AK</t>
  </si>
  <si>
    <t>2-8879</t>
  </si>
  <si>
    <t>WRJA187173013D-R470AK</t>
  </si>
  <si>
    <t>WRJE193168013D-R970BK</t>
  </si>
  <si>
    <t>2-8893</t>
  </si>
  <si>
    <t>WRJA575545017D-R490AK</t>
  </si>
  <si>
    <t>2-8897</t>
  </si>
  <si>
    <t>WRJC078042015D-R470BK</t>
  </si>
  <si>
    <t>2-8899</t>
  </si>
  <si>
    <t>WRJC069043020D-R470GK</t>
  </si>
  <si>
    <t>WRJA437418020D-R070BK</t>
  </si>
  <si>
    <t>2-8929</t>
  </si>
  <si>
    <t>WRJA283259015D-R970BK</t>
  </si>
  <si>
    <t>2-8932</t>
  </si>
  <si>
    <t>WRJA230198015D-R980BK</t>
  </si>
  <si>
    <t>2-8944</t>
  </si>
  <si>
    <t>WRJA389349020D-R470AK</t>
  </si>
  <si>
    <t>2-8949</t>
  </si>
  <si>
    <t>WRJA279240020D-R070BK</t>
  </si>
  <si>
    <t>WRJA361337015D-R970BK</t>
  </si>
  <si>
    <t>2-8957</t>
  </si>
  <si>
    <t>WRJC075050013D-R470AK</t>
  </si>
  <si>
    <t>2-8960</t>
  </si>
  <si>
    <t>WRJE154129012D-R970BK</t>
  </si>
  <si>
    <t>WRJE201177012D-R970BK</t>
  </si>
  <si>
    <t>2-8966</t>
  </si>
  <si>
    <t>WRJE167143012D-R970BK</t>
  </si>
  <si>
    <t>2-8967</t>
  </si>
  <si>
    <t>WRJE197173012D-R970BK</t>
  </si>
  <si>
    <t>2-8972</t>
  </si>
  <si>
    <t>WRJE255230012D-R970BK</t>
  </si>
  <si>
    <t>WRJA291266012D-R970BK</t>
  </si>
  <si>
    <t>WRJE266242012D-R970BK</t>
  </si>
  <si>
    <t>2-8976</t>
  </si>
  <si>
    <t>WRJC156121019K-R460AK</t>
  </si>
  <si>
    <t>2-8977</t>
  </si>
  <si>
    <t>WRJA371315019K-R460AK</t>
  </si>
  <si>
    <t>2-8980</t>
  </si>
  <si>
    <t>WRJC175034025D-R490AK</t>
  </si>
  <si>
    <t>2-8981</t>
  </si>
  <si>
    <t>WRJA262215019K-R460AK</t>
  </si>
  <si>
    <t>2-8998</t>
  </si>
  <si>
    <t>WRJC036021029D-R590AK</t>
  </si>
  <si>
    <t>WRJA218178019K-R460AK</t>
  </si>
  <si>
    <t>WRJC137103016K-R460AK</t>
  </si>
  <si>
    <t>2-9005</t>
  </si>
  <si>
    <t>WRJC062027015D-R570AK</t>
  </si>
  <si>
    <t>2-9008</t>
  </si>
  <si>
    <t>WRJA262215019K-R160AK</t>
  </si>
  <si>
    <t>2-9040</t>
  </si>
  <si>
    <t>WRJC023012025D-R860AK</t>
  </si>
  <si>
    <t>2-9067</t>
  </si>
  <si>
    <t>WRJA487415019K-R460AK</t>
  </si>
  <si>
    <t>2-9083</t>
  </si>
  <si>
    <t>WRJA706615019K-R460AK</t>
  </si>
  <si>
    <t>2-9102</t>
  </si>
  <si>
    <t>WRJA497474013D-R070AR</t>
  </si>
  <si>
    <t>2-9106</t>
  </si>
  <si>
    <t>WRJC156121019K-R560AR</t>
  </si>
  <si>
    <t>2-9107</t>
  </si>
  <si>
    <t>WRJC218178019K-R560AR</t>
  </si>
  <si>
    <t>2-9108</t>
  </si>
  <si>
    <t>WRJA262215019K-R560AR</t>
  </si>
  <si>
    <t>2-9109</t>
  </si>
  <si>
    <t>WRJA371315019K-R560AR</t>
  </si>
  <si>
    <t>WRJC237218013D-R470GK</t>
  </si>
  <si>
    <t>2-9120</t>
  </si>
  <si>
    <t>WRJA463415018D-R540AK</t>
  </si>
  <si>
    <t>2-9124</t>
  </si>
  <si>
    <t>WRJA355319019D-R070BK</t>
  </si>
  <si>
    <t>2-9128</t>
  </si>
  <si>
    <t>WRJC025018026D-R490AK</t>
  </si>
  <si>
    <t>2-9129</t>
  </si>
  <si>
    <t>WRJE237217013D-R970BK</t>
  </si>
  <si>
    <t>2-9134</t>
  </si>
  <si>
    <t>WRJA506480014D-R470BK</t>
  </si>
  <si>
    <t>2-9135</t>
  </si>
  <si>
    <t>WRJA371314019K-R160AK</t>
  </si>
  <si>
    <t>WRJC200173013Q-R463AK</t>
  </si>
  <si>
    <t>2-9139</t>
  </si>
  <si>
    <t>WRJA531506016D-R450AK</t>
  </si>
  <si>
    <t>2-9140</t>
  </si>
  <si>
    <t>WRJA418392014D-R450AK</t>
  </si>
  <si>
    <t>2-9141</t>
  </si>
  <si>
    <t>WRJC052032034D-R450AK</t>
  </si>
  <si>
    <t>WRJA451443024D-R970DK</t>
  </si>
  <si>
    <t>WRJA695687024D-R970DK</t>
  </si>
  <si>
    <t>2-9153</t>
  </si>
  <si>
    <t>WRJC137103016K-R560AR</t>
  </si>
  <si>
    <t>2-9160</t>
  </si>
  <si>
    <t>WRJA487415019K-R160AK</t>
  </si>
  <si>
    <t>2-9161</t>
  </si>
  <si>
    <t>WRJC087050018D-R550AK</t>
  </si>
  <si>
    <t>2-9164</t>
  </si>
  <si>
    <t>WRJA289266012D-R970BK</t>
  </si>
  <si>
    <t>WRJE221198014D-R970BK</t>
  </si>
  <si>
    <t>2-9170</t>
  </si>
  <si>
    <t>WRJC055024012D-R570AK</t>
  </si>
  <si>
    <t>2-9172</t>
  </si>
  <si>
    <t>WRJA260216018D-R980BK</t>
  </si>
  <si>
    <t>2-9174</t>
  </si>
  <si>
    <t>WRJA443412021D-R540AK</t>
  </si>
  <si>
    <t>2-9176</t>
  </si>
  <si>
    <t>WRJA236148018D-R980BK</t>
  </si>
  <si>
    <t>WRJC041011016D-R570AK</t>
  </si>
  <si>
    <t>2-9180</t>
  </si>
  <si>
    <t>WRJC035022023D-R450AK</t>
  </si>
  <si>
    <t>2-9183</t>
  </si>
  <si>
    <t>WRJA253222010D-R470BK</t>
  </si>
  <si>
    <t>2-9185</t>
  </si>
  <si>
    <t>WRJA538513012K-R470BK</t>
  </si>
  <si>
    <t>2-9187</t>
  </si>
  <si>
    <t>WRJE247213012D-R970BK</t>
  </si>
  <si>
    <t>WRJE204180015D-R970BK</t>
  </si>
  <si>
    <t>2-9190</t>
  </si>
  <si>
    <t>WRJA325288022K-R160AK</t>
  </si>
  <si>
    <t>2-9191</t>
  </si>
  <si>
    <t>WRJA463421022D-R460AK</t>
  </si>
  <si>
    <t>2-9193</t>
  </si>
  <si>
    <t>WRJC037025020D-R460AK</t>
  </si>
  <si>
    <t>2-9194</t>
  </si>
  <si>
    <t>WRJE306283013D-R970BK</t>
  </si>
  <si>
    <t>2-9195</t>
  </si>
  <si>
    <t>WRJC062043013D-R490AK</t>
  </si>
  <si>
    <t>2-9198</t>
  </si>
  <si>
    <t>WRJE268243012D-R970BK</t>
  </si>
  <si>
    <t>2-9199</t>
  </si>
  <si>
    <t>WRJC045020022D-R450AK</t>
  </si>
  <si>
    <t>2-9201</t>
  </si>
  <si>
    <t>WRJA614581016D-R560AR</t>
  </si>
  <si>
    <t>WRJE192169012D-R970BK</t>
  </si>
  <si>
    <t>2-9203</t>
  </si>
  <si>
    <t>WRJE236212015D-R970BK</t>
  </si>
  <si>
    <t>2-9204</t>
  </si>
  <si>
    <t>WRJE212188014D-R970BK</t>
  </si>
  <si>
    <t>2-9208</t>
  </si>
  <si>
    <t>WRJE261237015D-R970BK</t>
  </si>
  <si>
    <t>2-9211</t>
  </si>
  <si>
    <t>WRJE166142012D-R970BK</t>
  </si>
  <si>
    <t>2-9213</t>
  </si>
  <si>
    <t>WRJA652625025D-R560AR</t>
  </si>
  <si>
    <t>2-9214</t>
  </si>
  <si>
    <t>WRJA284260015D-R970BK</t>
  </si>
  <si>
    <t>2-9215</t>
  </si>
  <si>
    <t>WRJE243219014D-R970BK</t>
  </si>
  <si>
    <t>2-9216</t>
  </si>
  <si>
    <t>WRJA487415019K-R560AR</t>
  </si>
  <si>
    <t>2-9218</t>
  </si>
  <si>
    <t>WRJC021012018D-R570AK</t>
  </si>
  <si>
    <t>2-9219</t>
  </si>
  <si>
    <t>WRJE276253012D-R970BK</t>
  </si>
  <si>
    <t>2-9220</t>
  </si>
  <si>
    <t>WRJE224200014D-R970BK</t>
  </si>
  <si>
    <t>2-9223</t>
  </si>
  <si>
    <t>WRJE091076013D-R970BK</t>
  </si>
  <si>
    <t>2-9224</t>
  </si>
  <si>
    <t>WRJA309283013D-R970BK</t>
  </si>
  <si>
    <t>WRJE161138013D-R970BK</t>
  </si>
  <si>
    <t>WRJE189165014D-R970BK</t>
  </si>
  <si>
    <t>WRJE274250014D-R970BK</t>
  </si>
  <si>
    <t>WRJA287263015D-R970BK</t>
  </si>
  <si>
    <t>2-9229</t>
  </si>
  <si>
    <t>WRJC084034018D-R570AK</t>
  </si>
  <si>
    <t>2-9230</t>
  </si>
  <si>
    <t>WRJA394356014D-R980BK</t>
  </si>
  <si>
    <t>2-9231</t>
  </si>
  <si>
    <t>WRJC092066014D-R470AK</t>
  </si>
  <si>
    <t>2-9232</t>
  </si>
  <si>
    <t>WRJC088066016D-R490AK</t>
  </si>
  <si>
    <t>2-9235</t>
  </si>
  <si>
    <t>WRJA655625096D-R560AR</t>
  </si>
  <si>
    <t>2-9236</t>
  </si>
  <si>
    <t>WRJA655625096D-R570AK</t>
  </si>
  <si>
    <t>2-9237</t>
  </si>
  <si>
    <t>WRJA655625096D-R580AK</t>
  </si>
  <si>
    <t>2-9239</t>
  </si>
  <si>
    <t>WRJE199175014D-R970BK</t>
  </si>
  <si>
    <t>2-9240</t>
  </si>
  <si>
    <t>WRJC137103016K-R160AK</t>
  </si>
  <si>
    <t>WRJE225201014D-R970BK</t>
  </si>
  <si>
    <t>WRJA297273014D-R970BK</t>
  </si>
  <si>
    <t>2-9244</t>
  </si>
  <si>
    <t>WRJA417395010D-R980BK</t>
  </si>
  <si>
    <t>2-9245</t>
  </si>
  <si>
    <t>WRJA310245024D-R980BK</t>
  </si>
  <si>
    <t>2-9246</t>
  </si>
  <si>
    <t>WRJE175148013D-R970BK</t>
  </si>
  <si>
    <t>2-9247</t>
  </si>
  <si>
    <t>WRJE200173013D-R970BK</t>
  </si>
  <si>
    <t>2-9248</t>
  </si>
  <si>
    <t>WRJE212185013D-R970BK</t>
  </si>
  <si>
    <t>2-9249</t>
  </si>
  <si>
    <t>WRJA210152020K-R550AK</t>
  </si>
  <si>
    <t>2-9250</t>
  </si>
  <si>
    <t>WRJA596521019K-R460AK</t>
  </si>
  <si>
    <t>2-9251</t>
  </si>
  <si>
    <t>WRJA319200019D-R570AK</t>
  </si>
  <si>
    <t>2-9252</t>
  </si>
  <si>
    <t>WRJA575400019D-R570AK</t>
  </si>
  <si>
    <t>2-9253</t>
  </si>
  <si>
    <t>WRJA625425019D-R570AK</t>
  </si>
  <si>
    <t>2-9254</t>
  </si>
  <si>
    <t>WRJA531350019D-R570AK</t>
  </si>
  <si>
    <t>2-9255</t>
  </si>
  <si>
    <t>WRJA350200019D-R570AK</t>
  </si>
  <si>
    <t>2-9256</t>
  </si>
  <si>
    <t>WRJA581400019D-R570AK</t>
  </si>
  <si>
    <t>2-9257</t>
  </si>
  <si>
    <t>WRJE222198014D-R970BK</t>
  </si>
  <si>
    <t>WRJC030020022D-R970AK</t>
  </si>
  <si>
    <t>2-9260</t>
  </si>
  <si>
    <t>WRJA456300019D-R570AK</t>
  </si>
  <si>
    <t>2-9262</t>
  </si>
  <si>
    <t>WRJE162135013D-R970BK</t>
  </si>
  <si>
    <t>2-9263</t>
  </si>
  <si>
    <t>WRJE225198013D-R970BK</t>
  </si>
  <si>
    <t>2-9265</t>
  </si>
  <si>
    <t>WRJA486454015D-R970CK</t>
  </si>
  <si>
    <t>2-9266</t>
  </si>
  <si>
    <t>WRJE224200012D-R970BK</t>
  </si>
  <si>
    <t>2-9267</t>
  </si>
  <si>
    <t>WRJA256177015D-R450AK</t>
  </si>
  <si>
    <t>2-9268</t>
  </si>
  <si>
    <t>WRJA575548013D-R470BK</t>
  </si>
  <si>
    <t>2-9269</t>
  </si>
  <si>
    <t>WRJA397263025D-R450AK</t>
  </si>
  <si>
    <t>2-9270</t>
  </si>
  <si>
    <t>WRJA675654014K-R970AK</t>
  </si>
  <si>
    <t>2-9271</t>
  </si>
  <si>
    <t>WRJC152106014D-R460AR</t>
  </si>
  <si>
    <t>WRJE196172014D-R970BK</t>
  </si>
  <si>
    <t>2-9274</t>
  </si>
  <si>
    <t>WRJE217192012D-R970BK</t>
  </si>
  <si>
    <t>WRJC086052014D-R490AK</t>
  </si>
  <si>
    <t>2-9276</t>
  </si>
  <si>
    <t>WRJA508471018K-R170AK</t>
  </si>
  <si>
    <t>2-9277</t>
  </si>
  <si>
    <t>WRJC031012020D-R160AK</t>
  </si>
  <si>
    <t>WRJE204181015D-R970BK</t>
  </si>
  <si>
    <t>2-9279</t>
  </si>
  <si>
    <t>WRJC126094015D-R470BK</t>
  </si>
  <si>
    <t>2-9280</t>
  </si>
  <si>
    <t>WRJC175135020D-R450AK</t>
  </si>
  <si>
    <t>2-9281</t>
  </si>
  <si>
    <t>WRJC032020026D-R160BK</t>
  </si>
  <si>
    <t>2-9282</t>
  </si>
  <si>
    <t>WRJE236212014D-R970BK</t>
  </si>
  <si>
    <t>2-9283</t>
  </si>
  <si>
    <t>WRJE209185013D-R970BK</t>
  </si>
  <si>
    <t>WRJC098088015D-R460EK</t>
  </si>
  <si>
    <t>2-9285</t>
  </si>
  <si>
    <t>WRJC087068021D-R860AK</t>
  </si>
  <si>
    <t>2-9286</t>
  </si>
  <si>
    <t>WRJC162137021D-R570AK</t>
  </si>
  <si>
    <t>2-9287</t>
  </si>
  <si>
    <t>WRJE260237012D-R970BK</t>
  </si>
  <si>
    <t>2-9290</t>
  </si>
  <si>
    <t>WRJE197174013D-R970BK</t>
  </si>
  <si>
    <t>2-9292</t>
  </si>
  <si>
    <t>WRJA487400025D-R450AK</t>
  </si>
  <si>
    <t>2-9297</t>
  </si>
  <si>
    <t>WRJE204181012D-R970BK</t>
  </si>
  <si>
    <t>WRJE261237012D-R970BK</t>
  </si>
  <si>
    <t>2-9299</t>
  </si>
  <si>
    <t>WRJC076063013D-R480BK</t>
  </si>
  <si>
    <t>2-9300</t>
  </si>
  <si>
    <t>WRJC041025013D-R480BK</t>
  </si>
  <si>
    <t>2-9301</t>
  </si>
  <si>
    <t>WRJE264240013D-R970BK</t>
  </si>
  <si>
    <t>WRJA574550014D-R670AK</t>
  </si>
  <si>
    <t>2-9304</t>
  </si>
  <si>
    <t>WRJC076036013D-R955AK</t>
  </si>
  <si>
    <t>2-9305</t>
  </si>
  <si>
    <t>WRJA483456025D-R560AR</t>
  </si>
  <si>
    <t>2-9306</t>
  </si>
  <si>
    <t>WRJA650625025D-R570AK</t>
  </si>
  <si>
    <t>2-9307</t>
  </si>
  <si>
    <t>WRJA650625025D-R560AR</t>
  </si>
  <si>
    <t>WRJE274250015D-R970BK</t>
  </si>
  <si>
    <t>2-9309</t>
  </si>
  <si>
    <t>WRJA544519013D-R550BK</t>
  </si>
  <si>
    <t>2-9310</t>
  </si>
  <si>
    <t>WRJC089056015D-R470BK</t>
  </si>
  <si>
    <t>2-9311</t>
  </si>
  <si>
    <t>WRJC076050015D-R470BK</t>
  </si>
  <si>
    <t>WRJE212187020D-R970BK</t>
  </si>
  <si>
    <t>2-9313</t>
  </si>
  <si>
    <t>WRJA452401019D-R470BK</t>
  </si>
  <si>
    <t>2-9316</t>
  </si>
  <si>
    <t>WRJC134093013D-R170AK</t>
  </si>
  <si>
    <t>2-9317</t>
  </si>
  <si>
    <t>WRJA284211012D-R170AK</t>
  </si>
  <si>
    <t>2-9318</t>
  </si>
  <si>
    <t>WRJC206100013D-R570AK</t>
  </si>
  <si>
    <t>2-9319</t>
  </si>
  <si>
    <t>WRJA288260014D-R170AK</t>
  </si>
  <si>
    <t>WRJA287262015D-R970BK</t>
  </si>
  <si>
    <t>2-9321</t>
  </si>
  <si>
    <t>WRJC214187013D-R170AK</t>
  </si>
  <si>
    <t>WRJE263240013D-R970BK</t>
  </si>
  <si>
    <t>2-9323</t>
  </si>
  <si>
    <t>WRJE197174012D-R970BK</t>
  </si>
  <si>
    <t>2-9324</t>
  </si>
  <si>
    <t>WRJC102068015D-R450AK</t>
  </si>
  <si>
    <t>2-9325</t>
  </si>
  <si>
    <t>WRJC137087021D-R450AK</t>
  </si>
  <si>
    <t>WRJA381355013D-R470BK</t>
  </si>
  <si>
    <t>WRJA583562013D-R070AR</t>
  </si>
  <si>
    <t>WRJE216191013D-R970BK</t>
  </si>
  <si>
    <t>2-9331</t>
  </si>
  <si>
    <t>WRJA298274014D-R970BK</t>
  </si>
  <si>
    <t>WRJA298273014D-R970BK</t>
  </si>
  <si>
    <t>2-9334</t>
  </si>
  <si>
    <t>WRJA344305012D-R760AK</t>
  </si>
  <si>
    <t>2-9337</t>
  </si>
  <si>
    <t>WRJC087059013D-R470BK</t>
  </si>
  <si>
    <t>2-9344</t>
  </si>
  <si>
    <t>WRJA343323023D-R470AK</t>
  </si>
  <si>
    <t>WRJA425398022D-R470AK</t>
  </si>
  <si>
    <t>WRJC161122019D-R475BK</t>
  </si>
  <si>
    <t>WRJA424385019D-R475BK</t>
  </si>
  <si>
    <t>2-9353</t>
  </si>
  <si>
    <t>WRJE262235013D-R970BK</t>
  </si>
  <si>
    <t>WRJE300273013D-R970BK</t>
  </si>
  <si>
    <t>2-9355</t>
  </si>
  <si>
    <t>WRJE275248013D-R970BK</t>
  </si>
  <si>
    <t>WRJE243217013D-R970BK</t>
  </si>
  <si>
    <t>WRJE198174014D-R970BK</t>
  </si>
  <si>
    <t>2-9360</t>
  </si>
  <si>
    <t>WRJE248213012D-R970BK</t>
  </si>
  <si>
    <t>WRJA250172026D-R470BK</t>
  </si>
  <si>
    <t>WRJE135111013D-R970BK</t>
  </si>
  <si>
    <t>WRJE279254012D-R970BK</t>
  </si>
  <si>
    <t>2-9365</t>
  </si>
  <si>
    <t>WRJA350309016K-R470BK</t>
  </si>
  <si>
    <t>2-9366</t>
  </si>
  <si>
    <t>WRJA295267015D-R480AK</t>
  </si>
  <si>
    <t>2-9367</t>
  </si>
  <si>
    <t>WRJC152085017D-R050AK</t>
  </si>
  <si>
    <t>WRJE204180012D-R970BK</t>
  </si>
  <si>
    <t>WRJC071042015D-R480AK</t>
  </si>
  <si>
    <t>WRJA431354015D-R840AK</t>
  </si>
  <si>
    <t>2-9371</t>
  </si>
  <si>
    <t>WRJC162148014D-R470BK</t>
  </si>
  <si>
    <t>2-9372</t>
  </si>
  <si>
    <t>WRJA488447020K-R175AK</t>
  </si>
  <si>
    <t>WRJA413397014D-R670AK</t>
  </si>
  <si>
    <t>WRJC037024025D-R260AK</t>
  </si>
  <si>
    <t>3-1024</t>
  </si>
  <si>
    <t>WRJC056034038D-R490BK</t>
  </si>
  <si>
    <t>3-1163</t>
  </si>
  <si>
    <t>WRJC051034029D-R580AK</t>
  </si>
  <si>
    <t>3-1164</t>
  </si>
  <si>
    <t>WRJC064046037D-R580AK</t>
  </si>
  <si>
    <t>3-1174</t>
  </si>
  <si>
    <t>WRJC087059037D-R460AK</t>
  </si>
  <si>
    <t>3-126</t>
  </si>
  <si>
    <t>WRJA202162032D-R450BK</t>
  </si>
  <si>
    <t>3-1311</t>
  </si>
  <si>
    <t>WRJC150043031D-R850AK</t>
  </si>
  <si>
    <t>3-154</t>
  </si>
  <si>
    <t>WRJA231193050D-R460AK</t>
  </si>
  <si>
    <t>3-1795</t>
  </si>
  <si>
    <t>WRJC084062034D-R880AK</t>
  </si>
  <si>
    <t>3-1885</t>
  </si>
  <si>
    <t>WRJC150050044D-R460CK</t>
  </si>
  <si>
    <t>3-1953</t>
  </si>
  <si>
    <t>WRJA312237050D-R460DK</t>
  </si>
  <si>
    <t>3-2034</t>
  </si>
  <si>
    <t>WRJC175138050D-R460AK</t>
  </si>
  <si>
    <t>3-2107</t>
  </si>
  <si>
    <t>WRJC150059050D-R850AK</t>
  </si>
  <si>
    <t>3-2145</t>
  </si>
  <si>
    <t>WRJC115051049D-R580AK</t>
  </si>
  <si>
    <t>3-2150</t>
  </si>
  <si>
    <t>WRJC124112036K-R565AK</t>
  </si>
  <si>
    <t>3-2235</t>
  </si>
  <si>
    <t>WRJC047025050D-R470AK</t>
  </si>
  <si>
    <t>3-247</t>
  </si>
  <si>
    <t>WRJA218168043D-R960AK</t>
  </si>
  <si>
    <t>3-258</t>
  </si>
  <si>
    <t>WRJC081056031D-R970EK</t>
  </si>
  <si>
    <t>3-300</t>
  </si>
  <si>
    <t>WRJC081056031D-R860AK</t>
  </si>
  <si>
    <t>3-342</t>
  </si>
  <si>
    <t>WRJC147074043D-R960AK</t>
  </si>
  <si>
    <t>3-345</t>
  </si>
  <si>
    <t>WRJC115051049D-R470BK</t>
  </si>
  <si>
    <t>3-368</t>
  </si>
  <si>
    <t>WRJC093068031D-R860AK</t>
  </si>
  <si>
    <t>3-39</t>
  </si>
  <si>
    <t>WRJC059043031D-R570AK</t>
  </si>
  <si>
    <t>3-4827</t>
  </si>
  <si>
    <t>WRJA239221043D-R370AK</t>
  </si>
  <si>
    <t>3-4860</t>
  </si>
  <si>
    <t>WRJC168118039D-R470BK</t>
  </si>
  <si>
    <t>3-4873</t>
  </si>
  <si>
    <t>WRJC067036040K-R580AK</t>
  </si>
  <si>
    <t>3-4953</t>
  </si>
  <si>
    <t>WRJC110085032D-R470BK</t>
  </si>
  <si>
    <t>3-4980</t>
  </si>
  <si>
    <t>WRJC068046035K-R485AK</t>
  </si>
  <si>
    <t>3-4993</t>
  </si>
  <si>
    <t>WRJA331313050D-R370AK</t>
  </si>
  <si>
    <t>3-4998</t>
  </si>
  <si>
    <t>WRJA237218050D-R370AK</t>
  </si>
  <si>
    <t>3-5018</t>
  </si>
  <si>
    <t>WRJC144062027D-R560AR</t>
  </si>
  <si>
    <t>3-5112</t>
  </si>
  <si>
    <t>WRJC092075029D-R470BK</t>
  </si>
  <si>
    <t>3-5120</t>
  </si>
  <si>
    <t>WRJC025015037D-R470BK</t>
  </si>
  <si>
    <t>WRJC075062050D-R570AK</t>
  </si>
  <si>
    <t>3-5151</t>
  </si>
  <si>
    <t>WRJC218181037D-R550AK</t>
  </si>
  <si>
    <t>3-5154</t>
  </si>
  <si>
    <t>WRJC087043048D-R240AK</t>
  </si>
  <si>
    <t>3-5164</t>
  </si>
  <si>
    <t>WRJC037012050D-R860AK</t>
  </si>
  <si>
    <t>3-5165</t>
  </si>
  <si>
    <t>WRJC023012050D-R860AK</t>
  </si>
  <si>
    <t>3-5183</t>
  </si>
  <si>
    <t>WRJC088062050D-R570AK</t>
  </si>
  <si>
    <t>3-519</t>
  </si>
  <si>
    <t>WRJC150100031D-R570AK</t>
  </si>
  <si>
    <t>3-5190</t>
  </si>
  <si>
    <t>WRJC062038045D-R450AK</t>
  </si>
  <si>
    <t>3-5197</t>
  </si>
  <si>
    <t>WRJC049023028D-R570AK</t>
  </si>
  <si>
    <t>3-5199</t>
  </si>
  <si>
    <t>WRJC036020027D-R580AK</t>
  </si>
  <si>
    <t>3-5200</t>
  </si>
  <si>
    <t>WRJC037021029D-R570AK</t>
  </si>
  <si>
    <t>3-5201</t>
  </si>
  <si>
    <t>WRJC103039029D-R490AK</t>
  </si>
  <si>
    <t>3-5202</t>
  </si>
  <si>
    <t>WRJC070042025D-R970EK</t>
  </si>
  <si>
    <t>3-5203</t>
  </si>
  <si>
    <t>WRJC175138037D-R460AK</t>
  </si>
  <si>
    <t>3-5204</t>
  </si>
  <si>
    <t>WRJC175138023D-R460AK</t>
  </si>
  <si>
    <t>WRJC033021026D-R590AK</t>
  </si>
  <si>
    <t>3-5206</t>
  </si>
  <si>
    <t>WRJC054035034K-R463AK</t>
  </si>
  <si>
    <t>3-5207</t>
  </si>
  <si>
    <t>WRJC053033034K-R463AK</t>
  </si>
  <si>
    <t>3-5208</t>
  </si>
  <si>
    <t>WRJC090063030D-R463AK</t>
  </si>
  <si>
    <t>3-5210</t>
  </si>
  <si>
    <t>WRJC150087050D-R860AK</t>
  </si>
  <si>
    <t>3-5212</t>
  </si>
  <si>
    <t>WRJC073012050D-R860AK</t>
  </si>
  <si>
    <t>3-5214</t>
  </si>
  <si>
    <t>WRJC093068031D-R970EK</t>
  </si>
  <si>
    <t>3-5216</t>
  </si>
  <si>
    <t>WRJA550431037D-R860AK</t>
  </si>
  <si>
    <t>3-5217</t>
  </si>
  <si>
    <t>WRJA250050050D-R490AK</t>
  </si>
  <si>
    <t>3-5219</t>
  </si>
  <si>
    <t>WRJC056038031D-R590AK</t>
  </si>
  <si>
    <t>3-5221</t>
  </si>
  <si>
    <t>WRJA288050050D-R490AK</t>
  </si>
  <si>
    <t>3-5222</t>
  </si>
  <si>
    <t>WRJA300050050D-R490AK</t>
  </si>
  <si>
    <t>3-5223</t>
  </si>
  <si>
    <t>WRJC188050050D-R490AK</t>
  </si>
  <si>
    <t>3-5226</t>
  </si>
  <si>
    <t>WRJC067041040K-R580AK</t>
  </si>
  <si>
    <t>3-5228</t>
  </si>
  <si>
    <t>WRJC066050033D-R470BK</t>
  </si>
  <si>
    <t>3-5229</t>
  </si>
  <si>
    <t>WRJA482418029D-R470BK</t>
  </si>
  <si>
    <t>3-5230</t>
  </si>
  <si>
    <t>WRJC051034035Q-R450BK</t>
  </si>
  <si>
    <t>3-5231</t>
  </si>
  <si>
    <t>WRJC125062043D-R570AK</t>
  </si>
  <si>
    <t>WRJA575548032D-R470AK</t>
  </si>
  <si>
    <t>WRJA525498032D-R470AK</t>
  </si>
  <si>
    <t>3-5235</t>
  </si>
  <si>
    <t>WRJC150075038D-R380AK</t>
  </si>
  <si>
    <t>3-68</t>
  </si>
  <si>
    <t>WRJC100075031D-R560AR</t>
  </si>
  <si>
    <t>4-1035</t>
  </si>
  <si>
    <t>WRJC121032071D-R580AK</t>
  </si>
  <si>
    <t>4-1036</t>
  </si>
  <si>
    <t>WRJC145032078D-R580AK</t>
  </si>
  <si>
    <t>4-1062</t>
  </si>
  <si>
    <t>WRJC119088075D-R540AK</t>
  </si>
  <si>
    <t>4-119</t>
  </si>
  <si>
    <t>WRJC150068062D-R550AK</t>
  </si>
  <si>
    <t>4-1332</t>
  </si>
  <si>
    <t>WRJC062037075D-R870AK</t>
  </si>
  <si>
    <t>4-1380</t>
  </si>
  <si>
    <t>WRJC100050100D-R570AK</t>
  </si>
  <si>
    <t>4-1417</t>
  </si>
  <si>
    <t>WRJC175150087D-R560AR</t>
  </si>
  <si>
    <t>4-1487</t>
  </si>
  <si>
    <t>WRJC111079057D-R470FK</t>
  </si>
  <si>
    <t>4-15</t>
  </si>
  <si>
    <t>WRJC150050100D-R470AK</t>
  </si>
  <si>
    <t>WRJC106068075D-R860AK</t>
  </si>
  <si>
    <t>4-1592</t>
  </si>
  <si>
    <t>WRJC054045072D-R960AK</t>
  </si>
  <si>
    <t>4-1661</t>
  </si>
  <si>
    <t>WRJA168131225D-R485AK</t>
  </si>
  <si>
    <t>4-1664</t>
  </si>
  <si>
    <t>WRJA587575338D-R540AK</t>
  </si>
  <si>
    <t>4-1671</t>
  </si>
  <si>
    <t>WRJC025012100D-R860AK</t>
  </si>
  <si>
    <t>4-1672</t>
  </si>
  <si>
    <t>WRJC037012100D-R860AK</t>
  </si>
  <si>
    <t>4-1683</t>
  </si>
  <si>
    <t>WRJA655625090D-R570AK</t>
  </si>
  <si>
    <t>4-1684</t>
  </si>
  <si>
    <t>WRJC123086262D-R880AK</t>
  </si>
  <si>
    <t>4-1685</t>
  </si>
  <si>
    <t>WRJC240221056D-R370AK</t>
  </si>
  <si>
    <t>4-1691</t>
  </si>
  <si>
    <t>WRJA424412285D-R540AK</t>
  </si>
  <si>
    <t>4-1695</t>
  </si>
  <si>
    <t>WRJA655625090D-R560AR</t>
  </si>
  <si>
    <t>4-1704</t>
  </si>
  <si>
    <t>WRJC141071098D-R940AK</t>
  </si>
  <si>
    <t>4-1736</t>
  </si>
  <si>
    <t>WRJC100071059K-R485AK</t>
  </si>
  <si>
    <t>4-1740</t>
  </si>
  <si>
    <t>WRJC170090090D-R370AK</t>
  </si>
  <si>
    <t>4-1789</t>
  </si>
  <si>
    <t>WRJC099061262D-R880AK</t>
  </si>
  <si>
    <t>4-1810</t>
  </si>
  <si>
    <t>WRJA206190190D-R240AK</t>
  </si>
  <si>
    <t>WRJC125053089D-R260AK</t>
  </si>
  <si>
    <t>WRJC098032100D-R550AK</t>
  </si>
  <si>
    <t>4-1846</t>
  </si>
  <si>
    <t>WRJA655625025D-R580AK</t>
  </si>
  <si>
    <t>4-1848</t>
  </si>
  <si>
    <t>WRJA300125100D-R860AK</t>
  </si>
  <si>
    <t>WRJE043024074D-R970BK</t>
  </si>
  <si>
    <t>4-1850</t>
  </si>
  <si>
    <t>WRJA390100075D-R860AK</t>
  </si>
  <si>
    <t>4-1851</t>
  </si>
  <si>
    <t>WRJA600500075D-R490AK</t>
  </si>
  <si>
    <t>4-1852</t>
  </si>
  <si>
    <t>WRJA655625090D-R580AK</t>
  </si>
  <si>
    <t>4-1853</t>
  </si>
  <si>
    <t>WRJA300135075D-R380AK</t>
  </si>
  <si>
    <t>4-1856</t>
  </si>
  <si>
    <t>WRJA652625090D-R570AK</t>
  </si>
  <si>
    <t>4-1857</t>
  </si>
  <si>
    <t>WRJC125040068D-R580AK</t>
  </si>
  <si>
    <t>WRJA237123062D-R480AK</t>
  </si>
  <si>
    <t>4-1862</t>
  </si>
  <si>
    <t>WRJC099062062D-R970AK</t>
  </si>
  <si>
    <t>4-1863</t>
  </si>
  <si>
    <t>WRJC125053089D-R275AK</t>
  </si>
  <si>
    <t>WRJC171091100D-R270AK</t>
  </si>
  <si>
    <t>4-195</t>
  </si>
  <si>
    <t>WRJC125048063D-R470BK</t>
  </si>
  <si>
    <t>4-227</t>
  </si>
  <si>
    <t>WRJA256225084D-R460AK</t>
  </si>
  <si>
    <t>4-53</t>
  </si>
  <si>
    <t>WRJC093062059D-R490AK</t>
  </si>
  <si>
    <t>5-105</t>
  </si>
  <si>
    <t>WRJA531468309D-R880AK</t>
  </si>
  <si>
    <t>5-1235</t>
  </si>
  <si>
    <t>WRJA500398385D-R460AK</t>
  </si>
  <si>
    <t>5-1236</t>
  </si>
  <si>
    <t>WRJA475373385D-R460AK</t>
  </si>
  <si>
    <t>5-1238</t>
  </si>
  <si>
    <t>WRJA425323385D-R460AK</t>
  </si>
  <si>
    <t>5-1415</t>
  </si>
  <si>
    <t>WRJA250175150D-R570AK</t>
  </si>
  <si>
    <t>5-1513</t>
  </si>
  <si>
    <t>WRJA262193126D-R460AK</t>
  </si>
  <si>
    <t>5-1568</t>
  </si>
  <si>
    <t>WRJC125043125D-R835AK</t>
  </si>
  <si>
    <t>5-1700</t>
  </si>
  <si>
    <t>WRJA400298385D-R460AK</t>
  </si>
  <si>
    <t>5-1763</t>
  </si>
  <si>
    <t>WRJA381356200D-R460AK</t>
  </si>
  <si>
    <t>5-1764</t>
  </si>
  <si>
    <t>WRJA506444312D-R880AK</t>
  </si>
  <si>
    <t>5-1765</t>
  </si>
  <si>
    <t>WRJA370308312D-R880AK</t>
  </si>
  <si>
    <t>5-1766</t>
  </si>
  <si>
    <t>WRJA321259312D-R880AK</t>
  </si>
  <si>
    <t>5-1767</t>
  </si>
  <si>
    <t>WRJA383320312D-R880AK</t>
  </si>
  <si>
    <t>5-1768</t>
  </si>
  <si>
    <t>WRJA333283312D-R880AK</t>
  </si>
  <si>
    <t>5-1769</t>
  </si>
  <si>
    <t>WRJA432370312D-R880AK</t>
  </si>
  <si>
    <t>5-1770</t>
  </si>
  <si>
    <t>WRJA444394312D-R880AK</t>
  </si>
  <si>
    <t>5-1771</t>
  </si>
  <si>
    <t>WRJA457394312D-R880AK</t>
  </si>
  <si>
    <t>5-1772</t>
  </si>
  <si>
    <t>WRJA407345312D-R880AK</t>
  </si>
  <si>
    <t>5-1773</t>
  </si>
  <si>
    <t>WRJA506444337D-R880AK</t>
  </si>
  <si>
    <t>5-1774</t>
  </si>
  <si>
    <t>WRJA624562312D-R880AK</t>
  </si>
  <si>
    <t>5-1775</t>
  </si>
  <si>
    <t>WRJA565503337D-R880AK</t>
  </si>
  <si>
    <t>5-1777</t>
  </si>
  <si>
    <t>WRJA618556312D-R880AK</t>
  </si>
  <si>
    <t>5-1780</t>
  </si>
  <si>
    <t>WRJA462400312D-R880AK</t>
  </si>
  <si>
    <t>5-1781</t>
  </si>
  <si>
    <t>WRJA387325312D-R880AK</t>
  </si>
  <si>
    <t>5-1782</t>
  </si>
  <si>
    <t>WRJA324262312D-R880AK</t>
  </si>
  <si>
    <t>5-1783</t>
  </si>
  <si>
    <t>WRJA374312312D-R880AK</t>
  </si>
  <si>
    <t>5-1784</t>
  </si>
  <si>
    <t>WRJA337287312D-R880AK</t>
  </si>
  <si>
    <t>5-1785</t>
  </si>
  <si>
    <t>WRJA581519312D-R880AK</t>
  </si>
  <si>
    <t>5-1787</t>
  </si>
  <si>
    <t>WRJA537475303D-R880AK</t>
  </si>
  <si>
    <t>5-1788</t>
  </si>
  <si>
    <t>WRJA565503309D-R880AK</t>
  </si>
  <si>
    <t>5-1790</t>
  </si>
  <si>
    <t>WRJA438426150D-R560AR</t>
  </si>
  <si>
    <t>5-1791</t>
  </si>
  <si>
    <t>WRJA603578016D-R560AR</t>
  </si>
  <si>
    <t>5-1792</t>
  </si>
  <si>
    <t>WRJC239200125D-R955AK</t>
  </si>
  <si>
    <t>5-267</t>
  </si>
  <si>
    <t>WRJA506444309D-R880AK</t>
  </si>
  <si>
    <t>5-54</t>
  </si>
  <si>
    <t>WRJA333283309D-R880AK</t>
  </si>
  <si>
    <t>5-55</t>
  </si>
  <si>
    <t>WRJA383320309D-R880AK</t>
  </si>
  <si>
    <t>5-63</t>
  </si>
  <si>
    <t>WRJA358296309D-R880AK</t>
  </si>
  <si>
    <t>5-65</t>
  </si>
  <si>
    <t>WRJA481419309D-R880AK</t>
  </si>
  <si>
    <t>5-77</t>
  </si>
  <si>
    <t>WRJA432370309D-R880AK</t>
  </si>
  <si>
    <t>5-94</t>
  </si>
  <si>
    <t>WRJA457394309D-R880AK</t>
  </si>
  <si>
    <t>WRJC175025250D-R870AK</t>
  </si>
  <si>
    <t>7-133</t>
  </si>
  <si>
    <t>WRJA321271309D-R880AK</t>
  </si>
  <si>
    <t>7-134</t>
  </si>
  <si>
    <t>WRJA321259309D-R880AK</t>
  </si>
  <si>
    <t>7-136</t>
  </si>
  <si>
    <t>WRJA235185309D-R880AK</t>
  </si>
  <si>
    <t>7-137</t>
  </si>
  <si>
    <t>WRJA222172309D-R880AK</t>
  </si>
  <si>
    <t>7-138</t>
  </si>
  <si>
    <t>WRJA296246309D-R880AK</t>
  </si>
  <si>
    <t>7-139</t>
  </si>
  <si>
    <t>WRJA099061612D-R880AK</t>
  </si>
  <si>
    <t>7-140</t>
  </si>
  <si>
    <t>WRJA247197309D-R880AK</t>
  </si>
  <si>
    <t>7-1424</t>
  </si>
  <si>
    <t>WRJA237187312D-R880AK</t>
  </si>
  <si>
    <t>7-152</t>
  </si>
  <si>
    <t>WRJA259209309D-R880AK</t>
  </si>
  <si>
    <t>7-158</t>
  </si>
  <si>
    <t>WRJA272222309D-R880AK</t>
  </si>
  <si>
    <t>7-170</t>
  </si>
  <si>
    <t>WRJA148111262D-R880AK</t>
  </si>
  <si>
    <t>7-180</t>
  </si>
  <si>
    <t>WRJA284234309D-R880AK</t>
  </si>
  <si>
    <t>7-181</t>
  </si>
  <si>
    <t>WRJA350248385D-R460AK</t>
  </si>
  <si>
    <t>7-213</t>
  </si>
  <si>
    <t>WRJC148098262D-R880AK</t>
  </si>
  <si>
    <t>7-222</t>
  </si>
  <si>
    <t>WRJA210160309D-R880AK</t>
  </si>
  <si>
    <t>WRJC017010018D-R580AK</t>
  </si>
  <si>
    <t>7-2327</t>
  </si>
  <si>
    <t>WRJA173123262D-R880AK</t>
  </si>
  <si>
    <t>7-2337</t>
  </si>
  <si>
    <t>WRJA300198385D-R460AK</t>
  </si>
  <si>
    <t>7-247</t>
  </si>
  <si>
    <t>WRJA198148309D-R880AK</t>
  </si>
  <si>
    <t>7-251</t>
  </si>
  <si>
    <t>WRJA375273385D-R460AK</t>
  </si>
  <si>
    <t>7-2968</t>
  </si>
  <si>
    <t>WRJC148098768D-R880AK</t>
  </si>
  <si>
    <t>7-3048</t>
  </si>
  <si>
    <t>WRJA124074262D-R880AK</t>
  </si>
  <si>
    <t>7-3066</t>
  </si>
  <si>
    <t>WRJA443425135D-R240AK</t>
  </si>
  <si>
    <t>7-3071</t>
  </si>
  <si>
    <t>WRJA201090212D-R580AK</t>
  </si>
  <si>
    <t>7-3075</t>
  </si>
  <si>
    <t>WRJA296246312D-R880AK</t>
  </si>
  <si>
    <t>7-3076</t>
  </si>
  <si>
    <t>WRJA272222312D-R880AK</t>
  </si>
  <si>
    <t>7-3083</t>
  </si>
  <si>
    <t>WRJA284222312D-R880AK</t>
  </si>
  <si>
    <t>7-3084</t>
  </si>
  <si>
    <t>WRJA287237312D-R880AK</t>
  </si>
  <si>
    <t>7-3085</t>
  </si>
  <si>
    <t>WRJA250200312D-R880AK</t>
  </si>
  <si>
    <t>7-3086</t>
  </si>
  <si>
    <t>WRJC125075262D-R880AK</t>
  </si>
  <si>
    <t>WRJC030020114D-R970AK</t>
  </si>
  <si>
    <t>7-3091</t>
  </si>
  <si>
    <t>WRJC030020312D-R970AK</t>
  </si>
  <si>
    <t>7-3093</t>
  </si>
  <si>
    <t>WRJC030020382D-R970AK</t>
  </si>
  <si>
    <t>7-3097</t>
  </si>
  <si>
    <t>WRJA475175120D-R240AK</t>
  </si>
  <si>
    <t>7-3098</t>
  </si>
  <si>
    <t>WRJA275225312D-R880AK</t>
  </si>
  <si>
    <t>7-3101</t>
  </si>
  <si>
    <t>WRJC206150L34D-R170AK</t>
  </si>
  <si>
    <t>7-3102</t>
  </si>
  <si>
    <t>WRJC030020250D-R970AK</t>
  </si>
  <si>
    <t>WRJC030020430D-R970AK</t>
  </si>
  <si>
    <t>7-3104</t>
  </si>
  <si>
    <t>WRJC030020234D-R970AK</t>
  </si>
  <si>
    <t>7-3106</t>
  </si>
  <si>
    <t>WRJC030020239D-R970AK</t>
  </si>
  <si>
    <t>7-3109</t>
  </si>
  <si>
    <t>WRJC030020334D-R970AK</t>
  </si>
  <si>
    <t>7-3111</t>
  </si>
  <si>
    <t>WRJC030020211D-R970AK</t>
  </si>
  <si>
    <t>7-3112</t>
  </si>
  <si>
    <t>WRJA390268L33D-R268AK</t>
  </si>
  <si>
    <t>7-3118</t>
  </si>
  <si>
    <t>WRJA226118L32D-R268AK</t>
  </si>
  <si>
    <t>7-3119</t>
  </si>
  <si>
    <t>WRJA172087L33D-R268AK</t>
  </si>
  <si>
    <t>WRJA262175L32D-R268AK</t>
  </si>
  <si>
    <t>7-3121</t>
  </si>
  <si>
    <t>WRJA320231L33D-R268AK</t>
  </si>
  <si>
    <t>7-3122</t>
  </si>
  <si>
    <t>WRJA217131L31D-R268AK</t>
  </si>
  <si>
    <t>7-3128</t>
  </si>
  <si>
    <t>7-3131</t>
  </si>
  <si>
    <t>WRJC030020150D-R970AK</t>
  </si>
  <si>
    <t>7-3132</t>
  </si>
  <si>
    <t>WRJC215125990D-R940AK</t>
  </si>
  <si>
    <t>7-3133</t>
  </si>
  <si>
    <t>WRJC124110405D-R170BK</t>
  </si>
  <si>
    <t>WRJA548536L26D-R070AR</t>
  </si>
  <si>
    <t>WRJC101080133D-R463AK</t>
  </si>
  <si>
    <t>7-3136</t>
  </si>
  <si>
    <t>WRJC101073133D-R463AK</t>
  </si>
  <si>
    <t>7-3137</t>
  </si>
  <si>
    <t>WRJC050038137D-R580AK</t>
  </si>
  <si>
    <t>90440</t>
  </si>
  <si>
    <t>WRJC148102020K-R160AK</t>
  </si>
  <si>
    <t>WRJA210152020K-R450AK</t>
  </si>
  <si>
    <t>WRJC210152020K-R160AK</t>
  </si>
  <si>
    <t>WRJC251191020K-R160AK</t>
  </si>
  <si>
    <t>WRJA251191020K-R550AK</t>
  </si>
  <si>
    <t>WRJA361297020K-R450AK</t>
  </si>
  <si>
    <t>WSMP156085025D-PXX00W</t>
  </si>
  <si>
    <t>80442</t>
  </si>
  <si>
    <t>80443</t>
  </si>
  <si>
    <t>WSMP218135025D-PXX00W</t>
  </si>
  <si>
    <t>80445</t>
  </si>
  <si>
    <t>WSMP262173025D-PXX00W</t>
  </si>
  <si>
    <t>80447</t>
  </si>
  <si>
    <t>WSNC028012030D-MXX00W</t>
  </si>
  <si>
    <t>SR.CATRING10016</t>
  </si>
  <si>
    <t>SR.CATRING10307</t>
  </si>
  <si>
    <t>SR.CATRING10693</t>
  </si>
  <si>
    <t>SR.CATRING10702</t>
  </si>
  <si>
    <t>SR-1-10147.9622</t>
  </si>
  <si>
    <t>SR-1-10147.9765</t>
  </si>
  <si>
    <t>SR-10147.9622</t>
  </si>
  <si>
    <t>SR-20680.677</t>
  </si>
  <si>
    <t>SR-20708.528</t>
  </si>
  <si>
    <t>SR-20709.528</t>
  </si>
  <si>
    <t>SR-20897.702</t>
  </si>
  <si>
    <t>SR-20975.677</t>
  </si>
  <si>
    <t>SR-21169.677</t>
  </si>
  <si>
    <t>SR-21170.677</t>
  </si>
  <si>
    <t>SR-21293.528</t>
  </si>
  <si>
    <t>SR-21424.528</t>
  </si>
  <si>
    <t>SR-21460.P800</t>
  </si>
  <si>
    <t>SR-21460.630</t>
  </si>
  <si>
    <t>SR-21543.707</t>
  </si>
  <si>
    <t>SR-21631.701</t>
  </si>
  <si>
    <t>SR-21782.718</t>
  </si>
  <si>
    <t>SR-21783.718</t>
  </si>
  <si>
    <t>SR-22059.707</t>
  </si>
  <si>
    <t>SR-22121.538</t>
  </si>
  <si>
    <t>SR-22141.677</t>
  </si>
  <si>
    <t>SR-22150.677</t>
  </si>
  <si>
    <t>SR-22158.538</t>
  </si>
  <si>
    <t>SR-22160.691</t>
  </si>
  <si>
    <t>SR-22164.538</t>
  </si>
  <si>
    <t>SR-22167.677</t>
  </si>
  <si>
    <t>SR-22170.538</t>
  </si>
  <si>
    <t>SR-22194.648</t>
  </si>
  <si>
    <t>SR-22210.701</t>
  </si>
  <si>
    <t>SR-22363.707</t>
  </si>
  <si>
    <t>SR-22543.707</t>
  </si>
  <si>
    <t>SR-22648.307</t>
  </si>
  <si>
    <t>SR-22701.691</t>
  </si>
  <si>
    <t>SR-22718</t>
  </si>
  <si>
    <t>SR-22718.701</t>
  </si>
  <si>
    <t>SR-23299.701</t>
  </si>
  <si>
    <t>SR-23344.538</t>
  </si>
  <si>
    <t>SR-23401.668</t>
  </si>
  <si>
    <t>SR-23442.668</t>
  </si>
  <si>
    <t>SR-23443.668</t>
  </si>
  <si>
    <t>SR-23501.693</t>
  </si>
  <si>
    <t>SR-23502.707</t>
  </si>
  <si>
    <t>SR-23648.FC5945</t>
  </si>
  <si>
    <t>SR-23732.707</t>
  </si>
  <si>
    <t>SR-24058.538</t>
  </si>
  <si>
    <t>SR-24085.716</t>
  </si>
  <si>
    <t>SR-24108.716</t>
  </si>
  <si>
    <t>SR-24165.697</t>
  </si>
  <si>
    <t>SR-24190.693</t>
  </si>
  <si>
    <t>SR-24267.P15SC</t>
  </si>
  <si>
    <t>SR-24267.678</t>
  </si>
  <si>
    <t>SR-24330.FC5945</t>
  </si>
  <si>
    <t>SR-24386</t>
  </si>
  <si>
    <t>SR-24390</t>
  </si>
  <si>
    <t>SR-24395.528-NT</t>
  </si>
  <si>
    <t>SR-24395.528-T</t>
  </si>
  <si>
    <t>SR-24411.528</t>
  </si>
  <si>
    <t>SR-24460.ACG594</t>
  </si>
  <si>
    <t>SR-24460.ET019</t>
  </si>
  <si>
    <t>SR-24460.ET025</t>
  </si>
  <si>
    <t>Opening Balance</t>
  </si>
  <si>
    <t>Location</t>
  </si>
  <si>
    <t>WCT HQ</t>
  </si>
  <si>
    <t>line_adjustQtyBy</t>
  </si>
  <si>
    <t>line_department</t>
  </si>
  <si>
    <t>line_memo</t>
  </si>
  <si>
    <t>Bin Location</t>
  </si>
  <si>
    <t>LLOC</t>
  </si>
  <si>
    <t>FG</t>
  </si>
  <si>
    <t>RAW</t>
  </si>
  <si>
    <t>QCHOLD</t>
  </si>
  <si>
    <t>PPAPS</t>
  </si>
  <si>
    <t>SAMPLE</t>
  </si>
  <si>
    <t>OUTSRC</t>
  </si>
  <si>
    <t>tranId</t>
  </si>
  <si>
    <t>line_adjLocation</t>
  </si>
  <si>
    <t>Lot/Serial (for lot numbered item)</t>
  </si>
  <si>
    <t>account</t>
  </si>
  <si>
    <t>tranDate</t>
  </si>
  <si>
    <t>line_item</t>
  </si>
  <si>
    <t>line_units</t>
  </si>
  <si>
    <t>line_unitCost</t>
  </si>
  <si>
    <t>line_class</t>
  </si>
  <si>
    <t>detail_serialNumbers</t>
  </si>
  <si>
    <t>detail_quantity</t>
  </si>
  <si>
    <t>Reference #</t>
  </si>
  <si>
    <t>Adjustment Account</t>
  </si>
  <si>
    <t>Date</t>
  </si>
  <si>
    <t>Posting Period</t>
  </si>
  <si>
    <t>Memo</t>
  </si>
  <si>
    <t>Subsidiary</t>
  </si>
  <si>
    <t>Department</t>
  </si>
  <si>
    <t>Item</t>
  </si>
  <si>
    <t>Units</t>
  </si>
  <si>
    <t>Adjust Qty By</t>
  </si>
  <si>
    <t>Est. Unit Cost</t>
  </si>
  <si>
    <t>Class</t>
  </si>
  <si>
    <t>Expiration Date (for lot numbered item)</t>
  </si>
  <si>
    <t>Lot Quantity (for lot numbered item)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</si>
  <si>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</si>
  <si>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</si>
  <si>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</si>
  <si>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</si>
  <si>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</si>
  <si>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If you have a NetSuite OneWorld account, select a Subsidiary from the list.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</si>
  <si>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</si>
  <si>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</si>
  <si>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</si>
  <si>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</si>
  <si>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</si>
  <si>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</si>
  <si>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Department this inventory is associated to.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</si>
  <si>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Class this inventory is associated to.
NOTE: If this item has Class set on its item record, then this Class will default.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</si>
  <si>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</si>
  <si>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Lot or Serial numbers associated to the inventory being adjusted.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</si>
  <si>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If this item tracks Expiration Date, provide one here.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</si>
  <si>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Quanity of this Lot/Serial inventory to be adjusted.
NOTE: The Quantity entered MUST equal or add up to the Quanity on the line.</t>
    </r>
  </si>
  <si>
    <t>Alpha Numeric</t>
  </si>
  <si>
    <t>List</t>
  </si>
  <si>
    <t>Number</t>
  </si>
  <si>
    <t>String Max Size 45</t>
  </si>
  <si>
    <t>mm/dd/yyyy</t>
  </si>
  <si>
    <t>MMM YYYY</t>
  </si>
  <si>
    <t>Max String Size 999</t>
  </si>
  <si>
    <t>Decimal</t>
  </si>
  <si>
    <t>Currency</t>
  </si>
  <si>
    <t>IA05</t>
  </si>
  <si>
    <t>May 2025</t>
  </si>
  <si>
    <t>PCF18K</t>
  </si>
  <si>
    <t xml:space="preserve">Production &amp; Operations	</t>
  </si>
  <si>
    <t>E1-RAW</t>
  </si>
  <si>
    <t>Stock</t>
  </si>
  <si>
    <t>5/31/2025</t>
  </si>
  <si>
    <t>250</t>
  </si>
  <si>
    <t>6/12/2024</t>
  </si>
  <si>
    <t>ICLAS</t>
  </si>
  <si>
    <t>IUMS</t>
  </si>
  <si>
    <t>STDCST</t>
  </si>
  <si>
    <t>ONHAND</t>
  </si>
  <si>
    <t>ILDTE</t>
  </si>
  <si>
    <t>1-10416</t>
  </si>
  <si>
    <t>5931 Valuation Adjustments</t>
  </si>
  <si>
    <t>5932 Valuation Adjustments</t>
  </si>
  <si>
    <t>5933 Valuation Adjustments</t>
  </si>
  <si>
    <t>5934 Valuation Adjustments</t>
  </si>
  <si>
    <t>5935 Valuation Adjustments</t>
  </si>
  <si>
    <t>5936 Valuation Adjustments</t>
  </si>
  <si>
    <t>5937 Valuation Adjustments</t>
  </si>
  <si>
    <t>5938 Valuation Adjustments</t>
  </si>
  <si>
    <t>5939 Valuation Adjustments</t>
  </si>
  <si>
    <t>5940 Valuation Adjustments</t>
  </si>
  <si>
    <t>5941 Valuation Adjustments</t>
  </si>
  <si>
    <t>5942 Valuation Adjustments</t>
  </si>
  <si>
    <t>5943 Valuation Adjustments</t>
  </si>
  <si>
    <t>5944 Valuation Adjustments</t>
  </si>
  <si>
    <t>5945 Valuation Adjustments</t>
  </si>
  <si>
    <t>5946 Valuation Adjustments</t>
  </si>
  <si>
    <t>5947 Valuation Adjustments</t>
  </si>
  <si>
    <t>5948 Valuation Adjustments</t>
  </si>
  <si>
    <t>5949 Valuation Adjustments</t>
  </si>
  <si>
    <t>5950 Valuation Adjustments</t>
  </si>
  <si>
    <t>5951 Valuation Adjustments</t>
  </si>
  <si>
    <t>5952 Valuation Adjustments</t>
  </si>
  <si>
    <t>5953 Valuation Adjustments</t>
  </si>
  <si>
    <t>5954 Valuation Adjustments</t>
  </si>
  <si>
    <t>5955 Valuation Adjustments</t>
  </si>
  <si>
    <t>5956 Valuation Adjustments</t>
  </si>
  <si>
    <t>5957 Valuation Adjustments</t>
  </si>
  <si>
    <t>5958 Valuation Adjustments</t>
  </si>
  <si>
    <t>5959 Valuation Adjustments</t>
  </si>
  <si>
    <t>5960 Valuation Adjustments</t>
  </si>
  <si>
    <t>5961 Valuation Adjustments</t>
  </si>
  <si>
    <t>5962 Valuation Adjustments</t>
  </si>
  <si>
    <t>5963 Valuation Adjustments</t>
  </si>
  <si>
    <t>5964 Valuation Adjustments</t>
  </si>
  <si>
    <t>5965 Valuation Adjustments</t>
  </si>
  <si>
    <t>5966 Valuation Adjustments</t>
  </si>
  <si>
    <t>5967 Valuation Adjustments</t>
  </si>
  <si>
    <t>5968 Valuation Adjustments</t>
  </si>
  <si>
    <t>5969 Valuation Adjustments</t>
  </si>
  <si>
    <t>5970 Valuation Adjustments</t>
  </si>
  <si>
    <t>5971 Valuation Adjustments</t>
  </si>
  <si>
    <t>5972 Valuation Adjustments</t>
  </si>
  <si>
    <t>5973 Valuation Adjustments</t>
  </si>
  <si>
    <t>5974 Valuation Adjustments</t>
  </si>
  <si>
    <t>5975 Valuation Adjustments</t>
  </si>
  <si>
    <t>5976 Valuation Adjustments</t>
  </si>
  <si>
    <t>5977 Valuation Adjustments</t>
  </si>
  <si>
    <t>5978 Valuation Adjustments</t>
  </si>
  <si>
    <t>5979 Valuation Adjustments</t>
  </si>
  <si>
    <t>5980 Valuation Adjustments</t>
  </si>
  <si>
    <t>5981 Valuation Adjustments</t>
  </si>
  <si>
    <t>5982 Valuation Adjustments</t>
  </si>
  <si>
    <t>5983 Valuation Adjustments</t>
  </si>
  <si>
    <t>5984 Valuation Adjustments</t>
  </si>
  <si>
    <t>5985 Valuation Adjustments</t>
  </si>
  <si>
    <t>5986 Valuation Adjustments</t>
  </si>
  <si>
    <t>5987 Valuation Adjustments</t>
  </si>
  <si>
    <t>5988 Valuation Adjustments</t>
  </si>
  <si>
    <t>5989 Valuation Adjustments</t>
  </si>
  <si>
    <t>5990 Valuation Adjustments</t>
  </si>
  <si>
    <t>5991 Valuation Adjustments</t>
  </si>
  <si>
    <t>5992 Valuation Adjustments</t>
  </si>
  <si>
    <t>5993 Valuation Adjustments</t>
  </si>
  <si>
    <t>5994 Valuation Adjustments</t>
  </si>
  <si>
    <t>5995 Valuation Adjustments</t>
  </si>
  <si>
    <t>5996 Valuation Adjustments</t>
  </si>
  <si>
    <t>5997 Valuation Adjustments</t>
  </si>
  <si>
    <t>5998 Valuation Adjustments</t>
  </si>
  <si>
    <t>5999 Valuation Adjustments</t>
  </si>
  <si>
    <t>6000 Valuation Adjustments</t>
  </si>
  <si>
    <t>6001 Valuation Adjustments</t>
  </si>
  <si>
    <t>6002 Valuation Adjustments</t>
  </si>
  <si>
    <t>6003 Valuation Adjustments</t>
  </si>
  <si>
    <t>6004 Valuation Adjustments</t>
  </si>
  <si>
    <t>6005 Valuation Adjustments</t>
  </si>
  <si>
    <t>6006 Valuation Adjustments</t>
  </si>
  <si>
    <t>6007 Valuation Adjustments</t>
  </si>
  <si>
    <t>6008 Valuation Adjustments</t>
  </si>
  <si>
    <t>6009 Valuation Adjustments</t>
  </si>
  <si>
    <t>6010 Valuation Adjustments</t>
  </si>
  <si>
    <t>6011 Valuation Adjustments</t>
  </si>
  <si>
    <t>6012 Valuation Adjustments</t>
  </si>
  <si>
    <t>6013 Valuation Adjustments</t>
  </si>
  <si>
    <t>6014 Valuation Adjustments</t>
  </si>
  <si>
    <t>6015 Valuation Adjustments</t>
  </si>
  <si>
    <t>6016 Valuation Adjustments</t>
  </si>
  <si>
    <t>6017 Valuation Adjustments</t>
  </si>
  <si>
    <t>6018 Valuation Adjustments</t>
  </si>
  <si>
    <t>6019 Valuation Adjustments</t>
  </si>
  <si>
    <t>6020 Valuation Adjustments</t>
  </si>
  <si>
    <t>6021 Valuation Adjustments</t>
  </si>
  <si>
    <t>6022 Valuation Adjustments</t>
  </si>
  <si>
    <t>6023 Valuation Adjustments</t>
  </si>
  <si>
    <t>6024 Valuation Adjustments</t>
  </si>
  <si>
    <t>6025 Valuation Adjustments</t>
  </si>
  <si>
    <t>6026 Valuation Adjustments</t>
  </si>
  <si>
    <t>6027 Valuation Adjustments</t>
  </si>
  <si>
    <t>6028 Valuation Adjustments</t>
  </si>
  <si>
    <t>6029 Valuation Adjustments</t>
  </si>
  <si>
    <t>6030 Valuation Adjustments</t>
  </si>
  <si>
    <t>6031 Valuation Adjustments</t>
  </si>
  <si>
    <t>6032 Valuation Adjustments</t>
  </si>
  <si>
    <t>6033 Valuation Adjustments</t>
  </si>
  <si>
    <t>6034 Valuation Adjustments</t>
  </si>
  <si>
    <t>6035 Valuation Adjustments</t>
  </si>
  <si>
    <t>6036 Valuation Adjustments</t>
  </si>
  <si>
    <t>6037 Valuation Adjustments</t>
  </si>
  <si>
    <t>6038 Valuation Adjustments</t>
  </si>
  <si>
    <t>6039 Valuation Adjustments</t>
  </si>
  <si>
    <t>6040 Valuation Adjustments</t>
  </si>
  <si>
    <t>6041 Valuation Adjustments</t>
  </si>
  <si>
    <t>6042 Valuation Adjustments</t>
  </si>
  <si>
    <t>6043 Valuation Adjustments</t>
  </si>
  <si>
    <t>6044 Valuation Adjustments</t>
  </si>
  <si>
    <t>6045 Valuation Adjustments</t>
  </si>
  <si>
    <t>6046 Valuation Adjustments</t>
  </si>
  <si>
    <t>6047 Valuation Adjustments</t>
  </si>
  <si>
    <t>6048 Valuation Adjustments</t>
  </si>
  <si>
    <t>6049 Valuation Adjustments</t>
  </si>
  <si>
    <t>6050 Valuation Adjustments</t>
  </si>
  <si>
    <t>6051 Valuation Adjustments</t>
  </si>
  <si>
    <t>6052 Valuation Adjustments</t>
  </si>
  <si>
    <t>6053 Valuation Adjustments</t>
  </si>
  <si>
    <t>6054 Valuation Adjustments</t>
  </si>
  <si>
    <t>6055 Valuation Adjustments</t>
  </si>
  <si>
    <t>6056 Valuation Adjustments</t>
  </si>
  <si>
    <t>6057 Valuation Adjustments</t>
  </si>
  <si>
    <t>6058 Valuation Adjustments</t>
  </si>
  <si>
    <t>6059 Valuation Adjustments</t>
  </si>
  <si>
    <t>6060 Valuation Adjustments</t>
  </si>
  <si>
    <t>6061 Valuation Adjustments</t>
  </si>
  <si>
    <t>6062 Valuation Adjustments</t>
  </si>
  <si>
    <t>6063 Valuation Adjustments</t>
  </si>
  <si>
    <t>6064 Valuation Adjustments</t>
  </si>
  <si>
    <t>6065 Valuation Adjustments</t>
  </si>
  <si>
    <t>6066 Valuation Adjustments</t>
  </si>
  <si>
    <t>6067 Valuation Adjustments</t>
  </si>
  <si>
    <t>6068 Valuation Adjustments</t>
  </si>
  <si>
    <t>6069 Valuation Adjustments</t>
  </si>
  <si>
    <t>6070 Valuation Adjustments</t>
  </si>
  <si>
    <t>6071 Valuation Adjustments</t>
  </si>
  <si>
    <t>6072 Valuation Adjustments</t>
  </si>
  <si>
    <t>6073 Valuation Adjustments</t>
  </si>
  <si>
    <t>6074 Valuation Adjustments</t>
  </si>
  <si>
    <t>6075 Valuation Adjustments</t>
  </si>
  <si>
    <t>6076 Valuation Adjustments</t>
  </si>
  <si>
    <t>6077 Valuation Adjustments</t>
  </si>
  <si>
    <t>6078 Valuation Adjustments</t>
  </si>
  <si>
    <t>6079 Valuation Adjustments</t>
  </si>
  <si>
    <t>6080 Valuation Adjustments</t>
  </si>
  <si>
    <t>6081 Valuation Adjustments</t>
  </si>
  <si>
    <t>6082 Valuation Adjustments</t>
  </si>
  <si>
    <t>6083 Valuation Adjustments</t>
  </si>
  <si>
    <t>6084 Valuation Adjustments</t>
  </si>
  <si>
    <t>6085 Valuation Adjustments</t>
  </si>
  <si>
    <t>6086 Valuation Adjustments</t>
  </si>
  <si>
    <t>6087 Valuation Adjustments</t>
  </si>
  <si>
    <t>6088 Valuation Adjustments</t>
  </si>
  <si>
    <t>6089 Valuation Adjustments</t>
  </si>
  <si>
    <t>6090 Valuation Adjustments</t>
  </si>
  <si>
    <t>6091 Valuation Adjustments</t>
  </si>
  <si>
    <t>6092 Valuation Adjustments</t>
  </si>
  <si>
    <t>6093 Valuation Adjustments</t>
  </si>
  <si>
    <t>6094 Valuation Adjustments</t>
  </si>
  <si>
    <t>6095 Valuation Adjustments</t>
  </si>
  <si>
    <t>6096 Valuation Adjustments</t>
  </si>
  <si>
    <t>6097 Valuation Adjustments</t>
  </si>
  <si>
    <t>6098 Valuation Adjustments</t>
  </si>
  <si>
    <t>6099 Valuation Adjustments</t>
  </si>
  <si>
    <t>6100 Valuation Adjustments</t>
  </si>
  <si>
    <t>6101 Valuation Adjustments</t>
  </si>
  <si>
    <t>6102 Valuation Adjustments</t>
  </si>
  <si>
    <t>6103 Valuation Adjustments</t>
  </si>
  <si>
    <t>6104 Valuation Adjustments</t>
  </si>
  <si>
    <t>6105 Valuation Adjustments</t>
  </si>
  <si>
    <t>6106 Valuation Adjustments</t>
  </si>
  <si>
    <t>6107 Valuation Adjustments</t>
  </si>
  <si>
    <t>6108 Valuation Adjustments</t>
  </si>
  <si>
    <t>6109 Valuation Adjustments</t>
  </si>
  <si>
    <t>6110 Valuation Adjustments</t>
  </si>
  <si>
    <t>6111 Valuation Adjustments</t>
  </si>
  <si>
    <t>6112 Valuation Adjustments</t>
  </si>
  <si>
    <t>6113 Valuation Adjustments</t>
  </si>
  <si>
    <t>6114 Valuation Adjustments</t>
  </si>
  <si>
    <t>6115 Valuation Adjustments</t>
  </si>
  <si>
    <t>6116 Valuation Adjustments</t>
  </si>
  <si>
    <t>6117 Valuation Adjustments</t>
  </si>
  <si>
    <t>6118 Valuation Adjustments</t>
  </si>
  <si>
    <t>6119 Valuation Adjustments</t>
  </si>
  <si>
    <t>6120 Valuation Adjustments</t>
  </si>
  <si>
    <t>6121 Valuation Adjustments</t>
  </si>
  <si>
    <t>6122 Valuation Adjustments</t>
  </si>
  <si>
    <t>6123 Valuation Adjustments</t>
  </si>
  <si>
    <t>6124 Valuation Adjustments</t>
  </si>
  <si>
    <t>6125 Valuation Adjustments</t>
  </si>
  <si>
    <t>6126 Valuation Adjustments</t>
  </si>
  <si>
    <t>6127 Valuation Adjustments</t>
  </si>
  <si>
    <t>6128 Valuation Adjustments</t>
  </si>
  <si>
    <t>6129 Valuation Adjustments</t>
  </si>
  <si>
    <t>6130 Valuation Adjustments</t>
  </si>
  <si>
    <t>6131 Valuation Adjustments</t>
  </si>
  <si>
    <t>6132 Valuation Adjustments</t>
  </si>
  <si>
    <t>6133 Valuation Adjustments</t>
  </si>
  <si>
    <t>6134 Valuation Adjustments</t>
  </si>
  <si>
    <t>6135 Valuation Adjustments</t>
  </si>
  <si>
    <t>6136 Valuation Adjustments</t>
  </si>
  <si>
    <t>6137 Valuation Adjustments</t>
  </si>
  <si>
    <t>6138 Valuation Adjustments</t>
  </si>
  <si>
    <t>6139 Valuation Adjustments</t>
  </si>
  <si>
    <t>6140 Valuation Adjustments</t>
  </si>
  <si>
    <t>6141 Valuation Adjustments</t>
  </si>
  <si>
    <t>6142 Valuation Adjustments</t>
  </si>
  <si>
    <t>6143 Valuation Adjustments</t>
  </si>
  <si>
    <t>6144 Valuation Adjustments</t>
  </si>
  <si>
    <t>6145 Valuation Adjustments</t>
  </si>
  <si>
    <t>6146 Valuation Adjustments</t>
  </si>
  <si>
    <t>6147 Valuation Adjustments</t>
  </si>
  <si>
    <t>6148 Valuation Adjustments</t>
  </si>
  <si>
    <t>6149 Valuation Adjustments</t>
  </si>
  <si>
    <t>6150 Valuation Adjustments</t>
  </si>
  <si>
    <t>6151 Valuation Adjustments</t>
  </si>
  <si>
    <t>6152 Valuation Adjustments</t>
  </si>
  <si>
    <t>6153 Valuation Adjustments</t>
  </si>
  <si>
    <t>6154 Valuation Adjustments</t>
  </si>
  <si>
    <t>6155 Valuation Adjustments</t>
  </si>
  <si>
    <t>6156 Valuation Adjustments</t>
  </si>
  <si>
    <t>6157 Valuation Adjustments</t>
  </si>
  <si>
    <t>6158 Valuation Adjustments</t>
  </si>
  <si>
    <t>6159 Valuation Adjustments</t>
  </si>
  <si>
    <t>6160 Valuation Adjustments</t>
  </si>
  <si>
    <t>6161 Valuation Adjustments</t>
  </si>
  <si>
    <t>6162 Valuation Adjustments</t>
  </si>
  <si>
    <t>6163 Valuation Adjustments</t>
  </si>
  <si>
    <t>6164 Valuation Adjustments</t>
  </si>
  <si>
    <t>6165 Valuation Adjustments</t>
  </si>
  <si>
    <t>6166 Valuation Adjustments</t>
  </si>
  <si>
    <t>6167 Valuation Adjustments</t>
  </si>
  <si>
    <t>6168 Valuation Adjustments</t>
  </si>
  <si>
    <t>6169 Valuation Adjustments</t>
  </si>
  <si>
    <t>6170 Valuation Adjustments</t>
  </si>
  <si>
    <t>6171 Valuation Adjustments</t>
  </si>
  <si>
    <t>6172 Valuation Adjustments</t>
  </si>
  <si>
    <t>6173 Valuation Adjustments</t>
  </si>
  <si>
    <t>6174 Valuation Adjustments</t>
  </si>
  <si>
    <t>6175 Valuation Adjustments</t>
  </si>
  <si>
    <t>6176 Valuation Adjustments</t>
  </si>
  <si>
    <t>6177 Valuation Adjustments</t>
  </si>
  <si>
    <t>6178 Valuation Adjustments</t>
  </si>
  <si>
    <t>6179 Valuation Adjustments</t>
  </si>
  <si>
    <t>6180 Valuation Adjustments</t>
  </si>
  <si>
    <t>6181 Valuation Adjustments</t>
  </si>
  <si>
    <t>6182 Valuation Adjustments</t>
  </si>
  <si>
    <t>6183 Valuation Adjustments</t>
  </si>
  <si>
    <t>6184 Valuation Adjustments</t>
  </si>
  <si>
    <t>6185 Valuation Adjustments</t>
  </si>
  <si>
    <t>6186 Valuation Adjustments</t>
  </si>
  <si>
    <t>6187 Valuation Adjustments</t>
  </si>
  <si>
    <t>6188 Valuation Adjustments</t>
  </si>
  <si>
    <t>6189 Valuation Adjustments</t>
  </si>
  <si>
    <t>6190 Valuation Adjustments</t>
  </si>
  <si>
    <t>6191 Valuation Adjustments</t>
  </si>
  <si>
    <t>6192 Valuation Adjustments</t>
  </si>
  <si>
    <t>6193 Valuation Adjustments</t>
  </si>
  <si>
    <t>6194 Valuation Adjustments</t>
  </si>
  <si>
    <t>6195 Valuation Adjustments</t>
  </si>
  <si>
    <t>6196 Valuation Adjustments</t>
  </si>
  <si>
    <t>6197 Valuation Adjustments</t>
  </si>
  <si>
    <t>6198 Valuation Adjustments</t>
  </si>
  <si>
    <t>6199 Valuation Adjustments</t>
  </si>
  <si>
    <t>6200 Valuation Adjustments</t>
  </si>
  <si>
    <t>6201 Valuation Adjustments</t>
  </si>
  <si>
    <t>6202 Valuation Adjustments</t>
  </si>
  <si>
    <t>6203 Valuation Adjustments</t>
  </si>
  <si>
    <t>6204 Valuation Adjustments</t>
  </si>
  <si>
    <t>6205 Valuation Adjustments</t>
  </si>
  <si>
    <t>6206 Valuation Adjustments</t>
  </si>
  <si>
    <t>6207 Valuation Adjustments</t>
  </si>
  <si>
    <t>6208 Valuation Adjustments</t>
  </si>
  <si>
    <t>6209 Valuation Adjustments</t>
  </si>
  <si>
    <t>6210 Valuation Adjustments</t>
  </si>
  <si>
    <t>6211 Valuation Adjustments</t>
  </si>
  <si>
    <t>6212 Valuation Adjustments</t>
  </si>
  <si>
    <t>6213 Valuation Adjustments</t>
  </si>
  <si>
    <t>6214 Valuation Adjustments</t>
  </si>
  <si>
    <t>6215 Valuation Adjustments</t>
  </si>
  <si>
    <t>6216 Valuation Adjustments</t>
  </si>
  <si>
    <t>6217 Valuation Adjustments</t>
  </si>
  <si>
    <t>6218 Valuation Adjustments</t>
  </si>
  <si>
    <t>6219 Valuation Adjustments</t>
  </si>
  <si>
    <t>6220 Valuation Adjustments</t>
  </si>
  <si>
    <t>6221 Valuation Adjustments</t>
  </si>
  <si>
    <t>6222 Valuation Adjustments</t>
  </si>
  <si>
    <t>6223 Valuation Adjustments</t>
  </si>
  <si>
    <t>6224 Valuation Adjustments</t>
  </si>
  <si>
    <t>6225 Valuation Adjustments</t>
  </si>
  <si>
    <t>6226 Valuation Adjustments</t>
  </si>
  <si>
    <t>6227 Valuation Adjustments</t>
  </si>
  <si>
    <t>6228 Valuation Adjustments</t>
  </si>
  <si>
    <t>6229 Valuation Adjustments</t>
  </si>
  <si>
    <t>6230 Valuation Adjustments</t>
  </si>
  <si>
    <t>6231 Valuation Adjustments</t>
  </si>
  <si>
    <t>6232 Valuation Adjustments</t>
  </si>
  <si>
    <t>6233 Valuation Adjustments</t>
  </si>
  <si>
    <t>6234 Valuation Adjustments</t>
  </si>
  <si>
    <t>6235 Valuation Adjustments</t>
  </si>
  <si>
    <t>6236 Valuation Adjustments</t>
  </si>
  <si>
    <t>6237 Valuation Adjustments</t>
  </si>
  <si>
    <t>6238 Valuation Adjustments</t>
  </si>
  <si>
    <t>6239 Valuation Adjustments</t>
  </si>
  <si>
    <t>6240 Valuation Adjustments</t>
  </si>
  <si>
    <t>6241 Valuation Adjustments</t>
  </si>
  <si>
    <t>6242 Valuation Adjustments</t>
  </si>
  <si>
    <t>6243 Valuation Adjustments</t>
  </si>
  <si>
    <t>6244 Valuation Adjustments</t>
  </si>
  <si>
    <t>6245 Valuation Adjustments</t>
  </si>
  <si>
    <t>6246 Valuation Adjustments</t>
  </si>
  <si>
    <t>6247 Valuation Adjustments</t>
  </si>
  <si>
    <t>6248 Valuation Adjustments</t>
  </si>
  <si>
    <t>6249 Valuation Adjustments</t>
  </si>
  <si>
    <t>6250 Valuation Adjustments</t>
  </si>
  <si>
    <t>6251 Valuation Adjustments</t>
  </si>
  <si>
    <t>6252 Valuation Adjustments</t>
  </si>
  <si>
    <t>6253 Valuation Adjustments</t>
  </si>
  <si>
    <t>6254 Valuation Adjustments</t>
  </si>
  <si>
    <t>6255 Valuation Adjustments</t>
  </si>
  <si>
    <t>6256 Valuation Adjustments</t>
  </si>
  <si>
    <t>6257 Valuation Adjustments</t>
  </si>
  <si>
    <t>6258 Valuation Adjustments</t>
  </si>
  <si>
    <t>6259 Valuation Adjustments</t>
  </si>
  <si>
    <t>6260 Valuation Adjustments</t>
  </si>
  <si>
    <t>6261 Valuation Adjustments</t>
  </si>
  <si>
    <t>6262 Valuation Adjustments</t>
  </si>
  <si>
    <t>6263 Valuation Adjustments</t>
  </si>
  <si>
    <t>6264 Valuation Adjustments</t>
  </si>
  <si>
    <t>6265 Valuation Adjustments</t>
  </si>
  <si>
    <t>6266 Valuation Adjustments</t>
  </si>
  <si>
    <t>6267 Valuation Adjustments</t>
  </si>
  <si>
    <t>6268 Valuation Adjustments</t>
  </si>
  <si>
    <t>6269 Valuation Adjustments</t>
  </si>
  <si>
    <t>6270 Valuation Adjustments</t>
  </si>
  <si>
    <t>6271 Valuation Adjustments</t>
  </si>
  <si>
    <t>6272 Valuation Adjustments</t>
  </si>
  <si>
    <t>6273 Valuation Adjustments</t>
  </si>
  <si>
    <t>6274 Valuation Adjustments</t>
  </si>
  <si>
    <t>6275 Valuation Adjustments</t>
  </si>
  <si>
    <t>6276 Valuation Adjustments</t>
  </si>
  <si>
    <t>6277 Valuation Adjustments</t>
  </si>
  <si>
    <t>6278 Valuation Adjustments</t>
  </si>
  <si>
    <t>6279 Valuation Adjustments</t>
  </si>
  <si>
    <t>6280 Valuation Adjustments</t>
  </si>
  <si>
    <t>6281 Valuation Adjustments</t>
  </si>
  <si>
    <t>6282 Valuation Adjustments</t>
  </si>
  <si>
    <t>6283 Valuation Adjustments</t>
  </si>
  <si>
    <t>6284 Valuation Adjustments</t>
  </si>
  <si>
    <t>6285 Valuation Adjustments</t>
  </si>
  <si>
    <t>6286 Valuation Adjustments</t>
  </si>
  <si>
    <t>6287 Valuation Adjustments</t>
  </si>
  <si>
    <t>6288 Valuation Adjustments</t>
  </si>
  <si>
    <t>6289 Valuation Adjustments</t>
  </si>
  <si>
    <t>6290 Valuation Adjustments</t>
  </si>
  <si>
    <t>6291 Valuation Adjustments</t>
  </si>
  <si>
    <t>6292 Valuation Adjustments</t>
  </si>
  <si>
    <t>6293 Valuation Adjustments</t>
  </si>
  <si>
    <t>6294 Valuation Adjustments</t>
  </si>
  <si>
    <t>6295 Valuation Adjustments</t>
  </si>
  <si>
    <t>6296 Valuation Adjustments</t>
  </si>
  <si>
    <t>6297 Valuation Adjustments</t>
  </si>
  <si>
    <t>6298 Valuation Adjustments</t>
  </si>
  <si>
    <t>6299 Valuation Adjustments</t>
  </si>
  <si>
    <t>6300 Valuation Adjustments</t>
  </si>
  <si>
    <t>6301 Valuation Adjustments</t>
  </si>
  <si>
    <t>6302 Valuation Adjustments</t>
  </si>
  <si>
    <t>6303 Valuation Adjustments</t>
  </si>
  <si>
    <t>6304 Valuation Adjustments</t>
  </si>
  <si>
    <t>6305 Valuation Adjustments</t>
  </si>
  <si>
    <t>6306 Valuation Adjustments</t>
  </si>
  <si>
    <t>6307 Valuation Adjustments</t>
  </si>
  <si>
    <t>6308 Valuation Adjustments</t>
  </si>
  <si>
    <t>6309 Valuation Adjustments</t>
  </si>
  <si>
    <t>6310 Valuation Adjustments</t>
  </si>
  <si>
    <t>6311 Valuation Adjustments</t>
  </si>
  <si>
    <t>6312 Valuation Adjustments</t>
  </si>
  <si>
    <t>6313 Valuation Adjustments</t>
  </si>
  <si>
    <t>6314 Valuation Adjustments</t>
  </si>
  <si>
    <t>6315 Valuation Adjustments</t>
  </si>
  <si>
    <t>6316 Valuation Adjustments</t>
  </si>
  <si>
    <t>6317 Valuation Adjustments</t>
  </si>
  <si>
    <t>6318 Valuation Adjustments</t>
  </si>
  <si>
    <t>6319 Valuation Adjustments</t>
  </si>
  <si>
    <t>6320 Valuation Adjustments</t>
  </si>
  <si>
    <t>6321 Valuation Adjustments</t>
  </si>
  <si>
    <t>6322 Valuation Adjustments</t>
  </si>
  <si>
    <t>6323 Valuation Adjustments</t>
  </si>
  <si>
    <t>6324 Valuation Adjustments</t>
  </si>
  <si>
    <t>6325 Valuation Adjustments</t>
  </si>
  <si>
    <t>6326 Valuation Adjustments</t>
  </si>
  <si>
    <t>6327 Valuation Adjustments</t>
  </si>
  <si>
    <t>6328 Valuation Adjustments</t>
  </si>
  <si>
    <t>6329 Valuation Adjustments</t>
  </si>
  <si>
    <t>6330 Valuation Adjustments</t>
  </si>
  <si>
    <t>6331 Valuation Adjustments</t>
  </si>
  <si>
    <t>6332 Valuation Adjustments</t>
  </si>
  <si>
    <t>6333 Valuation Adjustments</t>
  </si>
  <si>
    <t>6334 Valuation Adjustments</t>
  </si>
  <si>
    <t>6335 Valuation Adjustments</t>
  </si>
  <si>
    <t>6336 Valuation Adjustments</t>
  </si>
  <si>
    <t>6337 Valuation Adjustments</t>
  </si>
  <si>
    <t>6338 Valuation Adjustments</t>
  </si>
  <si>
    <t>6339 Valuation Adjustments</t>
  </si>
  <si>
    <t>6340 Valuation Adjustments</t>
  </si>
  <si>
    <t>6341 Valuation Adjustments</t>
  </si>
  <si>
    <t>6342 Valuation Adjustments</t>
  </si>
  <si>
    <t>6343 Valuation Adjustments</t>
  </si>
  <si>
    <t>6344 Valuation Adjustments</t>
  </si>
  <si>
    <t>6345 Valuation Adjustments</t>
  </si>
  <si>
    <t>6346 Valuation Adjustments</t>
  </si>
  <si>
    <t>6347 Valuation Adjustments</t>
  </si>
  <si>
    <t>6348 Valuation Adjustments</t>
  </si>
  <si>
    <t>6349 Valuation Adjustments</t>
  </si>
  <si>
    <t>6350 Valuation Adjustments</t>
  </si>
  <si>
    <t>6351 Valuation Adjustments</t>
  </si>
  <si>
    <t>6352 Valuation Adjustments</t>
  </si>
  <si>
    <t>6353 Valuation Adjustments</t>
  </si>
  <si>
    <t>6354 Valuation Adjustments</t>
  </si>
  <si>
    <t>6355 Valuation Adjustments</t>
  </si>
  <si>
    <t>6356 Valuation Adjustments</t>
  </si>
  <si>
    <t>6357 Valuation Adjustments</t>
  </si>
  <si>
    <t>6358 Valuation Adjustments</t>
  </si>
  <si>
    <t>6359 Valuation Adjustments</t>
  </si>
  <si>
    <t>6360 Valuation Adjustments</t>
  </si>
  <si>
    <t>6361 Valuation Adjustments</t>
  </si>
  <si>
    <t>6362 Valuation Adjustments</t>
  </si>
  <si>
    <t>6363 Valuation Adjustments</t>
  </si>
  <si>
    <t>6364 Valuation Adjustments</t>
  </si>
  <si>
    <t>6365 Valuation Adjustments</t>
  </si>
  <si>
    <t>6366 Valuation Adjustments</t>
  </si>
  <si>
    <t>6367 Valuation Adjustments</t>
  </si>
  <si>
    <t>6368 Valuation Adjustments</t>
  </si>
  <si>
    <t>6369 Valuation Adjustments</t>
  </si>
  <si>
    <t>6370 Valuation Adjustments</t>
  </si>
  <si>
    <t>6371 Valuation Adjustments</t>
  </si>
  <si>
    <t>6372 Valuation Adjustments</t>
  </si>
  <si>
    <t>6373 Valuation Adjustments</t>
  </si>
  <si>
    <t>6374 Valuation Adjustments</t>
  </si>
  <si>
    <t>6375 Valuation Adjustments</t>
  </si>
  <si>
    <t>6376 Valuation Adjustments</t>
  </si>
  <si>
    <t>6377 Valuation Adjustments</t>
  </si>
  <si>
    <t>6378 Valuation Adjustments</t>
  </si>
  <si>
    <t>6379 Valuation Adjustments</t>
  </si>
  <si>
    <t>6380 Valuation Adjustments</t>
  </si>
  <si>
    <t>6381 Valuation Adjustments</t>
  </si>
  <si>
    <t>6382 Valuation Adjustments</t>
  </si>
  <si>
    <t>6383 Valuation Adjustments</t>
  </si>
  <si>
    <t>6384 Valuation Adjustments</t>
  </si>
  <si>
    <t>6385 Valuation Adjustments</t>
  </si>
  <si>
    <t>6386 Valuation Adjustments</t>
  </si>
  <si>
    <t>6387 Valuation Adjustments</t>
  </si>
  <si>
    <t>6388 Valuation Adjustments</t>
  </si>
  <si>
    <t>6389 Valuation Adjustments</t>
  </si>
  <si>
    <t>6390 Valuation Adjustments</t>
  </si>
  <si>
    <t>6391 Valuation Adjustments</t>
  </si>
  <si>
    <t>6392 Valuation Adjustments</t>
  </si>
  <si>
    <t>6393 Valuation Adjustments</t>
  </si>
  <si>
    <t>6394 Valuation Adjustments</t>
  </si>
  <si>
    <t>6395 Valuation Adjustments</t>
  </si>
  <si>
    <t>6396 Valuation Adjustments</t>
  </si>
  <si>
    <t>6397 Valuation Adjustments</t>
  </si>
  <si>
    <t>6398 Valuation Adjustments</t>
  </si>
  <si>
    <t>6399 Valuation Adjustments</t>
  </si>
  <si>
    <t>6400 Valuation Adjustments</t>
  </si>
  <si>
    <t>6401 Valuation Adjustments</t>
  </si>
  <si>
    <t>6402 Valuation Adjustments</t>
  </si>
  <si>
    <t>6403 Valuation Adjustments</t>
  </si>
  <si>
    <t>6404 Valuation Adjustments</t>
  </si>
  <si>
    <t>6405 Valuation Adjustments</t>
  </si>
  <si>
    <t>6406 Valuation Adjustments</t>
  </si>
  <si>
    <t>6407 Valuation Adjustments</t>
  </si>
  <si>
    <t>6408 Valuation Adjustments</t>
  </si>
  <si>
    <t>6409 Valuation Adjustments</t>
  </si>
  <si>
    <t>6410 Valuation Adjustments</t>
  </si>
  <si>
    <t>6411 Valuation Adjustments</t>
  </si>
  <si>
    <t>6412 Valuation Adjustments</t>
  </si>
  <si>
    <t>6413 Valuation Adjustments</t>
  </si>
  <si>
    <t>6414 Valuation Adjustments</t>
  </si>
  <si>
    <t>6415 Valuation Adjustments</t>
  </si>
  <si>
    <t>6416 Valuation Adjustments</t>
  </si>
  <si>
    <t>6417 Valuation Adjustments</t>
  </si>
  <si>
    <t>6418 Valuation Adjustments</t>
  </si>
  <si>
    <t>6419 Valuation Adjustments</t>
  </si>
  <si>
    <t>6420 Valuation Adjustments</t>
  </si>
  <si>
    <t>6421 Valuation Adjustments</t>
  </si>
  <si>
    <t>6422 Valuation Adjustments</t>
  </si>
  <si>
    <t>6423 Valuation Adjustments</t>
  </si>
  <si>
    <t>6424 Valuation Adjustments</t>
  </si>
  <si>
    <t>6425 Valuation Adjustments</t>
  </si>
  <si>
    <t>6426 Valuation Adjustments</t>
  </si>
  <si>
    <t>6427 Valuation Adjustments</t>
  </si>
  <si>
    <t>6428 Valuation Adjustments</t>
  </si>
  <si>
    <t>6429 Valuation Adjustments</t>
  </si>
  <si>
    <t>6430 Valuation Adjustments</t>
  </si>
  <si>
    <t>6431 Valuation Adjustments</t>
  </si>
  <si>
    <t>6432 Valuation Adjustments</t>
  </si>
  <si>
    <t>6433 Valuation Adjustments</t>
  </si>
  <si>
    <t>6434 Valuation Adjustments</t>
  </si>
  <si>
    <t>6435 Valuation Adjustments</t>
  </si>
  <si>
    <t>6436 Valuation Adjustments</t>
  </si>
  <si>
    <t>6437 Valuation Adjustments</t>
  </si>
  <si>
    <t>6438 Valuation Adjustments</t>
  </si>
  <si>
    <t>6439 Valuation Adjustments</t>
  </si>
  <si>
    <t>6440 Valuation Adjustments</t>
  </si>
  <si>
    <t>6441 Valuation Adjustments</t>
  </si>
  <si>
    <t>6442 Valuation Adjustments</t>
  </si>
  <si>
    <t>6443 Valuation Adjustments</t>
  </si>
  <si>
    <t>6444 Valuation Adjustments</t>
  </si>
  <si>
    <t>6445 Valuation Adjustments</t>
  </si>
  <si>
    <t>6446 Valuation Adjustments</t>
  </si>
  <si>
    <t>6447 Valuation Adjustments</t>
  </si>
  <si>
    <t>6448 Valuation Adjustments</t>
  </si>
  <si>
    <t>6449 Valuation Adjustments</t>
  </si>
  <si>
    <t>6450 Valuation Adjustments</t>
  </si>
  <si>
    <t>6451 Valuation Adjustments</t>
  </si>
  <si>
    <t>6452 Valuation Adjustments</t>
  </si>
  <si>
    <t>6453 Valuation Adjustments</t>
  </si>
  <si>
    <t>6454 Valuation Adjustments</t>
  </si>
  <si>
    <t>6455 Valuation Adjustments</t>
  </si>
  <si>
    <t>6456 Valuation Adjustments</t>
  </si>
  <si>
    <t>6457 Valuation Adjustments</t>
  </si>
  <si>
    <t>6458 Valuation Adjustments</t>
  </si>
  <si>
    <t>6459 Valuation Adjustments</t>
  </si>
  <si>
    <t>6460 Valuation Adjustments</t>
  </si>
  <si>
    <t>6461 Valuation Adjustments</t>
  </si>
  <si>
    <t>6462 Valuation Adjustments</t>
  </si>
  <si>
    <t>6463 Valuation Adjustments</t>
  </si>
  <si>
    <t>6464 Valuation Adjustments</t>
  </si>
  <si>
    <t>6465 Valuation Adjustments</t>
  </si>
  <si>
    <t>6466 Valuation Adjustments</t>
  </si>
  <si>
    <t>6467 Valuation Adjustments</t>
  </si>
  <si>
    <t>6468 Valuation Adjustments</t>
  </si>
  <si>
    <t>6469 Valuation Adjustments</t>
  </si>
  <si>
    <t>6470 Valuation Adjustments</t>
  </si>
  <si>
    <t>6471 Valuation Adjustments</t>
  </si>
  <si>
    <t>6472 Valuation Adjustments</t>
  </si>
  <si>
    <t>6473 Valuation Adjustments</t>
  </si>
  <si>
    <t>6474 Valuation Adjustments</t>
  </si>
  <si>
    <t>6475 Valuation Adjustments</t>
  </si>
  <si>
    <t>6476 Valuation Adjustments</t>
  </si>
  <si>
    <t>6477 Valuation Adjustments</t>
  </si>
  <si>
    <t>6478 Valuation Adjustments</t>
  </si>
  <si>
    <t>6479 Valuation Adjustments</t>
  </si>
  <si>
    <t>6480 Valuation Adjustments</t>
  </si>
  <si>
    <t>6481 Valuation Adjustments</t>
  </si>
  <si>
    <t>6482 Valuation Adjustments</t>
  </si>
  <si>
    <t>6483 Valuation Adjustments</t>
  </si>
  <si>
    <t>6484 Valuation Adjustments</t>
  </si>
  <si>
    <t>6485 Valuation Adjustments</t>
  </si>
  <si>
    <t>6486 Valuation Adjustments</t>
  </si>
  <si>
    <t>6487 Valuation Adjustments</t>
  </si>
  <si>
    <t>6488 Valuation Adjustments</t>
  </si>
  <si>
    <t>6489 Valuation Adjustments</t>
  </si>
  <si>
    <t>6490 Valuation Adjustments</t>
  </si>
  <si>
    <t>6491 Valuation Adjustments</t>
  </si>
  <si>
    <t>6492 Valuation Adjustments</t>
  </si>
  <si>
    <t>6493 Valuation Adjustments</t>
  </si>
  <si>
    <t>6494 Valuation Adjustments</t>
  </si>
  <si>
    <t>6495 Valuation Adjustments</t>
  </si>
  <si>
    <t>6496 Valuation Adjustments</t>
  </si>
  <si>
    <t>6497 Valuation Adjustments</t>
  </si>
  <si>
    <t>6498 Valuation Adjustments</t>
  </si>
  <si>
    <t>6499 Valuation Adjustments</t>
  </si>
  <si>
    <t>6500 Valuation Adjustments</t>
  </si>
  <si>
    <t>6501 Valuation Adjustments</t>
  </si>
  <si>
    <t>6502 Valuation Adjustments</t>
  </si>
  <si>
    <t>6503 Valuation Adjustments</t>
  </si>
  <si>
    <t>6504 Valuation Adjustments</t>
  </si>
  <si>
    <t>6505 Valuation Adjustments</t>
  </si>
  <si>
    <t>6506 Valuation Adjustments</t>
  </si>
  <si>
    <t>6507 Valuation Adjustments</t>
  </si>
  <si>
    <t>6508 Valuation Adjustments</t>
  </si>
  <si>
    <t>6509 Valuation Adjustments</t>
  </si>
  <si>
    <t>6510 Valuation Adjustments</t>
  </si>
  <si>
    <t>6511 Valuation Adjustments</t>
  </si>
  <si>
    <t>6512 Valuation Adjustments</t>
  </si>
  <si>
    <t>6513 Valuation Adjustments</t>
  </si>
  <si>
    <t>6514 Valuation Adjustments</t>
  </si>
  <si>
    <t>6515 Valuation Adjustments</t>
  </si>
  <si>
    <t>6516 Valuation Adjustments</t>
  </si>
  <si>
    <t>6517 Valuation Adjustments</t>
  </si>
  <si>
    <t>6518 Valuation Adjustments</t>
  </si>
  <si>
    <t>6519 Valuation Adjustments</t>
  </si>
  <si>
    <t>6520 Valuation Adjustments</t>
  </si>
  <si>
    <t>6521 Valuation Adjustments</t>
  </si>
  <si>
    <t>6522 Valuation Adjustments</t>
  </si>
  <si>
    <t>6523 Valuation Adjustments</t>
  </si>
  <si>
    <t>6524 Valuation Adjustments</t>
  </si>
  <si>
    <t>6525 Valuation Adjustments</t>
  </si>
  <si>
    <t>6526 Valuation Adjustments</t>
  </si>
  <si>
    <t>6527 Valuation Adjustments</t>
  </si>
  <si>
    <t>6528 Valuation Adjustments</t>
  </si>
  <si>
    <t>6529 Valuation Adjustments</t>
  </si>
  <si>
    <t>6530 Valuation Adjustments</t>
  </si>
  <si>
    <t>6531 Valuation Adjustments</t>
  </si>
  <si>
    <t>6532 Valuation Adjustments</t>
  </si>
  <si>
    <t>6533 Valuation Adjustments</t>
  </si>
  <si>
    <t>6534 Valuation Adjustments</t>
  </si>
  <si>
    <t>6535 Valuation Adjustments</t>
  </si>
  <si>
    <t>6536 Valuation Adjustments</t>
  </si>
  <si>
    <t>6537 Valuation Adjustments</t>
  </si>
  <si>
    <t>6538 Valuation Adjustments</t>
  </si>
  <si>
    <t>6539 Valuation Adjustments</t>
  </si>
  <si>
    <t>6540 Valuation Adjustments</t>
  </si>
  <si>
    <t>6541 Valuation Adjustments</t>
  </si>
  <si>
    <t>6542 Valuation Adjustments</t>
  </si>
  <si>
    <t>6543 Valuation Adjustments</t>
  </si>
  <si>
    <t>6544 Valuation Adjustments</t>
  </si>
  <si>
    <t>6545 Valuation Adjustments</t>
  </si>
  <si>
    <t>6546 Valuation Adjustments</t>
  </si>
  <si>
    <t>6547 Valuation Adjustments</t>
  </si>
  <si>
    <t>6548 Valuation Adjustments</t>
  </si>
  <si>
    <t>6549 Valuation Adjustments</t>
  </si>
  <si>
    <t>6550 Valuation Adjustments</t>
  </si>
  <si>
    <t>6551 Valuation Adjustments</t>
  </si>
  <si>
    <t>6552 Valuation Adjustments</t>
  </si>
  <si>
    <t>6553 Valuation Adjustments</t>
  </si>
  <si>
    <t>6554 Valuation Adjustments</t>
  </si>
  <si>
    <t>6555 Valuation Adjustments</t>
  </si>
  <si>
    <t>6556 Valuation Adjustments</t>
  </si>
  <si>
    <t>6557 Valuation Adjustments</t>
  </si>
  <si>
    <t>6558 Valuation Adjustments</t>
  </si>
  <si>
    <t>6559 Valuation Adjustments</t>
  </si>
  <si>
    <t>6560 Valuation Adjustments</t>
  </si>
  <si>
    <t>6561 Valuation Adjustments</t>
  </si>
  <si>
    <t>6562 Valuation Adjustments</t>
  </si>
  <si>
    <t>6563 Valuation Adjustments</t>
  </si>
  <si>
    <t>6564 Valuation Adjustments</t>
  </si>
  <si>
    <t>6565 Valuation Adjustments</t>
  </si>
  <si>
    <t>6566 Valuation Adjustments</t>
  </si>
  <si>
    <t>6567 Valuation Adjustments</t>
  </si>
  <si>
    <t>6568 Valuation Adjustments</t>
  </si>
  <si>
    <t>6569 Valuation Adjustments</t>
  </si>
  <si>
    <t>6570 Valuation Adjustments</t>
  </si>
  <si>
    <t>6571 Valuation Adjustments</t>
  </si>
  <si>
    <t>6572 Valuation Adjustments</t>
  </si>
  <si>
    <t>6573 Valuation Adjustments</t>
  </si>
  <si>
    <t>6574 Valuation Adjustments</t>
  </si>
  <si>
    <t>6575 Valuation Adjustments</t>
  </si>
  <si>
    <t>6576 Valuation Adjustments</t>
  </si>
  <si>
    <t>6577 Valuation Adjustments</t>
  </si>
  <si>
    <t>6578 Valuation Adjustments</t>
  </si>
  <si>
    <t>6579 Valuation Adjustments</t>
  </si>
  <si>
    <t>6580 Valuation Adjustments</t>
  </si>
  <si>
    <t>6581 Valuation Adjustments</t>
  </si>
  <si>
    <t>6582 Valuation Adjustments</t>
  </si>
  <si>
    <t>6583 Valuation Adjustments</t>
  </si>
  <si>
    <t>6584 Valuation Adjustments</t>
  </si>
  <si>
    <t>6585 Valuation Adjustments</t>
  </si>
  <si>
    <t>6586 Valuation Adjustments</t>
  </si>
  <si>
    <t>6587 Valuation Adjustments</t>
  </si>
  <si>
    <t>6588 Valuation Adjustments</t>
  </si>
  <si>
    <t>6589 Valuation Adjustments</t>
  </si>
  <si>
    <t>6590 Valuation Adjustments</t>
  </si>
  <si>
    <t>6591 Valuation Adjustments</t>
  </si>
  <si>
    <t>6592 Valuation Adjustments</t>
  </si>
  <si>
    <t>6593 Valuation Adjustments</t>
  </si>
  <si>
    <t>6594 Valuation Adjustments</t>
  </si>
  <si>
    <t>6595 Valuation Adjustments</t>
  </si>
  <si>
    <t>6596 Valuation Adjustments</t>
  </si>
  <si>
    <t>6597 Valuation Adjustments</t>
  </si>
  <si>
    <t>6598 Valuation Adjustments</t>
  </si>
  <si>
    <t>6599 Valuation Adjustments</t>
  </si>
  <si>
    <t>6600 Valuation Adjustments</t>
  </si>
  <si>
    <t>6601 Valuation Adjustments</t>
  </si>
  <si>
    <t>6602 Valuation Adjustments</t>
  </si>
  <si>
    <t>6603 Valuation Adjustments</t>
  </si>
  <si>
    <t>6604 Valuation Adjustments</t>
  </si>
  <si>
    <t>6605 Valuation Adjustments</t>
  </si>
  <si>
    <t>6606 Valuation Adjustments</t>
  </si>
  <si>
    <t>6607 Valuation Adjustments</t>
  </si>
  <si>
    <t>6608 Valuation Adjustments</t>
  </si>
  <si>
    <t>6609 Valuation Adjustments</t>
  </si>
  <si>
    <t>6610 Valuation Adjustments</t>
  </si>
  <si>
    <t>6611 Valuation Adjustments</t>
  </si>
  <si>
    <t>6612 Valuation Adjustments</t>
  </si>
  <si>
    <t>6613 Valuation Adjustments</t>
  </si>
  <si>
    <t>6614 Valuation Adjustments</t>
  </si>
  <si>
    <t>6615 Valuation Adjustments</t>
  </si>
  <si>
    <t>6616 Valuation Adjustments</t>
  </si>
  <si>
    <t>6617 Valuation Adjustments</t>
  </si>
  <si>
    <t>6618 Valuation Adjustments</t>
  </si>
  <si>
    <t>6619 Valuation Adjustments</t>
  </si>
  <si>
    <t>6620 Valuation Adjustments</t>
  </si>
  <si>
    <t>6621 Valuation Adjustments</t>
  </si>
  <si>
    <t>6622 Valuation Adjustments</t>
  </si>
  <si>
    <t>6623 Valuation Adjustments</t>
  </si>
  <si>
    <t>6624 Valuation Adjustments</t>
  </si>
  <si>
    <t>6625 Valuation Adjustments</t>
  </si>
  <si>
    <t>6626 Valuation Adjustments</t>
  </si>
  <si>
    <t>6627 Valuation Adjustments</t>
  </si>
  <si>
    <t>6628 Valuation Adjustments</t>
  </si>
  <si>
    <t>6629 Valuation Adjustments</t>
  </si>
  <si>
    <t>6630 Valuation Adjustments</t>
  </si>
  <si>
    <t>6631 Valuation Adjustments</t>
  </si>
  <si>
    <t>6632 Valuation Adjustments</t>
  </si>
  <si>
    <t>6633 Valuation Adjustments</t>
  </si>
  <si>
    <t>6634 Valuation Adjustments</t>
  </si>
  <si>
    <t>6635 Valuation Adjustments</t>
  </si>
  <si>
    <t>6636 Valuation Adjustments</t>
  </si>
  <si>
    <t>6637 Valuation Adjustments</t>
  </si>
  <si>
    <t>6638 Valuation Adjustments</t>
  </si>
  <si>
    <t>6639 Valuation Adjustments</t>
  </si>
  <si>
    <t>6640 Valuation Adjustments</t>
  </si>
  <si>
    <t>6641 Valuation Adjustments</t>
  </si>
  <si>
    <t>6642 Valuation Adjustments</t>
  </si>
  <si>
    <t>6643 Valuation Adjustments</t>
  </si>
  <si>
    <t>6644 Valuation Adjustments</t>
  </si>
  <si>
    <t>6645 Valuation Adjustments</t>
  </si>
  <si>
    <t>6646 Valuation Adjustments</t>
  </si>
  <si>
    <t>6647 Valuation Adjustments</t>
  </si>
  <si>
    <t>6648 Valuation Adjustments</t>
  </si>
  <si>
    <t>6649 Valuation Adjustments</t>
  </si>
  <si>
    <t>6650 Valuation Adjustments</t>
  </si>
  <si>
    <t>6651 Valuation Adjustments</t>
  </si>
  <si>
    <t>6652 Valuation Adjustments</t>
  </si>
  <si>
    <t>6653 Valuation Adjustments</t>
  </si>
  <si>
    <t>6654 Valuation Adjustments</t>
  </si>
  <si>
    <t>6655 Valuation Adjustments</t>
  </si>
  <si>
    <t>6656 Valuation Adjustments</t>
  </si>
  <si>
    <t>6657 Valuation Adjustments</t>
  </si>
  <si>
    <t>6658 Valuation Adjustments</t>
  </si>
  <si>
    <t>6659 Valuation Adjustments</t>
  </si>
  <si>
    <t>6660 Valuation Adjustments</t>
  </si>
  <si>
    <t>6661 Valuation Adjustments</t>
  </si>
  <si>
    <t>6662 Valuation Adjustments</t>
  </si>
  <si>
    <t>6663 Valuation Adjustments</t>
  </si>
  <si>
    <t>6664 Valuation Adjustments</t>
  </si>
  <si>
    <t>6665 Valuation Adjustments</t>
  </si>
  <si>
    <t>6666 Valuation Adjustments</t>
  </si>
  <si>
    <t>6667 Valuation Adjustments</t>
  </si>
  <si>
    <t>6668 Valuation Adjustments</t>
  </si>
  <si>
    <t>6669 Valuation Adjustments</t>
  </si>
  <si>
    <t>6670 Valuation Adjustments</t>
  </si>
  <si>
    <t>6671 Valuation Adjustments</t>
  </si>
  <si>
    <t>6672 Valuation Adjustments</t>
  </si>
  <si>
    <t>6673 Valuation Adjustments</t>
  </si>
  <si>
    <t>6674 Valuation Adjustments</t>
  </si>
  <si>
    <t>6675 Valuation Adjustments</t>
  </si>
  <si>
    <t>6676 Valuation Adjustments</t>
  </si>
  <si>
    <t>6677 Valuation Adjustments</t>
  </si>
  <si>
    <t>6678 Valuation Adjustments</t>
  </si>
  <si>
    <t>6679 Valuation Adjustments</t>
  </si>
  <si>
    <t>6680 Valuation Adjustments</t>
  </si>
  <si>
    <t>6681 Valuation Adjustments</t>
  </si>
  <si>
    <t>6682 Valuation Adjustments</t>
  </si>
  <si>
    <t>6683 Valuation Adjustments</t>
  </si>
  <si>
    <t>6684 Valuation Adjustments</t>
  </si>
  <si>
    <t>6685 Valuation Adjustments</t>
  </si>
  <si>
    <t>6686 Valuation Adjustments</t>
  </si>
  <si>
    <t>6687 Valuation Adjustments</t>
  </si>
  <si>
    <t>6688 Valuation Adjustments</t>
  </si>
  <si>
    <t>6689 Valuation Adjustments</t>
  </si>
  <si>
    <t>6690 Valuation Adjustments</t>
  </si>
  <si>
    <t>6691 Valuation Adjustments</t>
  </si>
  <si>
    <t>6692 Valuation Adjustments</t>
  </si>
  <si>
    <t>6693 Valuation Adjustments</t>
  </si>
  <si>
    <t>6694 Valuation Adjustments</t>
  </si>
  <si>
    <t>6695 Valuation Adjustments</t>
  </si>
  <si>
    <t>6696 Valuation Adjustments</t>
  </si>
  <si>
    <t>6697 Valuation Adjustments</t>
  </si>
  <si>
    <t>6698 Valuation Adjustments</t>
  </si>
  <si>
    <t>6699 Valuation Adjustments</t>
  </si>
  <si>
    <t>6700 Valuation Adjustments</t>
  </si>
  <si>
    <t>6701 Valuation Adjustments</t>
  </si>
  <si>
    <t>6702 Valuation Adjustments</t>
  </si>
  <si>
    <t>6703 Valuation Adjustments</t>
  </si>
  <si>
    <t>6704 Valuation Adjustments</t>
  </si>
  <si>
    <t>6705 Valuation Adjustments</t>
  </si>
  <si>
    <t>6706 Valuation Adjustments</t>
  </si>
  <si>
    <t>6707 Valuation Adjustments</t>
  </si>
  <si>
    <t>6708 Valuation Adjustments</t>
  </si>
  <si>
    <t>6709 Valuation Adjustments</t>
  </si>
  <si>
    <t>6710 Valuation Adjustments</t>
  </si>
  <si>
    <t>6711 Valuation Adjustments</t>
  </si>
  <si>
    <t>6712 Valuation Adjustments</t>
  </si>
  <si>
    <t>6713 Valuation Adjustments</t>
  </si>
  <si>
    <t>6714 Valuation Adjustments</t>
  </si>
  <si>
    <t>6715 Valuation Adjustments</t>
  </si>
  <si>
    <t>6716 Valuation Adjustments</t>
  </si>
  <si>
    <t>6717 Valuation Adjustments</t>
  </si>
  <si>
    <t>6718 Valuation Adjustments</t>
  </si>
  <si>
    <t>6719 Valuation Adjustments</t>
  </si>
  <si>
    <t>6720 Valuation Adjustments</t>
  </si>
  <si>
    <t>6721 Valuation Adjustments</t>
  </si>
  <si>
    <t>6722 Valuation Adjustments</t>
  </si>
  <si>
    <t>6723 Valuation Adjustments</t>
  </si>
  <si>
    <t>6724 Valuation Adjustments</t>
  </si>
  <si>
    <t>6725 Valuation Adjustments</t>
  </si>
  <si>
    <t>6726 Valuation Adjustments</t>
  </si>
  <si>
    <t>6727 Valuation Adjustments</t>
  </si>
  <si>
    <t>6728 Valuation Adjustments</t>
  </si>
  <si>
    <t>6729 Valuation Adjustments</t>
  </si>
  <si>
    <t>6730 Valuation Adjustments</t>
  </si>
  <si>
    <t>6731 Valuation Adjustments</t>
  </si>
  <si>
    <t>6732 Valuation Adjustments</t>
  </si>
  <si>
    <t>6733 Valuation Adjustments</t>
  </si>
  <si>
    <t>6734 Valuation Adjustments</t>
  </si>
  <si>
    <t>6735 Valuation Adjustments</t>
  </si>
  <si>
    <t>6736 Valuation Adjustments</t>
  </si>
  <si>
    <t>6737 Valuation Adjustments</t>
  </si>
  <si>
    <t>6738 Valuation Adjustments</t>
  </si>
  <si>
    <t>6739 Valuation Adjustments</t>
  </si>
  <si>
    <t>6740 Valuation Adjustments</t>
  </si>
  <si>
    <t>6741 Valuation Adjustments</t>
  </si>
  <si>
    <t>6742 Valuation Adjustments</t>
  </si>
  <si>
    <t>6743 Valuation Adjustments</t>
  </si>
  <si>
    <t>6744 Valuation Adjustments</t>
  </si>
  <si>
    <t>6745 Valuation Adjustments</t>
  </si>
  <si>
    <t>6746 Valuation Adjustments</t>
  </si>
  <si>
    <t>6747 Valuation Adjustments</t>
  </si>
  <si>
    <t>6748 Valuation Adjustments</t>
  </si>
  <si>
    <t>6749 Valuation Adjustments</t>
  </si>
  <si>
    <t>6750 Valuation Adjustments</t>
  </si>
  <si>
    <t>6751 Valuation Adjustments</t>
  </si>
  <si>
    <t>6752 Valuation Adjustments</t>
  </si>
  <si>
    <t>6753 Valuation Adjustments</t>
  </si>
  <si>
    <t>6754 Valuation Adjustments</t>
  </si>
  <si>
    <t>6755 Valuation Adjustments</t>
  </si>
  <si>
    <t>6756 Valuation Adjustments</t>
  </si>
  <si>
    <t>6757 Valuation Adjustments</t>
  </si>
  <si>
    <t>6758 Valuation Adjustments</t>
  </si>
  <si>
    <t>6759 Valuation Adjustments</t>
  </si>
  <si>
    <t>6760 Valuation Adjustments</t>
  </si>
  <si>
    <t>6761 Valuation Adjustments</t>
  </si>
  <si>
    <t>6762 Valuation Adjustments</t>
  </si>
  <si>
    <t>6763 Valuation Adjustments</t>
  </si>
  <si>
    <t>6764 Valuation Adjustments</t>
  </si>
  <si>
    <t>6765 Valuation Adjustments</t>
  </si>
  <si>
    <t>6766 Valuation Adjustments</t>
  </si>
  <si>
    <t>6767 Valuation Adjustments</t>
  </si>
  <si>
    <t>6768 Valuation Adjustments</t>
  </si>
  <si>
    <t>6769 Valuation Adjustments</t>
  </si>
  <si>
    <t>6770 Valuation Adjustments</t>
  </si>
  <si>
    <t>6771 Valuation Adjustments</t>
  </si>
  <si>
    <t>6772 Valuation Adjustments</t>
  </si>
  <si>
    <t>6773 Valuation Adjustments</t>
  </si>
  <si>
    <t>6774 Valuation Adjustments</t>
  </si>
  <si>
    <t>6775 Valuation Adjustments</t>
  </si>
  <si>
    <t>6776 Valuation Adjustments</t>
  </si>
  <si>
    <t>6777 Valuation Adjustments</t>
  </si>
  <si>
    <t>6778 Valuation Adjustments</t>
  </si>
  <si>
    <t>6779 Valuation Adjustments</t>
  </si>
  <si>
    <t>6780 Valuation Adjustments</t>
  </si>
  <si>
    <t>6781 Valuation Adjustments</t>
  </si>
  <si>
    <t>6782 Valuation Adjustments</t>
  </si>
  <si>
    <t>6783 Valuation Adjustments</t>
  </si>
  <si>
    <t>6784 Valuation Adjustments</t>
  </si>
  <si>
    <t>6785 Valuation Adjustments</t>
  </si>
  <si>
    <t>6786 Valuation Adjustments</t>
  </si>
  <si>
    <t>6787 Valuation Adjustments</t>
  </si>
  <si>
    <t>6788 Valuation Adjustments</t>
  </si>
  <si>
    <t>6789 Valuation Adjustments</t>
  </si>
  <si>
    <t>6790 Valuation Adjustments</t>
  </si>
  <si>
    <t>6791 Valuation Adjustments</t>
  </si>
  <si>
    <t>6792 Valuation Adjustments</t>
  </si>
  <si>
    <t>6793 Valuation Adjustments</t>
  </si>
  <si>
    <t>6794 Valuation Adjustments</t>
  </si>
  <si>
    <t>6795 Valuation Adjustments</t>
  </si>
  <si>
    <t>6796 Valuation Adjustments</t>
  </si>
  <si>
    <t>6797 Valuation Adjustments</t>
  </si>
  <si>
    <t>6798 Valuation Adjustments</t>
  </si>
  <si>
    <t>6799 Valuation Adjustments</t>
  </si>
  <si>
    <t>6800 Valuation Adjustments</t>
  </si>
  <si>
    <t>6801 Valuation Adjustments</t>
  </si>
  <si>
    <t>6802 Valuation Adjustments</t>
  </si>
  <si>
    <t>6803 Valuation Adjustments</t>
  </si>
  <si>
    <t>6804 Valuation Adjustments</t>
  </si>
  <si>
    <t>6805 Valuation Adjustments</t>
  </si>
  <si>
    <t>6806 Valuation Adjustments</t>
  </si>
  <si>
    <t>6807 Valuation Adjustments</t>
  </si>
  <si>
    <t>6808 Valuation Adjustments</t>
  </si>
  <si>
    <t>6809 Valuation Adjustments</t>
  </si>
  <si>
    <t>6810 Valuation Adjustments</t>
  </si>
  <si>
    <t>6811 Valuation Adjustments</t>
  </si>
  <si>
    <t>6812 Valuation Adjustments</t>
  </si>
  <si>
    <t>6813 Valuation Adjustments</t>
  </si>
  <si>
    <t>6814 Valuation Adjustments</t>
  </si>
  <si>
    <t>6815 Valuation Adjustments</t>
  </si>
  <si>
    <t>6816 Valuation Adjustments</t>
  </si>
  <si>
    <t>6817 Valuation Adjustments</t>
  </si>
  <si>
    <t>6818 Valuation Adjustments</t>
  </si>
  <si>
    <t>6819 Valuation Adjustments</t>
  </si>
  <si>
    <t>6820 Valuation Adjustments</t>
  </si>
  <si>
    <t>6821 Valuation Adjustments</t>
  </si>
  <si>
    <t>6822 Valuation Adjustments</t>
  </si>
  <si>
    <t>6823 Valuation Adjustments</t>
  </si>
  <si>
    <t>6824 Valuation Adjustments</t>
  </si>
  <si>
    <t>6825 Valuation Adjustments</t>
  </si>
  <si>
    <t>6826 Valuation Adjustments</t>
  </si>
  <si>
    <t>6827 Valuation Adjustments</t>
  </si>
  <si>
    <t>6828 Valuation Adjustments</t>
  </si>
  <si>
    <t>6829 Valuation Adjustments</t>
  </si>
  <si>
    <t>6830 Valuation Adjustments</t>
  </si>
  <si>
    <t>6831 Valuation Adjustments</t>
  </si>
  <si>
    <t>6832 Valuation Adjustments</t>
  </si>
  <si>
    <t>6833 Valuation Adjustments</t>
  </si>
  <si>
    <t>6834 Valuation Adjustments</t>
  </si>
  <si>
    <t>6835 Valuation Adjustments</t>
  </si>
  <si>
    <t>6836 Valuation Adjustments</t>
  </si>
  <si>
    <t>6837 Valuation Adjustments</t>
  </si>
  <si>
    <t>6838 Valuation Adjustments</t>
  </si>
  <si>
    <t>6839 Valuation Adjustments</t>
  </si>
  <si>
    <t>6840 Valuation Adjustments</t>
  </si>
  <si>
    <t>6841 Valuation Adjustments</t>
  </si>
  <si>
    <t>6842 Valuation Adjustments</t>
  </si>
  <si>
    <t>6843 Valuation Adjustments</t>
  </si>
  <si>
    <t>6844 Valuation Adjustments</t>
  </si>
  <si>
    <t>6845 Valuation Adjustments</t>
  </si>
  <si>
    <t>6846 Valuation Adjustments</t>
  </si>
  <si>
    <t>6847 Valuation Adjustments</t>
  </si>
  <si>
    <t>6848 Valuation Adjustments</t>
  </si>
  <si>
    <t>6849 Valuation Adjustments</t>
  </si>
  <si>
    <t>6850 Valuation Adjustments</t>
  </si>
  <si>
    <t>6851 Valuation Adjustments</t>
  </si>
  <si>
    <t>6852 Valuation Adjustments</t>
  </si>
  <si>
    <t>6853 Valuation Adjustments</t>
  </si>
  <si>
    <t>6854 Valuation Adjustments</t>
  </si>
  <si>
    <t>6855 Valuation Adjustments</t>
  </si>
  <si>
    <t>6856 Valuation Adjustments</t>
  </si>
  <si>
    <t>6857 Valuation Adjustments</t>
  </si>
  <si>
    <t>6858 Valuation Adjustments</t>
  </si>
  <si>
    <t>6859 Valuation Adjustments</t>
  </si>
  <si>
    <t>6860 Valuation Adjustments</t>
  </si>
  <si>
    <t>6861 Valuation Adjustments</t>
  </si>
  <si>
    <t>6862 Valuation Adjustments</t>
  </si>
  <si>
    <t>6863 Valuation Adjustments</t>
  </si>
  <si>
    <t>6864 Valuation Adjustments</t>
  </si>
  <si>
    <t>6865 Valuation Adjustments</t>
  </si>
  <si>
    <t>6866 Valuation Adjustments</t>
  </si>
  <si>
    <t>6867 Valuation Adjustments</t>
  </si>
  <si>
    <t>6868 Valuation Adjustments</t>
  </si>
  <si>
    <t>6869 Valuation Adjustments</t>
  </si>
  <si>
    <t>6870 Valuation Adjustments</t>
  </si>
  <si>
    <t>6871 Valuation Adjustments</t>
  </si>
  <si>
    <t>6872 Valuation Adjustments</t>
  </si>
  <si>
    <t>6873 Valuation Adjustments</t>
  </si>
  <si>
    <t>6874 Valuation Adjustments</t>
  </si>
  <si>
    <t>6875 Valuation Adjustments</t>
  </si>
  <si>
    <t>6876 Valuation Adjustments</t>
  </si>
  <si>
    <t>6877 Valuation Adjustments</t>
  </si>
  <si>
    <t>6878 Valuation Adjustments</t>
  </si>
  <si>
    <t>6879 Valuation Adjustments</t>
  </si>
  <si>
    <t>6880 Valuation Adjustments</t>
  </si>
  <si>
    <t>6881 Valuation Adjustments</t>
  </si>
  <si>
    <t>6882 Valuation Adjustments</t>
  </si>
  <si>
    <t>6883 Valuation Adjustments</t>
  </si>
  <si>
    <t>6884 Valuation Adjustments</t>
  </si>
  <si>
    <t>6885 Valuation Adjustments</t>
  </si>
  <si>
    <t>6886 Valuation Adjustments</t>
  </si>
  <si>
    <t>6887 Valuation Adjustments</t>
  </si>
  <si>
    <t>6888 Valuation Adjustments</t>
  </si>
  <si>
    <t>6889 Valuation Adjustments</t>
  </si>
  <si>
    <t>6890 Valuation Adjustments</t>
  </si>
  <si>
    <t>6891 Valuation Adjustments</t>
  </si>
  <si>
    <t>6892 Valuation Adjustments</t>
  </si>
  <si>
    <t>6893 Valuation Adjustments</t>
  </si>
  <si>
    <t>6894 Valuation Adjustments</t>
  </si>
  <si>
    <t>6895 Valuation Adjustments</t>
  </si>
  <si>
    <t>6896 Valuation Adjustments</t>
  </si>
  <si>
    <t>6897 Valuation Adjustments</t>
  </si>
  <si>
    <t>6898 Valuation Adjustments</t>
  </si>
  <si>
    <t>6899 Valuation Adjustments</t>
  </si>
  <si>
    <t>6900 Valuation Adjustments</t>
  </si>
  <si>
    <t>6901 Valuation Adjustments</t>
  </si>
  <si>
    <t>6902 Valuation Adjustments</t>
  </si>
  <si>
    <t>6903 Valuation Adjustments</t>
  </si>
  <si>
    <t>6904 Valuation Adjustments</t>
  </si>
  <si>
    <t>6905 Valuation Adjustments</t>
  </si>
  <si>
    <t>6906 Valuation Adjustments</t>
  </si>
  <si>
    <t>6907 Valuation Adjustments</t>
  </si>
  <si>
    <t>6908 Valuation Adjustments</t>
  </si>
  <si>
    <t>6909 Valuation Adjustments</t>
  </si>
  <si>
    <t>6910 Valuation Adjustments</t>
  </si>
  <si>
    <t>6911 Valuation Adjustments</t>
  </si>
  <si>
    <t>6912 Valuation Adjustments</t>
  </si>
  <si>
    <t>6913 Valuation Adjustments</t>
  </si>
  <si>
    <t>6914 Valuation Adjustments</t>
  </si>
  <si>
    <t>6915 Valuation Adjustments</t>
  </si>
  <si>
    <t>6916 Valuation Adjustments</t>
  </si>
  <si>
    <t>6917 Valuation Adjustments</t>
  </si>
  <si>
    <t>6918 Valuation Adjustments</t>
  </si>
  <si>
    <t>6919 Valuation Adjustments</t>
  </si>
  <si>
    <t>6920 Valuation Adjustments</t>
  </si>
  <si>
    <t>6921 Valuation Adjustments</t>
  </si>
  <si>
    <t>6922 Valuation Adjustments</t>
  </si>
  <si>
    <t>6923 Valuation Adjustments</t>
  </si>
  <si>
    <t>6924 Valuation Adjustments</t>
  </si>
  <si>
    <t>6925 Valuation Adjustments</t>
  </si>
  <si>
    <t>6926 Valuation Adjustments</t>
  </si>
  <si>
    <t>6927 Valuation Adjustments</t>
  </si>
  <si>
    <t>6928 Valuation Adjustments</t>
  </si>
  <si>
    <t>6929 Valuation Adjustments</t>
  </si>
  <si>
    <t>6930 Valuation Adjustments</t>
  </si>
  <si>
    <t>6931 Valuation Adjustments</t>
  </si>
  <si>
    <t>6932 Valuation Adjustments</t>
  </si>
  <si>
    <t>6933 Valuation Adjustments</t>
  </si>
  <si>
    <t>6934 Valuation Adjustments</t>
  </si>
  <si>
    <t>6935 Valuation Adjustments</t>
  </si>
  <si>
    <t>6936 Valuation Adjustments</t>
  </si>
  <si>
    <t>6937 Valuation Adjustments</t>
  </si>
  <si>
    <t>6938 Valuation Adjustments</t>
  </si>
  <si>
    <t>6939 Valuation Adjustments</t>
  </si>
  <si>
    <t>6940 Valuation Adjustments</t>
  </si>
  <si>
    <t>6941 Valuation Adjustments</t>
  </si>
  <si>
    <t>6942 Valuation Adjustments</t>
  </si>
  <si>
    <t>6943 Valuation Adjustments</t>
  </si>
  <si>
    <t>6944 Valuation Adjustments</t>
  </si>
  <si>
    <t>6945 Valuation Adjustments</t>
  </si>
  <si>
    <t>6946 Valuation Adjustments</t>
  </si>
  <si>
    <t>6947 Valuation Adjustments</t>
  </si>
  <si>
    <t>6948 Valuation Adjustments</t>
  </si>
  <si>
    <t>6949 Valuation Adjustments</t>
  </si>
  <si>
    <t>6950 Valuation Adjustments</t>
  </si>
  <si>
    <t>6951 Valuation Adjustments</t>
  </si>
  <si>
    <t>6952 Valuation Adjustments</t>
  </si>
  <si>
    <t>6953 Valuation Adjustments</t>
  </si>
  <si>
    <t>6954 Valuation Adjustments</t>
  </si>
  <si>
    <t>6955 Valuation Adjustments</t>
  </si>
  <si>
    <t>6956 Valuation Adjustments</t>
  </si>
  <si>
    <t>6957 Valuation Adjustments</t>
  </si>
  <si>
    <t>6958 Valuation Adjustments</t>
  </si>
  <si>
    <t>6959 Valuation Adjustments</t>
  </si>
  <si>
    <t>6960 Valuation Adjustments</t>
  </si>
  <si>
    <t>6961 Valuation Adjustments</t>
  </si>
  <si>
    <t>6962 Valuation Adjustments</t>
  </si>
  <si>
    <t>6963 Valuation Adjustments</t>
  </si>
  <si>
    <t>6964 Valuation Adjustments</t>
  </si>
  <si>
    <t>6965 Valuation Adjustments</t>
  </si>
  <si>
    <t>6966 Valuation Adjustments</t>
  </si>
  <si>
    <t>6967 Valuation Adjustments</t>
  </si>
  <si>
    <t>6968 Valuation Adjustments</t>
  </si>
  <si>
    <t>6969 Valuation Adjustments</t>
  </si>
  <si>
    <t>6970 Valuation Adjustments</t>
  </si>
  <si>
    <t>6971 Valuation Adjustments</t>
  </si>
  <si>
    <t>6972 Valuation Adjustments</t>
  </si>
  <si>
    <t>6973 Valuation Adjustments</t>
  </si>
  <si>
    <t>6974 Valuation Adjustments</t>
  </si>
  <si>
    <t>6975 Valuation Adjustments</t>
  </si>
  <si>
    <t>6976 Valuation Adjustments</t>
  </si>
  <si>
    <t>6977 Valuation Adjustments</t>
  </si>
  <si>
    <t>6978 Valuation Adjustments</t>
  </si>
  <si>
    <t>6979 Valuation Adjustments</t>
  </si>
  <si>
    <t>6980 Valuation Adjustments</t>
  </si>
  <si>
    <t>6981 Valuation Adjustments</t>
  </si>
  <si>
    <t>6982 Valuation Adjustments</t>
  </si>
  <si>
    <t>6983 Valuation Adjustments</t>
  </si>
  <si>
    <t>6984 Valuation Adjustments</t>
  </si>
  <si>
    <t>6985 Valuation Adjustments</t>
  </si>
  <si>
    <t>6986 Valuation Adjustments</t>
  </si>
  <si>
    <t>6987 Valuation Adjustments</t>
  </si>
  <si>
    <t>6988 Valuation Adjustments</t>
  </si>
  <si>
    <t>6989 Valuation Adjustments</t>
  </si>
  <si>
    <t>6990 Valuation Adjustments</t>
  </si>
  <si>
    <t>6991 Valuation Adjustments</t>
  </si>
  <si>
    <t>6992 Valuation Adjustments</t>
  </si>
  <si>
    <t>6993 Valuation Adjustments</t>
  </si>
  <si>
    <t>6994 Valuation Adjustments</t>
  </si>
  <si>
    <t>6995 Valuation Adjustments</t>
  </si>
  <si>
    <t>6996 Valuation Adjustments</t>
  </si>
  <si>
    <t>6997 Valuation Adjustments</t>
  </si>
  <si>
    <t>6998 Valuation Adjustments</t>
  </si>
  <si>
    <t>6999 Valuation Adjustments</t>
  </si>
  <si>
    <t>7000 Valuation Adjustments</t>
  </si>
  <si>
    <t>7001 Valuation Adjustments</t>
  </si>
  <si>
    <t>7002 Valuation Adjustments</t>
  </si>
  <si>
    <t>7003 Valuation Adjustments</t>
  </si>
  <si>
    <t>7004 Valuation Adjustments</t>
  </si>
  <si>
    <t>7005 Valuation Adjustments</t>
  </si>
  <si>
    <t>7006 Valuation Adjustments</t>
  </si>
  <si>
    <t>7007 Valuation Adjustments</t>
  </si>
  <si>
    <t>7008 Valuation Adjustments</t>
  </si>
  <si>
    <t>7009 Valuation Adjustments</t>
  </si>
  <si>
    <t>7010 Valuation Adjustments</t>
  </si>
  <si>
    <t>7011 Valuation Adjustments</t>
  </si>
  <si>
    <t>7012 Valuation Adjustments</t>
  </si>
  <si>
    <t>7013 Valuation Adjustments</t>
  </si>
  <si>
    <t>7014 Valuation Adjustments</t>
  </si>
  <si>
    <t>7015 Valuation Adjustments</t>
  </si>
  <si>
    <t>7016 Valuation Adjustments</t>
  </si>
  <si>
    <t>7017 Valuation Adjustments</t>
  </si>
  <si>
    <t>7018 Valuation Adjustments</t>
  </si>
  <si>
    <t>7019 Valuation Adjustments</t>
  </si>
  <si>
    <t>7020 Valuation Adjustments</t>
  </si>
  <si>
    <t>7021 Valuation Adjustments</t>
  </si>
  <si>
    <t>7022 Valuation Adjustments</t>
  </si>
  <si>
    <t>7023 Valuation Adjustments</t>
  </si>
  <si>
    <t>7024 Valuation Adjustments</t>
  </si>
  <si>
    <t>7025 Valuation Adjustments</t>
  </si>
  <si>
    <t>7026 Valuation Adjustments</t>
  </si>
  <si>
    <t>7027 Valuation Adjustments</t>
  </si>
  <si>
    <t>7028 Valuation Adjustments</t>
  </si>
  <si>
    <t>7029 Valuation Adjustments</t>
  </si>
  <si>
    <t>7030 Valuation Adjustments</t>
  </si>
  <si>
    <t>7031 Valuation Adjustments</t>
  </si>
  <si>
    <t>7032 Valuation Adjustments</t>
  </si>
  <si>
    <t>7033 Valuation Adjustments</t>
  </si>
  <si>
    <t>7034 Valuation Adjustments</t>
  </si>
  <si>
    <t>7035 Valuation Adjustments</t>
  </si>
  <si>
    <t>7036 Valuation Adjustments</t>
  </si>
  <si>
    <t>7037 Valuation Adjustments</t>
  </si>
  <si>
    <t>7038 Valuation Adjustments</t>
  </si>
  <si>
    <t>7039 Valuation Adjustments</t>
  </si>
  <si>
    <t>7040 Valuation Adjustments</t>
  </si>
  <si>
    <t>7041 Valuation Adjustments</t>
  </si>
  <si>
    <t>7042 Valuation Adjustments</t>
  </si>
  <si>
    <t>7043 Valuation Adjustments</t>
  </si>
  <si>
    <t>7044 Valuation Adjustments</t>
  </si>
  <si>
    <t>7045 Valuation Adjustments</t>
  </si>
  <si>
    <t>7046 Valuation Adjustments</t>
  </si>
  <si>
    <t>7047 Valuation Adjustments</t>
  </si>
  <si>
    <t>7048 Valuation Adjustments</t>
  </si>
  <si>
    <t>7049 Valuation Adjustments</t>
  </si>
  <si>
    <t>7050 Valuation Adjustments</t>
  </si>
  <si>
    <t>7051 Valuation Adjustments</t>
  </si>
  <si>
    <t>7052 Valuation Adjustments</t>
  </si>
  <si>
    <t>7053 Valuation Adjustments</t>
  </si>
  <si>
    <t>7054 Valuation Adjustments</t>
  </si>
  <si>
    <t>7055 Valuation Adjustments</t>
  </si>
  <si>
    <t>7056 Valuation Adjustments</t>
  </si>
  <si>
    <t>7057 Valuation Adjustments</t>
  </si>
  <si>
    <t>7058 Valuation Adjustments</t>
  </si>
  <si>
    <t>7059 Valuation Adjustments</t>
  </si>
  <si>
    <t>7060 Valuation Adjustments</t>
  </si>
  <si>
    <t>7061 Valuation Adjustments</t>
  </si>
  <si>
    <t>7062 Valuation Adjustments</t>
  </si>
  <si>
    <t>7063 Valuation Adjustments</t>
  </si>
  <si>
    <t>7064 Valuation Adjustments</t>
  </si>
  <si>
    <t>7065 Valuation Adjustments</t>
  </si>
  <si>
    <t>7066 Valuation Adjustments</t>
  </si>
  <si>
    <t>7067 Valuation Adjustments</t>
  </si>
  <si>
    <t>7068 Valuation Adjustments</t>
  </si>
  <si>
    <t>7069 Valuation Adjustments</t>
  </si>
  <si>
    <t>7070 Valuation Adjustments</t>
  </si>
  <si>
    <t>7071 Valuation Adjustments</t>
  </si>
  <si>
    <t>7072 Valuation Adjustments</t>
  </si>
  <si>
    <t>7073 Valuation Adjustments</t>
  </si>
  <si>
    <t>7074 Valuation Adjustments</t>
  </si>
  <si>
    <t>7075 Valuation Adjustments</t>
  </si>
  <si>
    <t>7076 Valuation Adjustments</t>
  </si>
  <si>
    <t>7077 Valuation Adjustments</t>
  </si>
  <si>
    <t>7078 Valuation Adjustments</t>
  </si>
  <si>
    <t>7079 Valuation Adjustments</t>
  </si>
  <si>
    <t>7080 Valuation Adjustments</t>
  </si>
  <si>
    <t>7081 Valuation Adjustments</t>
  </si>
  <si>
    <t>7082 Valuation Adjustments</t>
  </si>
  <si>
    <t>7083 Valuation Adjustments</t>
  </si>
  <si>
    <t>7084 Valuation Adjustments</t>
  </si>
  <si>
    <t>7085 Valuation Adjustments</t>
  </si>
  <si>
    <t>7086 Valuation Adjustments</t>
  </si>
  <si>
    <t>7087 Valuation Adjustments</t>
  </si>
  <si>
    <t>7088 Valuation Adjustments</t>
  </si>
  <si>
    <t>7089 Valuation Adjustments</t>
  </si>
  <si>
    <t>7090 Valuation Adjustments</t>
  </si>
  <si>
    <t>7091 Valuation Adjustments</t>
  </si>
  <si>
    <t>7092 Valuation Adjustments</t>
  </si>
  <si>
    <t>7093 Valuation Adjustments</t>
  </si>
  <si>
    <t>7094 Valuation Adjustments</t>
  </si>
  <si>
    <t>7095 Valuation Adjustments</t>
  </si>
  <si>
    <t>7096 Valuation Adjustments</t>
  </si>
  <si>
    <t>7097 Valuation Adjustments</t>
  </si>
  <si>
    <t>7098 Valuation Adjustments</t>
  </si>
  <si>
    <t>7099 Valuation Adjustments</t>
  </si>
  <si>
    <t>7100 Valuation Adjustments</t>
  </si>
  <si>
    <t>7101 Valuation Adjustments</t>
  </si>
  <si>
    <t>7102 Valuation Adjustments</t>
  </si>
  <si>
    <t>7103 Valuation Adjustments</t>
  </si>
  <si>
    <t>7104 Valuation Adjustments</t>
  </si>
  <si>
    <t>7105 Valuation Adjustments</t>
  </si>
  <si>
    <t>7106 Valuation Adjustments</t>
  </si>
  <si>
    <t>7107 Valuation Adjustments</t>
  </si>
  <si>
    <t>7108 Valuation Adjustments</t>
  </si>
  <si>
    <t>7109 Valuation Adjustments</t>
  </si>
  <si>
    <t>7110 Valuation Adjustments</t>
  </si>
  <si>
    <t>7111 Valuation Adjustments</t>
  </si>
  <si>
    <t>7112 Valuation Adjustments</t>
  </si>
  <si>
    <t>7113 Valuation Adjustments</t>
  </si>
  <si>
    <t>7114 Valuation Adjustments</t>
  </si>
  <si>
    <t>7115 Valuation Adjustments</t>
  </si>
  <si>
    <t>7116 Valuation Adjustments</t>
  </si>
  <si>
    <t>7117 Valuation Adjustments</t>
  </si>
  <si>
    <t>7118 Valuation Adjustments</t>
  </si>
  <si>
    <t>7119 Valuation Adjustments</t>
  </si>
  <si>
    <t>7120 Valuation Adjustments</t>
  </si>
  <si>
    <t>7121 Valuation Adjustments</t>
  </si>
  <si>
    <t>7122 Valuation Adjustments</t>
  </si>
  <si>
    <t>7123 Valuation Adjustments</t>
  </si>
  <si>
    <t>7124 Valuation Adjustments</t>
  </si>
  <si>
    <t>7125 Valuation Adjustments</t>
  </si>
  <si>
    <t>7126 Valuation Adjustments</t>
  </si>
  <si>
    <t>7127 Valuation Adjustments</t>
  </si>
  <si>
    <t>7128 Valuation Adjustments</t>
  </si>
  <si>
    <t>7129 Valuation Adjustments</t>
  </si>
  <si>
    <t>7130 Valuation Adjustments</t>
  </si>
  <si>
    <t>7131 Valuation Adjustments</t>
  </si>
  <si>
    <t>7132 Valuation Adjustments</t>
  </si>
  <si>
    <t>7133 Valuation Adjustments</t>
  </si>
  <si>
    <t>7134 Valuation Adjustments</t>
  </si>
  <si>
    <t>7135 Valuation Adjustments</t>
  </si>
  <si>
    <t>7136 Valuation Adjustments</t>
  </si>
  <si>
    <t>7137 Valuation Adjustments</t>
  </si>
  <si>
    <t>7138 Valuation Adjustments</t>
  </si>
  <si>
    <t>7139 Valuation Adjustments</t>
  </si>
  <si>
    <t>7140 Valuation Adjustments</t>
  </si>
  <si>
    <t>7141 Valuation Adjustments</t>
  </si>
  <si>
    <t>7142 Valuation Adjustments</t>
  </si>
  <si>
    <t>7143 Valuation Adjustments</t>
  </si>
  <si>
    <t>7144 Valuation Adjustments</t>
  </si>
  <si>
    <t>7145 Valuation Adjustments</t>
  </si>
  <si>
    <t>7146 Valuation Adjustments</t>
  </si>
  <si>
    <t>7147 Valuation Adjustments</t>
  </si>
  <si>
    <t>7148 Valuation Adjustments</t>
  </si>
  <si>
    <t>7149 Valuation Adjustments</t>
  </si>
  <si>
    <t>7150 Valuation Adjustments</t>
  </si>
  <si>
    <t>7151 Valuation Adjustments</t>
  </si>
  <si>
    <t>7152 Valuation Adjustments</t>
  </si>
  <si>
    <t>7153 Valuation Adjustments</t>
  </si>
  <si>
    <t>7154 Valuation Adjustments</t>
  </si>
  <si>
    <t>7155 Valuation Adjustments</t>
  </si>
  <si>
    <t>7156 Valuation Adjustments</t>
  </si>
  <si>
    <t>7157 Valuation Adjustments</t>
  </si>
  <si>
    <t>7158 Valuation Adjustments</t>
  </si>
  <si>
    <t>7159 Valuation Adjustments</t>
  </si>
  <si>
    <t>7160 Valuation Adjustments</t>
  </si>
  <si>
    <t>7161 Valuation Adjustments</t>
  </si>
  <si>
    <t>7162 Valuation Adjustments</t>
  </si>
  <si>
    <t>7163 Valuation Adjustments</t>
  </si>
  <si>
    <t>7164 Valuation Adjustments</t>
  </si>
  <si>
    <t>7165 Valuation Adjustments</t>
  </si>
  <si>
    <t>7166 Valuation Adjustments</t>
  </si>
  <si>
    <t>7167 Valuation Adjustments</t>
  </si>
  <si>
    <t>7168 Valuation Adjustments</t>
  </si>
  <si>
    <t>7169 Valuation Adjustments</t>
  </si>
  <si>
    <t>7170 Valuation Adjustments</t>
  </si>
  <si>
    <t>7171 Valuation Adjustments</t>
  </si>
  <si>
    <t>7172 Valuation Adjustments</t>
  </si>
  <si>
    <t>7173 Valuation Adjustments</t>
  </si>
  <si>
    <t>7174 Valuation Adjustments</t>
  </si>
  <si>
    <t>7175 Valuation Adjustments</t>
  </si>
  <si>
    <t>7176 Valuation Adjustments</t>
  </si>
  <si>
    <t>7177 Valuation Adjustments</t>
  </si>
  <si>
    <t>7178 Valuation Adjustments</t>
  </si>
  <si>
    <t>7179 Valuation Adjustments</t>
  </si>
  <si>
    <t>7180 Valuation Adjustments</t>
  </si>
  <si>
    <t>7181 Valuation Adjustments</t>
  </si>
  <si>
    <t>7182 Valuation Adjustments</t>
  </si>
  <si>
    <t>7183 Valuation Adjustments</t>
  </si>
  <si>
    <t>7184 Valuation Adjustments</t>
  </si>
  <si>
    <t>7185 Valuation Adjustments</t>
  </si>
  <si>
    <t>7186 Valuation Adjustments</t>
  </si>
  <si>
    <t>7187 Valuation Adjustments</t>
  </si>
  <si>
    <t>7188 Valuation Adjustments</t>
  </si>
  <si>
    <t>7189 Valuation Adjustments</t>
  </si>
  <si>
    <t>7190 Valuation Adjustments</t>
  </si>
  <si>
    <t>7191 Valuation Adjustments</t>
  </si>
  <si>
    <t>7192 Valuation Adjustments</t>
  </si>
  <si>
    <t>7193 Valuation Adjustments</t>
  </si>
  <si>
    <t>7194 Valuation Adjustments</t>
  </si>
  <si>
    <t>7195 Valuation Adjustments</t>
  </si>
  <si>
    <t>7196 Valuation Adjustments</t>
  </si>
  <si>
    <t>7197 Valuation Adjustments</t>
  </si>
  <si>
    <t>7198 Valuation Adjustments</t>
  </si>
  <si>
    <t>7213 Valuation Adjustments</t>
  </si>
  <si>
    <t>1-10002</t>
  </si>
  <si>
    <t>1-10027</t>
  </si>
  <si>
    <t>1-10046</t>
  </si>
  <si>
    <t>1-10055</t>
  </si>
  <si>
    <t>1-10092</t>
  </si>
  <si>
    <t>1-10095</t>
  </si>
  <si>
    <t>1-10106</t>
  </si>
  <si>
    <t>1-10108</t>
  </si>
  <si>
    <t>1-10112</t>
  </si>
  <si>
    <t>1-10133</t>
  </si>
  <si>
    <t>1-10135</t>
  </si>
  <si>
    <t>1-10143</t>
  </si>
  <si>
    <t>1-10155</t>
  </si>
  <si>
    <t>1-10159</t>
  </si>
  <si>
    <t>1-10174</t>
  </si>
  <si>
    <t>1-10177</t>
  </si>
  <si>
    <t>1-10179</t>
  </si>
  <si>
    <t>1-10188</t>
  </si>
  <si>
    <t>1-10199</t>
  </si>
  <si>
    <t>1-10205</t>
  </si>
  <si>
    <t>1-10225</t>
  </si>
  <si>
    <t>1-10227</t>
  </si>
  <si>
    <t>1-10229</t>
  </si>
  <si>
    <t>1-10249</t>
  </si>
  <si>
    <t>1-10262</t>
  </si>
  <si>
    <t>1-10279</t>
  </si>
  <si>
    <t>1-10290</t>
  </si>
  <si>
    <t>1-10291</t>
  </si>
  <si>
    <t>1-10324</t>
  </si>
  <si>
    <t>1-10329</t>
  </si>
  <si>
    <t>1-10349</t>
  </si>
  <si>
    <t>1-10352</t>
  </si>
  <si>
    <t>1-10356</t>
  </si>
  <si>
    <t>1-10361</t>
  </si>
  <si>
    <t>1-1037</t>
  </si>
  <si>
    <t>1-10371</t>
  </si>
  <si>
    <t>1-10379</t>
  </si>
  <si>
    <t>1-10384</t>
  </si>
  <si>
    <t>1-10390</t>
  </si>
  <si>
    <t>1-10407</t>
  </si>
  <si>
    <t>1-10409</t>
  </si>
  <si>
    <t>1-10410</t>
  </si>
  <si>
    <t>1-10411</t>
  </si>
  <si>
    <t>1-1584</t>
  </si>
  <si>
    <t>1-1613</t>
  </si>
  <si>
    <t>1-1643</t>
  </si>
  <si>
    <t>1-1711</t>
  </si>
  <si>
    <t>1-1761</t>
  </si>
  <si>
    <t>1-1762</t>
  </si>
  <si>
    <t>1-1763</t>
  </si>
  <si>
    <t>1-1765</t>
  </si>
  <si>
    <t>1-1800</t>
  </si>
  <si>
    <t>1-1825</t>
  </si>
  <si>
    <t>1-1826</t>
  </si>
  <si>
    <t>1-1838</t>
  </si>
  <si>
    <t>1-1877</t>
  </si>
  <si>
    <t>1-1878</t>
  </si>
  <si>
    <t>1-1960</t>
  </si>
  <si>
    <t>1-1978</t>
  </si>
  <si>
    <t>1-2026</t>
  </si>
  <si>
    <t>1-2039</t>
  </si>
  <si>
    <t>1-2070</t>
  </si>
  <si>
    <t>1-2130</t>
  </si>
  <si>
    <t>1-2177</t>
  </si>
  <si>
    <t>1-2206</t>
  </si>
  <si>
    <t>1-2295</t>
  </si>
  <si>
    <t>1-2316</t>
  </si>
  <si>
    <t>1-2317</t>
  </si>
  <si>
    <t>1-2318</t>
  </si>
  <si>
    <t>1-2334</t>
  </si>
  <si>
    <t>1-2335</t>
  </si>
  <si>
    <t>1-2353</t>
  </si>
  <si>
    <t>1-236</t>
  </si>
  <si>
    <t>1-2377</t>
  </si>
  <si>
    <t>1-2397</t>
  </si>
  <si>
    <t>1-283</t>
  </si>
  <si>
    <t>1-293</t>
  </si>
  <si>
    <t>1-3047</t>
  </si>
  <si>
    <t>1-4341</t>
  </si>
  <si>
    <t>1-4840</t>
  </si>
  <si>
    <t>1-485</t>
  </si>
  <si>
    <t>1-4854</t>
  </si>
  <si>
    <t>1-5185</t>
  </si>
  <si>
    <t>1-541</t>
  </si>
  <si>
    <t>1-5444</t>
  </si>
  <si>
    <t>1-5452</t>
  </si>
  <si>
    <t>1-5499</t>
  </si>
  <si>
    <t>1-5604</t>
  </si>
  <si>
    <t>1-5626</t>
  </si>
  <si>
    <t>1-5648</t>
  </si>
  <si>
    <t>15-92</t>
  </si>
  <si>
    <t>15-93</t>
  </si>
  <si>
    <t>1-5991</t>
  </si>
  <si>
    <t>1-6040</t>
  </si>
  <si>
    <t>1-6041</t>
  </si>
  <si>
    <t>1-6353</t>
  </si>
  <si>
    <t>1-6370</t>
  </si>
  <si>
    <t>1-6570</t>
  </si>
  <si>
    <t>1-6742</t>
  </si>
  <si>
    <t>1-6894</t>
  </si>
  <si>
    <t>1-6991</t>
  </si>
  <si>
    <t>1-7092</t>
  </si>
  <si>
    <t>1-7215</t>
  </si>
  <si>
    <t>1-7482</t>
  </si>
  <si>
    <t>1-7566</t>
  </si>
  <si>
    <t>1-773</t>
  </si>
  <si>
    <t>1-7879</t>
  </si>
  <si>
    <t>1-7949</t>
  </si>
  <si>
    <t>1-8024</t>
  </si>
  <si>
    <t>1-808</t>
  </si>
  <si>
    <t>1-8095</t>
  </si>
  <si>
    <t>1-8096</t>
  </si>
  <si>
    <t>1-8098</t>
  </si>
  <si>
    <t>1-8099</t>
  </si>
  <si>
    <t>1-8100</t>
  </si>
  <si>
    <t>1-8101</t>
  </si>
  <si>
    <t>1-8292</t>
  </si>
  <si>
    <t>1-8304</t>
  </si>
  <si>
    <t>1-8337</t>
  </si>
  <si>
    <t>1-8377</t>
  </si>
  <si>
    <t>1-8389</t>
  </si>
  <si>
    <t>1-8604</t>
  </si>
  <si>
    <t>1-8607</t>
  </si>
  <si>
    <t>1-8747</t>
  </si>
  <si>
    <t>1-8850</t>
  </si>
  <si>
    <t>1-8905</t>
  </si>
  <si>
    <t>1-8942</t>
  </si>
  <si>
    <t>1-8956</t>
  </si>
  <si>
    <t>1-9059</t>
  </si>
  <si>
    <t>1-9184</t>
  </si>
  <si>
    <t>1-9185</t>
  </si>
  <si>
    <t>1-9186</t>
  </si>
  <si>
    <t>1-9187</t>
  </si>
  <si>
    <t>1-9319</t>
  </si>
  <si>
    <t>1-9333</t>
  </si>
  <si>
    <t>1-9371</t>
  </si>
  <si>
    <t>1-9446</t>
  </si>
  <si>
    <t>1-9486</t>
  </si>
  <si>
    <t>1-9503</t>
  </si>
  <si>
    <t>1-9554</t>
  </si>
  <si>
    <t>1-9567</t>
  </si>
  <si>
    <t>1-9568</t>
  </si>
  <si>
    <t>1-9576</t>
  </si>
  <si>
    <t>1-9596</t>
  </si>
  <si>
    <t>1-9600</t>
  </si>
  <si>
    <t>1-9615</t>
  </si>
  <si>
    <t>1-9625</t>
  </si>
  <si>
    <t>1-9628</t>
  </si>
  <si>
    <t>1-9629</t>
  </si>
  <si>
    <t>1-9636</t>
  </si>
  <si>
    <t>1-9640</t>
  </si>
  <si>
    <t>1-9724</t>
  </si>
  <si>
    <t>1-9726</t>
  </si>
  <si>
    <t>1-9767</t>
  </si>
  <si>
    <t>1-9781</t>
  </si>
  <si>
    <t>1-9783</t>
  </si>
  <si>
    <t>1-9784</t>
  </si>
  <si>
    <t>1-9786</t>
  </si>
  <si>
    <t>1-9792</t>
  </si>
  <si>
    <t>1-9804</t>
  </si>
  <si>
    <t>1-9817</t>
  </si>
  <si>
    <t>1-9856</t>
  </si>
  <si>
    <t>1-9857</t>
  </si>
  <si>
    <t>1-9858</t>
  </si>
  <si>
    <t>1-9862</t>
  </si>
  <si>
    <t>1-9872</t>
  </si>
  <si>
    <t>1-9876</t>
  </si>
  <si>
    <t>1-9878</t>
  </si>
  <si>
    <t>1-9904</t>
  </si>
  <si>
    <t>1-9905</t>
  </si>
  <si>
    <t>1-9906</t>
  </si>
  <si>
    <t>1-9909</t>
  </si>
  <si>
    <t>1-9935</t>
  </si>
  <si>
    <t>1-9936</t>
  </si>
  <si>
    <t>1-9941</t>
  </si>
  <si>
    <t>1-9950</t>
  </si>
  <si>
    <t>1-9971</t>
  </si>
  <si>
    <t>1-9972</t>
  </si>
  <si>
    <t>1-9973</t>
  </si>
  <si>
    <t>1-9974</t>
  </si>
  <si>
    <t>1-9976</t>
  </si>
  <si>
    <t>1-9984</t>
  </si>
  <si>
    <t>1-9993</t>
  </si>
  <si>
    <t>1-9996</t>
  </si>
  <si>
    <t>1-9999</t>
  </si>
  <si>
    <t>20019</t>
  </si>
  <si>
    <t>20090</t>
  </si>
  <si>
    <t>20123</t>
  </si>
  <si>
    <t>20183</t>
  </si>
  <si>
    <t>20184</t>
  </si>
  <si>
    <t>20187</t>
  </si>
  <si>
    <t>20209</t>
  </si>
  <si>
    <t>20242</t>
  </si>
  <si>
    <t>20248</t>
  </si>
  <si>
    <t>20274</t>
  </si>
  <si>
    <t>20280</t>
  </si>
  <si>
    <t>20285</t>
  </si>
  <si>
    <t>20296</t>
  </si>
  <si>
    <t>20304</t>
  </si>
  <si>
    <t>20306</t>
  </si>
  <si>
    <t>20307</t>
  </si>
  <si>
    <t>20329</t>
  </si>
  <si>
    <t>20359</t>
  </si>
  <si>
    <t>20368</t>
  </si>
  <si>
    <t>20387</t>
  </si>
  <si>
    <t>20403</t>
  </si>
  <si>
    <t>20418</t>
  </si>
  <si>
    <t>20419</t>
  </si>
  <si>
    <t>20431</t>
  </si>
  <si>
    <t>20441</t>
  </si>
  <si>
    <t>20452</t>
  </si>
  <si>
    <t>20453</t>
  </si>
  <si>
    <t>20454</t>
  </si>
  <si>
    <t>20482</t>
  </si>
  <si>
    <t>20484</t>
  </si>
  <si>
    <t>20515</t>
  </si>
  <si>
    <t>20516</t>
  </si>
  <si>
    <t>20519</t>
  </si>
  <si>
    <t>20553</t>
  </si>
  <si>
    <t>20572</t>
  </si>
  <si>
    <t>20578</t>
  </si>
  <si>
    <t>20579</t>
  </si>
  <si>
    <t>20580</t>
  </si>
  <si>
    <t>20598</t>
  </si>
  <si>
    <t>20608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</si>
  <si>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</si>
  <si>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</si>
  <si>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</si>
  <si>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</si>
  <si>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</si>
  <si>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</si>
  <si>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</si>
  <si>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</si>
  <si>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</si>
  <si>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</si>
  <si>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</si>
  <si>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</si>
  <si>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</si>
  <si>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</si>
  <si>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</si>
  <si>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20651</t>
  </si>
  <si>
    <t>20652</t>
  </si>
  <si>
    <t>20653</t>
  </si>
  <si>
    <t>20687</t>
  </si>
  <si>
    <t>20700</t>
  </si>
  <si>
    <t>20702</t>
  </si>
  <si>
    <t>20722</t>
  </si>
  <si>
    <t>20723</t>
  </si>
  <si>
    <t>20724</t>
  </si>
  <si>
    <t>20726</t>
  </si>
  <si>
    <t>20727</t>
  </si>
  <si>
    <t>20747</t>
  </si>
  <si>
    <t>20749</t>
  </si>
  <si>
    <t>20760</t>
  </si>
  <si>
    <t>20773</t>
  </si>
  <si>
    <t>20774</t>
  </si>
  <si>
    <t>20778</t>
  </si>
  <si>
    <t>20786</t>
  </si>
  <si>
    <t>20787</t>
  </si>
  <si>
    <t>20795</t>
  </si>
  <si>
    <t>20800</t>
  </si>
  <si>
    <t>20801</t>
  </si>
  <si>
    <t>20803</t>
  </si>
  <si>
    <t>20804</t>
  </si>
  <si>
    <t>20807</t>
  </si>
  <si>
    <t>20808</t>
  </si>
  <si>
    <t>20810</t>
  </si>
  <si>
    <t>20823</t>
  </si>
  <si>
    <t>20850</t>
  </si>
  <si>
    <t>20852</t>
  </si>
  <si>
    <t>20870</t>
  </si>
  <si>
    <t>20872</t>
  </si>
  <si>
    <t>20877</t>
  </si>
  <si>
    <t>20879</t>
  </si>
  <si>
    <t>20881</t>
  </si>
  <si>
    <t>20882</t>
  </si>
  <si>
    <t>20887</t>
  </si>
  <si>
    <t>20892</t>
  </si>
  <si>
    <t>20893</t>
  </si>
  <si>
    <t>20898</t>
  </si>
  <si>
    <t>20900</t>
  </si>
  <si>
    <t>20902</t>
  </si>
  <si>
    <t>20903</t>
  </si>
  <si>
    <t>20922</t>
  </si>
  <si>
    <t>20923</t>
  </si>
  <si>
    <t>20927</t>
  </si>
  <si>
    <t>20928</t>
  </si>
  <si>
    <t>20929</t>
  </si>
  <si>
    <t>20930</t>
  </si>
  <si>
    <t>20932</t>
  </si>
  <si>
    <t>20933</t>
  </si>
  <si>
    <t>20956</t>
  </si>
  <si>
    <t>20957</t>
  </si>
  <si>
    <t>20958</t>
  </si>
  <si>
    <t>20959</t>
  </si>
  <si>
    <t>20963</t>
  </si>
  <si>
    <t>20969</t>
  </si>
  <si>
    <t>20976</t>
  </si>
  <si>
    <t>20979</t>
  </si>
  <si>
    <t>20982</t>
  </si>
  <si>
    <t>20987</t>
  </si>
  <si>
    <t>20988</t>
  </si>
  <si>
    <t>20990</t>
  </si>
  <si>
    <t>20991</t>
  </si>
  <si>
    <t>20993</t>
  </si>
  <si>
    <t>20996</t>
  </si>
  <si>
    <t>21029</t>
  </si>
  <si>
    <t>21031</t>
  </si>
  <si>
    <t>21033</t>
  </si>
  <si>
    <t>21036</t>
  </si>
  <si>
    <t>21041</t>
  </si>
  <si>
    <t>21042</t>
  </si>
  <si>
    <t>21044</t>
  </si>
  <si>
    <t>21045</t>
  </si>
  <si>
    <t>21049</t>
  </si>
  <si>
    <t>21050</t>
  </si>
  <si>
    <t>21051</t>
  </si>
  <si>
    <t>21053</t>
  </si>
  <si>
    <t>21055</t>
  </si>
  <si>
    <t>21056</t>
  </si>
  <si>
    <t>21059</t>
  </si>
  <si>
    <t>21071</t>
  </si>
  <si>
    <t>21073</t>
  </si>
  <si>
    <t>21074</t>
  </si>
  <si>
    <t>21077</t>
  </si>
  <si>
    <t>21080</t>
  </si>
  <si>
    <t>21081</t>
  </si>
  <si>
    <t>21085</t>
  </si>
  <si>
    <t>21090</t>
  </si>
  <si>
    <t>21091</t>
  </si>
  <si>
    <t>21093</t>
  </si>
  <si>
    <t>21096</t>
  </si>
  <si>
    <t>21101</t>
  </si>
  <si>
    <t>21113</t>
  </si>
  <si>
    <t>21118</t>
  </si>
  <si>
    <t>21121</t>
  </si>
  <si>
    <t>21124</t>
  </si>
  <si>
    <t>21127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</si>
  <si>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</si>
  <si>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</si>
  <si>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</si>
  <si>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</si>
  <si>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</si>
  <si>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</si>
  <si>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</si>
  <si>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</si>
  <si>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</si>
  <si>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</si>
  <si>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</si>
  <si>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</si>
  <si>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</si>
  <si>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</si>
  <si>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21149</t>
  </si>
  <si>
    <t>21150</t>
  </si>
  <si>
    <t>21151</t>
  </si>
  <si>
    <t>21156</t>
  </si>
  <si>
    <t>21157</t>
  </si>
  <si>
    <t>21158</t>
  </si>
  <si>
    <t>21161</t>
  </si>
  <si>
    <t>21163</t>
  </si>
  <si>
    <t>21164</t>
  </si>
  <si>
    <t>21165</t>
  </si>
  <si>
    <t>21166</t>
  </si>
  <si>
    <t>21167</t>
  </si>
  <si>
    <t>21168</t>
  </si>
  <si>
    <t>21171</t>
  </si>
  <si>
    <t>21173</t>
  </si>
  <si>
    <t>21186</t>
  </si>
  <si>
    <t>21187</t>
  </si>
  <si>
    <t>21188</t>
  </si>
  <si>
    <t>21190</t>
  </si>
  <si>
    <t>21192</t>
  </si>
  <si>
    <t>21194</t>
  </si>
  <si>
    <t>21195</t>
  </si>
  <si>
    <t>21196</t>
  </si>
  <si>
    <t>21199</t>
  </si>
  <si>
    <t>21200</t>
  </si>
  <si>
    <t>21201</t>
  </si>
  <si>
    <t>21205</t>
  </si>
  <si>
    <t>21211</t>
  </si>
  <si>
    <t>21214</t>
  </si>
  <si>
    <t>21215</t>
  </si>
  <si>
    <t>21216</t>
  </si>
  <si>
    <t>21217</t>
  </si>
  <si>
    <t>21218</t>
  </si>
  <si>
    <t>21219</t>
  </si>
  <si>
    <t>21220</t>
  </si>
  <si>
    <t>21225</t>
  </si>
  <si>
    <t>21229</t>
  </si>
  <si>
    <t>21230</t>
  </si>
  <si>
    <t>21233</t>
  </si>
  <si>
    <t>21234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</si>
  <si>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</si>
  <si>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</si>
  <si>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</si>
  <si>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</si>
  <si>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</si>
  <si>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</si>
  <si>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</si>
  <si>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</si>
  <si>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</si>
  <si>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2-1246</t>
  </si>
  <si>
    <t>21250</t>
  </si>
  <si>
    <t>21252</t>
  </si>
  <si>
    <t>21253</t>
  </si>
  <si>
    <t>21256</t>
  </si>
  <si>
    <t>21259</t>
  </si>
  <si>
    <t>21260</t>
  </si>
  <si>
    <t>21277</t>
  </si>
  <si>
    <t>21279</t>
  </si>
  <si>
    <t>21281</t>
  </si>
  <si>
    <t>21282</t>
  </si>
  <si>
    <t>21284</t>
  </si>
  <si>
    <t>21285</t>
  </si>
  <si>
    <t>21287</t>
  </si>
  <si>
    <t>21288</t>
  </si>
  <si>
    <t>21289</t>
  </si>
  <si>
    <t>21292</t>
  </si>
  <si>
    <t>21295</t>
  </si>
  <si>
    <t>21296</t>
  </si>
  <si>
    <t>21297</t>
  </si>
  <si>
    <t>21299</t>
  </si>
  <si>
    <t>21305</t>
  </si>
  <si>
    <t>21306</t>
  </si>
  <si>
    <t>21307</t>
  </si>
  <si>
    <t>21308</t>
  </si>
  <si>
    <t>21309</t>
  </si>
  <si>
    <t>21312</t>
  </si>
  <si>
    <t>21313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</si>
  <si>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</si>
  <si>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</si>
  <si>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</si>
  <si>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</si>
  <si>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</si>
  <si>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</si>
  <si>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</si>
  <si>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</si>
  <si>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</si>
  <si>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</si>
  <si>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</si>
  <si>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</si>
  <si>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</si>
  <si>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</si>
  <si>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21332</t>
  </si>
  <si>
    <t>21333</t>
  </si>
  <si>
    <t>2-1335</t>
  </si>
  <si>
    <t>21339</t>
  </si>
  <si>
    <t>2-1341</t>
  </si>
  <si>
    <t>21345</t>
  </si>
  <si>
    <t>21349</t>
  </si>
  <si>
    <t>21351</t>
  </si>
  <si>
    <t>21352</t>
  </si>
  <si>
    <t>21359</t>
  </si>
  <si>
    <t>21364</t>
  </si>
  <si>
    <t>21365</t>
  </si>
  <si>
    <t>21370</t>
  </si>
  <si>
    <t>21371</t>
  </si>
  <si>
    <t>21372</t>
  </si>
  <si>
    <t>21375</t>
  </si>
  <si>
    <t>2-1377</t>
  </si>
  <si>
    <t>21382</t>
  </si>
  <si>
    <t>21383</t>
  </si>
  <si>
    <t>21384</t>
  </si>
  <si>
    <t>21385</t>
  </si>
  <si>
    <t>21386</t>
  </si>
  <si>
    <t>21388</t>
  </si>
  <si>
    <t>21389</t>
  </si>
  <si>
    <t>21390</t>
  </si>
  <si>
    <t>21391</t>
  </si>
  <si>
    <t>21392</t>
  </si>
  <si>
    <t>21393</t>
  </si>
  <si>
    <t>21394</t>
  </si>
  <si>
    <t>21397</t>
  </si>
  <si>
    <t>21398</t>
  </si>
  <si>
    <t>21399</t>
  </si>
  <si>
    <t>21400</t>
  </si>
  <si>
    <t>21402</t>
  </si>
  <si>
    <t>21403</t>
  </si>
  <si>
    <t>21405</t>
  </si>
  <si>
    <t>21406</t>
  </si>
  <si>
    <t>21408</t>
  </si>
  <si>
    <t>21409</t>
  </si>
  <si>
    <t>21410</t>
  </si>
  <si>
    <t>21412</t>
  </si>
  <si>
    <t>21414</t>
  </si>
  <si>
    <t>21415</t>
  </si>
  <si>
    <t>21417</t>
  </si>
  <si>
    <t>21424</t>
  </si>
  <si>
    <t>21432</t>
  </si>
  <si>
    <t>21433</t>
  </si>
  <si>
    <t>21435</t>
  </si>
  <si>
    <t>21436</t>
  </si>
  <si>
    <t>21438</t>
  </si>
  <si>
    <t>21439</t>
  </si>
  <si>
    <t>21440</t>
  </si>
  <si>
    <t>21444</t>
  </si>
  <si>
    <t>21445</t>
  </si>
  <si>
    <t>21446</t>
  </si>
  <si>
    <t>21447</t>
  </si>
  <si>
    <t>21453</t>
  </si>
  <si>
    <t>21454</t>
  </si>
  <si>
    <t>21455</t>
  </si>
  <si>
    <t>21456</t>
  </si>
  <si>
    <t>21463</t>
  </si>
  <si>
    <t>21465</t>
  </si>
  <si>
    <t>21469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</si>
  <si>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</si>
  <si>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</si>
  <si>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</si>
  <si>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</si>
  <si>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</si>
  <si>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</si>
  <si>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</si>
  <si>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</si>
  <si>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21482</t>
  </si>
  <si>
    <t>21487</t>
  </si>
  <si>
    <t>21489</t>
  </si>
  <si>
    <t>21501</t>
  </si>
  <si>
    <t>21505</t>
  </si>
  <si>
    <t>21509</t>
  </si>
  <si>
    <t>21511</t>
  </si>
  <si>
    <t>21512</t>
  </si>
  <si>
    <t>21525</t>
  </si>
  <si>
    <t>21527</t>
  </si>
  <si>
    <t>21563</t>
  </si>
  <si>
    <t>21587</t>
  </si>
  <si>
    <t>21593</t>
  </si>
  <si>
    <t>21594</t>
  </si>
  <si>
    <t>21598</t>
  </si>
  <si>
    <t>21635</t>
  </si>
  <si>
    <t>21662</t>
  </si>
  <si>
    <t>21706</t>
  </si>
  <si>
    <t>21708</t>
  </si>
  <si>
    <t>21726</t>
  </si>
  <si>
    <t>21732</t>
  </si>
  <si>
    <t>21734</t>
  </si>
  <si>
    <t>21736</t>
  </si>
  <si>
    <t>21737</t>
  </si>
  <si>
    <t>21738</t>
  </si>
  <si>
    <t>21739</t>
  </si>
  <si>
    <t>21740</t>
  </si>
  <si>
    <t>21741</t>
  </si>
  <si>
    <t>21743</t>
  </si>
  <si>
    <t>21750</t>
  </si>
  <si>
    <t>21751</t>
  </si>
  <si>
    <t>21752</t>
  </si>
  <si>
    <t>21756</t>
  </si>
  <si>
    <t>21757</t>
  </si>
  <si>
    <t>21764</t>
  </si>
  <si>
    <t>21766</t>
  </si>
  <si>
    <t>21767</t>
  </si>
  <si>
    <t>21768</t>
  </si>
  <si>
    <t>21774</t>
  </si>
  <si>
    <t>21775</t>
  </si>
  <si>
    <t>21794</t>
  </si>
  <si>
    <t>21801</t>
  </si>
  <si>
    <t>21802</t>
  </si>
  <si>
    <t>21806</t>
  </si>
  <si>
    <t>21815</t>
  </si>
  <si>
    <t>21821</t>
  </si>
  <si>
    <t>21822</t>
  </si>
  <si>
    <t>21828</t>
  </si>
  <si>
    <t>21833</t>
  </si>
  <si>
    <t>21835</t>
  </si>
  <si>
    <t>21838</t>
  </si>
  <si>
    <t>21840</t>
  </si>
  <si>
    <t>21842</t>
  </si>
  <si>
    <t>21845</t>
  </si>
  <si>
    <t>21847</t>
  </si>
  <si>
    <t>21849</t>
  </si>
  <si>
    <t>21850</t>
  </si>
  <si>
    <t>21851</t>
  </si>
  <si>
    <t>21855</t>
  </si>
  <si>
    <t>21856</t>
  </si>
  <si>
    <t>21858</t>
  </si>
  <si>
    <t>21860</t>
  </si>
  <si>
    <t>21861</t>
  </si>
  <si>
    <t>21862</t>
  </si>
  <si>
    <t>21863</t>
  </si>
  <si>
    <t>21866</t>
  </si>
  <si>
    <t>21867</t>
  </si>
  <si>
    <t>21869</t>
  </si>
  <si>
    <t>21871</t>
  </si>
  <si>
    <t>21878</t>
  </si>
  <si>
    <t>21883</t>
  </si>
  <si>
    <t>21889</t>
  </si>
  <si>
    <t>21890</t>
  </si>
  <si>
    <t>21892</t>
  </si>
  <si>
    <t>21894</t>
  </si>
  <si>
    <t>21897</t>
  </si>
  <si>
    <t>21920</t>
  </si>
  <si>
    <t>21923</t>
  </si>
  <si>
    <t>21925</t>
  </si>
  <si>
    <t>21927</t>
  </si>
  <si>
    <t>21930</t>
  </si>
  <si>
    <t>21931</t>
  </si>
  <si>
    <t>21932</t>
  </si>
  <si>
    <t>21940</t>
  </si>
  <si>
    <t>21942</t>
  </si>
  <si>
    <t>21943</t>
  </si>
  <si>
    <t>21944</t>
  </si>
  <si>
    <t>21946</t>
  </si>
  <si>
    <t>21957</t>
  </si>
  <si>
    <t>21962</t>
  </si>
  <si>
    <t>21965</t>
  </si>
  <si>
    <t>21972</t>
  </si>
  <si>
    <t>21974</t>
  </si>
  <si>
    <t>21975</t>
  </si>
  <si>
    <t>21976</t>
  </si>
  <si>
    <t>21980</t>
  </si>
  <si>
    <t>21981</t>
  </si>
  <si>
    <t>21987</t>
  </si>
  <si>
    <t>21988</t>
  </si>
  <si>
    <t>21993</t>
  </si>
  <si>
    <t>21998</t>
  </si>
  <si>
    <t>22001</t>
  </si>
  <si>
    <t>22003</t>
  </si>
  <si>
    <t>22006</t>
  </si>
  <si>
    <t>22007</t>
  </si>
  <si>
    <t>22008</t>
  </si>
  <si>
    <t>22013</t>
  </si>
  <si>
    <t>22017</t>
  </si>
  <si>
    <t>22018</t>
  </si>
  <si>
    <t>22029</t>
  </si>
  <si>
    <t>22032</t>
  </si>
  <si>
    <t>22033</t>
  </si>
  <si>
    <t>22034</t>
  </si>
  <si>
    <t>22035</t>
  </si>
  <si>
    <t>22038</t>
  </si>
  <si>
    <t>22039</t>
  </si>
  <si>
    <t>22041</t>
  </si>
  <si>
    <t>22048</t>
  </si>
  <si>
    <t>22054</t>
  </si>
  <si>
    <t>22057</t>
  </si>
  <si>
    <t>22063</t>
  </si>
  <si>
    <t>22066</t>
  </si>
  <si>
    <t>22073</t>
  </si>
  <si>
    <t>22076</t>
  </si>
  <si>
    <t>22089</t>
  </si>
  <si>
    <t>22090</t>
  </si>
  <si>
    <t>22094</t>
  </si>
  <si>
    <t>22098</t>
  </si>
  <si>
    <t>22099</t>
  </si>
  <si>
    <t>22100</t>
  </si>
  <si>
    <t>22101</t>
  </si>
  <si>
    <t>22107</t>
  </si>
  <si>
    <t>22115</t>
  </si>
  <si>
    <t>22140</t>
  </si>
  <si>
    <t>22142</t>
  </si>
  <si>
    <t>22163</t>
  </si>
  <si>
    <t>22174</t>
  </si>
  <si>
    <t>22175</t>
  </si>
  <si>
    <t>22176</t>
  </si>
  <si>
    <t>22177</t>
  </si>
  <si>
    <t>22178</t>
  </si>
  <si>
    <t>22182</t>
  </si>
  <si>
    <t>22191</t>
  </si>
  <si>
    <t>22192</t>
  </si>
  <si>
    <t>22197</t>
  </si>
  <si>
    <t>22211</t>
  </si>
  <si>
    <t>22215</t>
  </si>
  <si>
    <t>22233</t>
  </si>
  <si>
    <t>22240</t>
  </si>
  <si>
    <t>22241</t>
  </si>
  <si>
    <t>22242</t>
  </si>
  <si>
    <t>22243</t>
  </si>
  <si>
    <t>22244</t>
  </si>
  <si>
    <t>22245</t>
  </si>
  <si>
    <t>22248</t>
  </si>
  <si>
    <t>22253</t>
  </si>
  <si>
    <t>22262</t>
  </si>
  <si>
    <t>22263</t>
  </si>
  <si>
    <t>22266</t>
  </si>
  <si>
    <t>22274</t>
  </si>
  <si>
    <t>22281</t>
  </si>
  <si>
    <t>22314</t>
  </si>
  <si>
    <t>22327</t>
  </si>
  <si>
    <t>22328</t>
  </si>
  <si>
    <t>22329</t>
  </si>
  <si>
    <t>22330</t>
  </si>
  <si>
    <t>22334</t>
  </si>
  <si>
    <t>22335</t>
  </si>
  <si>
    <t>22336</t>
  </si>
  <si>
    <t>22339</t>
  </si>
  <si>
    <t>22347</t>
  </si>
  <si>
    <t>22348</t>
  </si>
  <si>
    <t>22361</t>
  </si>
  <si>
    <t>22364</t>
  </si>
  <si>
    <t>22369</t>
  </si>
  <si>
    <t>22371</t>
  </si>
  <si>
    <t>22376</t>
  </si>
  <si>
    <t>22378</t>
  </si>
  <si>
    <t>22391</t>
  </si>
  <si>
    <t>22401</t>
  </si>
  <si>
    <t>22402</t>
  </si>
  <si>
    <t>22403</t>
  </si>
  <si>
    <t>22407</t>
  </si>
  <si>
    <t>22437</t>
  </si>
  <si>
    <t>22441</t>
  </si>
  <si>
    <t>22442</t>
  </si>
  <si>
    <t>22443</t>
  </si>
  <si>
    <t>22445</t>
  </si>
  <si>
    <t>22447</t>
  </si>
  <si>
    <t>22448</t>
  </si>
  <si>
    <t>22449</t>
  </si>
  <si>
    <t>22450</t>
  </si>
  <si>
    <t>22451</t>
  </si>
  <si>
    <t>22452</t>
  </si>
  <si>
    <t>22454</t>
  </si>
  <si>
    <t>22457</t>
  </si>
  <si>
    <t>22459</t>
  </si>
  <si>
    <t>22466</t>
  </si>
  <si>
    <t>22469</t>
  </si>
  <si>
    <t>22470</t>
  </si>
  <si>
    <t>22484</t>
  </si>
  <si>
    <t>22527</t>
  </si>
  <si>
    <t>22529</t>
  </si>
  <si>
    <t>22531</t>
  </si>
  <si>
    <t>22532</t>
  </si>
  <si>
    <t>22533</t>
  </si>
  <si>
    <t>22540</t>
  </si>
  <si>
    <t>22547</t>
  </si>
  <si>
    <t>22550</t>
  </si>
  <si>
    <t>22553</t>
  </si>
  <si>
    <t>22572</t>
  </si>
  <si>
    <t>22593</t>
  </si>
  <si>
    <t>22599</t>
  </si>
  <si>
    <t>22627</t>
  </si>
  <si>
    <t>22631</t>
  </si>
  <si>
    <t>22641</t>
  </si>
  <si>
    <t>22642</t>
  </si>
  <si>
    <t>22643</t>
  </si>
  <si>
    <t>22653</t>
  </si>
  <si>
    <t>22659</t>
  </si>
  <si>
    <t>22671</t>
  </si>
  <si>
    <t>22682</t>
  </si>
  <si>
    <t>22683</t>
  </si>
  <si>
    <t>22693</t>
  </si>
  <si>
    <t>22699</t>
  </si>
  <si>
    <t>22704</t>
  </si>
  <si>
    <t>22722</t>
  </si>
  <si>
    <t>22739</t>
  </si>
  <si>
    <t>22768</t>
  </si>
  <si>
    <t>22775</t>
  </si>
  <si>
    <t>22794</t>
  </si>
  <si>
    <t>22814</t>
  </si>
  <si>
    <t>22816</t>
  </si>
  <si>
    <t>22818</t>
  </si>
  <si>
    <t>22819</t>
  </si>
  <si>
    <t>22820</t>
  </si>
  <si>
    <t>22821</t>
  </si>
  <si>
    <t>22822</t>
  </si>
  <si>
    <t>22823</t>
  </si>
  <si>
    <t>22830</t>
  </si>
  <si>
    <t>22831</t>
  </si>
  <si>
    <t>22838</t>
  </si>
  <si>
    <t>22841</t>
  </si>
  <si>
    <t>22851</t>
  </si>
  <si>
    <t>22859</t>
  </si>
  <si>
    <t>22884</t>
  </si>
  <si>
    <t>22885</t>
  </si>
  <si>
    <t>22886</t>
  </si>
  <si>
    <t>22899</t>
  </si>
  <si>
    <t>22912</t>
  </si>
  <si>
    <t>22913</t>
  </si>
  <si>
    <t>22915</t>
  </si>
  <si>
    <t>22917</t>
  </si>
  <si>
    <t>22930</t>
  </si>
  <si>
    <t>22933</t>
  </si>
  <si>
    <t>22936</t>
  </si>
  <si>
    <t>22937</t>
  </si>
  <si>
    <t>22938</t>
  </si>
  <si>
    <t>22939</t>
  </si>
  <si>
    <t>22941</t>
  </si>
  <si>
    <t>22942</t>
  </si>
  <si>
    <t>22944</t>
  </si>
  <si>
    <t>22945</t>
  </si>
  <si>
    <t>22950</t>
  </si>
  <si>
    <t>22951</t>
  </si>
  <si>
    <t>22953</t>
  </si>
  <si>
    <t>22957</t>
  </si>
  <si>
    <t>22959</t>
  </si>
  <si>
    <t>22960</t>
  </si>
  <si>
    <t>22963</t>
  </si>
  <si>
    <t>22974</t>
  </si>
  <si>
    <t>22976</t>
  </si>
  <si>
    <t>22977</t>
  </si>
  <si>
    <t>22985</t>
  </si>
  <si>
    <t>22986</t>
  </si>
  <si>
    <t>22987</t>
  </si>
  <si>
    <t>22989</t>
  </si>
  <si>
    <t>22994</t>
  </si>
  <si>
    <t>22995</t>
  </si>
  <si>
    <t>22998</t>
  </si>
  <si>
    <t>23001.006</t>
  </si>
  <si>
    <t>23001.010</t>
  </si>
  <si>
    <t>23001.020</t>
  </si>
  <si>
    <t>23001.040</t>
  </si>
  <si>
    <t>23001.060</t>
  </si>
  <si>
    <t>23001.080</t>
  </si>
  <si>
    <t>23001.100</t>
  </si>
  <si>
    <t>23001.150</t>
  </si>
  <si>
    <t>23001.325</t>
  </si>
  <si>
    <t>23001.ORF</t>
  </si>
  <si>
    <t>23001.P010</t>
  </si>
  <si>
    <t>23001.PORF</t>
  </si>
  <si>
    <t>23001.PT</t>
  </si>
  <si>
    <t>23001.T</t>
  </si>
  <si>
    <t>23003</t>
  </si>
  <si>
    <t>23005</t>
  </si>
  <si>
    <t>23006.010</t>
  </si>
  <si>
    <t>23006.020</t>
  </si>
  <si>
    <t>23006.040</t>
  </si>
  <si>
    <t>23006.060</t>
  </si>
  <si>
    <t>23006.100</t>
  </si>
  <si>
    <t>23006.120</t>
  </si>
  <si>
    <t>23006.150</t>
  </si>
  <si>
    <t>23006.200</t>
  </si>
  <si>
    <t>23006.325</t>
  </si>
  <si>
    <t>23006.ORF</t>
  </si>
  <si>
    <t>23006.P060</t>
  </si>
  <si>
    <t>23006.PORF</t>
  </si>
  <si>
    <t>23006.PRT</t>
  </si>
  <si>
    <t>23006.PT</t>
  </si>
  <si>
    <t>23006.RT</t>
  </si>
  <si>
    <t>23006.T</t>
  </si>
  <si>
    <t>23020.010</t>
  </si>
  <si>
    <t>23020.020</t>
  </si>
  <si>
    <t>23020.040</t>
  </si>
  <si>
    <t>23020.060</t>
  </si>
  <si>
    <t>23020.100</t>
  </si>
  <si>
    <t>23020.150</t>
  </si>
  <si>
    <t>23020.325</t>
  </si>
  <si>
    <t>23020.ORF</t>
  </si>
  <si>
    <t>23020.PO</t>
  </si>
  <si>
    <t>23020.PT</t>
  </si>
  <si>
    <t>23020.T</t>
  </si>
  <si>
    <t>23023</t>
  </si>
  <si>
    <t>23031</t>
  </si>
  <si>
    <t>23033</t>
  </si>
  <si>
    <t>23038</t>
  </si>
  <si>
    <t>23040</t>
  </si>
  <si>
    <t>23053</t>
  </si>
  <si>
    <t>23083</t>
  </si>
  <si>
    <t>23085</t>
  </si>
  <si>
    <t>23086</t>
  </si>
  <si>
    <t>23088</t>
  </si>
  <si>
    <t>23089</t>
  </si>
  <si>
    <t>23120</t>
  </si>
  <si>
    <t>23122</t>
  </si>
  <si>
    <t>23124</t>
  </si>
  <si>
    <t>23127</t>
  </si>
  <si>
    <t>23134</t>
  </si>
  <si>
    <t>23136</t>
  </si>
  <si>
    <t>23139</t>
  </si>
  <si>
    <t>23140</t>
  </si>
  <si>
    <t>23151</t>
  </si>
  <si>
    <t>23153</t>
  </si>
  <si>
    <t>23170</t>
  </si>
  <si>
    <t>23171</t>
  </si>
  <si>
    <t>23172</t>
  </si>
  <si>
    <t>23176</t>
  </si>
  <si>
    <t>23181</t>
  </si>
  <si>
    <t>23184.100</t>
  </si>
  <si>
    <t>23184.T</t>
  </si>
  <si>
    <t>23192</t>
  </si>
  <si>
    <t>23197</t>
  </si>
  <si>
    <t>23201</t>
  </si>
  <si>
    <t>23202</t>
  </si>
  <si>
    <t>23203</t>
  </si>
  <si>
    <t>23204</t>
  </si>
  <si>
    <t>23212</t>
  </si>
  <si>
    <t>23214</t>
  </si>
  <si>
    <t>23217</t>
  </si>
  <si>
    <t>23225</t>
  </si>
  <si>
    <t>23228</t>
  </si>
  <si>
    <t>23229.100</t>
  </si>
  <si>
    <t>23229.ORF</t>
  </si>
  <si>
    <t>23229.PORF</t>
  </si>
  <si>
    <t>23230.040</t>
  </si>
  <si>
    <t>23237</t>
  </si>
  <si>
    <t>23247</t>
  </si>
  <si>
    <t>23262</t>
  </si>
  <si>
    <t>23263</t>
  </si>
  <si>
    <t>23275</t>
  </si>
  <si>
    <t>23276</t>
  </si>
  <si>
    <t>23278</t>
  </si>
  <si>
    <t>23293</t>
  </si>
  <si>
    <t>23296</t>
  </si>
  <si>
    <t>23297</t>
  </si>
  <si>
    <t>23300</t>
  </si>
  <si>
    <t>23301</t>
  </si>
  <si>
    <t>23304</t>
  </si>
  <si>
    <t>23312</t>
  </si>
  <si>
    <t>23315</t>
  </si>
  <si>
    <t>23321</t>
  </si>
  <si>
    <t>23325</t>
  </si>
  <si>
    <t>23331</t>
  </si>
  <si>
    <t>23332</t>
  </si>
  <si>
    <t>23333</t>
  </si>
  <si>
    <t>23337</t>
  </si>
  <si>
    <t>23338</t>
  </si>
  <si>
    <t>23339</t>
  </si>
  <si>
    <t>23341</t>
  </si>
  <si>
    <t>23350</t>
  </si>
  <si>
    <t>23352</t>
  </si>
  <si>
    <t>23356</t>
  </si>
  <si>
    <t>23374</t>
  </si>
  <si>
    <t>23375</t>
  </si>
  <si>
    <t>23376</t>
  </si>
  <si>
    <t>2-3377</t>
  </si>
  <si>
    <t>23379</t>
  </si>
  <si>
    <t>2-3382</t>
  </si>
  <si>
    <t>23383</t>
  </si>
  <si>
    <t>23384</t>
  </si>
  <si>
    <t>23388</t>
  </si>
  <si>
    <t>23389</t>
  </si>
  <si>
    <t>23397</t>
  </si>
  <si>
    <t>23400</t>
  </si>
  <si>
    <t>23407</t>
  </si>
  <si>
    <t>23411</t>
  </si>
  <si>
    <t>23419</t>
  </si>
  <si>
    <t>23423</t>
  </si>
  <si>
    <t>23434</t>
  </si>
  <si>
    <t>23434.VRG</t>
  </si>
  <si>
    <t>23435</t>
  </si>
  <si>
    <t>23435.VRG</t>
  </si>
  <si>
    <t>23436</t>
  </si>
  <si>
    <t>23437</t>
  </si>
  <si>
    <t>23439</t>
  </si>
  <si>
    <t>23440</t>
  </si>
  <si>
    <t>23441</t>
  </si>
  <si>
    <t>23447</t>
  </si>
  <si>
    <t>23447.C01</t>
  </si>
  <si>
    <t>23469</t>
  </si>
  <si>
    <t>23470</t>
  </si>
  <si>
    <t>23478</t>
  </si>
  <si>
    <t>23479</t>
  </si>
  <si>
    <t>23482</t>
  </si>
  <si>
    <t>23498</t>
  </si>
  <si>
    <t>23525</t>
  </si>
  <si>
    <t>23562</t>
  </si>
  <si>
    <t>23574</t>
  </si>
  <si>
    <t>23575</t>
  </si>
  <si>
    <t>23579</t>
  </si>
  <si>
    <t>23580</t>
  </si>
  <si>
    <t>23585</t>
  </si>
  <si>
    <t>23597</t>
  </si>
  <si>
    <t>23599</t>
  </si>
  <si>
    <t>23605</t>
  </si>
  <si>
    <t>23606</t>
  </si>
  <si>
    <t>23609</t>
  </si>
  <si>
    <t>23616</t>
  </si>
  <si>
    <t>23618</t>
  </si>
  <si>
    <t>23619</t>
  </si>
  <si>
    <t>23620</t>
  </si>
  <si>
    <t>23621</t>
  </si>
  <si>
    <t>23622</t>
  </si>
  <si>
    <t>23623</t>
  </si>
  <si>
    <t>23626</t>
  </si>
  <si>
    <t>23629</t>
  </si>
  <si>
    <t>23632</t>
  </si>
  <si>
    <t>23636</t>
  </si>
  <si>
    <t>23639</t>
  </si>
  <si>
    <t>23642</t>
  </si>
  <si>
    <t>23643</t>
  </si>
  <si>
    <t>23644</t>
  </si>
  <si>
    <t>23645</t>
  </si>
  <si>
    <t>23646</t>
  </si>
  <si>
    <t>23651</t>
  </si>
  <si>
    <t>23660</t>
  </si>
  <si>
    <t>23667</t>
  </si>
  <si>
    <t>23669</t>
  </si>
  <si>
    <t>23670</t>
  </si>
  <si>
    <t>23671</t>
  </si>
  <si>
    <t>23677</t>
  </si>
  <si>
    <t>23691</t>
  </si>
  <si>
    <t>23697</t>
  </si>
  <si>
    <t>23704</t>
  </si>
  <si>
    <t>23705</t>
  </si>
  <si>
    <t>23710</t>
  </si>
  <si>
    <t>23715</t>
  </si>
  <si>
    <t>23718</t>
  </si>
  <si>
    <t>23730</t>
  </si>
  <si>
    <t>23731</t>
  </si>
  <si>
    <t>23736</t>
  </si>
  <si>
    <t>23738</t>
  </si>
  <si>
    <t>23769</t>
  </si>
  <si>
    <t>23790</t>
  </si>
  <si>
    <t>2-3796</t>
  </si>
  <si>
    <t>23797</t>
  </si>
  <si>
    <t>23813</t>
  </si>
  <si>
    <t>23832</t>
  </si>
  <si>
    <t>23864</t>
  </si>
  <si>
    <t>23870.1</t>
  </si>
  <si>
    <t>23870.10</t>
  </si>
  <si>
    <t>23870.11</t>
  </si>
  <si>
    <t>23870.12</t>
  </si>
  <si>
    <t>23870.13</t>
  </si>
  <si>
    <t>23870.14</t>
  </si>
  <si>
    <t>23870.15</t>
  </si>
  <si>
    <t>23870.16</t>
  </si>
  <si>
    <t>23870.2</t>
  </si>
  <si>
    <t>23870.3</t>
  </si>
  <si>
    <t>23870.4</t>
  </si>
  <si>
    <t>23870.5</t>
  </si>
  <si>
    <t>23870.7</t>
  </si>
  <si>
    <t>23870.8</t>
  </si>
  <si>
    <t>23870.9</t>
  </si>
  <si>
    <t>23878</t>
  </si>
  <si>
    <t>23890</t>
  </si>
  <si>
    <t>23911</t>
  </si>
  <si>
    <t>23930</t>
  </si>
  <si>
    <t>23932</t>
  </si>
  <si>
    <t>23971</t>
  </si>
  <si>
    <t>23988</t>
  </si>
  <si>
    <t>23997</t>
  </si>
  <si>
    <t>24003</t>
  </si>
  <si>
    <t>24013</t>
  </si>
  <si>
    <t>24015</t>
  </si>
  <si>
    <t>24023</t>
  </si>
  <si>
    <t>24024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</si>
  <si>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</si>
  <si>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</si>
  <si>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</si>
  <si>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</si>
  <si>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</si>
  <si>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</si>
  <si>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</si>
  <si>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</si>
  <si>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</si>
  <si>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24042</t>
  </si>
  <si>
    <t>24044</t>
  </si>
  <si>
    <t>24055</t>
  </si>
  <si>
    <t>24055.1</t>
  </si>
  <si>
    <t>24100</t>
  </si>
  <si>
    <t>24104</t>
  </si>
  <si>
    <t>24114</t>
  </si>
  <si>
    <t>24123</t>
  </si>
  <si>
    <t>24128</t>
  </si>
  <si>
    <t>24146</t>
  </si>
  <si>
    <t>24149</t>
  </si>
  <si>
    <t>24169</t>
  </si>
  <si>
    <t>24198</t>
  </si>
  <si>
    <t>24200</t>
  </si>
  <si>
    <t>24244</t>
  </si>
  <si>
    <t>2-4303</t>
  </si>
  <si>
    <t>2-4304</t>
  </si>
  <si>
    <t>2-4332</t>
  </si>
  <si>
    <t>24333</t>
  </si>
  <si>
    <t>2-434</t>
  </si>
  <si>
    <t>24347</t>
  </si>
  <si>
    <t>24369</t>
  </si>
  <si>
    <t>24373</t>
  </si>
  <si>
    <t>24376</t>
  </si>
  <si>
    <t>24377</t>
  </si>
  <si>
    <t>24378</t>
  </si>
  <si>
    <t>24380</t>
  </si>
  <si>
    <t>24381</t>
  </si>
  <si>
    <t>24382</t>
  </si>
  <si>
    <t>24384</t>
  </si>
  <si>
    <t>24385</t>
  </si>
  <si>
    <t>24387</t>
  </si>
  <si>
    <t>24389</t>
  </si>
  <si>
    <t>24390</t>
  </si>
  <si>
    <t>24393</t>
  </si>
  <si>
    <t>24395</t>
  </si>
  <si>
    <t>24397</t>
  </si>
  <si>
    <t>24399</t>
  </si>
  <si>
    <t>24400</t>
  </si>
  <si>
    <t>24401</t>
  </si>
  <si>
    <t>24405</t>
  </si>
  <si>
    <t>24407</t>
  </si>
  <si>
    <t>24408</t>
  </si>
  <si>
    <t>24409</t>
  </si>
  <si>
    <t>24414</t>
  </si>
  <si>
    <t>24416</t>
  </si>
  <si>
    <t>24417</t>
  </si>
  <si>
    <t>24421</t>
  </si>
  <si>
    <t>24422</t>
  </si>
  <si>
    <t>24423</t>
  </si>
  <si>
    <t>24426</t>
  </si>
  <si>
    <t>24428</t>
  </si>
  <si>
    <t>24432</t>
  </si>
  <si>
    <t>24433</t>
  </si>
  <si>
    <t>24434</t>
  </si>
  <si>
    <t>24437</t>
  </si>
  <si>
    <t>24438</t>
  </si>
  <si>
    <t>24441</t>
  </si>
  <si>
    <t>24443</t>
  </si>
  <si>
    <t>24445</t>
  </si>
  <si>
    <t>24446</t>
  </si>
  <si>
    <t>24447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</si>
  <si>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</si>
  <si>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</si>
  <si>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</si>
  <si>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</si>
  <si>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</si>
  <si>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</si>
  <si>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</si>
  <si>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</si>
  <si>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</si>
  <si>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</si>
  <si>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</si>
  <si>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24461</t>
  </si>
  <si>
    <t>24462</t>
  </si>
  <si>
    <t>24464</t>
  </si>
  <si>
    <t>2-4485</t>
  </si>
  <si>
    <t>2-4515</t>
  </si>
  <si>
    <t>2-4568</t>
  </si>
  <si>
    <t>2-4624</t>
  </si>
  <si>
    <t>2-4766</t>
  </si>
  <si>
    <t>2-4767</t>
  </si>
  <si>
    <t>25001</t>
  </si>
  <si>
    <t>25002</t>
  </si>
  <si>
    <t>25003</t>
  </si>
  <si>
    <t>25004</t>
  </si>
  <si>
    <t>25005</t>
  </si>
  <si>
    <t>25006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</si>
  <si>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</si>
  <si>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</si>
  <si>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</si>
  <si>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</si>
  <si>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</si>
  <si>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</si>
  <si>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</si>
  <si>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</si>
  <si>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2-5037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</si>
  <si>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</si>
  <si>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</si>
  <si>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</si>
  <si>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</si>
  <si>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</si>
  <si>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</si>
  <si>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</si>
  <si>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</si>
  <si>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</si>
  <si>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</si>
  <si>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</si>
  <si>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</si>
  <si>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</si>
  <si>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</si>
  <si>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</si>
  <si>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2-520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</si>
  <si>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</si>
  <si>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</si>
  <si>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</si>
  <si>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</si>
  <si>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</si>
  <si>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</si>
  <si>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</si>
  <si>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</si>
  <si>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</si>
  <si>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</si>
  <si>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</si>
  <si>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</si>
  <si>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</si>
  <si>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</si>
  <si>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</si>
  <si>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</si>
  <si>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</si>
  <si>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</si>
  <si>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</si>
  <si>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</si>
  <si>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</si>
  <si>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</si>
  <si>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</si>
  <si>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</si>
  <si>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</si>
  <si>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</si>
  <si>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</si>
  <si>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</si>
  <si>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25317</t>
  </si>
  <si>
    <t>25321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</si>
  <si>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</si>
  <si>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</si>
  <si>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</si>
  <si>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</si>
  <si>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</si>
  <si>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</si>
  <si>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</si>
  <si>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</si>
  <si>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</si>
  <si>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</si>
  <si>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</si>
  <si>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</si>
  <si>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</si>
  <si>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25417</t>
  </si>
  <si>
    <t>25421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</si>
  <si>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</si>
  <si>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</si>
  <si>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</si>
  <si>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</si>
  <si>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</si>
  <si>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</si>
  <si>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</si>
  <si>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</si>
  <si>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</si>
  <si>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</si>
  <si>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</si>
  <si>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</si>
  <si>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</si>
  <si>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25517</t>
  </si>
  <si>
    <t>25521</t>
  </si>
  <si>
    <t>2-805</t>
  </si>
  <si>
    <t>2-8329</t>
  </si>
  <si>
    <t>2-8337</t>
  </si>
  <si>
    <t>2-8382</t>
  </si>
  <si>
    <t>2-8416</t>
  </si>
  <si>
    <t>2-8617</t>
  </si>
  <si>
    <t>2-8625</t>
  </si>
  <si>
    <t>2-8671</t>
  </si>
  <si>
    <t>2-8672</t>
  </si>
  <si>
    <t>2-8674</t>
  </si>
  <si>
    <t>2-8750</t>
  </si>
  <si>
    <t>2-8754</t>
  </si>
  <si>
    <t>2-8791</t>
  </si>
  <si>
    <t>2-8823</t>
  </si>
  <si>
    <t>2-8827</t>
  </si>
  <si>
    <t>2-8895</t>
  </si>
  <si>
    <t>2-8933</t>
  </si>
  <si>
    <t>2-8963</t>
  </si>
  <si>
    <t>2-8979</t>
  </si>
  <si>
    <t>2-8985</t>
  </si>
  <si>
    <t>2-8990</t>
  </si>
  <si>
    <t>2-8993</t>
  </si>
  <si>
    <t>2-9052</t>
  </si>
  <si>
    <t>2-9057</t>
  </si>
  <si>
    <t>2-9069</t>
  </si>
  <si>
    <t>2-9080</t>
  </si>
  <si>
    <t>2-9081</t>
  </si>
  <si>
    <t>2-9082</t>
  </si>
  <si>
    <t>2-9090</t>
  </si>
  <si>
    <t>2-9092</t>
  </si>
  <si>
    <t>2-9093</t>
  </si>
  <si>
    <t>2-9112</t>
  </si>
  <si>
    <t>2-9114</t>
  </si>
  <si>
    <t>2-9115</t>
  </si>
  <si>
    <t>2-9116</t>
  </si>
  <si>
    <t>2-9126</t>
  </si>
  <si>
    <t>2-9138</t>
  </si>
  <si>
    <t>2-9143</t>
  </si>
  <si>
    <t>2-9150</t>
  </si>
  <si>
    <t>2-9158</t>
  </si>
  <si>
    <t>2-9162</t>
  </si>
  <si>
    <t>2-9165</t>
  </si>
  <si>
    <t>2-9168</t>
  </si>
  <si>
    <t>2-9171</t>
  </si>
  <si>
    <t>2-9178</t>
  </si>
  <si>
    <t>2-9179</t>
  </si>
  <si>
    <t>2-9181</t>
  </si>
  <si>
    <t>2-9184</t>
  </si>
  <si>
    <t>2-9186</t>
  </si>
  <si>
    <t>2-9189</t>
  </si>
  <si>
    <t>2-9192</t>
  </si>
  <si>
    <t>2-9196</t>
  </si>
  <si>
    <t>2-9197</t>
  </si>
  <si>
    <t>2-9200</t>
  </si>
  <si>
    <t>2-9205</t>
  </si>
  <si>
    <t>2-9206</t>
  </si>
  <si>
    <t>2-9207</t>
  </si>
  <si>
    <t>2-9210</t>
  </si>
  <si>
    <t>2-9212</t>
  </si>
  <si>
    <t>2-9217</t>
  </si>
  <si>
    <t>2-9221</t>
  </si>
  <si>
    <t>2-9222</t>
  </si>
  <si>
    <t>2-9234</t>
  </si>
  <si>
    <t>2-9238</t>
  </si>
  <si>
    <t>2-9241</t>
  </si>
  <si>
    <t>2-9258</t>
  </si>
  <si>
    <t>2-9264</t>
  </si>
  <si>
    <t>2-9288</t>
  </si>
  <si>
    <t>2-9293</t>
  </si>
  <si>
    <t>2-9296</t>
  </si>
  <si>
    <t>2-9314</t>
  </si>
  <si>
    <t>2-9327</t>
  </si>
  <si>
    <t>2-9329</t>
  </si>
  <si>
    <t>2-9333</t>
  </si>
  <si>
    <t>2-9335</t>
  </si>
  <si>
    <t>2-9336</t>
  </si>
  <si>
    <t>2-9342</t>
  </si>
  <si>
    <t>2-9346</t>
  </si>
  <si>
    <t>2-9375</t>
  </si>
  <si>
    <t>3-128</t>
  </si>
  <si>
    <t>3-200</t>
  </si>
  <si>
    <t>3-2045</t>
  </si>
  <si>
    <t>3-2147</t>
  </si>
  <si>
    <t>3-2162</t>
  </si>
  <si>
    <t>3-2213</t>
  </si>
  <si>
    <t>3-278</t>
  </si>
  <si>
    <t>3-282</t>
  </si>
  <si>
    <t>3-369</t>
  </si>
  <si>
    <t>3-4905</t>
  </si>
  <si>
    <t>3-4949</t>
  </si>
  <si>
    <t>3-4967</t>
  </si>
  <si>
    <t>3-5122</t>
  </si>
  <si>
    <t>3-5145</t>
  </si>
  <si>
    <t>3-5169</t>
  </si>
  <si>
    <t>3-5181</t>
  </si>
  <si>
    <t>3-5182</t>
  </si>
  <si>
    <t>3-5198</t>
  </si>
  <si>
    <t>3-5209</t>
  </si>
  <si>
    <t>3-5211</t>
  </si>
  <si>
    <t>3-5213</t>
  </si>
  <si>
    <t>3-5215</t>
  </si>
  <si>
    <t>3-5218</t>
  </si>
  <si>
    <t>3-5220</t>
  </si>
  <si>
    <t>3-5224</t>
  </si>
  <si>
    <t>3-5225</t>
  </si>
  <si>
    <t>3-5227</t>
  </si>
  <si>
    <t>3-5232</t>
  </si>
  <si>
    <t>3-92</t>
  </si>
  <si>
    <t>4-1069</t>
  </si>
  <si>
    <t>4-1151</t>
  </si>
  <si>
    <t>4-1155</t>
  </si>
  <si>
    <t>4-1302</t>
  </si>
  <si>
    <t>4-167</t>
  </si>
  <si>
    <t>4-1739</t>
  </si>
  <si>
    <t>4-1754</t>
  </si>
  <si>
    <t>4-1755</t>
  </si>
  <si>
    <t>4-1756</t>
  </si>
  <si>
    <t>4-1757</t>
  </si>
  <si>
    <t>4-1758</t>
  </si>
  <si>
    <t>4-1759</t>
  </si>
  <si>
    <t>4-1767</t>
  </si>
  <si>
    <t>4-1768</t>
  </si>
  <si>
    <t>4-1769</t>
  </si>
  <si>
    <t>4-1770</t>
  </si>
  <si>
    <t>4-1771</t>
  </si>
  <si>
    <t>4-1779</t>
  </si>
  <si>
    <t>4-1781</t>
  </si>
  <si>
    <t>4-1782</t>
  </si>
  <si>
    <t>4-1783</t>
  </si>
  <si>
    <t>4-1784</t>
  </si>
  <si>
    <t>4-1785</t>
  </si>
  <si>
    <t>4-1786</t>
  </si>
  <si>
    <t>4-1790</t>
  </si>
  <si>
    <t>4-1791</t>
  </si>
  <si>
    <t>4-1794</t>
  </si>
  <si>
    <t>4-1832</t>
  </si>
  <si>
    <t>4-1844</t>
  </si>
  <si>
    <t>4-1854</t>
  </si>
  <si>
    <t>4-1855</t>
  </si>
  <si>
    <t>4-1859</t>
  </si>
  <si>
    <t>4-1860</t>
  </si>
  <si>
    <t>4-1861</t>
  </si>
  <si>
    <t>4-203</t>
  </si>
  <si>
    <t>5-1469</t>
  </si>
  <si>
    <t>5-1641</t>
  </si>
  <si>
    <t>5-1759</t>
  </si>
  <si>
    <t>5-1760</t>
  </si>
  <si>
    <t>5-1776</t>
  </si>
  <si>
    <t>5-1778</t>
  </si>
  <si>
    <t>5-1779</t>
  </si>
  <si>
    <t>5-1786</t>
  </si>
  <si>
    <t>5-1789</t>
  </si>
  <si>
    <t>5-57</t>
  </si>
  <si>
    <t>5-62</t>
  </si>
  <si>
    <t>5-64</t>
  </si>
  <si>
    <t>7-149</t>
  </si>
  <si>
    <t>7-164</t>
  </si>
  <si>
    <t>7-2147</t>
  </si>
  <si>
    <t>7-2323</t>
  </si>
  <si>
    <t>7-235</t>
  </si>
  <si>
    <t>7-3069</t>
  </si>
  <si>
    <t>7-3073</t>
  </si>
  <si>
    <t>7-3074</t>
  </si>
  <si>
    <t>7-3077</t>
  </si>
  <si>
    <t>7-3078</t>
  </si>
  <si>
    <t>7-3079</t>
  </si>
  <si>
    <t>7-3080</t>
  </si>
  <si>
    <t>7-3081</t>
  </si>
  <si>
    <t>7-3082</t>
  </si>
  <si>
    <t>7-3087</t>
  </si>
  <si>
    <t>7-3088</t>
  </si>
  <si>
    <t>7-3089</t>
  </si>
  <si>
    <t>7-3092</t>
  </si>
  <si>
    <t>7-3094</t>
  </si>
  <si>
    <t>7-3095</t>
  </si>
  <si>
    <t>7-3096</t>
  </si>
  <si>
    <t>7-3099</t>
  </si>
  <si>
    <t>7-3100</t>
  </si>
  <si>
    <t>7-3105</t>
  </si>
  <si>
    <t>7-3107</t>
  </si>
  <si>
    <t>7-3108</t>
  </si>
  <si>
    <t>7-3110</t>
  </si>
  <si>
    <t>7-3113</t>
  </si>
  <si>
    <t>7-3114</t>
  </si>
  <si>
    <t>7-3115</t>
  </si>
  <si>
    <t>7-3116</t>
  </si>
  <si>
    <t>7-3117</t>
  </si>
  <si>
    <t>7-3123</t>
  </si>
  <si>
    <t>7-3124</t>
  </si>
  <si>
    <t>7-3125</t>
  </si>
  <si>
    <t>7-3126</t>
  </si>
  <si>
    <t>7-3127</t>
  </si>
  <si>
    <t>7-3129</t>
  </si>
  <si>
    <t>7-3130</t>
  </si>
  <si>
    <t>80441</t>
  </si>
  <si>
    <t>80459</t>
  </si>
  <si>
    <t>80492</t>
  </si>
  <si>
    <t>80800</t>
  </si>
  <si>
    <t>80801</t>
  </si>
  <si>
    <t>80811</t>
  </si>
  <si>
    <t>81145</t>
  </si>
  <si>
    <t>81146</t>
  </si>
  <si>
    <t>81147</t>
  </si>
  <si>
    <t>81438</t>
  </si>
  <si>
    <t>81493</t>
  </si>
  <si>
    <t>81595</t>
  </si>
  <si>
    <t>81596</t>
  </si>
  <si>
    <t>81845</t>
  </si>
  <si>
    <t>82099</t>
  </si>
  <si>
    <t>82165</t>
  </si>
  <si>
    <t>82173</t>
  </si>
  <si>
    <t>82193</t>
  </si>
  <si>
    <t>82254</t>
  </si>
  <si>
    <t>82329</t>
  </si>
  <si>
    <t>82330</t>
  </si>
  <si>
    <t>82401</t>
  </si>
  <si>
    <t>82402</t>
  </si>
  <si>
    <t>82450</t>
  </si>
  <si>
    <t>82451</t>
  </si>
  <si>
    <t>82452</t>
  </si>
  <si>
    <t>82531</t>
  </si>
  <si>
    <t>82532</t>
  </si>
  <si>
    <t>82552</t>
  </si>
  <si>
    <t>82641</t>
  </si>
  <si>
    <t>82642</t>
  </si>
  <si>
    <t>82787</t>
  </si>
  <si>
    <t>82788</t>
  </si>
  <si>
    <t>82789</t>
  </si>
  <si>
    <t>82836</t>
  </si>
  <si>
    <t>82847</t>
  </si>
  <si>
    <t>82851</t>
  </si>
  <si>
    <t>82886</t>
  </si>
  <si>
    <t>82963</t>
  </si>
  <si>
    <t>82974.1</t>
  </si>
  <si>
    <t>82974.2</t>
  </si>
  <si>
    <t>82974.3</t>
  </si>
  <si>
    <t>82998</t>
  </si>
  <si>
    <t>83001.GTFE</t>
  </si>
  <si>
    <t>83001.V25</t>
  </si>
  <si>
    <t>83001.V30</t>
  </si>
  <si>
    <t>83006.GTFE</t>
  </si>
  <si>
    <t>83006.V30</t>
  </si>
  <si>
    <t>83020.GTFE</t>
  </si>
  <si>
    <t>83062</t>
  </si>
  <si>
    <t>83062.1</t>
  </si>
  <si>
    <t>83184.035</t>
  </si>
  <si>
    <t>83197</t>
  </si>
  <si>
    <t>83212</t>
  </si>
  <si>
    <t>83229.T35</t>
  </si>
  <si>
    <t>83230.GTFE</t>
  </si>
  <si>
    <t>83240</t>
  </si>
  <si>
    <t>83254</t>
  </si>
  <si>
    <t>83256</t>
  </si>
  <si>
    <t>83357</t>
  </si>
  <si>
    <t>83413</t>
  </si>
  <si>
    <t>83489</t>
  </si>
  <si>
    <t>83490</t>
  </si>
  <si>
    <t>83527.F</t>
  </si>
  <si>
    <t>83527.V</t>
  </si>
  <si>
    <t>83591</t>
  </si>
  <si>
    <t>83605</t>
  </si>
  <si>
    <t>83616</t>
  </si>
  <si>
    <t>83637.F</t>
  </si>
  <si>
    <t>83711</t>
  </si>
  <si>
    <t>83712</t>
  </si>
  <si>
    <t>83713</t>
  </si>
  <si>
    <t>83714</t>
  </si>
  <si>
    <t>83757</t>
  </si>
  <si>
    <t>83796</t>
  </si>
  <si>
    <t>83803</t>
  </si>
  <si>
    <t>83823</t>
  </si>
  <si>
    <t>83845</t>
  </si>
  <si>
    <t>83847</t>
  </si>
  <si>
    <t>83870</t>
  </si>
  <si>
    <t>83870.1</t>
  </si>
  <si>
    <t>83870.10</t>
  </si>
  <si>
    <t>83870.11</t>
  </si>
  <si>
    <t>83870.12</t>
  </si>
  <si>
    <t>83870.13</t>
  </si>
  <si>
    <t>83870.14</t>
  </si>
  <si>
    <t>83870.15</t>
  </si>
  <si>
    <t>83870.16</t>
  </si>
  <si>
    <t>83870.2</t>
  </si>
  <si>
    <t>83870.3</t>
  </si>
  <si>
    <t>83870.4</t>
  </si>
  <si>
    <t>83870.5</t>
  </si>
  <si>
    <t>83870.7</t>
  </si>
  <si>
    <t>83870.8</t>
  </si>
  <si>
    <t>83870.9</t>
  </si>
  <si>
    <t>83932</t>
  </si>
  <si>
    <t>83946</t>
  </si>
  <si>
    <t>83971.F</t>
  </si>
  <si>
    <t>83971.V</t>
  </si>
  <si>
    <t>84055</t>
  </si>
  <si>
    <t>84055.1</t>
  </si>
  <si>
    <t>84149</t>
  </si>
  <si>
    <t>84283</t>
  </si>
  <si>
    <t>91595</t>
  </si>
  <si>
    <t>92552</t>
  </si>
  <si>
    <t>92886</t>
  </si>
  <si>
    <t>93212</t>
  </si>
  <si>
    <t>93279</t>
  </si>
  <si>
    <t>9-33</t>
  </si>
  <si>
    <t>93300</t>
  </si>
  <si>
    <t>93320</t>
  </si>
  <si>
    <t>93321</t>
  </si>
  <si>
    <t>93525</t>
  </si>
  <si>
    <t>93591</t>
  </si>
  <si>
    <t>93796</t>
  </si>
  <si>
    <t>9-39</t>
  </si>
  <si>
    <t>9-40</t>
  </si>
  <si>
    <t>9-43</t>
  </si>
  <si>
    <t>9-52</t>
  </si>
  <si>
    <t>9-57</t>
  </si>
  <si>
    <t>9-58</t>
  </si>
  <si>
    <t>9-66</t>
  </si>
  <si>
    <t>22910</t>
  </si>
  <si>
    <t>24404</t>
  </si>
  <si>
    <t>24429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</si>
</sst>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badi"/>
      <family val="2"/>
    </font>
    <font>
      <sz val="10"/>
      <color theme="0"/>
      <name val="Abadi"/>
      <family val="2"/>
    </font>
    <font>
      <sz val="8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14" fontId="3" fillId="0" borderId="0" xfId="0" applyNumberFormat="1" applyFont="1"/>
    <xf numFmtId="44" fontId="2" fillId="0" borderId="0" xfId="0" applyNumberFormat="1" applyFont="1"/>
    <xf numFmtId="14" fontId="2" fillId="0" borderId="0" xfId="0" applyNumberFormat="1" applyFont="1"/>
    <xf numFmtId="164" fontId="2" fillId="0" borderId="0" xfId="0" applyNumberFormat="1" applyFont="1"/>
    <xf numFmtId="0" fontId="1" fillId="0" borderId="0" xfId="1"/>
    <xf numFmtId="3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1" xfId="0" applyNumberFormat="1" applyFont="1" applyBorder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14" fontId="8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14" fontId="5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0" fillId="4" borderId="2" xfId="0" applyFont="1" applyFill="1" applyBorder="1"/>
    <xf numFmtId="0" fontId="10" fillId="4" borderId="3" xfId="0" applyFont="1" applyFill="1" applyBorder="1"/>
    <xf numFmtId="0" fontId="10" fillId="0" borderId="2" xfId="0" applyFont="1" applyBorder="1"/>
    <xf numFmtId="0" fontId="10" fillId="0" borderId="3" xfId="0" applyFont="1" applyBorder="1"/>
  </cellXfs>
  <cellStyles count="2">
    <cellStyle name="Normal" xfId="0" builtinId="0"/>
    <cellStyle name="Normal 2" xfId="1" xr:uid="{34209CD3-7BDB-45B3-A1E6-30FB4656EBC6}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&quot;$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ill>
        <patternFill patternType="solid">
          <fgColor rgb="FFFFFF0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AMULTIQRY" adjustColumnWidth="0" connectionId="1" xr16:uid="{0C0D03B9-AAD4-4586-9EBD-D25781633C5F}" autoFormatId="16" applyNumberFormats="0" applyBorderFormats="0" applyFontFormats="0" applyPatternFormats="0" applyAlignmentFormats="0" applyWidthHeightFormats="0">
  <queryTableRefresh nextId="39" unboundColumnsLeft="9">
    <queryTableFields count="23">
      <queryTableField id="20" dataBound="0" tableColumnId="12"/>
      <queryTableField id="21" dataBound="0" tableColumnId="15"/>
      <queryTableField id="16" dataBound="0" tableColumnId="16"/>
      <queryTableField id="23" dataBound="0" tableColumnId="18"/>
      <queryTableField id="24" dataBound="0" tableColumnId="19"/>
      <queryTableField id="25" dataBound="0" tableColumnId="20"/>
      <queryTableField id="26" dataBound="0" tableColumnId="21"/>
      <queryTableField id="27" dataBound="0" tableColumnId="22"/>
      <queryTableField id="28" dataBound="0" tableColumnId="23"/>
      <queryTableField id="9" name="IUMS" tableColumnId="9"/>
      <queryTableField id="30" dataBound="0" tableColumnId="25"/>
      <queryTableField id="10" name="STDCST" tableColumnId="10"/>
      <queryTableField id="32" dataBound="0" tableColumnId="26"/>
      <queryTableField id="3" name="ICLAS" tableColumnId="3"/>
      <queryTableField id="34" dataBound="0" tableColumnId="27"/>
      <queryTableField id="35" dataBound="0" tableColumnId="28"/>
      <queryTableField id="36" dataBound="0" tableColumnId="29"/>
      <queryTableField id="37" dataBound="0" tableColumnId="30"/>
      <queryTableField id="11" name="ONHAND" tableColumnId="11"/>
      <queryTableField id="2" name="WWHS" tableColumnId="2"/>
      <queryTableField id="7" name="WPROD" tableColumnId="7"/>
      <queryTableField id="13" name="ILDTE" tableColumnId="13"/>
      <queryTableField id="18" name="LLOC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2B610-DE6A-41BE-8D0D-B60CD92989B9}" name="Table_Query_from_AMULTIQRY45" displayName="Table_Query_from_AMULTIQRY45" ref="A6:W1278" tableType="queryTable" totalsRowCount="1" headerRowDxfId="48" dataDxfId="47">
  <autoFilter ref="A6:W1277" xr:uid="{2E592B98-FECE-4F63-A9FE-0966A492AA6C}"/>
  <tableColumns count="23">
    <tableColumn id="12" xr3:uid="{586B53BB-F6B1-48FF-AA38-79543C04CA9C}" uniqueName="12" name="IA05" queryTableFieldId="20" dataDxfId="45" totalsRowDxfId="22"/>
    <tableColumn id="15" xr3:uid="{853769CF-C4C3-47DF-B742-2C398F975CAC}" uniqueName="15" name="5930 Valuation Adjustments" queryTableFieldId="21" dataDxfId="44" totalsRowDxfId="21"/>
    <tableColumn id="16" xr3:uid="{2FD960E0-B718-4B9E-8E44-6794363CED7C}" uniqueName="16" name="5/31/2025" queryTableFieldId="16" dataDxfId="43" totalsRowDxfId="20">
      <calculatedColumnFormula>IFERROR(DATE(LEFT($V7,4),MID($V7,5,2),RIGHT($V7,2)),TODAY())</calculatedColumnFormula>
    </tableColumn>
    <tableColumn id="18" xr3:uid="{344E2DBB-7A42-4DBB-9B21-4450E5E196C4}" uniqueName="18" name="May 2025" queryTableFieldId="23" dataDxfId="42" totalsRowDxfId="19"/>
    <tableColumn id="19" xr3:uid="{3D76734F-1516-468C-8EB0-866C6D6F6F5F}" uniqueName="19" name="Opening Balance" queryTableFieldId="24" dataDxfId="41" totalsRowDxfId="18"/>
    <tableColumn id="20" xr3:uid="{DE6E5FF2-C3BA-4B52-9319-61062FC2C1E5}" uniqueName="20" name="Western Consolidated Technologies" queryTableFieldId="25" dataDxfId="40" totalsRowDxfId="17"/>
    <tableColumn id="21" xr3:uid="{F19A8455-6EB1-42B1-8EF8-4F20F36799DB}" uniqueName="21" name="Column1" queryTableFieldId="26" dataDxfId="39" totalsRowDxfId="16"/>
    <tableColumn id="22" xr3:uid="{58977405-4A2B-40F6-9F7A-5AC19FA10488}" uniqueName="22" name="PCF18K" queryTableFieldId="27" dataDxfId="38" totalsRowDxfId="15">
      <calculatedColumnFormula>_xlfn.IFNA(VLOOKUP(Table_Query_from_AMULTIQRY45[[#This Row],[WPROD]],'Part# with New'!$A$1:$B$4347,2,0),Table_Query_from_AMULTIQRY45[[#This Row],[WPROD]])</calculatedColumnFormula>
    </tableColumn>
    <tableColumn id="23" xr3:uid="{E7A7D63F-ADF3-4323-A84E-333D3F5BC403}" uniqueName="23" name="WCT HQ" queryTableFieldId="28" dataDxfId="37" totalsRowDxfId="14"/>
    <tableColumn id="9" xr3:uid="{A572C669-88E1-4845-820C-779F726FF7D1}" uniqueName="9" name="IUMS" queryTableFieldId="9" dataDxfId="36" totalsRowDxfId="13"/>
    <tableColumn id="25" xr3:uid="{AA299E32-A64F-4341-872E-19532BC19293}" uniqueName="25" name="250" queryTableFieldId="30" dataDxfId="35" totalsRowDxfId="12"/>
    <tableColumn id="10" xr3:uid="{6469648C-F227-46F3-BA10-B30D37B4781A}" uniqueName="10" name="STDCST" queryTableFieldId="10" dataDxfId="34" totalsRowDxfId="11"/>
    <tableColumn id="26" xr3:uid="{4B3F0E06-4C1B-43AA-B2A8-43B2EE0B88A1}" uniqueName="26" name="Production &amp; Operations_x0009_" queryTableFieldId="32" dataDxfId="33" totalsRowDxfId="10"/>
    <tableColumn id="3" xr3:uid="{446EC990-6772-405A-A0BD-546BF54C4BE3}" uniqueName="3" name="ICLAS" queryTableFieldId="3" dataDxfId="32" totalsRowDxfId="9"/>
    <tableColumn id="27" xr3:uid="{188CCF2D-A3EC-46B6-A189-40F0D8AC36BC}" uniqueName="27" name="line_memo" queryTableFieldId="34" dataDxfId="31" totalsRowDxfId="8"/>
    <tableColumn id="28" xr3:uid="{30927FF8-6C13-4634-AD35-12B6E76FE87B}" uniqueName="28" name="E1-RAW" queryTableFieldId="35" dataDxfId="30" totalsRowDxfId="7">
      <calculatedColumnFormula>CONCATENATE(Table_Query_from_AMULTIQRY45[[#This Row],[WWHS]],"-",Table_Query_from_AMULTIQRY45[[#This Row],[LLOC]])</calculatedColumnFormula>
    </tableColumn>
    <tableColumn id="29" xr3:uid="{8B8D9877-5999-4176-8F12-AEB991F77BC0}" uniqueName="29" name="Stock" queryTableFieldId="36" dataDxfId="29" totalsRowDxfId="6">
      <calculatedColumnFormula>+TODAY()</calculatedColumnFormula>
    </tableColumn>
    <tableColumn id="30" xr3:uid="{F3142F7F-099E-4FBB-BC2A-79809A36DD2B}" uniqueName="30" name="6/12/2024" queryTableFieldId="37" dataDxfId="28" totalsRowDxfId="5"/>
    <tableColumn id="11" xr3:uid="{897876CA-6D64-4B03-BCB0-BFD6C9B88F11}" uniqueName="11" name="ONHAND" totalsRowFunction="sum" queryTableFieldId="11" dataDxfId="27" totalsRowDxfId="4"/>
    <tableColumn id="2" xr3:uid="{DF9D6FE0-3898-4623-ADE2-3C1D13CBE818}" uniqueName="2" name="WWHS" queryTableFieldId="2" dataDxfId="26" totalsRowDxfId="3"/>
    <tableColumn id="7" xr3:uid="{998150B7-F44C-4AF9-A28C-BE4EC1EF725B}" uniqueName="7" name="WPROD" queryTableFieldId="7" dataDxfId="25" totalsRowDxfId="2"/>
    <tableColumn id="13" xr3:uid="{FA7DAAAF-5B51-4437-A4F7-EF6C99329123}" uniqueName="13" name="ILDTE" queryTableFieldId="13" dataDxfId="24" totalsRowDxfId="1"/>
    <tableColumn id="17" xr3:uid="{6060205A-44F5-47B0-AE97-F9631788DE3F}" uniqueName="17" name="LLOC" queryTableFieldId="18" dataDxfId="2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CCB5-75DA-42BE-AF1F-2A24B227CCBA}">
  <dimension ref="A1:AF1280"/>
  <sheetViews>
    <sheetView tabSelected="1" workbookViewId="0">
      <selection activeCell="A10" sqref="A10"/>
    </sheetView>
  </sheetViews>
  <sheetFormatPr defaultColWidth="8.85546875" defaultRowHeight="15" x14ac:dyDescent="0.25"/>
  <cols>
    <col min="1" max="1" width="32.28515625" style="1" customWidth="1"/>
    <col min="2" max="2" width="28.7109375" style="1" customWidth="1"/>
    <col min="3" max="3" width="28.7109375" style="11" customWidth="1"/>
    <col min="4" max="4" width="31.42578125" style="1" customWidth="1"/>
    <col min="5" max="5" width="28.42578125" style="1" customWidth="1"/>
    <col min="6" max="6" width="29.28515625" style="1" customWidth="1"/>
    <col min="7" max="7" width="30" style="1" customWidth="1"/>
    <col min="8" max="8" width="18.85546875" style="1" customWidth="1"/>
    <col min="9" max="9" width="25.7109375" style="1" customWidth="1"/>
    <col min="10" max="10" width="18.140625" style="1" customWidth="1"/>
    <col min="11" max="11" width="19.42578125" style="1" customWidth="1"/>
    <col min="12" max="12" width="23.28515625" style="11" customWidth="1"/>
    <col min="13" max="13" width="24.85546875" customWidth="1"/>
    <col min="14" max="14" width="18.85546875" customWidth="1"/>
    <col min="15" max="15" width="21.85546875" style="1" customWidth="1"/>
    <col min="16" max="16" width="20.5703125" style="1" customWidth="1"/>
    <col min="17" max="17" width="14.7109375" style="1" customWidth="1"/>
    <col min="18" max="18" width="37.5703125" style="11" customWidth="1"/>
    <col min="19" max="19" width="33.85546875" style="11" customWidth="1"/>
    <col min="20" max="20" width="10.140625" style="11" hidden="1" customWidth="1"/>
    <col min="21" max="21" width="17.85546875" style="1" hidden="1" customWidth="1"/>
    <col min="22" max="23" width="10.140625" style="1" hidden="1" customWidth="1"/>
    <col min="24" max="24" width="10.140625" style="1" customWidth="1"/>
    <col min="25" max="25" width="31.42578125" style="1" customWidth="1"/>
    <col min="28" max="28" width="9.42578125" style="1" bestFit="1" customWidth="1"/>
    <col min="29" max="29" width="10.85546875" style="7" bestFit="1" customWidth="1"/>
    <col min="30" max="30" width="17.28515625" style="3" bestFit="1" customWidth="1"/>
    <col min="32" max="32" width="10.42578125" style="8" hidden="1" customWidth="1"/>
    <col min="33" max="33" width="16.42578125" style="1" customWidth="1"/>
    <col min="34" max="34" width="8.85546875" style="1"/>
    <col min="35" max="35" width="10.28515625" style="1" customWidth="1"/>
    <col min="36" max="36" width="11.85546875" style="1" customWidth="1"/>
    <col min="37" max="37" width="10.140625" style="1" customWidth="1"/>
    <col min="38" max="38" width="11.42578125" style="1" customWidth="1"/>
    <col min="39" max="16384" width="8.85546875" style="1"/>
  </cols>
  <sheetData>
    <row r="1" spans="1:32" x14ac:dyDescent="0.25">
      <c r="A1" s="18" t="s">
        <v>8448</v>
      </c>
      <c r="B1" s="17" t="s">
        <v>8451</v>
      </c>
      <c r="C1" s="17" t="s">
        <v>8452</v>
      </c>
      <c r="D1" s="27" t="s">
        <v>1289</v>
      </c>
      <c r="E1" s="27" t="s">
        <v>1291</v>
      </c>
      <c r="F1" s="17" t="s">
        <v>1292</v>
      </c>
      <c r="G1" s="27" t="s">
        <v>1294</v>
      </c>
      <c r="H1" s="17" t="s">
        <v>8453</v>
      </c>
      <c r="I1" s="17" t="s">
        <v>8449</v>
      </c>
      <c r="J1" s="27" t="s">
        <v>8454</v>
      </c>
      <c r="K1" s="17" t="s">
        <v>8437</v>
      </c>
      <c r="L1" s="27" t="s">
        <v>8455</v>
      </c>
      <c r="M1" s="19" t="s">
        <v>8438</v>
      </c>
      <c r="N1" s="19" t="s">
        <v>8456</v>
      </c>
      <c r="O1" s="19" t="s">
        <v>8439</v>
      </c>
      <c r="P1" s="17" t="s">
        <v>8440</v>
      </c>
      <c r="Q1" s="17" t="s">
        <v>8457</v>
      </c>
      <c r="R1" s="27" t="s">
        <v>8450</v>
      </c>
      <c r="S1" s="17" t="s">
        <v>8458</v>
      </c>
    </row>
    <row r="2" spans="1:32" x14ac:dyDescent="0.25">
      <c r="A2" s="18" t="s">
        <v>8459</v>
      </c>
      <c r="B2" s="17" t="s">
        <v>8460</v>
      </c>
      <c r="C2" s="17" t="s">
        <v>8461</v>
      </c>
      <c r="D2" s="19" t="s">
        <v>8462</v>
      </c>
      <c r="E2" s="19" t="s">
        <v>8463</v>
      </c>
      <c r="F2" s="17" t="s">
        <v>8464</v>
      </c>
      <c r="G2" s="19" t="s">
        <v>8465</v>
      </c>
      <c r="H2" s="17" t="s">
        <v>8466</v>
      </c>
      <c r="I2" s="17" t="s">
        <v>8435</v>
      </c>
      <c r="J2" s="19" t="s">
        <v>8467</v>
      </c>
      <c r="K2" s="17" t="s">
        <v>8468</v>
      </c>
      <c r="L2" s="19" t="s">
        <v>8469</v>
      </c>
      <c r="M2" s="19" t="s">
        <v>8465</v>
      </c>
      <c r="N2" s="19" t="s">
        <v>8470</v>
      </c>
      <c r="O2" s="19" t="s">
        <v>8463</v>
      </c>
      <c r="P2" s="19"/>
      <c r="Q2" s="17" t="s">
        <v>8450</v>
      </c>
      <c r="R2" s="18" t="s">
        <v>8471</v>
      </c>
      <c r="S2" s="17" t="s">
        <v>8472</v>
      </c>
    </row>
    <row r="3" spans="1:32" ht="20.45" customHeight="1" x14ac:dyDescent="0.25">
      <c r="A3" s="20" t="s">
        <v>8473</v>
      </c>
      <c r="B3" s="20" t="s">
        <v>8474</v>
      </c>
      <c r="C3" s="20" t="s">
        <v>8475</v>
      </c>
      <c r="D3" s="20" t="s">
        <v>8476</v>
      </c>
      <c r="E3" s="20" t="s">
        <v>8477</v>
      </c>
      <c r="F3" s="20" t="s">
        <v>8478</v>
      </c>
      <c r="G3" s="20" t="s">
        <v>8479</v>
      </c>
      <c r="H3" s="20" t="s">
        <v>8480</v>
      </c>
      <c r="I3" s="20" t="s">
        <v>8481</v>
      </c>
      <c r="J3" s="20" t="s">
        <v>8482</v>
      </c>
      <c r="K3" s="20" t="s">
        <v>8483</v>
      </c>
      <c r="L3" s="20" t="s">
        <v>8484</v>
      </c>
      <c r="M3" s="20" t="s">
        <v>8485</v>
      </c>
      <c r="N3" s="20" t="s">
        <v>8486</v>
      </c>
      <c r="O3" s="20" t="s">
        <v>8487</v>
      </c>
      <c r="P3" s="20"/>
      <c r="Q3" s="20" t="s">
        <v>8488</v>
      </c>
      <c r="R3" s="20" t="s">
        <v>8489</v>
      </c>
      <c r="S3" s="20" t="s">
        <v>8490</v>
      </c>
    </row>
    <row r="4" spans="1:32" x14ac:dyDescent="0.25">
      <c r="A4" s="19" t="s">
        <v>8491</v>
      </c>
      <c r="B4" s="21" t="s">
        <v>8492</v>
      </c>
      <c r="C4" s="19" t="s">
        <v>8461</v>
      </c>
      <c r="D4" s="21" t="s">
        <v>8461</v>
      </c>
      <c r="E4" s="19" t="s">
        <v>8491</v>
      </c>
      <c r="F4" s="21" t="s">
        <v>8492</v>
      </c>
      <c r="G4" s="21" t="s">
        <v>8492</v>
      </c>
      <c r="H4" s="21" t="s">
        <v>8492</v>
      </c>
      <c r="I4" s="21" t="s">
        <v>8492</v>
      </c>
      <c r="J4" s="21" t="s">
        <v>8492</v>
      </c>
      <c r="K4" s="21" t="s">
        <v>8493</v>
      </c>
      <c r="L4" s="21" t="s">
        <v>8493</v>
      </c>
      <c r="M4" s="21" t="s">
        <v>8492</v>
      </c>
      <c r="N4" s="21" t="s">
        <v>8492</v>
      </c>
      <c r="O4" s="19" t="s">
        <v>8491</v>
      </c>
      <c r="P4" s="18" t="s">
        <v>8440</v>
      </c>
      <c r="Q4" s="21" t="s">
        <v>8492</v>
      </c>
      <c r="R4" s="19" t="s">
        <v>8461</v>
      </c>
      <c r="S4" s="21" t="s">
        <v>8493</v>
      </c>
    </row>
    <row r="5" spans="1:32" ht="15.75" thickBot="1" x14ac:dyDescent="0.3">
      <c r="A5" s="19" t="s">
        <v>8494</v>
      </c>
      <c r="B5" s="19" t="s">
        <v>8492</v>
      </c>
      <c r="C5" s="19" t="s">
        <v>8495</v>
      </c>
      <c r="D5" s="19" t="s">
        <v>8496</v>
      </c>
      <c r="E5" s="19" t="s">
        <v>8497</v>
      </c>
      <c r="F5" s="19" t="s">
        <v>8492</v>
      </c>
      <c r="G5" s="19" t="s">
        <v>8492</v>
      </c>
      <c r="H5" s="19" t="s">
        <v>8492</v>
      </c>
      <c r="I5" s="19" t="s">
        <v>8492</v>
      </c>
      <c r="J5" s="19" t="s">
        <v>8492</v>
      </c>
      <c r="K5" s="19" t="s">
        <v>8498</v>
      </c>
      <c r="L5" s="19" t="s">
        <v>8499</v>
      </c>
      <c r="M5" s="19" t="s">
        <v>8492</v>
      </c>
      <c r="N5" s="19" t="s">
        <v>8492</v>
      </c>
      <c r="O5" s="19" t="s">
        <v>8497</v>
      </c>
      <c r="P5" s="19"/>
      <c r="Q5" s="19" t="s">
        <v>8492</v>
      </c>
      <c r="R5" s="19" t="s">
        <v>8495</v>
      </c>
      <c r="S5" s="19" t="s">
        <v>8498</v>
      </c>
    </row>
    <row r="6" spans="1:32" ht="13.5" thickBot="1" x14ac:dyDescent="0.25">
      <c r="A6" s="15" t="s">
        <v>8500</v>
      </c>
      <c r="B6" s="15" t="s">
        <v>1290</v>
      </c>
      <c r="C6" s="24" t="s">
        <v>8506</v>
      </c>
      <c r="D6" s="25" t="s">
        <v>8501</v>
      </c>
      <c r="E6" s="15" t="s">
        <v>8434</v>
      </c>
      <c r="F6" s="15" t="s">
        <v>1293</v>
      </c>
      <c r="G6" s="15" t="s">
        <v>1288</v>
      </c>
      <c r="H6" s="15" t="s">
        <v>8502</v>
      </c>
      <c r="I6" s="15" t="s">
        <v>8436</v>
      </c>
      <c r="J6" s="15" t="s">
        <v>8510</v>
      </c>
      <c r="K6" s="15" t="s">
        <v>8507</v>
      </c>
      <c r="L6" s="15" t="s">
        <v>8511</v>
      </c>
      <c r="M6" s="15" t="s">
        <v>8503</v>
      </c>
      <c r="N6" s="15" t="s">
        <v>8509</v>
      </c>
      <c r="O6" s="15" t="s">
        <v>8439</v>
      </c>
      <c r="P6" s="15" t="s">
        <v>8504</v>
      </c>
      <c r="Q6" s="15" t="s">
        <v>8505</v>
      </c>
      <c r="R6" s="24" t="s">
        <v>8508</v>
      </c>
      <c r="S6" s="15" t="s">
        <v>8512</v>
      </c>
      <c r="T6" s="13" t="s">
        <v>0</v>
      </c>
      <c r="U6" s="13" t="s">
        <v>1</v>
      </c>
      <c r="V6" s="13" t="s">
        <v>8513</v>
      </c>
      <c r="W6" s="14" t="s">
        <v>8441</v>
      </c>
      <c r="Z6" s="1"/>
      <c r="AA6" s="9"/>
      <c r="AC6" s="2">
        <f>AA6-2191</f>
        <v>-2191</v>
      </c>
      <c r="AD6" s="1"/>
      <c r="AE6" s="1"/>
      <c r="AF6" s="1"/>
    </row>
    <row r="7" spans="1:32" ht="12.75" x14ac:dyDescent="0.2">
      <c r="A7" s="16" t="s">
        <v>8500</v>
      </c>
      <c r="B7" s="16" t="s">
        <v>1290</v>
      </c>
      <c r="C7" s="22">
        <f t="shared" ref="C7:C70" ca="1" si="0">IFERROR(DATE(LEFT($V7,4),MID($V7,5,2),RIGHT($V7,2)),TODAY())</f>
        <v>45775</v>
      </c>
      <c r="D7" s="23" t="s">
        <v>8501</v>
      </c>
      <c r="E7" s="16" t="s">
        <v>8434</v>
      </c>
      <c r="F7" s="16" t="s">
        <v>1293</v>
      </c>
      <c r="G7" s="16"/>
      <c r="H7" s="16" t="str">
        <f>_xlfn.IFNA(VLOOKUP(Table_Query_from_AMULTIQRY45[[#This Row],[WPROD]],'Part# with New'!$A$1:$B$4347,2,0),Table_Query_from_AMULTIQRY45[[#This Row],[WPROD]])</f>
        <v>SR-20518.528</v>
      </c>
      <c r="I7" s="16" t="s">
        <v>8436</v>
      </c>
      <c r="J7" s="16" t="s">
        <v>5</v>
      </c>
      <c r="K7" s="16">
        <v>500</v>
      </c>
      <c r="L7" s="16">
        <v>7.3690000000000005E-2</v>
      </c>
      <c r="M7" s="16" t="s">
        <v>8503</v>
      </c>
      <c r="N7" s="16" t="s">
        <v>3</v>
      </c>
      <c r="O7" s="16"/>
      <c r="P7" s="16" t="str">
        <f>CONCATENATE(Table_Query_from_AMULTIQRY45[[#This Row],[WWHS]],"-",Table_Query_from_AMULTIQRY45[[#This Row],[LLOC]])</f>
        <v>E1-FG</v>
      </c>
      <c r="Q7" s="16">
        <f t="shared" ref="Q7:Q70" ca="1" si="1">+TODAY()</f>
        <v>45775</v>
      </c>
      <c r="R7" s="22">
        <v>45455</v>
      </c>
      <c r="S7" s="16">
        <v>51</v>
      </c>
      <c r="T7" s="1" t="s">
        <v>2</v>
      </c>
      <c r="U7" s="1" t="s">
        <v>4</v>
      </c>
      <c r="V7" s="1">
        <v>0</v>
      </c>
      <c r="W7" s="8" t="s">
        <v>8442</v>
      </c>
      <c r="Z7" s="1"/>
      <c r="AA7" s="1"/>
      <c r="AC7" s="1"/>
      <c r="AD7" s="1"/>
      <c r="AE7" s="1"/>
      <c r="AF7" s="1"/>
    </row>
    <row r="8" spans="1:32" ht="12.75" x14ac:dyDescent="0.2">
      <c r="B8" s="1" t="s">
        <v>1290</v>
      </c>
      <c r="C8" s="10">
        <f t="shared" ca="1" si="0"/>
        <v>45758</v>
      </c>
      <c r="D8" s="4"/>
      <c r="E8" s="4" t="s">
        <v>8434</v>
      </c>
      <c r="F8" s="4" t="s">
        <v>1293</v>
      </c>
      <c r="G8" s="4"/>
      <c r="H8" s="4" t="str">
        <f>_xlfn.IFNA(VLOOKUP(Table_Query_from_AMULTIQRY45[[#This Row],[WPROD]],'Part# with New'!$A$1:$B$4347,2,0),Table_Query_from_AMULTIQRY45[[#This Row],[WPROD]])</f>
        <v>SR-20696.528</v>
      </c>
      <c r="I8" s="4" t="s">
        <v>8436</v>
      </c>
      <c r="J8" s="1" t="s">
        <v>5</v>
      </c>
      <c r="L8" s="11">
        <v>0.62880000000000003</v>
      </c>
      <c r="M8" s="1"/>
      <c r="N8" s="1" t="s">
        <v>6</v>
      </c>
      <c r="P8" s="1" t="str">
        <f>CONCATENATE(Table_Query_from_AMULTIQRY45[[#This Row],[WWHS]],"-",Table_Query_from_AMULTIQRY45[[#This Row],[LLOC]])</f>
        <v>E1-FG</v>
      </c>
      <c r="Q8" s="10">
        <f t="shared" ca="1" si="1"/>
        <v>45775</v>
      </c>
      <c r="R8" s="10"/>
      <c r="S8" s="28">
        <v>4</v>
      </c>
      <c r="T8" s="1" t="s">
        <v>2</v>
      </c>
      <c r="U8" s="1" t="s">
        <v>7</v>
      </c>
      <c r="V8" s="1">
        <v>20250411</v>
      </c>
      <c r="W8" s="8" t="s">
        <v>8442</v>
      </c>
      <c r="Z8" s="1"/>
      <c r="AA8" s="1"/>
      <c r="AC8" s="1"/>
      <c r="AD8" s="1"/>
      <c r="AE8" s="1"/>
      <c r="AF8" s="1"/>
    </row>
    <row r="9" spans="1:32" ht="12.75" x14ac:dyDescent="0.2">
      <c r="B9" s="1" t="s">
        <v>8515</v>
      </c>
      <c r="C9" s="10">
        <f t="shared" ca="1" si="0"/>
        <v>45769</v>
      </c>
      <c r="D9" s="4"/>
      <c r="E9" s="4" t="s">
        <v>8434</v>
      </c>
      <c r="F9" s="4" t="s">
        <v>1293</v>
      </c>
      <c r="G9" s="4"/>
      <c r="H9" s="4" t="str">
        <f>_xlfn.IFNA(VLOOKUP(Table_Query_from_AMULTIQRY45[[#This Row],[WPROD]],'Part# with New'!$A$1:$B$4347,2,0),Table_Query_from_AMULTIQRY45[[#This Row],[WPROD]])</f>
        <v>SR-21424.528</v>
      </c>
      <c r="I9" s="4" t="s">
        <v>8436</v>
      </c>
      <c r="J9" s="1" t="s">
        <v>5</v>
      </c>
      <c r="L9" s="11">
        <v>0.20268</v>
      </c>
      <c r="M9" s="1"/>
      <c r="N9" s="1" t="s">
        <v>13</v>
      </c>
      <c r="P9" s="1" t="str">
        <f>CONCATENATE(Table_Query_from_AMULTIQRY45[[#This Row],[WWHS]],"-",Table_Query_from_AMULTIQRY45[[#This Row],[LLOC]])</f>
        <v>E1-FG</v>
      </c>
      <c r="Q9" s="10">
        <f t="shared" ca="1" si="1"/>
        <v>45775</v>
      </c>
      <c r="R9" s="10"/>
      <c r="S9" s="28">
        <v>18</v>
      </c>
      <c r="T9" s="1" t="s">
        <v>2</v>
      </c>
      <c r="U9" s="1" t="s">
        <v>8385</v>
      </c>
      <c r="V9" s="1">
        <v>20250422</v>
      </c>
      <c r="W9" s="8" t="s">
        <v>8442</v>
      </c>
      <c r="Z9" s="1"/>
      <c r="AA9" s="1"/>
      <c r="AC9" s="1"/>
      <c r="AD9" s="1"/>
      <c r="AE9" s="1"/>
      <c r="AF9" s="1"/>
    </row>
    <row r="10" spans="1:32" ht="12.75" x14ac:dyDescent="0.2">
      <c r="B10" s="1" t="s">
        <v>8516</v>
      </c>
      <c r="C10" s="10">
        <f t="shared" ca="1" si="0"/>
        <v>45763</v>
      </c>
      <c r="D10" s="4"/>
      <c r="E10" s="4" t="s">
        <v>8434</v>
      </c>
      <c r="F10" s="4" t="s">
        <v>1293</v>
      </c>
      <c r="G10" s="4"/>
      <c r="H10" s="4" t="str">
        <f>_xlfn.IFNA(VLOOKUP(Table_Query_from_AMULTIQRY45[[#This Row],[WPROD]],'Part# with New'!$A$1:$B$4347,2,0),Table_Query_from_AMULTIQRY45[[#This Row],[WPROD]])</f>
        <v>SR-21462.528</v>
      </c>
      <c r="I10" s="4" t="s">
        <v>8436</v>
      </c>
      <c r="J10" s="1" t="s">
        <v>5</v>
      </c>
      <c r="L10" s="11">
        <v>0.94625000000000004</v>
      </c>
      <c r="M10" s="1"/>
      <c r="N10" s="1" t="s">
        <v>6</v>
      </c>
      <c r="P10" s="1" t="str">
        <f>CONCATENATE(Table_Query_from_AMULTIQRY45[[#This Row],[WWHS]],"-",Table_Query_from_AMULTIQRY45[[#This Row],[LLOC]])</f>
        <v>E1-FG</v>
      </c>
      <c r="Q10" s="10">
        <f t="shared" ca="1" si="1"/>
        <v>45775</v>
      </c>
      <c r="R10" s="10"/>
      <c r="S10" s="28">
        <v>3</v>
      </c>
      <c r="T10" s="1" t="s">
        <v>2</v>
      </c>
      <c r="U10" s="1" t="s">
        <v>8</v>
      </c>
      <c r="V10" s="1">
        <v>20250416</v>
      </c>
      <c r="W10" s="8" t="s">
        <v>8442</v>
      </c>
      <c r="Z10" s="1"/>
      <c r="AA10" s="1"/>
      <c r="AC10" s="1"/>
      <c r="AD10" s="1"/>
      <c r="AE10" s="1"/>
      <c r="AF10" s="1"/>
    </row>
    <row r="11" spans="1:32" ht="12.75" x14ac:dyDescent="0.2">
      <c r="B11" s="1" t="s">
        <v>8517</v>
      </c>
      <c r="C11" s="10">
        <f t="shared" ca="1" si="0"/>
        <v>45359</v>
      </c>
      <c r="D11" s="4"/>
      <c r="E11" s="4" t="s">
        <v>8434</v>
      </c>
      <c r="F11" s="4" t="s">
        <v>1293</v>
      </c>
      <c r="G11" s="4"/>
      <c r="H11" s="4" t="str">
        <f>_xlfn.IFNA(VLOOKUP(Table_Query_from_AMULTIQRY45[[#This Row],[WPROD]],'Part# with New'!$A$1:$B$4347,2,0),Table_Query_from_AMULTIQRY45[[#This Row],[WPROD]])</f>
        <v>SR-21538.701</v>
      </c>
      <c r="I11" s="4" t="s">
        <v>8436</v>
      </c>
      <c r="J11" s="1" t="s">
        <v>5</v>
      </c>
      <c r="L11" s="11">
        <v>9.4999999999999998E-3</v>
      </c>
      <c r="M11" s="1"/>
      <c r="N11" s="1" t="s">
        <v>9</v>
      </c>
      <c r="P11" s="1" t="str">
        <f>CONCATENATE(Table_Query_from_AMULTIQRY45[[#This Row],[WWHS]],"-",Table_Query_from_AMULTIQRY45[[#This Row],[LLOC]])</f>
        <v>E1-FG</v>
      </c>
      <c r="Q11" s="10">
        <f t="shared" ca="1" si="1"/>
        <v>45775</v>
      </c>
      <c r="R11" s="10"/>
      <c r="S11" s="28">
        <v>357</v>
      </c>
      <c r="T11" s="1" t="s">
        <v>2</v>
      </c>
      <c r="U11" s="1" t="s">
        <v>10</v>
      </c>
      <c r="V11" s="1">
        <v>20240308</v>
      </c>
      <c r="W11" s="8" t="s">
        <v>8442</v>
      </c>
      <c r="Z11" s="1"/>
      <c r="AA11" s="1"/>
      <c r="AC11" s="1"/>
      <c r="AD11" s="1"/>
      <c r="AE11" s="1"/>
      <c r="AF11" s="1"/>
    </row>
    <row r="12" spans="1:32" ht="12.75" x14ac:dyDescent="0.2">
      <c r="B12" s="1" t="s">
        <v>8518</v>
      </c>
      <c r="C12" s="10">
        <f t="shared" ca="1" si="0"/>
        <v>45338</v>
      </c>
      <c r="D12" s="4"/>
      <c r="E12" s="4" t="s">
        <v>8434</v>
      </c>
      <c r="F12" s="4" t="s">
        <v>1293</v>
      </c>
      <c r="G12" s="4"/>
      <c r="H12" s="4" t="str">
        <f>_xlfn.IFNA(VLOOKUP(Table_Query_from_AMULTIQRY45[[#This Row],[WPROD]],'Part# with New'!$A$1:$B$4347,2,0),Table_Query_from_AMULTIQRY45[[#This Row],[WPROD]])</f>
        <v>SR-22132.538</v>
      </c>
      <c r="I12" s="4" t="s">
        <v>8436</v>
      </c>
      <c r="J12" s="1" t="s">
        <v>5</v>
      </c>
      <c r="L12" s="11">
        <v>3.499E-2</v>
      </c>
      <c r="M12" s="1"/>
      <c r="N12" s="1" t="s">
        <v>11</v>
      </c>
      <c r="P12" s="1" t="str">
        <f>CONCATENATE(Table_Query_from_AMULTIQRY45[[#This Row],[WWHS]],"-",Table_Query_from_AMULTIQRY45[[#This Row],[LLOC]])</f>
        <v>E1-FG</v>
      </c>
      <c r="Q12" s="10">
        <f t="shared" ca="1" si="1"/>
        <v>45775</v>
      </c>
      <c r="R12" s="10"/>
      <c r="S12" s="28">
        <v>131</v>
      </c>
      <c r="T12" s="1" t="s">
        <v>2</v>
      </c>
      <c r="U12" s="1" t="s">
        <v>12</v>
      </c>
      <c r="V12" s="1">
        <v>20240216</v>
      </c>
      <c r="W12" s="8" t="s">
        <v>8442</v>
      </c>
      <c r="Z12" s="1"/>
      <c r="AA12" s="1"/>
      <c r="AC12" s="1"/>
      <c r="AD12" s="1"/>
      <c r="AE12" s="1"/>
      <c r="AF12" s="1"/>
    </row>
    <row r="13" spans="1:32" ht="12.75" x14ac:dyDescent="0.2">
      <c r="B13" s="1" t="s">
        <v>8519</v>
      </c>
      <c r="C13" s="10">
        <f t="shared" ca="1" si="0"/>
        <v>44671</v>
      </c>
      <c r="D13" s="4"/>
      <c r="E13" s="4" t="s">
        <v>8434</v>
      </c>
      <c r="F13" s="4" t="s">
        <v>1293</v>
      </c>
      <c r="G13" s="4"/>
      <c r="H13" s="4" t="str">
        <f>_xlfn.IFNA(VLOOKUP(Table_Query_from_AMULTIQRY45[[#This Row],[WPROD]],'Part# with New'!$A$1:$B$4347,2,0),Table_Query_from_AMULTIQRY45[[#This Row],[WPROD]])</f>
        <v>SR-22249</v>
      </c>
      <c r="I13" s="4" t="s">
        <v>8436</v>
      </c>
      <c r="J13" s="1" t="s">
        <v>5</v>
      </c>
      <c r="L13" s="11">
        <v>0.54593999999999998</v>
      </c>
      <c r="M13" s="1"/>
      <c r="N13" s="1" t="s">
        <v>13</v>
      </c>
      <c r="P13" s="1" t="str">
        <f>CONCATENATE(Table_Query_from_AMULTIQRY45[[#This Row],[WWHS]],"-",Table_Query_from_AMULTIQRY45[[#This Row],[LLOC]])</f>
        <v>E1-FG</v>
      </c>
      <c r="Q13" s="10">
        <f t="shared" ca="1" si="1"/>
        <v>45775</v>
      </c>
      <c r="R13" s="10"/>
      <c r="S13" s="28">
        <v>5</v>
      </c>
      <c r="T13" s="1" t="s">
        <v>2</v>
      </c>
      <c r="U13" s="1" t="s">
        <v>14</v>
      </c>
      <c r="V13" s="1">
        <v>20220420</v>
      </c>
      <c r="W13" s="8" t="s">
        <v>8442</v>
      </c>
      <c r="Z13" s="1"/>
      <c r="AA13" s="1"/>
      <c r="AC13" s="1"/>
      <c r="AD13" s="1"/>
      <c r="AE13" s="1"/>
      <c r="AF13" s="1"/>
    </row>
    <row r="14" spans="1:32" ht="12.75" x14ac:dyDescent="0.2">
      <c r="B14" s="1" t="s">
        <v>8520</v>
      </c>
      <c r="C14" s="10">
        <f t="shared" ca="1" si="0"/>
        <v>43854</v>
      </c>
      <c r="D14" s="4"/>
      <c r="E14" s="4" t="s">
        <v>8434</v>
      </c>
      <c r="F14" s="4" t="s">
        <v>1293</v>
      </c>
      <c r="G14" s="4"/>
      <c r="H14" s="4" t="str">
        <f>_xlfn.IFNA(VLOOKUP(Table_Query_from_AMULTIQRY45[[#This Row],[WPROD]],'Part# with New'!$A$1:$B$4347,2,0),Table_Query_from_AMULTIQRY45[[#This Row],[WPROD]])</f>
        <v>SR-22858</v>
      </c>
      <c r="I14" s="4" t="s">
        <v>8436</v>
      </c>
      <c r="J14" s="1" t="s">
        <v>5</v>
      </c>
      <c r="L14" s="11">
        <v>0.65151999999999999</v>
      </c>
      <c r="M14" s="1"/>
      <c r="N14" s="1" t="s">
        <v>15</v>
      </c>
      <c r="P14" s="1" t="str">
        <f>CONCATENATE(Table_Query_from_AMULTIQRY45[[#This Row],[WWHS]],"-",Table_Query_from_AMULTIQRY45[[#This Row],[LLOC]])</f>
        <v>E1-FG</v>
      </c>
      <c r="Q14" s="10">
        <f t="shared" ca="1" si="1"/>
        <v>45775</v>
      </c>
      <c r="R14" s="10"/>
      <c r="S14" s="28">
        <v>27</v>
      </c>
      <c r="T14" s="1" t="s">
        <v>2</v>
      </c>
      <c r="U14" s="1" t="s">
        <v>16</v>
      </c>
      <c r="V14" s="1">
        <v>20200124</v>
      </c>
      <c r="W14" s="8" t="s">
        <v>8442</v>
      </c>
      <c r="Z14" s="1"/>
      <c r="AA14" s="1"/>
      <c r="AC14" s="1"/>
      <c r="AD14" s="1"/>
      <c r="AE14" s="1"/>
      <c r="AF14" s="1"/>
    </row>
    <row r="15" spans="1:32" ht="12.75" x14ac:dyDescent="0.2">
      <c r="B15" s="1" t="s">
        <v>8521</v>
      </c>
      <c r="C15" s="10">
        <f t="shared" ca="1" si="0"/>
        <v>45775</v>
      </c>
      <c r="D15" s="4"/>
      <c r="E15" s="4" t="s">
        <v>8434</v>
      </c>
      <c r="F15" s="4" t="s">
        <v>1293</v>
      </c>
      <c r="G15" s="4"/>
      <c r="H15" s="4" t="str">
        <f>_xlfn.IFNA(VLOOKUP(Table_Query_from_AMULTIQRY45[[#This Row],[WPROD]],'Part# with New'!$A$1:$B$4347,2,0),Table_Query_from_AMULTIQRY45[[#This Row],[WPROD]])</f>
        <v>SR-24152.697</v>
      </c>
      <c r="I15" s="4" t="s">
        <v>8436</v>
      </c>
      <c r="J15" s="1" t="s">
        <v>5</v>
      </c>
      <c r="L15" s="11">
        <v>0.26966000000000001</v>
      </c>
      <c r="M15" s="1"/>
      <c r="N15" s="1" t="s">
        <v>3</v>
      </c>
      <c r="P15" s="1" t="str">
        <f>CONCATENATE(Table_Query_from_AMULTIQRY45[[#This Row],[WWHS]],"-",Table_Query_from_AMULTIQRY45[[#This Row],[LLOC]])</f>
        <v>E1-FG</v>
      </c>
      <c r="Q15" s="10">
        <f t="shared" ca="1" si="1"/>
        <v>45775</v>
      </c>
      <c r="R15" s="10"/>
      <c r="S15" s="28">
        <v>77</v>
      </c>
      <c r="T15" s="1" t="s">
        <v>2</v>
      </c>
      <c r="U15" s="1" t="s">
        <v>17</v>
      </c>
      <c r="V15" s="1">
        <v>0</v>
      </c>
      <c r="W15" s="8" t="s">
        <v>8442</v>
      </c>
      <c r="Z15" s="1"/>
      <c r="AA15" s="1"/>
      <c r="AC15" s="1"/>
      <c r="AD15" s="1"/>
      <c r="AE15" s="1"/>
      <c r="AF15" s="1"/>
    </row>
    <row r="16" spans="1:32" ht="12.75" x14ac:dyDescent="0.2">
      <c r="B16" s="1" t="s">
        <v>8522</v>
      </c>
      <c r="C16" s="10">
        <f t="shared" ca="1" si="0"/>
        <v>45660</v>
      </c>
      <c r="D16" s="4"/>
      <c r="E16" s="4" t="s">
        <v>8434</v>
      </c>
      <c r="F16" s="4" t="s">
        <v>1293</v>
      </c>
      <c r="G16" s="4"/>
      <c r="H16" s="4" t="str">
        <f>_xlfn.IFNA(VLOOKUP(Table_Query_from_AMULTIQRY45[[#This Row],[WPROD]],'Part# with New'!$A$1:$B$4347,2,0),Table_Query_from_AMULTIQRY45[[#This Row],[WPROD]])</f>
        <v>SR-24267.F1711</v>
      </c>
      <c r="I16" s="4" t="s">
        <v>8436</v>
      </c>
      <c r="J16" s="1" t="s">
        <v>5</v>
      </c>
      <c r="L16" s="11">
        <v>0.16331000000000001</v>
      </c>
      <c r="M16" s="1"/>
      <c r="N16" s="1" t="s">
        <v>18</v>
      </c>
      <c r="P16" s="1" t="str">
        <f>CONCATENATE(Table_Query_from_AMULTIQRY45[[#This Row],[WWHS]],"-",Table_Query_from_AMULTIQRY45[[#This Row],[LLOC]])</f>
        <v>E1-FG</v>
      </c>
      <c r="Q16" s="10">
        <f t="shared" ca="1" si="1"/>
        <v>45775</v>
      </c>
      <c r="R16" s="10"/>
      <c r="S16" s="28">
        <v>40</v>
      </c>
      <c r="T16" s="1" t="s">
        <v>2</v>
      </c>
      <c r="U16" s="1" t="s">
        <v>19</v>
      </c>
      <c r="V16" s="1">
        <v>20250103</v>
      </c>
      <c r="W16" s="8" t="s">
        <v>8442</v>
      </c>
      <c r="Z16" s="1"/>
      <c r="AA16" s="1"/>
      <c r="AC16" s="1"/>
      <c r="AD16" s="1"/>
      <c r="AE16" s="1"/>
      <c r="AF16" s="1"/>
    </row>
    <row r="17" spans="2:32" ht="12.75" x14ac:dyDescent="0.2">
      <c r="B17" s="1" t="s">
        <v>8523</v>
      </c>
      <c r="C17" s="10">
        <f t="shared" ca="1" si="0"/>
        <v>44916</v>
      </c>
      <c r="D17" s="4"/>
      <c r="E17" s="4" t="s">
        <v>8434</v>
      </c>
      <c r="F17" s="4" t="s">
        <v>1293</v>
      </c>
      <c r="G17" s="4"/>
      <c r="H17" s="4" t="str">
        <f>_xlfn.IFNA(VLOOKUP(Table_Query_from_AMULTIQRY45[[#This Row],[WPROD]],'Part# with New'!$A$1:$B$4347,2,0),Table_Query_from_AMULTIQRY45[[#This Row],[WPROD]])</f>
        <v>SR-24267.2</v>
      </c>
      <c r="I17" s="4" t="s">
        <v>8436</v>
      </c>
      <c r="J17" s="1" t="s">
        <v>5</v>
      </c>
      <c r="L17" s="11">
        <v>0.10407</v>
      </c>
      <c r="M17" s="1"/>
      <c r="N17" s="1" t="s">
        <v>18</v>
      </c>
      <c r="P17" s="1" t="str">
        <f>CONCATENATE(Table_Query_from_AMULTIQRY45[[#This Row],[WWHS]],"-",Table_Query_from_AMULTIQRY45[[#This Row],[LLOC]])</f>
        <v>E1-FG</v>
      </c>
      <c r="Q17" s="10">
        <f t="shared" ca="1" si="1"/>
        <v>45775</v>
      </c>
      <c r="R17" s="10"/>
      <c r="S17" s="28">
        <v>12</v>
      </c>
      <c r="T17" s="1" t="s">
        <v>2</v>
      </c>
      <c r="U17" s="1" t="s">
        <v>20</v>
      </c>
      <c r="V17" s="1">
        <v>20221221</v>
      </c>
      <c r="W17" s="8" t="s">
        <v>8442</v>
      </c>
      <c r="Z17" s="1"/>
      <c r="AA17" s="1"/>
      <c r="AC17" s="1"/>
      <c r="AD17" s="1"/>
      <c r="AE17" s="1"/>
      <c r="AF17" s="1"/>
    </row>
    <row r="18" spans="2:32" ht="12.75" x14ac:dyDescent="0.2">
      <c r="B18" s="1" t="s">
        <v>8524</v>
      </c>
      <c r="C18" s="10">
        <f t="shared" ca="1" si="0"/>
        <v>44916</v>
      </c>
      <c r="D18" s="4"/>
      <c r="E18" s="4" t="s">
        <v>8434</v>
      </c>
      <c r="F18" s="4" t="s">
        <v>1293</v>
      </c>
      <c r="G18" s="4"/>
      <c r="H18" s="4" t="str">
        <f>_xlfn.IFNA(VLOOKUP(Table_Query_from_AMULTIQRY45[[#This Row],[WPROD]],'Part# with New'!$A$1:$B$4347,2,0),Table_Query_from_AMULTIQRY45[[#This Row],[WPROD]])</f>
        <v>SR-24268.2</v>
      </c>
      <c r="I18" s="4" t="s">
        <v>8436</v>
      </c>
      <c r="J18" s="1" t="s">
        <v>5</v>
      </c>
      <c r="L18" s="11">
        <v>0.13603999999999999</v>
      </c>
      <c r="M18" s="1"/>
      <c r="N18" s="1" t="s">
        <v>18</v>
      </c>
      <c r="P18" s="1" t="str">
        <f>CONCATENATE(Table_Query_from_AMULTIQRY45[[#This Row],[WWHS]],"-",Table_Query_from_AMULTIQRY45[[#This Row],[LLOC]])</f>
        <v>E1-FG</v>
      </c>
      <c r="Q18" s="10">
        <f t="shared" ca="1" si="1"/>
        <v>45775</v>
      </c>
      <c r="R18" s="10"/>
      <c r="S18" s="28">
        <v>15</v>
      </c>
      <c r="T18" s="1" t="s">
        <v>2</v>
      </c>
      <c r="U18" s="1" t="s">
        <v>21</v>
      </c>
      <c r="V18" s="1">
        <v>20221221</v>
      </c>
      <c r="W18" s="8" t="s">
        <v>8442</v>
      </c>
      <c r="Z18" s="1"/>
      <c r="AA18" s="1"/>
      <c r="AC18" s="1"/>
      <c r="AD18" s="1"/>
      <c r="AE18" s="1"/>
      <c r="AF18" s="1"/>
    </row>
    <row r="19" spans="2:32" ht="12.75" x14ac:dyDescent="0.2">
      <c r="B19" s="1" t="s">
        <v>8525</v>
      </c>
      <c r="C19" s="10">
        <f t="shared" ca="1" si="0"/>
        <v>44867</v>
      </c>
      <c r="D19" s="4"/>
      <c r="E19" s="4" t="s">
        <v>8434</v>
      </c>
      <c r="F19" s="4" t="s">
        <v>1293</v>
      </c>
      <c r="G19" s="4"/>
      <c r="H19" s="4" t="str">
        <f>_xlfn.IFNA(VLOOKUP(Table_Query_from_AMULTIQRY45[[#This Row],[WPROD]],'Part# with New'!$A$1:$B$4347,2,0),Table_Query_from_AMULTIQRY45[[#This Row],[WPROD]])</f>
        <v>SR-24276</v>
      </c>
      <c r="I19" s="4" t="s">
        <v>8436</v>
      </c>
      <c r="J19" s="1" t="s">
        <v>5</v>
      </c>
      <c r="L19" s="11">
        <v>0.10295</v>
      </c>
      <c r="M19" s="1"/>
      <c r="N19" s="1" t="s">
        <v>6</v>
      </c>
      <c r="P19" s="1" t="str">
        <f>CONCATENATE(Table_Query_from_AMULTIQRY45[[#This Row],[WWHS]],"-",Table_Query_from_AMULTIQRY45[[#This Row],[LLOC]])</f>
        <v>E1-FG</v>
      </c>
      <c r="Q19" s="10">
        <f t="shared" ca="1" si="1"/>
        <v>45775</v>
      </c>
      <c r="R19" s="10"/>
      <c r="S19" s="28">
        <v>10</v>
      </c>
      <c r="T19" s="1" t="s">
        <v>2</v>
      </c>
      <c r="U19" s="1" t="s">
        <v>22</v>
      </c>
      <c r="V19" s="1">
        <v>20221102</v>
      </c>
      <c r="W19" s="8" t="s">
        <v>8442</v>
      </c>
      <c r="Z19" s="1"/>
      <c r="AA19" s="1"/>
      <c r="AC19" s="1"/>
      <c r="AD19" s="1"/>
      <c r="AE19" s="1"/>
      <c r="AF19" s="1"/>
    </row>
    <row r="20" spans="2:32" ht="12.75" x14ac:dyDescent="0.2">
      <c r="B20" s="1" t="s">
        <v>8526</v>
      </c>
      <c r="C20" s="10">
        <f t="shared" ca="1" si="0"/>
        <v>44867</v>
      </c>
      <c r="D20" s="4"/>
      <c r="E20" s="4" t="s">
        <v>8434</v>
      </c>
      <c r="F20" s="4" t="s">
        <v>1293</v>
      </c>
      <c r="G20" s="4"/>
      <c r="H20" s="4" t="str">
        <f>_xlfn.IFNA(VLOOKUP(Table_Query_from_AMULTIQRY45[[#This Row],[WPROD]],'Part# with New'!$A$1:$B$4347,2,0),Table_Query_from_AMULTIQRY45[[#This Row],[WPROD]])</f>
        <v>SR-24277</v>
      </c>
      <c r="I20" s="4" t="s">
        <v>8436</v>
      </c>
      <c r="J20" s="1" t="s">
        <v>5</v>
      </c>
      <c r="L20" s="11">
        <v>1.2153700000000001</v>
      </c>
      <c r="M20" s="1"/>
      <c r="N20" s="1" t="s">
        <v>6</v>
      </c>
      <c r="P20" s="1" t="str">
        <f>CONCATENATE(Table_Query_from_AMULTIQRY45[[#This Row],[WWHS]],"-",Table_Query_from_AMULTIQRY45[[#This Row],[LLOC]])</f>
        <v>E1-FG</v>
      </c>
      <c r="Q20" s="10">
        <f t="shared" ca="1" si="1"/>
        <v>45775</v>
      </c>
      <c r="R20" s="10"/>
      <c r="S20" s="28">
        <v>7</v>
      </c>
      <c r="T20" s="1" t="s">
        <v>2</v>
      </c>
      <c r="U20" s="1" t="s">
        <v>23</v>
      </c>
      <c r="V20" s="1">
        <v>20221102</v>
      </c>
      <c r="W20" s="8" t="s">
        <v>8442</v>
      </c>
      <c r="Z20" s="1"/>
      <c r="AA20" s="1"/>
      <c r="AC20" s="1"/>
      <c r="AD20" s="1"/>
      <c r="AE20" s="1"/>
      <c r="AF20" s="1"/>
    </row>
    <row r="21" spans="2:32" ht="12.75" x14ac:dyDescent="0.2">
      <c r="B21" s="1" t="s">
        <v>8527</v>
      </c>
      <c r="C21" s="10">
        <f t="shared" ca="1" si="0"/>
        <v>44972</v>
      </c>
      <c r="D21" s="4"/>
      <c r="E21" s="4" t="s">
        <v>8434</v>
      </c>
      <c r="F21" s="4" t="s">
        <v>1293</v>
      </c>
      <c r="G21" s="4"/>
      <c r="H21" s="4" t="str">
        <f>_xlfn.IFNA(VLOOKUP(Table_Query_from_AMULTIQRY45[[#This Row],[WPROD]],'Part# with New'!$A$1:$B$4347,2,0),Table_Query_from_AMULTIQRY45[[#This Row],[WPROD]])</f>
        <v>SR-24299</v>
      </c>
      <c r="I21" s="4" t="s">
        <v>8436</v>
      </c>
      <c r="J21" s="1" t="s">
        <v>5</v>
      </c>
      <c r="L21" s="11">
        <v>0.59225000000000005</v>
      </c>
      <c r="M21" s="1"/>
      <c r="N21" s="1" t="s">
        <v>18</v>
      </c>
      <c r="P21" s="1" t="str">
        <f>CONCATENATE(Table_Query_from_AMULTIQRY45[[#This Row],[WWHS]],"-",Table_Query_from_AMULTIQRY45[[#This Row],[LLOC]])</f>
        <v>E1-FG</v>
      </c>
      <c r="Q21" s="10">
        <f t="shared" ca="1" si="1"/>
        <v>45775</v>
      </c>
      <c r="R21" s="10"/>
      <c r="S21" s="28">
        <v>30</v>
      </c>
      <c r="T21" s="1" t="s">
        <v>2</v>
      </c>
      <c r="U21" s="1" t="s">
        <v>24</v>
      </c>
      <c r="V21" s="1">
        <v>20230215</v>
      </c>
      <c r="W21" s="8" t="s">
        <v>8442</v>
      </c>
      <c r="Z21" s="1"/>
      <c r="AA21" s="1"/>
      <c r="AC21" s="1"/>
      <c r="AD21" s="1"/>
      <c r="AE21" s="1"/>
      <c r="AF21" s="1"/>
    </row>
    <row r="22" spans="2:32" ht="12.75" x14ac:dyDescent="0.2">
      <c r="B22" s="1" t="s">
        <v>8528</v>
      </c>
      <c r="C22" s="10">
        <f t="shared" ca="1" si="0"/>
        <v>45092</v>
      </c>
      <c r="D22" s="4"/>
      <c r="E22" s="4" t="s">
        <v>8434</v>
      </c>
      <c r="F22" s="4" t="s">
        <v>1293</v>
      </c>
      <c r="G22" s="4"/>
      <c r="H22" s="4" t="str">
        <f>_xlfn.IFNA(VLOOKUP(Table_Query_from_AMULTIQRY45[[#This Row],[WPROD]],'Part# with New'!$A$1:$B$4347,2,0),Table_Query_from_AMULTIQRY45[[#This Row],[WPROD]])</f>
        <v>SR-24344</v>
      </c>
      <c r="I22" s="4" t="s">
        <v>8436</v>
      </c>
      <c r="J22" s="1" t="s">
        <v>5</v>
      </c>
      <c r="L22" s="11">
        <v>0.20835000000000001</v>
      </c>
      <c r="M22" s="1"/>
      <c r="N22" s="1" t="s">
        <v>3</v>
      </c>
      <c r="P22" s="1" t="str">
        <f>CONCATENATE(Table_Query_from_AMULTIQRY45[[#This Row],[WWHS]],"-",Table_Query_from_AMULTIQRY45[[#This Row],[LLOC]])</f>
        <v>E1-FG</v>
      </c>
      <c r="Q22" s="10">
        <f t="shared" ca="1" si="1"/>
        <v>45775</v>
      </c>
      <c r="R22" s="10"/>
      <c r="S22" s="28">
        <v>58</v>
      </c>
      <c r="T22" s="1" t="s">
        <v>2</v>
      </c>
      <c r="U22" s="1" t="s">
        <v>25</v>
      </c>
      <c r="V22" s="1">
        <v>20230615</v>
      </c>
      <c r="W22" s="8" t="s">
        <v>8442</v>
      </c>
      <c r="Z22" s="1"/>
      <c r="AA22" s="1"/>
      <c r="AC22" s="1"/>
      <c r="AD22" s="1"/>
      <c r="AE22" s="1"/>
      <c r="AF22" s="1"/>
    </row>
    <row r="23" spans="2:32" ht="12.75" x14ac:dyDescent="0.2">
      <c r="B23" s="1" t="s">
        <v>8529</v>
      </c>
      <c r="C23" s="10">
        <f t="shared" ca="1" si="0"/>
        <v>45751</v>
      </c>
      <c r="D23" s="4"/>
      <c r="E23" s="4" t="s">
        <v>8434</v>
      </c>
      <c r="F23" s="4" t="s">
        <v>1293</v>
      </c>
      <c r="G23" s="4"/>
      <c r="H23" s="4" t="str">
        <f>_xlfn.IFNA(VLOOKUP(Table_Query_from_AMULTIQRY45[[#This Row],[WPROD]],'Part# with New'!$A$1:$B$4347,2,0),Table_Query_from_AMULTIQRY45[[#This Row],[WPROD]])</f>
        <v>SR-24460.FL1502</v>
      </c>
      <c r="I23" s="4" t="s">
        <v>8436</v>
      </c>
      <c r="J23" s="1" t="s">
        <v>5</v>
      </c>
      <c r="L23" s="11">
        <v>8.7359999999999993E-2</v>
      </c>
      <c r="M23" s="1"/>
      <c r="N23" s="1" t="s">
        <v>6</v>
      </c>
      <c r="P23" s="1" t="str">
        <f>CONCATENATE(Table_Query_from_AMULTIQRY45[[#This Row],[WWHS]],"-",Table_Query_from_AMULTIQRY45[[#This Row],[LLOC]])</f>
        <v>E1-FG</v>
      </c>
      <c r="Q23" s="10">
        <f t="shared" ca="1" si="1"/>
        <v>45775</v>
      </c>
      <c r="R23" s="10"/>
      <c r="S23" s="28">
        <v>20</v>
      </c>
      <c r="T23" s="1" t="s">
        <v>2</v>
      </c>
      <c r="U23" s="1" t="s">
        <v>26</v>
      </c>
      <c r="V23" s="1">
        <v>20250404</v>
      </c>
      <c r="W23" s="8" t="s">
        <v>8442</v>
      </c>
      <c r="Z23" s="1"/>
      <c r="AA23" s="1"/>
      <c r="AC23" s="1"/>
      <c r="AD23" s="1"/>
      <c r="AE23" s="1"/>
      <c r="AF23" s="1"/>
    </row>
    <row r="24" spans="2:32" ht="12.75" x14ac:dyDescent="0.2">
      <c r="B24" s="1" t="s">
        <v>8530</v>
      </c>
      <c r="C24" s="10">
        <f t="shared" ca="1" si="0"/>
        <v>45757</v>
      </c>
      <c r="D24" s="4"/>
      <c r="E24" s="4" t="s">
        <v>8434</v>
      </c>
      <c r="F24" s="4" t="s">
        <v>1293</v>
      </c>
      <c r="G24" s="4"/>
      <c r="H24" s="4" t="str">
        <f>_xlfn.IFNA(VLOOKUP(Table_Query_from_AMULTIQRY45[[#This Row],[WPROD]],'Part# with New'!$A$1:$B$4347,2,0),Table_Query_from_AMULTIQRY45[[#This Row],[WPROD]])</f>
        <v>SR-24463.AGC594</v>
      </c>
      <c r="I24" s="4" t="s">
        <v>8436</v>
      </c>
      <c r="J24" s="1" t="s">
        <v>5</v>
      </c>
      <c r="L24" s="11">
        <v>5.4239999999999997E-2</v>
      </c>
      <c r="M24" s="1"/>
      <c r="N24" s="1" t="s">
        <v>6</v>
      </c>
      <c r="P24" s="1" t="str">
        <f>CONCATENATE(Table_Query_from_AMULTIQRY45[[#This Row],[WWHS]],"-",Table_Query_from_AMULTIQRY45[[#This Row],[LLOC]])</f>
        <v>E1-FG</v>
      </c>
      <c r="Q24" s="10">
        <f t="shared" ca="1" si="1"/>
        <v>45775</v>
      </c>
      <c r="R24" s="10"/>
      <c r="S24" s="28">
        <v>17</v>
      </c>
      <c r="T24" s="1" t="s">
        <v>2</v>
      </c>
      <c r="U24" s="1" t="s">
        <v>27</v>
      </c>
      <c r="V24" s="1">
        <v>20250410</v>
      </c>
      <c r="W24" s="8" t="s">
        <v>8442</v>
      </c>
      <c r="Z24" s="1"/>
      <c r="AA24" s="1"/>
      <c r="AC24" s="1"/>
      <c r="AD24" s="1"/>
      <c r="AE24" s="1"/>
      <c r="AF24" s="1"/>
    </row>
    <row r="25" spans="2:32" ht="12.75" x14ac:dyDescent="0.2">
      <c r="B25" s="1" t="s">
        <v>8531</v>
      </c>
      <c r="C25" s="10">
        <f t="shared" ca="1" si="0"/>
        <v>45757</v>
      </c>
      <c r="D25" s="4"/>
      <c r="E25" s="4" t="s">
        <v>8434</v>
      </c>
      <c r="F25" s="4" t="s">
        <v>1293</v>
      </c>
      <c r="G25" s="4"/>
      <c r="H25" s="4" t="str">
        <f>_xlfn.IFNA(VLOOKUP(Table_Query_from_AMULTIQRY45[[#This Row],[WPROD]],'Part# with New'!$A$1:$B$4347,2,0),Table_Query_from_AMULTIQRY45[[#This Row],[WPROD]])</f>
        <v>SR-24463.551</v>
      </c>
      <c r="I25" s="4" t="s">
        <v>8436</v>
      </c>
      <c r="J25" s="1" t="s">
        <v>5</v>
      </c>
      <c r="L25" s="11">
        <v>7.1370000000000003E-2</v>
      </c>
      <c r="M25" s="1"/>
      <c r="N25" s="1" t="s">
        <v>6</v>
      </c>
      <c r="P25" s="1" t="str">
        <f>CONCATENATE(Table_Query_from_AMULTIQRY45[[#This Row],[WWHS]],"-",Table_Query_from_AMULTIQRY45[[#This Row],[LLOC]])</f>
        <v>E1-FG</v>
      </c>
      <c r="Q25" s="10">
        <f t="shared" ca="1" si="1"/>
        <v>45775</v>
      </c>
      <c r="R25" s="10"/>
      <c r="S25" s="28">
        <v>101</v>
      </c>
      <c r="T25" s="1" t="s">
        <v>2</v>
      </c>
      <c r="U25" s="1" t="s">
        <v>28</v>
      </c>
      <c r="V25" s="1">
        <v>20250410</v>
      </c>
      <c r="W25" s="8" t="s">
        <v>8442</v>
      </c>
      <c r="Z25" s="1"/>
      <c r="AA25" s="1"/>
      <c r="AC25" s="1"/>
      <c r="AD25" s="1"/>
      <c r="AE25" s="1"/>
      <c r="AF25" s="1"/>
    </row>
    <row r="26" spans="2:32" ht="12.75" x14ac:dyDescent="0.2">
      <c r="B26" s="1" t="s">
        <v>8532</v>
      </c>
      <c r="C26" s="10">
        <f t="shared" ca="1" si="0"/>
        <v>45757</v>
      </c>
      <c r="D26" s="4"/>
      <c r="E26" s="4" t="s">
        <v>8434</v>
      </c>
      <c r="F26" s="4" t="s">
        <v>1293</v>
      </c>
      <c r="G26" s="4"/>
      <c r="H26" s="4" t="str">
        <f>_xlfn.IFNA(VLOOKUP(Table_Query_from_AMULTIQRY45[[#This Row],[WPROD]],'Part# with New'!$A$1:$B$4347,2,0),Table_Query_from_AMULTIQRY45[[#This Row],[WPROD]])</f>
        <v>SR-24463.668</v>
      </c>
      <c r="I26" s="4" t="s">
        <v>8436</v>
      </c>
      <c r="J26" s="1" t="s">
        <v>5</v>
      </c>
      <c r="L26" s="11">
        <v>6.787E-2</v>
      </c>
      <c r="M26" s="1"/>
      <c r="N26" s="1" t="s">
        <v>6</v>
      </c>
      <c r="P26" s="1" t="str">
        <f>CONCATENATE(Table_Query_from_AMULTIQRY45[[#This Row],[WWHS]],"-",Table_Query_from_AMULTIQRY45[[#This Row],[LLOC]])</f>
        <v>E1-FG</v>
      </c>
      <c r="Q26" s="10">
        <f t="shared" ca="1" si="1"/>
        <v>45775</v>
      </c>
      <c r="R26" s="10"/>
      <c r="S26" s="28">
        <v>78</v>
      </c>
      <c r="T26" s="1" t="s">
        <v>2</v>
      </c>
      <c r="U26" s="1" t="s">
        <v>29</v>
      </c>
      <c r="V26" s="1">
        <v>20250410</v>
      </c>
      <c r="W26" s="8" t="s">
        <v>8442</v>
      </c>
      <c r="Z26" s="1"/>
      <c r="AA26" s="1"/>
      <c r="AC26" s="1"/>
      <c r="AD26" s="1"/>
      <c r="AE26" s="1"/>
      <c r="AF26" s="1"/>
    </row>
    <row r="27" spans="2:32" ht="12.75" x14ac:dyDescent="0.2">
      <c r="B27" s="1" t="s">
        <v>8533</v>
      </c>
      <c r="C27" s="10">
        <f t="shared" ca="1" si="0"/>
        <v>45251</v>
      </c>
      <c r="D27" s="4"/>
      <c r="E27" s="4" t="s">
        <v>8434</v>
      </c>
      <c r="F27" s="4" t="s">
        <v>1293</v>
      </c>
      <c r="G27" s="4"/>
      <c r="H27" s="4" t="str">
        <f>_xlfn.IFNA(VLOOKUP(Table_Query_from_AMULTIQRY45[[#This Row],[WPROD]],'Part# with New'!$A$1:$B$4347,2,0),Table_Query_from_AMULTIQRY45[[#This Row],[WPROD]])</f>
        <v>WRJA318298009D-R470BK</v>
      </c>
      <c r="I27" s="4" t="s">
        <v>8436</v>
      </c>
      <c r="J27" s="1" t="s">
        <v>5</v>
      </c>
      <c r="L27" s="11">
        <v>4.7899999999999998E-2</v>
      </c>
      <c r="M27" s="1"/>
      <c r="N27" s="1" t="s">
        <v>30</v>
      </c>
      <c r="P27" s="1" t="str">
        <f>CONCATENATE(Table_Query_from_AMULTIQRY45[[#This Row],[WWHS]],"-",Table_Query_from_AMULTIQRY45[[#This Row],[LLOC]])</f>
        <v>E1-FG</v>
      </c>
      <c r="Q27" s="10">
        <f t="shared" ca="1" si="1"/>
        <v>45775</v>
      </c>
      <c r="R27" s="10"/>
      <c r="S27" s="28">
        <v>4265</v>
      </c>
      <c r="T27" s="1" t="s">
        <v>2</v>
      </c>
      <c r="U27" s="1" t="s">
        <v>31</v>
      </c>
      <c r="V27" s="1">
        <v>20231121</v>
      </c>
      <c r="W27" s="8" t="s">
        <v>8442</v>
      </c>
      <c r="Z27" s="1"/>
      <c r="AA27" s="1"/>
      <c r="AC27" s="1"/>
      <c r="AD27" s="1"/>
      <c r="AE27" s="1"/>
      <c r="AF27" s="1"/>
    </row>
    <row r="28" spans="2:32" ht="12.75" x14ac:dyDescent="0.2">
      <c r="B28" s="1" t="s">
        <v>8534</v>
      </c>
      <c r="C28" s="10">
        <f t="shared" ca="1" si="0"/>
        <v>44512</v>
      </c>
      <c r="D28" s="4"/>
      <c r="E28" s="4" t="s">
        <v>8434</v>
      </c>
      <c r="F28" s="4" t="s">
        <v>1293</v>
      </c>
      <c r="G28" s="4"/>
      <c r="H28" s="4" t="str">
        <f>_xlfn.IFNA(VLOOKUP(Table_Query_from_AMULTIQRY45[[#This Row],[WPROD]],'Part# with New'!$A$1:$B$4347,2,0),Table_Query_from_AMULTIQRY45[[#This Row],[WPROD]])</f>
        <v>WRJA447434006D-R470BK</v>
      </c>
      <c r="I28" s="4" t="s">
        <v>8436</v>
      </c>
      <c r="J28" s="1" t="s">
        <v>5</v>
      </c>
      <c r="L28" s="11">
        <v>3.3610000000000001E-2</v>
      </c>
      <c r="M28" s="1"/>
      <c r="N28" s="1" t="s">
        <v>30</v>
      </c>
      <c r="P28" s="1" t="str">
        <f>CONCATENATE(Table_Query_from_AMULTIQRY45[[#This Row],[WWHS]],"-",Table_Query_from_AMULTIQRY45[[#This Row],[LLOC]])</f>
        <v>E1-FG</v>
      </c>
      <c r="Q28" s="10">
        <f t="shared" ca="1" si="1"/>
        <v>45775</v>
      </c>
      <c r="R28" s="10"/>
      <c r="S28" s="28">
        <v>680</v>
      </c>
      <c r="T28" s="1" t="s">
        <v>2</v>
      </c>
      <c r="U28" s="1" t="s">
        <v>32</v>
      </c>
      <c r="V28" s="1">
        <v>20211112</v>
      </c>
      <c r="W28" s="8" t="s">
        <v>8442</v>
      </c>
      <c r="Z28" s="1"/>
      <c r="AA28" s="1"/>
      <c r="AC28" s="1"/>
      <c r="AD28" s="1"/>
      <c r="AE28" s="1"/>
      <c r="AF28" s="1"/>
    </row>
    <row r="29" spans="2:32" ht="12.75" x14ac:dyDescent="0.2">
      <c r="B29" s="1" t="s">
        <v>8535</v>
      </c>
      <c r="C29" s="10">
        <f t="shared" ca="1" si="0"/>
        <v>44897</v>
      </c>
      <c r="D29" s="4"/>
      <c r="E29" s="4" t="s">
        <v>8434</v>
      </c>
      <c r="F29" s="4" t="s">
        <v>1293</v>
      </c>
      <c r="G29" s="4"/>
      <c r="H29" s="4" t="str">
        <f>_xlfn.IFNA(VLOOKUP(Table_Query_from_AMULTIQRY45[[#This Row],[WPROD]],'Part# with New'!$A$1:$B$4347,2,0),Table_Query_from_AMULTIQRY45[[#This Row],[WPROD]])</f>
        <v>WRJA429356009D-R470BK</v>
      </c>
      <c r="I29" s="4" t="s">
        <v>8436</v>
      </c>
      <c r="J29" s="1" t="s">
        <v>5</v>
      </c>
      <c r="L29" s="11">
        <v>0.11360000000000001</v>
      </c>
      <c r="M29" s="1"/>
      <c r="N29" s="1" t="s">
        <v>30</v>
      </c>
      <c r="P29" s="1" t="str">
        <f>CONCATENATE(Table_Query_from_AMULTIQRY45[[#This Row],[WWHS]],"-",Table_Query_from_AMULTIQRY45[[#This Row],[LLOC]])</f>
        <v>E1-FG</v>
      </c>
      <c r="Q29" s="10">
        <f t="shared" ca="1" si="1"/>
        <v>45775</v>
      </c>
      <c r="R29" s="10"/>
      <c r="S29" s="28">
        <v>419</v>
      </c>
      <c r="T29" s="1" t="s">
        <v>2</v>
      </c>
      <c r="U29" s="1" t="s">
        <v>33</v>
      </c>
      <c r="V29" s="1">
        <v>20221202</v>
      </c>
      <c r="W29" s="8" t="s">
        <v>8442</v>
      </c>
      <c r="Z29" s="1"/>
      <c r="AA29" s="1"/>
      <c r="AC29" s="1"/>
      <c r="AD29" s="1"/>
      <c r="AE29" s="1"/>
      <c r="AF29" s="1"/>
    </row>
    <row r="30" spans="2:32" ht="12.75" x14ac:dyDescent="0.2">
      <c r="B30" s="1" t="s">
        <v>8536</v>
      </c>
      <c r="C30" s="10">
        <f t="shared" ca="1" si="0"/>
        <v>45569</v>
      </c>
      <c r="D30" s="4"/>
      <c r="E30" s="4" t="s">
        <v>8434</v>
      </c>
      <c r="F30" s="4" t="s">
        <v>1293</v>
      </c>
      <c r="G30" s="4"/>
      <c r="H30" s="4" t="str">
        <f>_xlfn.IFNA(VLOOKUP(Table_Query_from_AMULTIQRY45[[#This Row],[WPROD]],'Part# with New'!$A$1:$B$4347,2,0),Table_Query_from_AMULTIQRY45[[#This Row],[WPROD]])</f>
        <v>WRJC075056006D-R470BK</v>
      </c>
      <c r="I30" s="4" t="s">
        <v>8436</v>
      </c>
      <c r="J30" s="1" t="s">
        <v>5</v>
      </c>
      <c r="L30" s="11">
        <v>9.3200000000000002E-3</v>
      </c>
      <c r="M30" s="1"/>
      <c r="N30" s="1" t="s">
        <v>34</v>
      </c>
      <c r="P30" s="1" t="str">
        <f>CONCATENATE(Table_Query_from_AMULTIQRY45[[#This Row],[WWHS]],"-",Table_Query_from_AMULTIQRY45[[#This Row],[LLOC]])</f>
        <v>E1-FG</v>
      </c>
      <c r="Q30" s="10">
        <f t="shared" ca="1" si="1"/>
        <v>45775</v>
      </c>
      <c r="R30" s="10"/>
      <c r="S30" s="28">
        <v>1040</v>
      </c>
      <c r="T30" s="1" t="s">
        <v>2</v>
      </c>
      <c r="U30" s="1" t="s">
        <v>35</v>
      </c>
      <c r="V30" s="1">
        <v>20241004</v>
      </c>
      <c r="W30" s="8" t="s">
        <v>8442</v>
      </c>
      <c r="Z30" s="1"/>
      <c r="AA30" s="1"/>
      <c r="AC30" s="1"/>
      <c r="AD30" s="1"/>
      <c r="AE30" s="1"/>
      <c r="AF30" s="1"/>
    </row>
    <row r="31" spans="2:32" ht="12.75" x14ac:dyDescent="0.2">
      <c r="B31" s="1" t="s">
        <v>8537</v>
      </c>
      <c r="C31" s="10">
        <f t="shared" ca="1" si="0"/>
        <v>45567</v>
      </c>
      <c r="D31" s="4"/>
      <c r="E31" s="4" t="s">
        <v>8434</v>
      </c>
      <c r="F31" s="4" t="s">
        <v>1293</v>
      </c>
      <c r="G31" s="4"/>
      <c r="H31" s="4" t="str">
        <f>_xlfn.IFNA(VLOOKUP(Table_Query_from_AMULTIQRY45[[#This Row],[WPROD]],'Part# with New'!$A$1:$B$4347,2,0),Table_Query_from_AMULTIQRY45[[#This Row],[WPROD]])</f>
        <v>WRJC121074009D-R870AK</v>
      </c>
      <c r="I31" s="4" t="s">
        <v>8436</v>
      </c>
      <c r="J31" s="1" t="s">
        <v>5</v>
      </c>
      <c r="L31" s="11">
        <v>1.8319999999999999E-2</v>
      </c>
      <c r="M31" s="1"/>
      <c r="N31" s="1" t="s">
        <v>34</v>
      </c>
      <c r="P31" s="1" t="str">
        <f>CONCATENATE(Table_Query_from_AMULTIQRY45[[#This Row],[WWHS]],"-",Table_Query_from_AMULTIQRY45[[#This Row],[LLOC]])</f>
        <v>E1-FG</v>
      </c>
      <c r="Q31" s="10">
        <f t="shared" ca="1" si="1"/>
        <v>45775</v>
      </c>
      <c r="R31" s="10"/>
      <c r="S31" s="28">
        <v>2787</v>
      </c>
      <c r="T31" s="1" t="s">
        <v>2</v>
      </c>
      <c r="U31" s="1" t="s">
        <v>36</v>
      </c>
      <c r="V31" s="1">
        <v>20241002</v>
      </c>
      <c r="W31" s="8" t="s">
        <v>8442</v>
      </c>
      <c r="Z31" s="1"/>
      <c r="AA31" s="1"/>
      <c r="AC31" s="1"/>
      <c r="AD31" s="1"/>
      <c r="AE31" s="1"/>
      <c r="AF31" s="1"/>
    </row>
    <row r="32" spans="2:32" ht="12.75" x14ac:dyDescent="0.2">
      <c r="B32" s="1" t="s">
        <v>8538</v>
      </c>
      <c r="C32" s="10">
        <f t="shared" ca="1" si="0"/>
        <v>44244</v>
      </c>
      <c r="D32" s="4"/>
      <c r="E32" s="4" t="s">
        <v>8434</v>
      </c>
      <c r="F32" s="4" t="s">
        <v>1293</v>
      </c>
      <c r="G32" s="4"/>
      <c r="H32" s="4" t="str">
        <f>_xlfn.IFNA(VLOOKUP(Table_Query_from_AMULTIQRY45[[#This Row],[WPROD]],'Part# with New'!$A$1:$B$4347,2,0),Table_Query_from_AMULTIQRY45[[#This Row],[WPROD]])</f>
        <v>WRJE200177012D-R970BK</v>
      </c>
      <c r="I32" s="4" t="s">
        <v>8436</v>
      </c>
      <c r="J32" s="1" t="s">
        <v>5</v>
      </c>
      <c r="L32" s="11">
        <v>3.32E-2</v>
      </c>
      <c r="M32" s="1"/>
      <c r="N32" s="1" t="s">
        <v>37</v>
      </c>
      <c r="P32" s="1" t="str">
        <f>CONCATENATE(Table_Query_from_AMULTIQRY45[[#This Row],[WWHS]],"-",Table_Query_from_AMULTIQRY45[[#This Row],[LLOC]])</f>
        <v>E1-FG</v>
      </c>
      <c r="Q32" s="10">
        <f t="shared" ca="1" si="1"/>
        <v>45775</v>
      </c>
      <c r="R32" s="10"/>
      <c r="S32" s="28">
        <v>244</v>
      </c>
      <c r="T32" s="1" t="s">
        <v>2</v>
      </c>
      <c r="U32" s="1" t="s">
        <v>38</v>
      </c>
      <c r="V32" s="1">
        <v>20210217</v>
      </c>
      <c r="W32" s="8" t="s">
        <v>8442</v>
      </c>
      <c r="Z32" s="1"/>
      <c r="AA32" s="1"/>
      <c r="AC32" s="1"/>
      <c r="AD32" s="1"/>
      <c r="AE32" s="1"/>
      <c r="AF32" s="1"/>
    </row>
    <row r="33" spans="2:32" ht="12.75" x14ac:dyDescent="0.2">
      <c r="B33" s="1" t="s">
        <v>8539</v>
      </c>
      <c r="C33" s="10">
        <f t="shared" ca="1" si="0"/>
        <v>44762</v>
      </c>
      <c r="D33" s="4"/>
      <c r="E33" s="4" t="s">
        <v>8434</v>
      </c>
      <c r="F33" s="4" t="s">
        <v>1293</v>
      </c>
      <c r="G33" s="4"/>
      <c r="H33" s="4" t="str">
        <f>_xlfn.IFNA(VLOOKUP(Table_Query_from_AMULTIQRY45[[#This Row],[WPROD]],'Part# with New'!$A$1:$B$4347,2,0),Table_Query_from_AMULTIQRY45[[#This Row],[WPROD]])</f>
        <v>WRJA345330003D-R070BK</v>
      </c>
      <c r="I33" s="4" t="s">
        <v>8436</v>
      </c>
      <c r="J33" s="1" t="s">
        <v>5</v>
      </c>
      <c r="L33" s="11">
        <v>4.376E-2</v>
      </c>
      <c r="M33" s="1"/>
      <c r="N33" s="1" t="s">
        <v>30</v>
      </c>
      <c r="P33" s="1" t="str">
        <f>CONCATENATE(Table_Query_from_AMULTIQRY45[[#This Row],[WWHS]],"-",Table_Query_from_AMULTIQRY45[[#This Row],[LLOC]])</f>
        <v>E1-FG</v>
      </c>
      <c r="Q33" s="10">
        <f t="shared" ca="1" si="1"/>
        <v>45775</v>
      </c>
      <c r="R33" s="10"/>
      <c r="S33" s="28">
        <v>23698</v>
      </c>
      <c r="T33" s="1" t="s">
        <v>2</v>
      </c>
      <c r="U33" s="1" t="s">
        <v>39</v>
      </c>
      <c r="V33" s="1">
        <v>20220720</v>
      </c>
      <c r="W33" s="8" t="s">
        <v>8442</v>
      </c>
      <c r="Z33" s="1"/>
      <c r="AA33" s="1"/>
      <c r="AC33" s="1"/>
      <c r="AD33" s="1"/>
      <c r="AE33" s="1"/>
      <c r="AF33" s="1"/>
    </row>
    <row r="34" spans="2:32" ht="12.75" x14ac:dyDescent="0.2">
      <c r="B34" s="1" t="s">
        <v>8540</v>
      </c>
      <c r="C34" s="10">
        <f t="shared" ca="1" si="0"/>
        <v>45505</v>
      </c>
      <c r="D34" s="4"/>
      <c r="E34" s="4" t="s">
        <v>8434</v>
      </c>
      <c r="F34" s="4" t="s">
        <v>1293</v>
      </c>
      <c r="G34" s="4"/>
      <c r="H34" s="4" t="str">
        <f>_xlfn.IFNA(VLOOKUP(Table_Query_from_AMULTIQRY45[[#This Row],[WPROD]],'Part# with New'!$A$1:$B$4347,2,0),Table_Query_from_AMULTIQRY45[[#This Row],[WPROD]])</f>
        <v>WRJC203162009D-R470BK</v>
      </c>
      <c r="I34" s="4" t="s">
        <v>8436</v>
      </c>
      <c r="J34" s="1" t="s">
        <v>5</v>
      </c>
      <c r="L34" s="11">
        <v>3.3450000000000001E-2</v>
      </c>
      <c r="M34" s="1"/>
      <c r="N34" s="1" t="s">
        <v>34</v>
      </c>
      <c r="P34" s="1" t="str">
        <f>CONCATENATE(Table_Query_from_AMULTIQRY45[[#This Row],[WWHS]],"-",Table_Query_from_AMULTIQRY45[[#This Row],[LLOC]])</f>
        <v>E1-FG</v>
      </c>
      <c r="Q34" s="10">
        <f t="shared" ca="1" si="1"/>
        <v>45775</v>
      </c>
      <c r="R34" s="10"/>
      <c r="S34" s="28">
        <v>1190</v>
      </c>
      <c r="T34" s="1" t="s">
        <v>2</v>
      </c>
      <c r="U34" s="1" t="s">
        <v>40</v>
      </c>
      <c r="V34" s="1">
        <v>20240801</v>
      </c>
      <c r="W34" s="8" t="s">
        <v>8442</v>
      </c>
      <c r="Z34" s="1"/>
      <c r="AA34" s="1"/>
      <c r="AC34" s="1"/>
      <c r="AD34" s="1"/>
      <c r="AE34" s="1"/>
      <c r="AF34" s="1"/>
    </row>
    <row r="35" spans="2:32" ht="12.75" x14ac:dyDescent="0.2">
      <c r="B35" s="1" t="s">
        <v>8541</v>
      </c>
      <c r="C35" s="10">
        <f t="shared" ca="1" si="0"/>
        <v>44371</v>
      </c>
      <c r="D35" s="4"/>
      <c r="E35" s="4" t="s">
        <v>8434</v>
      </c>
      <c r="F35" s="4" t="s">
        <v>1293</v>
      </c>
      <c r="G35" s="4"/>
      <c r="H35" s="4" t="str">
        <f>_xlfn.IFNA(VLOOKUP(Table_Query_from_AMULTIQRY45[[#This Row],[WPROD]],'Part# with New'!$A$1:$B$4347,2,0),Table_Query_from_AMULTIQRY45[[#This Row],[WPROD]])</f>
        <v>WRJE158135012D-R970BK</v>
      </c>
      <c r="I35" s="4" t="s">
        <v>8436</v>
      </c>
      <c r="J35" s="1" t="s">
        <v>5</v>
      </c>
      <c r="L35" s="11">
        <v>2.325E-2</v>
      </c>
      <c r="M35" s="1"/>
      <c r="N35" s="1" t="s">
        <v>37</v>
      </c>
      <c r="P35" s="1" t="str">
        <f>CONCATENATE(Table_Query_from_AMULTIQRY45[[#This Row],[WWHS]],"-",Table_Query_from_AMULTIQRY45[[#This Row],[LLOC]])</f>
        <v>E1-FG</v>
      </c>
      <c r="Q35" s="10">
        <f t="shared" ca="1" si="1"/>
        <v>45775</v>
      </c>
      <c r="R35" s="10"/>
      <c r="S35" s="28">
        <v>2130</v>
      </c>
      <c r="T35" s="1" t="s">
        <v>2</v>
      </c>
      <c r="U35" s="1" t="s">
        <v>41</v>
      </c>
      <c r="V35" s="1">
        <v>20210624</v>
      </c>
      <c r="W35" s="8" t="s">
        <v>8442</v>
      </c>
      <c r="Z35" s="1"/>
      <c r="AA35" s="1"/>
      <c r="AC35" s="1"/>
      <c r="AD35" s="1"/>
      <c r="AE35" s="1"/>
      <c r="AF35" s="1"/>
    </row>
    <row r="36" spans="2:32" ht="12.75" x14ac:dyDescent="0.2">
      <c r="B36" s="1" t="s">
        <v>8542</v>
      </c>
      <c r="C36" s="10">
        <f t="shared" ca="1" si="0"/>
        <v>44665</v>
      </c>
      <c r="D36" s="4"/>
      <c r="E36" s="4" t="s">
        <v>8434</v>
      </c>
      <c r="F36" s="4" t="s">
        <v>1293</v>
      </c>
      <c r="G36" s="4"/>
      <c r="H36" s="4" t="str">
        <f>_xlfn.IFNA(VLOOKUP(Table_Query_from_AMULTIQRY45[[#This Row],[WPROD]],'Part# with New'!$A$1:$B$4347,2,0),Table_Query_from_AMULTIQRY45[[#This Row],[WPROD]])</f>
        <v>WRJE222199013D-R970BK</v>
      </c>
      <c r="I36" s="4" t="s">
        <v>8436</v>
      </c>
      <c r="J36" s="1" t="s">
        <v>5</v>
      </c>
      <c r="L36" s="11">
        <v>4.2369999999999998E-2</v>
      </c>
      <c r="M36" s="1"/>
      <c r="N36" s="1" t="s">
        <v>37</v>
      </c>
      <c r="P36" s="1" t="str">
        <f>CONCATENATE(Table_Query_from_AMULTIQRY45[[#This Row],[WWHS]],"-",Table_Query_from_AMULTIQRY45[[#This Row],[LLOC]])</f>
        <v>E1-FG</v>
      </c>
      <c r="Q36" s="10">
        <f t="shared" ca="1" si="1"/>
        <v>45775</v>
      </c>
      <c r="R36" s="10"/>
      <c r="S36" s="28">
        <v>1910</v>
      </c>
      <c r="T36" s="1" t="s">
        <v>2</v>
      </c>
      <c r="U36" s="1" t="s">
        <v>42</v>
      </c>
      <c r="V36" s="1">
        <v>20220414</v>
      </c>
      <c r="W36" s="8" t="s">
        <v>8442</v>
      </c>
      <c r="Z36" s="1"/>
      <c r="AA36" s="1"/>
      <c r="AC36" s="1"/>
      <c r="AD36" s="1"/>
      <c r="AE36" s="1"/>
      <c r="AF36" s="1"/>
    </row>
    <row r="37" spans="2:32" ht="12.75" x14ac:dyDescent="0.2">
      <c r="B37" s="1" t="s">
        <v>8543</v>
      </c>
      <c r="C37" s="10">
        <f t="shared" ca="1" si="0"/>
        <v>45065</v>
      </c>
      <c r="D37" s="4"/>
      <c r="E37" s="4" t="s">
        <v>8434</v>
      </c>
      <c r="F37" s="4" t="s">
        <v>1293</v>
      </c>
      <c r="G37" s="4"/>
      <c r="H37" s="4" t="str">
        <f>_xlfn.IFNA(VLOOKUP(Table_Query_from_AMULTIQRY45[[#This Row],[WPROD]],'Part# with New'!$A$1:$B$4347,2,0),Table_Query_from_AMULTIQRY45[[#This Row],[WPROD]])</f>
        <v>WRJE240216012D-R970BK</v>
      </c>
      <c r="I37" s="4" t="s">
        <v>8436</v>
      </c>
      <c r="J37" s="1" t="s">
        <v>5</v>
      </c>
      <c r="L37" s="11">
        <v>3.7490000000000002E-2</v>
      </c>
      <c r="M37" s="1"/>
      <c r="N37" s="1" t="s">
        <v>37</v>
      </c>
      <c r="P37" s="1" t="str">
        <f>CONCATENATE(Table_Query_from_AMULTIQRY45[[#This Row],[WWHS]],"-",Table_Query_from_AMULTIQRY45[[#This Row],[LLOC]])</f>
        <v>E1-FG</v>
      </c>
      <c r="Q37" s="10">
        <f t="shared" ca="1" si="1"/>
        <v>45775</v>
      </c>
      <c r="R37" s="10"/>
      <c r="S37" s="28">
        <v>2000</v>
      </c>
      <c r="T37" s="1" t="s">
        <v>2</v>
      </c>
      <c r="U37" s="1" t="s">
        <v>44</v>
      </c>
      <c r="V37" s="1">
        <v>20230519</v>
      </c>
      <c r="W37" s="8" t="s">
        <v>8442</v>
      </c>
      <c r="Z37" s="1"/>
      <c r="AA37" s="1"/>
      <c r="AC37" s="1"/>
      <c r="AD37" s="1"/>
      <c r="AE37" s="1"/>
      <c r="AF37" s="1"/>
    </row>
    <row r="38" spans="2:32" ht="12.75" x14ac:dyDescent="0.2">
      <c r="B38" s="1" t="s">
        <v>8544</v>
      </c>
      <c r="C38" s="10">
        <f t="shared" ca="1" si="0"/>
        <v>45740</v>
      </c>
      <c r="D38" s="4"/>
      <c r="E38" s="4" t="s">
        <v>8434</v>
      </c>
      <c r="F38" s="4" t="s">
        <v>1293</v>
      </c>
      <c r="G38" s="4"/>
      <c r="H38" s="4" t="str">
        <f>_xlfn.IFNA(VLOOKUP(Table_Query_from_AMULTIQRY45[[#This Row],[WPROD]],'Part# with New'!$A$1:$B$4347,2,0),Table_Query_from_AMULTIQRY45[[#This Row],[WPROD]])</f>
        <v>WRJE248224012D-R970BK</v>
      </c>
      <c r="I38" s="4" t="s">
        <v>8436</v>
      </c>
      <c r="J38" s="1" t="s">
        <v>46</v>
      </c>
      <c r="L38" s="11">
        <v>2.8160000000000001E-2</v>
      </c>
      <c r="M38" s="1"/>
      <c r="N38" s="1" t="s">
        <v>37</v>
      </c>
      <c r="P38" s="1" t="str">
        <f>CONCATENATE(Table_Query_from_AMULTIQRY45[[#This Row],[WWHS]],"-",Table_Query_from_AMULTIQRY45[[#This Row],[LLOC]])</f>
        <v>E1-FG</v>
      </c>
      <c r="Q38" s="10">
        <f t="shared" ca="1" si="1"/>
        <v>45775</v>
      </c>
      <c r="R38" s="10"/>
      <c r="S38" s="28">
        <v>90</v>
      </c>
      <c r="T38" s="1" t="s">
        <v>2</v>
      </c>
      <c r="U38" s="1" t="s">
        <v>45</v>
      </c>
      <c r="V38" s="1">
        <v>20250324</v>
      </c>
      <c r="W38" s="8" t="s">
        <v>8442</v>
      </c>
      <c r="Z38" s="1"/>
      <c r="AA38" s="1"/>
      <c r="AC38" s="1"/>
      <c r="AD38" s="1"/>
      <c r="AE38" s="1"/>
      <c r="AF38" s="1"/>
    </row>
    <row r="39" spans="2:32" ht="12.75" x14ac:dyDescent="0.2">
      <c r="B39" s="1" t="s">
        <v>8545</v>
      </c>
      <c r="C39" s="10">
        <f t="shared" ca="1" si="0"/>
        <v>45331</v>
      </c>
      <c r="D39" s="4"/>
      <c r="E39" s="4" t="s">
        <v>8434</v>
      </c>
      <c r="F39" s="4" t="s">
        <v>1293</v>
      </c>
      <c r="G39" s="4"/>
      <c r="H39" s="4" t="str">
        <f>_xlfn.IFNA(VLOOKUP(Table_Query_from_AMULTIQRY45[[#This Row],[WPROD]],'Part# with New'!$A$1:$B$4347,2,0),Table_Query_from_AMULTIQRY45[[#This Row],[WPROD]])</f>
        <v>WRJA276259012D-R970BK</v>
      </c>
      <c r="I39" s="4" t="s">
        <v>8436</v>
      </c>
      <c r="J39" s="1" t="s">
        <v>5</v>
      </c>
      <c r="L39" s="11">
        <v>3.1E-2</v>
      </c>
      <c r="M39" s="1"/>
      <c r="N39" s="1" t="s">
        <v>30</v>
      </c>
      <c r="P39" s="1" t="str">
        <f>CONCATENATE(Table_Query_from_AMULTIQRY45[[#This Row],[WWHS]],"-",Table_Query_from_AMULTIQRY45[[#This Row],[LLOC]])</f>
        <v>E1-FG</v>
      </c>
      <c r="Q39" s="10">
        <f t="shared" ca="1" si="1"/>
        <v>45775</v>
      </c>
      <c r="R39" s="10"/>
      <c r="S39" s="28">
        <v>2000</v>
      </c>
      <c r="T39" s="1" t="s">
        <v>2</v>
      </c>
      <c r="U39" s="1" t="s">
        <v>47</v>
      </c>
      <c r="V39" s="1">
        <v>20240209</v>
      </c>
      <c r="W39" s="8" t="s">
        <v>8442</v>
      </c>
      <c r="Z39" s="1"/>
      <c r="AA39" s="1"/>
      <c r="AC39" s="1"/>
      <c r="AD39" s="1"/>
      <c r="AE39" s="1"/>
      <c r="AF39" s="1"/>
    </row>
    <row r="40" spans="2:32" ht="12.75" x14ac:dyDescent="0.2">
      <c r="B40" s="1" t="s">
        <v>8546</v>
      </c>
      <c r="C40" s="10">
        <f t="shared" ca="1" si="0"/>
        <v>43970</v>
      </c>
      <c r="D40" s="4"/>
      <c r="E40" s="4" t="s">
        <v>8434</v>
      </c>
      <c r="F40" s="4" t="s">
        <v>1293</v>
      </c>
      <c r="G40" s="4"/>
      <c r="H40" s="4" t="str">
        <f>_xlfn.IFNA(VLOOKUP(Table_Query_from_AMULTIQRY45[[#This Row],[WPROD]],'Part# with New'!$A$1:$B$4347,2,0),Table_Query_from_AMULTIQRY45[[#This Row],[WPROD]])</f>
        <v>WRJA388370012D-R490AK</v>
      </c>
      <c r="I40" s="4" t="s">
        <v>8436</v>
      </c>
      <c r="J40" s="1" t="s">
        <v>5</v>
      </c>
      <c r="L40" s="11">
        <v>5.6730000000000003E-2</v>
      </c>
      <c r="M40" s="1"/>
      <c r="N40" s="1" t="s">
        <v>30</v>
      </c>
      <c r="P40" s="1" t="str">
        <f>CONCATENATE(Table_Query_from_AMULTIQRY45[[#This Row],[WWHS]],"-",Table_Query_from_AMULTIQRY45[[#This Row],[LLOC]])</f>
        <v>E1-FG</v>
      </c>
      <c r="Q40" s="10">
        <f t="shared" ca="1" si="1"/>
        <v>45775</v>
      </c>
      <c r="R40" s="10"/>
      <c r="S40" s="28">
        <v>3455</v>
      </c>
      <c r="T40" s="1" t="s">
        <v>2</v>
      </c>
      <c r="U40" s="1" t="s">
        <v>48</v>
      </c>
      <c r="V40" s="1">
        <v>20200519</v>
      </c>
      <c r="W40" s="8" t="s">
        <v>8442</v>
      </c>
      <c r="Z40" s="1"/>
      <c r="AA40" s="1"/>
      <c r="AC40" s="1"/>
      <c r="AD40" s="1"/>
      <c r="AE40" s="1"/>
      <c r="AF40" s="1"/>
    </row>
    <row r="41" spans="2:32" ht="12.75" x14ac:dyDescent="0.2">
      <c r="B41" s="1" t="s">
        <v>8547</v>
      </c>
      <c r="C41" s="10">
        <f t="shared" ca="1" si="0"/>
        <v>45400</v>
      </c>
      <c r="D41" s="4"/>
      <c r="E41" s="4" t="s">
        <v>8434</v>
      </c>
      <c r="F41" s="4" t="s">
        <v>1293</v>
      </c>
      <c r="G41" s="4"/>
      <c r="H41" s="4" t="str">
        <f>_xlfn.IFNA(VLOOKUP(Table_Query_from_AMULTIQRY45[[#This Row],[WPROD]],'Part# with New'!$A$1:$B$4347,2,0),Table_Query_from_AMULTIQRY45[[#This Row],[WPROD]])</f>
        <v>WRJC018006018D-R460FK</v>
      </c>
      <c r="I41" s="4" t="s">
        <v>8436</v>
      </c>
      <c r="J41" s="1" t="s">
        <v>5</v>
      </c>
      <c r="L41" s="11">
        <v>3.0970000000000001E-2</v>
      </c>
      <c r="M41" s="1"/>
      <c r="N41" s="1" t="s">
        <v>34</v>
      </c>
      <c r="P41" s="1" t="str">
        <f>CONCATENATE(Table_Query_from_AMULTIQRY45[[#This Row],[WWHS]],"-",Table_Query_from_AMULTIQRY45[[#This Row],[LLOC]])</f>
        <v>E1-FG</v>
      </c>
      <c r="Q41" s="10">
        <f t="shared" ca="1" si="1"/>
        <v>45775</v>
      </c>
      <c r="R41" s="10"/>
      <c r="S41" s="28">
        <v>5105</v>
      </c>
      <c r="T41" s="1" t="s">
        <v>2</v>
      </c>
      <c r="U41" s="1" t="s">
        <v>49</v>
      </c>
      <c r="V41" s="1">
        <v>20240418</v>
      </c>
      <c r="W41" s="8" t="s">
        <v>8442</v>
      </c>
      <c r="Z41" s="1"/>
      <c r="AA41" s="1"/>
      <c r="AC41" s="1"/>
      <c r="AD41" s="1"/>
      <c r="AE41" s="1"/>
      <c r="AF41" s="1"/>
    </row>
    <row r="42" spans="2:32" ht="12.75" x14ac:dyDescent="0.2">
      <c r="B42" s="1" t="s">
        <v>8548</v>
      </c>
      <c r="C42" s="10">
        <f t="shared" ca="1" si="0"/>
        <v>45604</v>
      </c>
      <c r="D42" s="4"/>
      <c r="E42" s="4" t="s">
        <v>8434</v>
      </c>
      <c r="F42" s="4" t="s">
        <v>1293</v>
      </c>
      <c r="G42" s="4"/>
      <c r="H42" s="4" t="str">
        <f>_xlfn.IFNA(VLOOKUP(Table_Query_from_AMULTIQRY45[[#This Row],[WPROD]],'Part# with New'!$A$1:$B$4347,2,0),Table_Query_from_AMULTIQRY45[[#This Row],[WPROD]])</f>
        <v>WRJE106086009D-R970BK</v>
      </c>
      <c r="I42" s="4" t="s">
        <v>8436</v>
      </c>
      <c r="J42" s="1" t="s">
        <v>5</v>
      </c>
      <c r="L42" s="11">
        <v>1.7270000000000001E-2</v>
      </c>
      <c r="M42" s="1"/>
      <c r="N42" s="1" t="s">
        <v>34</v>
      </c>
      <c r="P42" s="1" t="str">
        <f>CONCATENATE(Table_Query_from_AMULTIQRY45[[#This Row],[WWHS]],"-",Table_Query_from_AMULTIQRY45[[#This Row],[LLOC]])</f>
        <v>E1-FG</v>
      </c>
      <c r="Q42" s="10">
        <f t="shared" ca="1" si="1"/>
        <v>45775</v>
      </c>
      <c r="R42" s="10"/>
      <c r="S42" s="28">
        <v>1080</v>
      </c>
      <c r="T42" s="1" t="s">
        <v>2</v>
      </c>
      <c r="U42" s="1" t="s">
        <v>50</v>
      </c>
      <c r="V42" s="1">
        <v>20241108</v>
      </c>
      <c r="W42" s="8" t="s">
        <v>8442</v>
      </c>
      <c r="Z42" s="1"/>
      <c r="AA42" s="1"/>
      <c r="AC42" s="1"/>
      <c r="AD42" s="1"/>
      <c r="AE42" s="1"/>
      <c r="AF42" s="1"/>
    </row>
    <row r="43" spans="2:32" ht="12.75" x14ac:dyDescent="0.2">
      <c r="B43" s="1" t="s">
        <v>8549</v>
      </c>
      <c r="C43" s="10">
        <f t="shared" ca="1" si="0"/>
        <v>45216</v>
      </c>
      <c r="D43" s="4"/>
      <c r="E43" s="4" t="s">
        <v>8434</v>
      </c>
      <c r="F43" s="4" t="s">
        <v>1293</v>
      </c>
      <c r="G43" s="4"/>
      <c r="H43" s="4" t="str">
        <f>_xlfn.IFNA(VLOOKUP(Table_Query_from_AMULTIQRY45[[#This Row],[WPROD]],'Part# with New'!$A$1:$B$4347,2,0),Table_Query_from_AMULTIQRY45[[#This Row],[WPROD]])</f>
        <v>WRJE112092009D-R970BK</v>
      </c>
      <c r="I43" s="4" t="s">
        <v>8436</v>
      </c>
      <c r="J43" s="1" t="s">
        <v>5</v>
      </c>
      <c r="L43" s="11">
        <v>1.7649999999999999E-2</v>
      </c>
      <c r="M43" s="1"/>
      <c r="N43" s="1" t="s">
        <v>37</v>
      </c>
      <c r="P43" s="1" t="str">
        <f>CONCATENATE(Table_Query_from_AMULTIQRY45[[#This Row],[WWHS]],"-",Table_Query_from_AMULTIQRY45[[#This Row],[LLOC]])</f>
        <v>E1-FG</v>
      </c>
      <c r="Q43" s="10">
        <f t="shared" ca="1" si="1"/>
        <v>45775</v>
      </c>
      <c r="R43" s="10"/>
      <c r="S43" s="28">
        <v>765</v>
      </c>
      <c r="T43" s="1" t="s">
        <v>2</v>
      </c>
      <c r="U43" s="1" t="s">
        <v>51</v>
      </c>
      <c r="V43" s="1">
        <v>20231017</v>
      </c>
      <c r="W43" s="8" t="s">
        <v>8442</v>
      </c>
      <c r="Z43" s="1"/>
      <c r="AA43" s="1"/>
      <c r="AC43" s="1"/>
      <c r="AD43" s="1"/>
      <c r="AE43" s="1"/>
      <c r="AF43" s="1"/>
    </row>
    <row r="44" spans="2:32" ht="12.75" x14ac:dyDescent="0.2">
      <c r="B44" s="1" t="s">
        <v>8550</v>
      </c>
      <c r="C44" s="10">
        <f t="shared" ca="1" si="0"/>
        <v>45492</v>
      </c>
      <c r="D44" s="4"/>
      <c r="E44" s="4" t="s">
        <v>8434</v>
      </c>
      <c r="F44" s="4" t="s">
        <v>1293</v>
      </c>
      <c r="G44" s="4"/>
      <c r="H44" s="4" t="str">
        <f>_xlfn.IFNA(VLOOKUP(Table_Query_from_AMULTIQRY45[[#This Row],[WPROD]],'Part# with New'!$A$1:$B$4347,2,0),Table_Query_from_AMULTIQRY45[[#This Row],[WPROD]])</f>
        <v>WRJC081061009D-R961AK</v>
      </c>
      <c r="I44" s="4" t="s">
        <v>8436</v>
      </c>
      <c r="J44" s="1" t="s">
        <v>5</v>
      </c>
      <c r="L44" s="11">
        <v>1.7299999999999999E-2</v>
      </c>
      <c r="M44" s="1"/>
      <c r="N44" s="1" t="s">
        <v>34</v>
      </c>
      <c r="P44" s="1" t="str">
        <f>CONCATENATE(Table_Query_from_AMULTIQRY45[[#This Row],[WWHS]],"-",Table_Query_from_AMULTIQRY45[[#This Row],[LLOC]])</f>
        <v>E1-FG</v>
      </c>
      <c r="Q44" s="10">
        <f t="shared" ca="1" si="1"/>
        <v>45775</v>
      </c>
      <c r="R44" s="10"/>
      <c r="S44" s="28">
        <v>2968</v>
      </c>
      <c r="T44" s="1" t="s">
        <v>2</v>
      </c>
      <c r="U44" s="1" t="s">
        <v>52</v>
      </c>
      <c r="V44" s="1">
        <v>20240719</v>
      </c>
      <c r="W44" s="8" t="s">
        <v>8442</v>
      </c>
      <c r="Z44" s="1"/>
      <c r="AA44" s="1"/>
      <c r="AC44" s="1"/>
      <c r="AD44" s="1"/>
      <c r="AE44" s="1"/>
      <c r="AF44" s="1"/>
    </row>
    <row r="45" spans="2:32" ht="12.75" x14ac:dyDescent="0.2">
      <c r="B45" s="1" t="s">
        <v>8551</v>
      </c>
      <c r="C45" s="10">
        <f t="shared" ca="1" si="0"/>
        <v>45511</v>
      </c>
      <c r="D45" s="4"/>
      <c r="E45" s="4" t="s">
        <v>8434</v>
      </c>
      <c r="F45" s="4" t="s">
        <v>1293</v>
      </c>
      <c r="G45" s="4"/>
      <c r="H45" s="4" t="str">
        <f>_xlfn.IFNA(VLOOKUP(Table_Query_from_AMULTIQRY45[[#This Row],[WPROD]],'Part# with New'!$A$1:$B$4347,2,0),Table_Query_from_AMULTIQRY45[[#This Row],[WPROD]])</f>
        <v>WRJE206186009D-R970BK</v>
      </c>
      <c r="I45" s="4" t="s">
        <v>8436</v>
      </c>
      <c r="J45" s="1" t="s">
        <v>5</v>
      </c>
      <c r="L45" s="11">
        <v>4.3159999999999997E-2</v>
      </c>
      <c r="M45" s="1"/>
      <c r="N45" s="1" t="s">
        <v>37</v>
      </c>
      <c r="P45" s="1" t="str">
        <f>CONCATENATE(Table_Query_from_AMULTIQRY45[[#This Row],[WWHS]],"-",Table_Query_from_AMULTIQRY45[[#This Row],[LLOC]])</f>
        <v>E1-FG</v>
      </c>
      <c r="Q45" s="10">
        <f t="shared" ca="1" si="1"/>
        <v>45775</v>
      </c>
      <c r="R45" s="10"/>
      <c r="S45" s="28">
        <v>4105</v>
      </c>
      <c r="T45" s="1" t="s">
        <v>2</v>
      </c>
      <c r="U45" s="1" t="s">
        <v>53</v>
      </c>
      <c r="V45" s="1">
        <v>20240807</v>
      </c>
      <c r="W45" s="8" t="s">
        <v>8442</v>
      </c>
      <c r="Z45" s="1"/>
      <c r="AA45" s="1"/>
      <c r="AC45" s="1"/>
      <c r="AD45" s="1"/>
      <c r="AE45" s="1"/>
      <c r="AF45" s="1"/>
    </row>
    <row r="46" spans="2:32" ht="12.75" x14ac:dyDescent="0.2">
      <c r="B46" s="1" t="s">
        <v>8552</v>
      </c>
      <c r="C46" s="10">
        <f t="shared" ca="1" si="0"/>
        <v>43783</v>
      </c>
      <c r="D46" s="4"/>
      <c r="E46" s="4" t="s">
        <v>8434</v>
      </c>
      <c r="F46" s="4" t="s">
        <v>1293</v>
      </c>
      <c r="G46" s="4"/>
      <c r="H46" s="4" t="str">
        <f>_xlfn.IFNA(VLOOKUP(Table_Query_from_AMULTIQRY45[[#This Row],[WPROD]],'Part# with New'!$A$1:$B$4347,2,0),Table_Query_from_AMULTIQRY45[[#This Row],[WPROD]])</f>
        <v>WRJA305290012D-R970BK</v>
      </c>
      <c r="I46" s="4" t="s">
        <v>8436</v>
      </c>
      <c r="J46" s="1" t="s">
        <v>5</v>
      </c>
      <c r="L46" s="11">
        <v>4.7960000000000003E-2</v>
      </c>
      <c r="M46" s="1"/>
      <c r="N46" s="1" t="s">
        <v>30</v>
      </c>
      <c r="P46" s="1" t="str">
        <f>CONCATENATE(Table_Query_from_AMULTIQRY45[[#This Row],[WWHS]],"-",Table_Query_from_AMULTIQRY45[[#This Row],[LLOC]])</f>
        <v>E1-FG</v>
      </c>
      <c r="Q46" s="10">
        <f t="shared" ca="1" si="1"/>
        <v>45775</v>
      </c>
      <c r="R46" s="10"/>
      <c r="S46" s="28">
        <v>1125</v>
      </c>
      <c r="T46" s="1" t="s">
        <v>2</v>
      </c>
      <c r="U46" s="1" t="s">
        <v>54</v>
      </c>
      <c r="V46" s="1">
        <v>20191114</v>
      </c>
      <c r="W46" s="8" t="s">
        <v>8442</v>
      </c>
      <c r="Z46" s="1"/>
      <c r="AA46" s="1"/>
      <c r="AC46" s="1"/>
      <c r="AD46" s="1"/>
      <c r="AE46" s="1"/>
      <c r="AF46" s="1"/>
    </row>
    <row r="47" spans="2:32" ht="12.75" x14ac:dyDescent="0.2">
      <c r="B47" s="1" t="s">
        <v>8553</v>
      </c>
      <c r="C47" s="10">
        <f t="shared" ca="1" si="0"/>
        <v>45532</v>
      </c>
      <c r="D47" s="4"/>
      <c r="E47" s="4" t="s">
        <v>8434</v>
      </c>
      <c r="F47" s="4" t="s">
        <v>1293</v>
      </c>
      <c r="G47" s="4"/>
      <c r="H47" s="4" t="str">
        <f>_xlfn.IFNA(VLOOKUP(Table_Query_from_AMULTIQRY45[[#This Row],[WPROD]],'Part# with New'!$A$1:$B$4347,2,0),Table_Query_from_AMULTIQRY45[[#This Row],[WPROD]])</f>
        <v>WRJC100075012D-R470EK</v>
      </c>
      <c r="I47" s="4" t="s">
        <v>8436</v>
      </c>
      <c r="J47" s="1" t="s">
        <v>5</v>
      </c>
      <c r="L47" s="11">
        <v>1.7940000000000001E-2</v>
      </c>
      <c r="M47" s="1"/>
      <c r="N47" s="1" t="s">
        <v>34</v>
      </c>
      <c r="P47" s="1" t="str">
        <f>CONCATENATE(Table_Query_from_AMULTIQRY45[[#This Row],[WWHS]],"-",Table_Query_from_AMULTIQRY45[[#This Row],[LLOC]])</f>
        <v>E1-FG</v>
      </c>
      <c r="Q47" s="10">
        <f t="shared" ca="1" si="1"/>
        <v>45775</v>
      </c>
      <c r="R47" s="10"/>
      <c r="S47" s="28">
        <v>1751</v>
      </c>
      <c r="T47" s="1" t="s">
        <v>2</v>
      </c>
      <c r="U47" s="1" t="s">
        <v>55</v>
      </c>
      <c r="V47" s="1">
        <v>20240828</v>
      </c>
      <c r="W47" s="8" t="s">
        <v>8442</v>
      </c>
      <c r="Z47" s="1"/>
      <c r="AA47" s="1"/>
      <c r="AC47" s="1"/>
      <c r="AD47" s="1"/>
      <c r="AE47" s="1"/>
      <c r="AF47" s="1"/>
    </row>
    <row r="48" spans="2:32" ht="12.75" x14ac:dyDescent="0.2">
      <c r="B48" s="1" t="s">
        <v>8554</v>
      </c>
      <c r="C48" s="10">
        <f t="shared" ca="1" si="0"/>
        <v>45681</v>
      </c>
      <c r="D48" s="4"/>
      <c r="E48" s="4" t="s">
        <v>8434</v>
      </c>
      <c r="F48" s="4" t="s">
        <v>1293</v>
      </c>
      <c r="G48" s="4"/>
      <c r="H48" s="4" t="str">
        <f>_xlfn.IFNA(VLOOKUP(Table_Query_from_AMULTIQRY45[[#This Row],[WPROD]],'Part# with New'!$A$1:$B$4347,2,0),Table_Query_from_AMULTIQRY45[[#This Row],[WPROD]])</f>
        <v>WRJC091066012D-R470EK</v>
      </c>
      <c r="I48" s="4" t="s">
        <v>8436</v>
      </c>
      <c r="J48" s="1" t="s">
        <v>46</v>
      </c>
      <c r="L48" s="11">
        <v>1.5270000000000001E-2</v>
      </c>
      <c r="M48" s="1"/>
      <c r="N48" s="1" t="s">
        <v>34</v>
      </c>
      <c r="P48" s="1" t="str">
        <f>CONCATENATE(Table_Query_from_AMULTIQRY45[[#This Row],[WWHS]],"-",Table_Query_from_AMULTIQRY45[[#This Row],[LLOC]])</f>
        <v>E1-FG</v>
      </c>
      <c r="Q48" s="10">
        <f t="shared" ca="1" si="1"/>
        <v>45775</v>
      </c>
      <c r="R48" s="10"/>
      <c r="S48" s="28">
        <v>1545</v>
      </c>
      <c r="T48" s="1" t="s">
        <v>2</v>
      </c>
      <c r="U48" s="1" t="s">
        <v>56</v>
      </c>
      <c r="V48" s="1">
        <v>20250124</v>
      </c>
      <c r="W48" s="8" t="s">
        <v>8442</v>
      </c>
      <c r="Z48" s="1"/>
      <c r="AA48" s="1"/>
      <c r="AC48" s="1"/>
      <c r="AD48" s="1"/>
      <c r="AE48" s="1"/>
      <c r="AF48" s="1"/>
    </row>
    <row r="49" spans="2:32" ht="12.75" x14ac:dyDescent="0.2">
      <c r="B49" s="1" t="s">
        <v>8555</v>
      </c>
      <c r="C49" s="10">
        <f t="shared" ca="1" si="0"/>
        <v>45652</v>
      </c>
      <c r="D49" s="4"/>
      <c r="E49" s="4" t="s">
        <v>8434</v>
      </c>
      <c r="F49" s="4" t="s">
        <v>1293</v>
      </c>
      <c r="G49" s="4"/>
      <c r="H49" s="4" t="str">
        <f>_xlfn.IFNA(VLOOKUP(Table_Query_from_AMULTIQRY45[[#This Row],[WPROD]],'Part# with New'!$A$1:$B$4347,2,0),Table_Query_from_AMULTIQRY45[[#This Row],[WPROD]])</f>
        <v>WRJC093073009D-R970BK</v>
      </c>
      <c r="I49" s="4" t="s">
        <v>8436</v>
      </c>
      <c r="J49" s="1" t="s">
        <v>46</v>
      </c>
      <c r="L49" s="11">
        <v>2.2610000000000002E-2</v>
      </c>
      <c r="M49" s="1"/>
      <c r="N49" s="1" t="s">
        <v>34</v>
      </c>
      <c r="P49" s="1" t="str">
        <f>CONCATENATE(Table_Query_from_AMULTIQRY45[[#This Row],[WWHS]],"-",Table_Query_from_AMULTIQRY45[[#This Row],[LLOC]])</f>
        <v>E1-FG</v>
      </c>
      <c r="Q49" s="10">
        <f t="shared" ca="1" si="1"/>
        <v>45775</v>
      </c>
      <c r="R49" s="10"/>
      <c r="S49" s="28">
        <v>1450</v>
      </c>
      <c r="T49" s="1" t="s">
        <v>2</v>
      </c>
      <c r="U49" s="1" t="s">
        <v>57</v>
      </c>
      <c r="V49" s="1">
        <v>20241226</v>
      </c>
      <c r="W49" s="8" t="s">
        <v>8442</v>
      </c>
      <c r="Z49" s="1"/>
      <c r="AA49" s="1"/>
      <c r="AC49" s="1"/>
      <c r="AD49" s="1"/>
      <c r="AE49" s="1"/>
      <c r="AF49" s="1"/>
    </row>
    <row r="50" spans="2:32" ht="12.75" x14ac:dyDescent="0.2">
      <c r="B50" s="1" t="s">
        <v>8556</v>
      </c>
      <c r="C50" s="10">
        <f t="shared" ca="1" si="0"/>
        <v>44665</v>
      </c>
      <c r="D50" s="4"/>
      <c r="E50" s="4" t="s">
        <v>8434</v>
      </c>
      <c r="F50" s="4" t="s">
        <v>1293</v>
      </c>
      <c r="G50" s="4"/>
      <c r="H50" s="4" t="str">
        <f>_xlfn.IFNA(VLOOKUP(Table_Query_from_AMULTIQRY45[[#This Row],[WPROD]],'Part# with New'!$A$1:$B$4347,2,0),Table_Query_from_AMULTIQRY45[[#This Row],[WPROD]])</f>
        <v>WRJE218194012D-R970BK</v>
      </c>
      <c r="I50" s="4" t="s">
        <v>8436</v>
      </c>
      <c r="J50" s="1" t="s">
        <v>5</v>
      </c>
      <c r="L50" s="11">
        <v>3.1329999999999997E-2</v>
      </c>
      <c r="M50" s="1"/>
      <c r="N50" s="1" t="s">
        <v>37</v>
      </c>
      <c r="P50" s="1" t="str">
        <f>CONCATENATE(Table_Query_from_AMULTIQRY45[[#This Row],[WWHS]],"-",Table_Query_from_AMULTIQRY45[[#This Row],[LLOC]])</f>
        <v>E1-FG</v>
      </c>
      <c r="Q50" s="10">
        <f t="shared" ca="1" si="1"/>
        <v>45775</v>
      </c>
      <c r="R50" s="10"/>
      <c r="S50" s="28">
        <v>685</v>
      </c>
      <c r="T50" s="1" t="s">
        <v>2</v>
      </c>
      <c r="U50" s="1" t="s">
        <v>58</v>
      </c>
      <c r="V50" s="1">
        <v>20220414</v>
      </c>
      <c r="W50" s="8" t="s">
        <v>8442</v>
      </c>
      <c r="Z50" s="1"/>
      <c r="AA50" s="1"/>
      <c r="AC50" s="1"/>
      <c r="AD50" s="1"/>
      <c r="AE50" s="1"/>
      <c r="AF50" s="1"/>
    </row>
    <row r="51" spans="2:32" ht="12.75" x14ac:dyDescent="0.2">
      <c r="B51" s="1" t="s">
        <v>8557</v>
      </c>
      <c r="C51" s="10">
        <f t="shared" ca="1" si="0"/>
        <v>44134</v>
      </c>
      <c r="D51" s="4"/>
      <c r="E51" s="4" t="s">
        <v>8434</v>
      </c>
      <c r="F51" s="4" t="s">
        <v>1293</v>
      </c>
      <c r="G51" s="4"/>
      <c r="H51" s="4" t="str">
        <f>_xlfn.IFNA(VLOOKUP(Table_Query_from_AMULTIQRY45[[#This Row],[WPROD]],'Part# with New'!$A$1:$B$4347,2,0),Table_Query_from_AMULTIQRY45[[#This Row],[WPROD]])</f>
        <v>WRJE156133012D-R970BK</v>
      </c>
      <c r="I51" s="4" t="s">
        <v>8436</v>
      </c>
      <c r="J51" s="1" t="s">
        <v>46</v>
      </c>
      <c r="L51" s="11">
        <v>3.1130000000000001E-2</v>
      </c>
      <c r="M51" s="1"/>
      <c r="N51" s="1" t="s">
        <v>37</v>
      </c>
      <c r="P51" s="1" t="str">
        <f>CONCATENATE(Table_Query_from_AMULTIQRY45[[#This Row],[WWHS]],"-",Table_Query_from_AMULTIQRY45[[#This Row],[LLOC]])</f>
        <v>E1-FG</v>
      </c>
      <c r="Q51" s="10">
        <f t="shared" ca="1" si="1"/>
        <v>45775</v>
      </c>
      <c r="R51" s="10"/>
      <c r="S51" s="28">
        <v>1775</v>
      </c>
      <c r="T51" s="1" t="s">
        <v>2</v>
      </c>
      <c r="U51" s="1" t="s">
        <v>59</v>
      </c>
      <c r="V51" s="1">
        <v>20201030</v>
      </c>
      <c r="W51" s="8" t="s">
        <v>8442</v>
      </c>
      <c r="Z51" s="1"/>
      <c r="AA51" s="1"/>
      <c r="AC51" s="1"/>
      <c r="AD51" s="1"/>
      <c r="AE51" s="1"/>
      <c r="AF51" s="1"/>
    </row>
    <row r="52" spans="2:32" ht="12.75" x14ac:dyDescent="0.2">
      <c r="B52" s="1" t="s">
        <v>8558</v>
      </c>
      <c r="C52" s="10">
        <f t="shared" ca="1" si="0"/>
        <v>43930</v>
      </c>
      <c r="D52" s="4"/>
      <c r="E52" s="4" t="s">
        <v>8434</v>
      </c>
      <c r="F52" s="4" t="s">
        <v>1293</v>
      </c>
      <c r="G52" s="4"/>
      <c r="H52" s="4" t="str">
        <f>_xlfn.IFNA(VLOOKUP(Table_Query_from_AMULTIQRY45[[#This Row],[WPROD]],'Part# with New'!$A$1:$B$4347,2,0),Table_Query_from_AMULTIQRY45[[#This Row],[WPROD]])</f>
        <v>WRJE203183012D-R970BK</v>
      </c>
      <c r="I52" s="4" t="s">
        <v>8436</v>
      </c>
      <c r="J52" s="1" t="s">
        <v>46</v>
      </c>
      <c r="L52" s="11">
        <v>3.6179999999999997E-2</v>
      </c>
      <c r="M52" s="1"/>
      <c r="N52" s="1" t="s">
        <v>37</v>
      </c>
      <c r="P52" s="1" t="str">
        <f>CONCATENATE(Table_Query_from_AMULTIQRY45[[#This Row],[WWHS]],"-",Table_Query_from_AMULTIQRY45[[#This Row],[LLOC]])</f>
        <v>E1-FG</v>
      </c>
      <c r="Q52" s="10">
        <f t="shared" ca="1" si="1"/>
        <v>45775</v>
      </c>
      <c r="R52" s="10"/>
      <c r="S52" s="28">
        <v>560</v>
      </c>
      <c r="T52" s="1" t="s">
        <v>2</v>
      </c>
      <c r="U52" s="1" t="s">
        <v>60</v>
      </c>
      <c r="V52" s="1">
        <v>20200409</v>
      </c>
      <c r="W52" s="8" t="s">
        <v>8442</v>
      </c>
      <c r="Z52" s="1"/>
      <c r="AA52" s="1"/>
      <c r="AC52" s="1"/>
      <c r="AD52" s="1"/>
      <c r="AE52" s="1"/>
      <c r="AF52" s="1"/>
    </row>
    <row r="53" spans="2:32" ht="12.75" x14ac:dyDescent="0.2">
      <c r="B53" s="1" t="s">
        <v>8559</v>
      </c>
      <c r="C53" s="10">
        <f t="shared" ca="1" si="0"/>
        <v>45740</v>
      </c>
      <c r="D53" s="4"/>
      <c r="E53" s="4" t="s">
        <v>8434</v>
      </c>
      <c r="F53" s="4" t="s">
        <v>1293</v>
      </c>
      <c r="G53" s="4"/>
      <c r="H53" s="4" t="str">
        <f>_xlfn.IFNA(VLOOKUP(Table_Query_from_AMULTIQRY45[[#This Row],[WPROD]],'Part# with New'!$A$1:$B$4347,2,0),Table_Query_from_AMULTIQRY45[[#This Row],[WPROD]])</f>
        <v>WRJA628603012D-R470EK</v>
      </c>
      <c r="I53" s="4" t="s">
        <v>8436</v>
      </c>
      <c r="J53" s="1" t="s">
        <v>46</v>
      </c>
      <c r="L53" s="11">
        <v>0.13203999999999999</v>
      </c>
      <c r="M53" s="1"/>
      <c r="N53" s="1" t="s">
        <v>30</v>
      </c>
      <c r="P53" s="1" t="str">
        <f>CONCATENATE(Table_Query_from_AMULTIQRY45[[#This Row],[WWHS]],"-",Table_Query_from_AMULTIQRY45[[#This Row],[LLOC]])</f>
        <v>E1-FG</v>
      </c>
      <c r="Q53" s="10">
        <f t="shared" ca="1" si="1"/>
        <v>45775</v>
      </c>
      <c r="R53" s="10"/>
      <c r="S53" s="28">
        <v>636</v>
      </c>
      <c r="T53" s="1" t="s">
        <v>2</v>
      </c>
      <c r="U53" s="1" t="s">
        <v>62</v>
      </c>
      <c r="V53" s="1">
        <v>20250324</v>
      </c>
      <c r="W53" s="8" t="s">
        <v>8442</v>
      </c>
      <c r="Z53" s="1"/>
      <c r="AA53" s="1"/>
      <c r="AC53" s="1"/>
      <c r="AD53" s="1"/>
      <c r="AE53" s="1"/>
      <c r="AF53" s="1"/>
    </row>
    <row r="54" spans="2:32" ht="12.75" x14ac:dyDescent="0.2">
      <c r="B54" s="1" t="s">
        <v>8560</v>
      </c>
      <c r="C54" s="10">
        <f t="shared" ca="1" si="0"/>
        <v>43700</v>
      </c>
      <c r="D54" s="4"/>
      <c r="E54" s="4" t="s">
        <v>8434</v>
      </c>
      <c r="F54" s="4" t="s">
        <v>1293</v>
      </c>
      <c r="G54" s="4"/>
      <c r="H54" s="4" t="str">
        <f>_xlfn.IFNA(VLOOKUP(Table_Query_from_AMULTIQRY45[[#This Row],[WPROD]],'Part# with New'!$A$1:$B$4347,2,0),Table_Query_from_AMULTIQRY45[[#This Row],[WPROD]])</f>
        <v>WRJE228204012D-R970BK</v>
      </c>
      <c r="I54" s="4" t="s">
        <v>8436</v>
      </c>
      <c r="J54" s="1" t="s">
        <v>5</v>
      </c>
      <c r="L54" s="11">
        <v>3.9280000000000002E-2</v>
      </c>
      <c r="M54" s="1"/>
      <c r="N54" s="1" t="s">
        <v>37</v>
      </c>
      <c r="P54" s="1" t="str">
        <f>CONCATENATE(Table_Query_from_AMULTIQRY45[[#This Row],[WWHS]],"-",Table_Query_from_AMULTIQRY45[[#This Row],[LLOC]])</f>
        <v>E1-FG</v>
      </c>
      <c r="Q54" s="10">
        <f t="shared" ca="1" si="1"/>
        <v>45775</v>
      </c>
      <c r="R54" s="10"/>
      <c r="S54" s="28">
        <v>1140</v>
      </c>
      <c r="T54" s="1" t="s">
        <v>2</v>
      </c>
      <c r="U54" s="1" t="s">
        <v>63</v>
      </c>
      <c r="V54" s="1">
        <v>20190823</v>
      </c>
      <c r="W54" s="8" t="s">
        <v>8442</v>
      </c>
      <c r="Z54" s="1"/>
      <c r="AA54" s="1"/>
      <c r="AC54" s="1"/>
      <c r="AD54" s="1"/>
      <c r="AE54" s="1"/>
      <c r="AF54" s="1"/>
    </row>
    <row r="55" spans="2:32" ht="12.75" x14ac:dyDescent="0.2">
      <c r="B55" s="1" t="s">
        <v>8561</v>
      </c>
      <c r="C55" s="10">
        <f t="shared" ca="1" si="0"/>
        <v>43700</v>
      </c>
      <c r="D55" s="4"/>
      <c r="E55" s="4" t="s">
        <v>8434</v>
      </c>
      <c r="F55" s="4" t="s">
        <v>1293</v>
      </c>
      <c r="G55" s="4"/>
      <c r="H55" s="4" t="str">
        <f>_xlfn.IFNA(VLOOKUP(Table_Query_from_AMULTIQRY45[[#This Row],[WPROD]],'Part# with New'!$A$1:$B$4347,2,0),Table_Query_from_AMULTIQRY45[[#This Row],[WPROD]])</f>
        <v>WRJE151128012D-R970BK</v>
      </c>
      <c r="I55" s="4" t="s">
        <v>8436</v>
      </c>
      <c r="J55" s="1" t="s">
        <v>5</v>
      </c>
      <c r="L55" s="11">
        <v>2.4809999999999999E-2</v>
      </c>
      <c r="M55" s="1"/>
      <c r="N55" s="1" t="s">
        <v>37</v>
      </c>
      <c r="P55" s="1" t="str">
        <f>CONCATENATE(Table_Query_from_AMULTIQRY45[[#This Row],[WWHS]],"-",Table_Query_from_AMULTIQRY45[[#This Row],[LLOC]])</f>
        <v>E1-FG</v>
      </c>
      <c r="Q55" s="10">
        <f t="shared" ca="1" si="1"/>
        <v>45775</v>
      </c>
      <c r="R55" s="10"/>
      <c r="S55" s="28">
        <v>3165</v>
      </c>
      <c r="T55" s="1" t="s">
        <v>2</v>
      </c>
      <c r="U55" s="1" t="s">
        <v>64</v>
      </c>
      <c r="V55" s="1">
        <v>20190823</v>
      </c>
      <c r="W55" s="8" t="s">
        <v>8442</v>
      </c>
      <c r="Z55" s="1"/>
      <c r="AA55" s="1"/>
      <c r="AC55" s="1"/>
      <c r="AD55" s="1"/>
      <c r="AE55" s="1"/>
      <c r="AF55" s="1"/>
    </row>
    <row r="56" spans="2:32" ht="12.75" x14ac:dyDescent="0.2">
      <c r="B56" s="1" t="s">
        <v>8562</v>
      </c>
      <c r="C56" s="10">
        <f t="shared" ca="1" si="0"/>
        <v>44337</v>
      </c>
      <c r="D56" s="4"/>
      <c r="E56" s="4" t="s">
        <v>8434</v>
      </c>
      <c r="F56" s="4" t="s">
        <v>1293</v>
      </c>
      <c r="G56" s="4"/>
      <c r="H56" s="4" t="str">
        <f>_xlfn.IFNA(VLOOKUP(Table_Query_from_AMULTIQRY45[[#This Row],[WPROD]],'Part# with New'!$A$1:$B$4347,2,0),Table_Query_from_AMULTIQRY45[[#This Row],[WPROD]])</f>
        <v>1-10209</v>
      </c>
      <c r="I56" s="4" t="s">
        <v>8436</v>
      </c>
      <c r="J56" s="1" t="s">
        <v>5</v>
      </c>
      <c r="L56" s="11">
        <v>3.0300000000000001E-2</v>
      </c>
      <c r="M56" s="1"/>
      <c r="N56" s="1" t="s">
        <v>37</v>
      </c>
      <c r="P56" s="1" t="str">
        <f>CONCATENATE(Table_Query_from_AMULTIQRY45[[#This Row],[WWHS]],"-",Table_Query_from_AMULTIQRY45[[#This Row],[LLOC]])</f>
        <v>E1-FG</v>
      </c>
      <c r="Q56" s="10">
        <f t="shared" ca="1" si="1"/>
        <v>45775</v>
      </c>
      <c r="R56" s="10"/>
      <c r="S56" s="28">
        <v>3595</v>
      </c>
      <c r="T56" s="1" t="s">
        <v>2</v>
      </c>
      <c r="U56" s="1" t="s">
        <v>65</v>
      </c>
      <c r="V56" s="1">
        <v>20210521</v>
      </c>
      <c r="W56" s="8" t="s">
        <v>8442</v>
      </c>
      <c r="Z56" s="1"/>
      <c r="AA56" s="1"/>
      <c r="AC56" s="1"/>
      <c r="AD56" s="1"/>
      <c r="AE56" s="1"/>
      <c r="AF56" s="1"/>
    </row>
    <row r="57" spans="2:32" ht="12.75" x14ac:dyDescent="0.2">
      <c r="B57" s="1" t="s">
        <v>8563</v>
      </c>
      <c r="C57" s="10">
        <f t="shared" ca="1" si="0"/>
        <v>45680</v>
      </c>
      <c r="D57" s="4"/>
      <c r="E57" s="4" t="s">
        <v>8434</v>
      </c>
      <c r="F57" s="4" t="s">
        <v>1293</v>
      </c>
      <c r="G57" s="4"/>
      <c r="H57" s="4" t="str">
        <f>_xlfn.IFNA(VLOOKUP(Table_Query_from_AMULTIQRY45[[#This Row],[WPROD]],'Part# with New'!$A$1:$B$4347,2,0),Table_Query_from_AMULTIQRY45[[#This Row],[WPROD]])</f>
        <v>WRJE166143012D-R970BK</v>
      </c>
      <c r="I57" s="4" t="s">
        <v>8436</v>
      </c>
      <c r="J57" s="1" t="s">
        <v>5</v>
      </c>
      <c r="L57" s="11">
        <v>2.3369999999999998E-2</v>
      </c>
      <c r="M57" s="1"/>
      <c r="N57" s="1" t="s">
        <v>37</v>
      </c>
      <c r="P57" s="1" t="str">
        <f>CONCATENATE(Table_Query_from_AMULTIQRY45[[#This Row],[WWHS]],"-",Table_Query_from_AMULTIQRY45[[#This Row],[LLOC]])</f>
        <v>E1-FG</v>
      </c>
      <c r="Q57" s="10">
        <f t="shared" ca="1" si="1"/>
        <v>45775</v>
      </c>
      <c r="R57" s="10"/>
      <c r="S57" s="28">
        <v>839</v>
      </c>
      <c r="T57" s="1" t="s">
        <v>2</v>
      </c>
      <c r="U57" s="1" t="s">
        <v>66</v>
      </c>
      <c r="V57" s="1">
        <v>20250123</v>
      </c>
      <c r="W57" s="8" t="s">
        <v>8442</v>
      </c>
      <c r="Z57" s="1"/>
      <c r="AA57" s="1"/>
      <c r="AC57" s="1"/>
      <c r="AD57" s="1"/>
      <c r="AE57" s="1"/>
      <c r="AF57" s="1"/>
    </row>
    <row r="58" spans="2:32" ht="12.75" x14ac:dyDescent="0.2">
      <c r="B58" s="1" t="s">
        <v>8564</v>
      </c>
      <c r="C58" s="10">
        <f t="shared" ca="1" si="0"/>
        <v>44447</v>
      </c>
      <c r="D58" s="4"/>
      <c r="E58" s="4" t="s">
        <v>8434</v>
      </c>
      <c r="F58" s="4" t="s">
        <v>1293</v>
      </c>
      <c r="G58" s="4"/>
      <c r="H58" s="4" t="str">
        <f>_xlfn.IFNA(VLOOKUP(Table_Query_from_AMULTIQRY45[[#This Row],[WPROD]],'Part# with New'!$A$1:$B$4347,2,0),Table_Query_from_AMULTIQRY45[[#This Row],[WPROD]])</f>
        <v>WRJA363339012D-R970BK</v>
      </c>
      <c r="I58" s="4" t="s">
        <v>8436</v>
      </c>
      <c r="J58" s="1" t="s">
        <v>5</v>
      </c>
      <c r="L58" s="11">
        <v>5.0979999999999998E-2</v>
      </c>
      <c r="M58" s="1"/>
      <c r="N58" s="1" t="s">
        <v>30</v>
      </c>
      <c r="P58" s="1" t="str">
        <f>CONCATENATE(Table_Query_from_AMULTIQRY45[[#This Row],[WWHS]],"-",Table_Query_from_AMULTIQRY45[[#This Row],[LLOC]])</f>
        <v>E1-FG</v>
      </c>
      <c r="Q58" s="10">
        <f t="shared" ca="1" si="1"/>
        <v>45775</v>
      </c>
      <c r="R58" s="10"/>
      <c r="S58" s="28">
        <v>1220</v>
      </c>
      <c r="T58" s="1" t="s">
        <v>2</v>
      </c>
      <c r="U58" s="1" t="s">
        <v>67</v>
      </c>
      <c r="V58" s="1">
        <v>20210908</v>
      </c>
      <c r="W58" s="8" t="s">
        <v>8442</v>
      </c>
      <c r="Z58" s="1"/>
      <c r="AA58" s="1"/>
      <c r="AC58" s="1"/>
      <c r="AD58" s="1"/>
      <c r="AE58" s="1"/>
      <c r="AF58" s="1"/>
    </row>
    <row r="59" spans="2:32" ht="12.75" x14ac:dyDescent="0.2">
      <c r="B59" s="1" t="s">
        <v>8565</v>
      </c>
      <c r="C59" s="10">
        <f t="shared" ca="1" si="0"/>
        <v>45772</v>
      </c>
      <c r="D59" s="4"/>
      <c r="E59" s="4" t="s">
        <v>8434</v>
      </c>
      <c r="F59" s="4" t="s">
        <v>1293</v>
      </c>
      <c r="G59" s="4"/>
      <c r="H59" s="4" t="str">
        <f>_xlfn.IFNA(VLOOKUP(Table_Query_from_AMULTIQRY45[[#This Row],[WPROD]],'Part# with New'!$A$1:$B$4347,2,0),Table_Query_from_AMULTIQRY45[[#This Row],[WPROD]])</f>
        <v>WRJE182162009D-R970BK</v>
      </c>
      <c r="I59" s="4" t="s">
        <v>8436</v>
      </c>
      <c r="J59" s="1" t="s">
        <v>5</v>
      </c>
      <c r="L59" s="11">
        <v>2.4830000000000001E-2</v>
      </c>
      <c r="M59" s="1"/>
      <c r="N59" s="1" t="s">
        <v>37</v>
      </c>
      <c r="P59" s="1" t="str">
        <f>CONCATENATE(Table_Query_from_AMULTIQRY45[[#This Row],[WWHS]],"-",Table_Query_from_AMULTIQRY45[[#This Row],[LLOC]])</f>
        <v>E1-FG</v>
      </c>
      <c r="Q59" s="10">
        <f t="shared" ca="1" si="1"/>
        <v>45775</v>
      </c>
      <c r="R59" s="10"/>
      <c r="S59" s="28">
        <v>1769</v>
      </c>
      <c r="T59" s="1" t="s">
        <v>2</v>
      </c>
      <c r="U59" s="1" t="s">
        <v>69</v>
      </c>
      <c r="V59" s="1">
        <v>20250425</v>
      </c>
      <c r="W59" s="8" t="s">
        <v>8442</v>
      </c>
      <c r="Z59" s="1"/>
      <c r="AA59" s="1"/>
      <c r="AC59" s="1"/>
      <c r="AD59" s="1"/>
      <c r="AE59" s="1"/>
      <c r="AF59" s="1"/>
    </row>
    <row r="60" spans="2:32" ht="12.75" x14ac:dyDescent="0.2">
      <c r="B60" s="1" t="s">
        <v>8566</v>
      </c>
      <c r="C60" s="10">
        <f t="shared" ca="1" si="0"/>
        <v>44258</v>
      </c>
      <c r="D60" s="4"/>
      <c r="E60" s="4" t="s">
        <v>8434</v>
      </c>
      <c r="F60" s="4" t="s">
        <v>1293</v>
      </c>
      <c r="G60" s="4"/>
      <c r="H60" s="4" t="str">
        <f>_xlfn.IFNA(VLOOKUP(Table_Query_from_AMULTIQRY45[[#This Row],[WPROD]],'Part# with New'!$A$1:$B$4347,2,0),Table_Query_from_AMULTIQRY45[[#This Row],[WPROD]])</f>
        <v>WRJA286263012D-R970BK</v>
      </c>
      <c r="I60" s="4" t="s">
        <v>8436</v>
      </c>
      <c r="J60" s="1" t="s">
        <v>5</v>
      </c>
      <c r="L60" s="11">
        <v>4.4359999999999997E-2</v>
      </c>
      <c r="M60" s="1"/>
      <c r="N60" s="1" t="s">
        <v>30</v>
      </c>
      <c r="P60" s="1" t="str">
        <f>CONCATENATE(Table_Query_from_AMULTIQRY45[[#This Row],[WWHS]],"-",Table_Query_from_AMULTIQRY45[[#This Row],[LLOC]])</f>
        <v>E1-FG</v>
      </c>
      <c r="Q60" s="10">
        <f t="shared" ca="1" si="1"/>
        <v>45775</v>
      </c>
      <c r="R60" s="10"/>
      <c r="S60" s="28">
        <v>4105</v>
      </c>
      <c r="T60" s="1" t="s">
        <v>2</v>
      </c>
      <c r="U60" s="1" t="s">
        <v>70</v>
      </c>
      <c r="V60" s="1">
        <v>20210303</v>
      </c>
      <c r="W60" s="8" t="s">
        <v>8442</v>
      </c>
      <c r="Z60" s="1"/>
      <c r="AA60" s="1"/>
      <c r="AC60" s="1"/>
      <c r="AD60" s="1"/>
      <c r="AE60" s="1"/>
      <c r="AF60" s="1"/>
    </row>
    <row r="61" spans="2:32" ht="12.75" x14ac:dyDescent="0.2">
      <c r="B61" s="1" t="s">
        <v>8567</v>
      </c>
      <c r="C61" s="10">
        <f t="shared" ca="1" si="0"/>
        <v>44355</v>
      </c>
      <c r="D61" s="4"/>
      <c r="E61" s="4" t="s">
        <v>8434</v>
      </c>
      <c r="F61" s="4" t="s">
        <v>1293</v>
      </c>
      <c r="G61" s="4"/>
      <c r="H61" s="4" t="str">
        <f>_xlfn.IFNA(VLOOKUP(Table_Query_from_AMULTIQRY45[[#This Row],[WPROD]],'Part# with New'!$A$1:$B$4347,2,0),Table_Query_from_AMULTIQRY45[[#This Row],[WPROD]])</f>
        <v>1-10222</v>
      </c>
      <c r="I61" s="4" t="s">
        <v>8436</v>
      </c>
      <c r="J61" s="1" t="s">
        <v>5</v>
      </c>
      <c r="L61" s="11">
        <v>3.8059999999999997E-2</v>
      </c>
      <c r="M61" s="1"/>
      <c r="N61" s="1" t="s">
        <v>37</v>
      </c>
      <c r="P61" s="1" t="str">
        <f>CONCATENATE(Table_Query_from_AMULTIQRY45[[#This Row],[WWHS]],"-",Table_Query_from_AMULTIQRY45[[#This Row],[LLOC]])</f>
        <v>E1-FG</v>
      </c>
      <c r="Q61" s="10">
        <f t="shared" ca="1" si="1"/>
        <v>45775</v>
      </c>
      <c r="R61" s="10"/>
      <c r="S61" s="28">
        <v>1825</v>
      </c>
      <c r="T61" s="1" t="s">
        <v>2</v>
      </c>
      <c r="U61" s="1" t="s">
        <v>72</v>
      </c>
      <c r="V61" s="1">
        <v>20210608</v>
      </c>
      <c r="W61" s="8" t="s">
        <v>8442</v>
      </c>
      <c r="Z61" s="1"/>
      <c r="AA61" s="1"/>
      <c r="AC61" s="1"/>
      <c r="AD61" s="1"/>
      <c r="AE61" s="1"/>
      <c r="AF61" s="1"/>
    </row>
    <row r="62" spans="2:32" ht="12.75" x14ac:dyDescent="0.2">
      <c r="B62" s="1" t="s">
        <v>8568</v>
      </c>
      <c r="C62" s="10">
        <f t="shared" ca="1" si="0"/>
        <v>44090</v>
      </c>
      <c r="D62" s="4"/>
      <c r="E62" s="4" t="s">
        <v>8434</v>
      </c>
      <c r="F62" s="4" t="s">
        <v>1293</v>
      </c>
      <c r="G62" s="4"/>
      <c r="H62" s="4" t="str">
        <f>_xlfn.IFNA(VLOOKUP(Table_Query_from_AMULTIQRY45[[#This Row],[WPROD]],'Part# with New'!$A$1:$B$4347,2,0),Table_Query_from_AMULTIQRY45[[#This Row],[WPROD]])</f>
        <v>WRJE226192012D-R970BK</v>
      </c>
      <c r="I62" s="4" t="s">
        <v>8436</v>
      </c>
      <c r="J62" s="1" t="s">
        <v>5</v>
      </c>
      <c r="L62" s="11">
        <v>3.7929999999999998E-2</v>
      </c>
      <c r="M62" s="1"/>
      <c r="N62" s="1" t="s">
        <v>37</v>
      </c>
      <c r="P62" s="1" t="str">
        <f>CONCATENATE(Table_Query_from_AMULTIQRY45[[#This Row],[WWHS]],"-",Table_Query_from_AMULTIQRY45[[#This Row],[LLOC]])</f>
        <v>E1-FG</v>
      </c>
      <c r="Q62" s="10">
        <f t="shared" ca="1" si="1"/>
        <v>45775</v>
      </c>
      <c r="R62" s="10"/>
      <c r="S62" s="28">
        <v>810</v>
      </c>
      <c r="T62" s="1" t="s">
        <v>2</v>
      </c>
      <c r="U62" s="1" t="s">
        <v>73</v>
      </c>
      <c r="V62" s="1">
        <v>20200916</v>
      </c>
      <c r="W62" s="8" t="s">
        <v>8442</v>
      </c>
      <c r="Z62" s="1"/>
      <c r="AA62" s="1"/>
      <c r="AC62" s="1"/>
      <c r="AD62" s="1"/>
      <c r="AE62" s="1"/>
      <c r="AF62" s="1"/>
    </row>
    <row r="63" spans="2:32" ht="12.75" x14ac:dyDescent="0.2">
      <c r="B63" s="1" t="s">
        <v>8569</v>
      </c>
      <c r="C63" s="10">
        <f t="shared" ca="1" si="0"/>
        <v>45422</v>
      </c>
      <c r="D63" s="4"/>
      <c r="E63" s="4" t="s">
        <v>8434</v>
      </c>
      <c r="F63" s="4" t="s">
        <v>1293</v>
      </c>
      <c r="G63" s="4"/>
      <c r="H63" s="4" t="str">
        <f>_xlfn.IFNA(VLOOKUP(Table_Query_from_AMULTIQRY45[[#This Row],[WPROD]],'Part# with New'!$A$1:$B$4347,2,0),Table_Query_from_AMULTIQRY45[[#This Row],[WPROD]])</f>
        <v>WRJC150112009D-R470BK</v>
      </c>
      <c r="I63" s="4" t="s">
        <v>8436</v>
      </c>
      <c r="J63" s="1" t="s">
        <v>5</v>
      </c>
      <c r="L63" s="11">
        <v>2.316E-2</v>
      </c>
      <c r="M63" s="1"/>
      <c r="N63" s="1" t="s">
        <v>34</v>
      </c>
      <c r="P63" s="1" t="str">
        <f>CONCATENATE(Table_Query_from_AMULTIQRY45[[#This Row],[WWHS]],"-",Table_Query_from_AMULTIQRY45[[#This Row],[LLOC]])</f>
        <v>E1-FG</v>
      </c>
      <c r="Q63" s="10">
        <f t="shared" ca="1" si="1"/>
        <v>45775</v>
      </c>
      <c r="R63" s="10"/>
      <c r="S63" s="28">
        <v>374</v>
      </c>
      <c r="T63" s="1" t="s">
        <v>2</v>
      </c>
      <c r="U63" s="1" t="s">
        <v>74</v>
      </c>
      <c r="V63" s="1">
        <v>20240510</v>
      </c>
      <c r="W63" s="8" t="s">
        <v>8442</v>
      </c>
      <c r="Z63" s="1"/>
      <c r="AA63" s="1"/>
      <c r="AC63" s="1"/>
      <c r="AD63" s="1"/>
      <c r="AE63" s="1"/>
      <c r="AF63" s="1"/>
    </row>
    <row r="64" spans="2:32" ht="12.75" x14ac:dyDescent="0.2">
      <c r="B64" s="1" t="s">
        <v>8570</v>
      </c>
      <c r="C64" s="10">
        <f t="shared" ca="1" si="0"/>
        <v>43840</v>
      </c>
      <c r="D64" s="4"/>
      <c r="E64" s="4" t="s">
        <v>8434</v>
      </c>
      <c r="F64" s="4" t="s">
        <v>1293</v>
      </c>
      <c r="G64" s="4"/>
      <c r="H64" s="4" t="str">
        <f>_xlfn.IFNA(VLOOKUP(Table_Query_from_AMULTIQRY45[[#This Row],[WPROD]],'Part# with New'!$A$1:$B$4347,2,0),Table_Query_from_AMULTIQRY45[[#This Row],[WPROD]])</f>
        <v>WRJE164140012D-R970BK</v>
      </c>
      <c r="I64" s="4" t="s">
        <v>8436</v>
      </c>
      <c r="J64" s="1" t="s">
        <v>5</v>
      </c>
      <c r="L64" s="11">
        <v>3.2989999999999998E-2</v>
      </c>
      <c r="M64" s="1"/>
      <c r="N64" s="1" t="s">
        <v>37</v>
      </c>
      <c r="P64" s="1" t="str">
        <f>CONCATENATE(Table_Query_from_AMULTIQRY45[[#This Row],[WWHS]],"-",Table_Query_from_AMULTIQRY45[[#This Row],[LLOC]])</f>
        <v>E1-FG</v>
      </c>
      <c r="Q64" s="10">
        <f t="shared" ca="1" si="1"/>
        <v>45775</v>
      </c>
      <c r="R64" s="10"/>
      <c r="S64" s="28">
        <v>1050</v>
      </c>
      <c r="T64" s="1" t="s">
        <v>2</v>
      </c>
      <c r="U64" s="1" t="s">
        <v>75</v>
      </c>
      <c r="V64" s="1">
        <v>20200110</v>
      </c>
      <c r="W64" s="8" t="s">
        <v>8442</v>
      </c>
      <c r="Z64" s="1"/>
      <c r="AA64" s="1"/>
      <c r="AC64" s="1"/>
      <c r="AD64" s="1"/>
      <c r="AE64" s="1"/>
      <c r="AF64" s="1"/>
    </row>
    <row r="65" spans="2:32" ht="12.75" x14ac:dyDescent="0.2">
      <c r="B65" s="1" t="s">
        <v>8571</v>
      </c>
      <c r="C65" s="10">
        <f t="shared" ca="1" si="0"/>
        <v>44050</v>
      </c>
      <c r="D65" s="4"/>
      <c r="E65" s="4" t="s">
        <v>8434</v>
      </c>
      <c r="F65" s="4" t="s">
        <v>1293</v>
      </c>
      <c r="G65" s="4"/>
      <c r="H65" s="4" t="str">
        <f>_xlfn.IFNA(VLOOKUP(Table_Query_from_AMULTIQRY45[[#This Row],[WPROD]],'Part# with New'!$A$1:$B$4347,2,0),Table_Query_from_AMULTIQRY45[[#This Row],[WPROD]])</f>
        <v>WRJE193169012D-R970BK</v>
      </c>
      <c r="I65" s="4" t="s">
        <v>8436</v>
      </c>
      <c r="J65" s="1" t="s">
        <v>46</v>
      </c>
      <c r="L65" s="11">
        <v>3.0159999999999999E-2</v>
      </c>
      <c r="M65" s="1"/>
      <c r="N65" s="1" t="s">
        <v>37</v>
      </c>
      <c r="P65" s="1" t="str">
        <f>CONCATENATE(Table_Query_from_AMULTIQRY45[[#This Row],[WWHS]],"-",Table_Query_from_AMULTIQRY45[[#This Row],[LLOC]])</f>
        <v>E1-FG</v>
      </c>
      <c r="Q65" s="10">
        <f t="shared" ca="1" si="1"/>
        <v>45775</v>
      </c>
      <c r="R65" s="10"/>
      <c r="S65" s="28">
        <v>950</v>
      </c>
      <c r="T65" s="1" t="s">
        <v>2</v>
      </c>
      <c r="U65" s="1" t="s">
        <v>77</v>
      </c>
      <c r="V65" s="1">
        <v>20200807</v>
      </c>
      <c r="W65" s="8" t="s">
        <v>8442</v>
      </c>
      <c r="Z65" s="1"/>
      <c r="AA65" s="1"/>
      <c r="AC65" s="1"/>
      <c r="AD65" s="1"/>
      <c r="AE65" s="1"/>
      <c r="AF65" s="1"/>
    </row>
    <row r="66" spans="2:32" ht="12.75" x14ac:dyDescent="0.2">
      <c r="B66" s="1" t="s">
        <v>8572</v>
      </c>
      <c r="C66" s="10">
        <f t="shared" ca="1" si="0"/>
        <v>45205</v>
      </c>
      <c r="D66" s="4"/>
      <c r="E66" s="4" t="s">
        <v>8434</v>
      </c>
      <c r="F66" s="4" t="s">
        <v>1293</v>
      </c>
      <c r="G66" s="4"/>
      <c r="H66" s="4" t="str">
        <f>_xlfn.IFNA(VLOOKUP(Table_Query_from_AMULTIQRY45[[#This Row],[WPROD]],'Part# with New'!$A$1:$B$4347,2,0),Table_Query_from_AMULTIQRY45[[#This Row],[WPROD]])</f>
        <v>1-10238</v>
      </c>
      <c r="I66" s="4" t="s">
        <v>8436</v>
      </c>
      <c r="J66" s="1" t="s">
        <v>5</v>
      </c>
      <c r="L66" s="11">
        <v>2.0650000000000002E-2</v>
      </c>
      <c r="M66" s="1"/>
      <c r="N66" s="1" t="s">
        <v>37</v>
      </c>
      <c r="P66" s="1" t="str">
        <f>CONCATENATE(Table_Query_from_AMULTIQRY45[[#This Row],[WWHS]],"-",Table_Query_from_AMULTIQRY45[[#This Row],[LLOC]])</f>
        <v>E1-FG</v>
      </c>
      <c r="Q66" s="10">
        <f t="shared" ca="1" si="1"/>
        <v>45775</v>
      </c>
      <c r="R66" s="10"/>
      <c r="S66" s="28">
        <v>1315</v>
      </c>
      <c r="T66" s="1" t="s">
        <v>2</v>
      </c>
      <c r="U66" s="1" t="s">
        <v>79</v>
      </c>
      <c r="V66" s="1">
        <v>20231006</v>
      </c>
      <c r="W66" s="8" t="s">
        <v>8442</v>
      </c>
      <c r="Z66" s="1"/>
      <c r="AA66" s="1"/>
      <c r="AC66" s="1"/>
      <c r="AD66" s="1"/>
      <c r="AE66" s="1"/>
      <c r="AF66" s="1"/>
    </row>
    <row r="67" spans="2:32" ht="12.75" x14ac:dyDescent="0.2">
      <c r="B67" s="1" t="s">
        <v>8573</v>
      </c>
      <c r="C67" s="10">
        <f t="shared" ca="1" si="0"/>
        <v>45259</v>
      </c>
      <c r="D67" s="4"/>
      <c r="E67" s="4" t="s">
        <v>8434</v>
      </c>
      <c r="F67" s="4" t="s">
        <v>1293</v>
      </c>
      <c r="G67" s="4"/>
      <c r="H67" s="4" t="str">
        <f>_xlfn.IFNA(VLOOKUP(Table_Query_from_AMULTIQRY45[[#This Row],[WPROD]],'Part# with New'!$A$1:$B$4347,2,0),Table_Query_from_AMULTIQRY45[[#This Row],[WPROD]])</f>
        <v>WRJA450400012D-R490AK</v>
      </c>
      <c r="I67" s="4" t="s">
        <v>8436</v>
      </c>
      <c r="J67" s="1" t="s">
        <v>5</v>
      </c>
      <c r="L67" s="11">
        <v>0.14369999999999999</v>
      </c>
      <c r="M67" s="1"/>
      <c r="N67" s="1" t="s">
        <v>30</v>
      </c>
      <c r="P67" s="1" t="str">
        <f>CONCATENATE(Table_Query_from_AMULTIQRY45[[#This Row],[WWHS]],"-",Table_Query_from_AMULTIQRY45[[#This Row],[LLOC]])</f>
        <v>E1-FG</v>
      </c>
      <c r="Q67" s="10">
        <f t="shared" ca="1" si="1"/>
        <v>45775</v>
      </c>
      <c r="R67" s="10"/>
      <c r="S67" s="28">
        <v>1470</v>
      </c>
      <c r="T67" s="1" t="s">
        <v>2</v>
      </c>
      <c r="U67" s="1" t="s">
        <v>80</v>
      </c>
      <c r="V67" s="1">
        <v>20231129</v>
      </c>
      <c r="W67" s="8" t="s">
        <v>8442</v>
      </c>
      <c r="Z67" s="1"/>
      <c r="AA67" s="1"/>
      <c r="AC67" s="1"/>
      <c r="AD67" s="1"/>
      <c r="AE67" s="1"/>
      <c r="AF67" s="1"/>
    </row>
    <row r="68" spans="2:32" ht="12.75" x14ac:dyDescent="0.2">
      <c r="B68" s="1" t="s">
        <v>8574</v>
      </c>
      <c r="C68" s="10">
        <f t="shared" ca="1" si="0"/>
        <v>45464</v>
      </c>
      <c r="D68" s="4"/>
      <c r="E68" s="4" t="s">
        <v>8434</v>
      </c>
      <c r="F68" s="4" t="s">
        <v>1293</v>
      </c>
      <c r="G68" s="4"/>
      <c r="H68" s="4" t="str">
        <f>_xlfn.IFNA(VLOOKUP(Table_Query_from_AMULTIQRY45[[#This Row],[WPROD]],'Part# with New'!$A$1:$B$4347,2,0),Table_Query_from_AMULTIQRY45[[#This Row],[WPROD]])</f>
        <v>WRJA303253009D-R470BK</v>
      </c>
      <c r="I68" s="4" t="s">
        <v>8436</v>
      </c>
      <c r="J68" s="1" t="s">
        <v>5</v>
      </c>
      <c r="L68" s="11">
        <v>5.509E-2</v>
      </c>
      <c r="M68" s="1"/>
      <c r="N68" s="1" t="s">
        <v>30</v>
      </c>
      <c r="P68" s="1" t="str">
        <f>CONCATENATE(Table_Query_from_AMULTIQRY45[[#This Row],[WWHS]],"-",Table_Query_from_AMULTIQRY45[[#This Row],[LLOC]])</f>
        <v>E1-FG</v>
      </c>
      <c r="Q68" s="10">
        <f t="shared" ca="1" si="1"/>
        <v>45775</v>
      </c>
      <c r="R68" s="10"/>
      <c r="S68" s="28">
        <v>1565</v>
      </c>
      <c r="T68" s="1" t="s">
        <v>2</v>
      </c>
      <c r="U68" s="1" t="s">
        <v>81</v>
      </c>
      <c r="V68" s="1">
        <v>20240621</v>
      </c>
      <c r="W68" s="8" t="s">
        <v>8442</v>
      </c>
      <c r="Z68" s="1"/>
      <c r="AA68" s="1"/>
      <c r="AC68" s="1"/>
      <c r="AD68" s="1"/>
      <c r="AE68" s="1"/>
      <c r="AF68" s="1"/>
    </row>
    <row r="69" spans="2:32" ht="12.75" x14ac:dyDescent="0.2">
      <c r="B69" s="1" t="s">
        <v>8575</v>
      </c>
      <c r="C69" s="10">
        <f t="shared" ca="1" si="0"/>
        <v>43966</v>
      </c>
      <c r="D69" s="4"/>
      <c r="E69" s="4" t="s">
        <v>8434</v>
      </c>
      <c r="F69" s="4" t="s">
        <v>1293</v>
      </c>
      <c r="G69" s="4"/>
      <c r="H69" s="4" t="str">
        <f>_xlfn.IFNA(VLOOKUP(Table_Query_from_AMULTIQRY45[[#This Row],[WPROD]],'Part# with New'!$A$1:$B$4347,2,0),Table_Query_from_AMULTIQRY45[[#This Row],[WPROD]])</f>
        <v>WRJE279255012D-R970BK</v>
      </c>
      <c r="I69" s="4" t="s">
        <v>8436</v>
      </c>
      <c r="J69" s="1" t="s">
        <v>5</v>
      </c>
      <c r="L69" s="11">
        <v>4.1160000000000002E-2</v>
      </c>
      <c r="M69" s="1"/>
      <c r="N69" s="1" t="s">
        <v>37</v>
      </c>
      <c r="P69" s="1" t="str">
        <f>CONCATENATE(Table_Query_from_AMULTIQRY45[[#This Row],[WWHS]],"-",Table_Query_from_AMULTIQRY45[[#This Row],[LLOC]])</f>
        <v>E1-FG</v>
      </c>
      <c r="Q69" s="10">
        <f t="shared" ca="1" si="1"/>
        <v>45775</v>
      </c>
      <c r="R69" s="10"/>
      <c r="S69" s="28">
        <v>7826</v>
      </c>
      <c r="T69" s="1" t="s">
        <v>2</v>
      </c>
      <c r="U69" s="1" t="s">
        <v>82</v>
      </c>
      <c r="V69" s="1">
        <v>20200515</v>
      </c>
      <c r="W69" s="8" t="s">
        <v>8442</v>
      </c>
      <c r="Z69" s="1"/>
      <c r="AA69" s="1"/>
      <c r="AC69" s="1"/>
      <c r="AD69" s="1"/>
      <c r="AE69" s="1"/>
      <c r="AF69" s="1"/>
    </row>
    <row r="70" spans="2:32" ht="12.75" x14ac:dyDescent="0.2">
      <c r="B70" s="1" t="s">
        <v>8576</v>
      </c>
      <c r="C70" s="10">
        <f t="shared" ca="1" si="0"/>
        <v>45723</v>
      </c>
      <c r="D70" s="4"/>
      <c r="E70" s="4" t="s">
        <v>8434</v>
      </c>
      <c r="F70" s="4" t="s">
        <v>1293</v>
      </c>
      <c r="G70" s="4"/>
      <c r="H70" s="4" t="str">
        <f>_xlfn.IFNA(VLOOKUP(Table_Query_from_AMULTIQRY45[[#This Row],[WPROD]],'Part# with New'!$A$1:$B$4347,2,0),Table_Query_from_AMULTIQRY45[[#This Row],[WPROD]])</f>
        <v>WRJA311287012D-R970BK</v>
      </c>
      <c r="I70" s="4" t="s">
        <v>8436</v>
      </c>
      <c r="J70" s="1" t="s">
        <v>5</v>
      </c>
      <c r="L70" s="11">
        <v>4.8120000000000003E-2</v>
      </c>
      <c r="M70" s="1"/>
      <c r="N70" s="1" t="s">
        <v>30</v>
      </c>
      <c r="P70" s="1" t="str">
        <f>CONCATENATE(Table_Query_from_AMULTIQRY45[[#This Row],[WWHS]],"-",Table_Query_from_AMULTIQRY45[[#This Row],[LLOC]])</f>
        <v>E1-FG</v>
      </c>
      <c r="Q70" s="10">
        <f t="shared" ca="1" si="1"/>
        <v>45775</v>
      </c>
      <c r="R70" s="10"/>
      <c r="S70" s="28">
        <v>1188</v>
      </c>
      <c r="T70" s="1" t="s">
        <v>2</v>
      </c>
      <c r="U70" s="1" t="s">
        <v>83</v>
      </c>
      <c r="V70" s="1">
        <v>20250307</v>
      </c>
      <c r="W70" s="8" t="s">
        <v>8442</v>
      </c>
      <c r="Z70" s="1"/>
      <c r="AA70" s="1"/>
      <c r="AC70" s="1"/>
      <c r="AD70" s="1"/>
      <c r="AE70" s="1"/>
      <c r="AF70" s="1"/>
    </row>
    <row r="71" spans="2:32" ht="12.75" x14ac:dyDescent="0.2">
      <c r="B71" s="1" t="s">
        <v>8577</v>
      </c>
      <c r="C71" s="10">
        <f t="shared" ref="C71:C134" ca="1" si="2">IFERROR(DATE(LEFT($V71,4),MID($V71,5,2),RIGHT($V71,2)),TODAY())</f>
        <v>45331</v>
      </c>
      <c r="D71" s="4"/>
      <c r="E71" s="4" t="s">
        <v>8434</v>
      </c>
      <c r="F71" s="4" t="s">
        <v>1293</v>
      </c>
      <c r="G71" s="4"/>
      <c r="H71" s="4" t="str">
        <f>_xlfn.IFNA(VLOOKUP(Table_Query_from_AMULTIQRY45[[#This Row],[WPROD]],'Part# with New'!$A$1:$B$4347,2,0),Table_Query_from_AMULTIQRY45[[#This Row],[WPROD]])</f>
        <v>WRJA262209009D-R470BK</v>
      </c>
      <c r="I71" s="4" t="s">
        <v>8436</v>
      </c>
      <c r="J71" s="1" t="s">
        <v>5</v>
      </c>
      <c r="L71" s="11">
        <v>4.9639999999999997E-2</v>
      </c>
      <c r="M71" s="1"/>
      <c r="N71" s="1" t="s">
        <v>30</v>
      </c>
      <c r="P71" s="1" t="str">
        <f>CONCATENATE(Table_Query_from_AMULTIQRY45[[#This Row],[WWHS]],"-",Table_Query_from_AMULTIQRY45[[#This Row],[LLOC]])</f>
        <v>E1-FG</v>
      </c>
      <c r="Q71" s="10">
        <f t="shared" ref="Q71:Q134" ca="1" si="3">+TODAY()</f>
        <v>45775</v>
      </c>
      <c r="R71" s="10"/>
      <c r="S71" s="28">
        <v>3922</v>
      </c>
      <c r="T71" s="1" t="s">
        <v>2</v>
      </c>
      <c r="U71" s="1" t="s">
        <v>84</v>
      </c>
      <c r="V71" s="1">
        <v>20240209</v>
      </c>
      <c r="W71" s="8" t="s">
        <v>8442</v>
      </c>
      <c r="Z71" s="1"/>
      <c r="AA71" s="1"/>
      <c r="AC71" s="1"/>
      <c r="AD71" s="1"/>
      <c r="AE71" s="1"/>
      <c r="AF71" s="1"/>
    </row>
    <row r="72" spans="2:32" ht="12.75" x14ac:dyDescent="0.2">
      <c r="B72" s="1" t="s">
        <v>8578</v>
      </c>
      <c r="C72" s="10">
        <f t="shared" ca="1" si="2"/>
        <v>44756</v>
      </c>
      <c r="D72" s="4"/>
      <c r="E72" s="4" t="s">
        <v>8434</v>
      </c>
      <c r="F72" s="4" t="s">
        <v>1293</v>
      </c>
      <c r="G72" s="4"/>
      <c r="H72" s="4" t="str">
        <f>_xlfn.IFNA(VLOOKUP(Table_Query_from_AMULTIQRY45[[#This Row],[WPROD]],'Part# with New'!$A$1:$B$4347,2,0),Table_Query_from_AMULTIQRY45[[#This Row],[WPROD]])</f>
        <v>WRJE266241012D-R970BK</v>
      </c>
      <c r="I72" s="4" t="s">
        <v>8436</v>
      </c>
      <c r="J72" s="1" t="s">
        <v>5</v>
      </c>
      <c r="L72" s="11">
        <v>3.8019999999999998E-2</v>
      </c>
      <c r="M72" s="1"/>
      <c r="N72" s="1" t="s">
        <v>37</v>
      </c>
      <c r="P72" s="1" t="str">
        <f>CONCATENATE(Table_Query_from_AMULTIQRY45[[#This Row],[WWHS]],"-",Table_Query_from_AMULTIQRY45[[#This Row],[LLOC]])</f>
        <v>E1-FG</v>
      </c>
      <c r="Q72" s="10">
        <f t="shared" ca="1" si="3"/>
        <v>45775</v>
      </c>
      <c r="R72" s="10"/>
      <c r="S72" s="28">
        <v>1595</v>
      </c>
      <c r="T72" s="1" t="s">
        <v>2</v>
      </c>
      <c r="U72" s="1" t="s">
        <v>85</v>
      </c>
      <c r="V72" s="1">
        <v>20220714</v>
      </c>
      <c r="W72" s="8" t="s">
        <v>8442</v>
      </c>
      <c r="Z72" s="1"/>
      <c r="AA72" s="1"/>
      <c r="AC72" s="1"/>
      <c r="AD72" s="1"/>
      <c r="AE72" s="1"/>
      <c r="AF72" s="1"/>
    </row>
    <row r="73" spans="2:32" ht="12.75" x14ac:dyDescent="0.2">
      <c r="B73" s="1" t="s">
        <v>8579</v>
      </c>
      <c r="C73" s="10">
        <f t="shared" ca="1" si="2"/>
        <v>45708</v>
      </c>
      <c r="D73" s="4"/>
      <c r="E73" s="4" t="s">
        <v>8434</v>
      </c>
      <c r="F73" s="4" t="s">
        <v>1293</v>
      </c>
      <c r="G73" s="4"/>
      <c r="H73" s="4" t="str">
        <f>_xlfn.IFNA(VLOOKUP(Table_Query_from_AMULTIQRY45[[#This Row],[WPROD]],'Part# with New'!$A$1:$B$4347,2,0),Table_Query_from_AMULTIQRY45[[#This Row],[WPROD]])</f>
        <v>WRJC080043007D-R470BK</v>
      </c>
      <c r="I73" s="4" t="s">
        <v>8436</v>
      </c>
      <c r="J73" s="1" t="s">
        <v>5</v>
      </c>
      <c r="L73" s="11">
        <v>1.298E-2</v>
      </c>
      <c r="M73" s="1"/>
      <c r="N73" s="1" t="s">
        <v>34</v>
      </c>
      <c r="P73" s="1" t="str">
        <f>CONCATENATE(Table_Query_from_AMULTIQRY45[[#This Row],[WWHS]],"-",Table_Query_from_AMULTIQRY45[[#This Row],[LLOC]])</f>
        <v>E1-FG</v>
      </c>
      <c r="Q73" s="10">
        <f t="shared" ca="1" si="3"/>
        <v>45775</v>
      </c>
      <c r="R73" s="10"/>
      <c r="S73" s="28">
        <v>615</v>
      </c>
      <c r="T73" s="1" t="s">
        <v>2</v>
      </c>
      <c r="U73" s="1" t="s">
        <v>87</v>
      </c>
      <c r="V73" s="1">
        <v>20250220</v>
      </c>
      <c r="W73" s="8" t="s">
        <v>8442</v>
      </c>
      <c r="Z73" s="1"/>
      <c r="AA73" s="1"/>
      <c r="AC73" s="1"/>
      <c r="AD73" s="1"/>
      <c r="AE73" s="1"/>
      <c r="AF73" s="1"/>
    </row>
    <row r="74" spans="2:32" ht="12.75" x14ac:dyDescent="0.2">
      <c r="B74" s="1" t="s">
        <v>8580</v>
      </c>
      <c r="C74" s="10">
        <f t="shared" ca="1" si="2"/>
        <v>44252</v>
      </c>
      <c r="D74" s="4"/>
      <c r="E74" s="4" t="s">
        <v>8434</v>
      </c>
      <c r="F74" s="4" t="s">
        <v>1293</v>
      </c>
      <c r="G74" s="4"/>
      <c r="H74" s="4" t="str">
        <f>_xlfn.IFNA(VLOOKUP(Table_Query_from_AMULTIQRY45[[#This Row],[WPROD]],'Part# with New'!$A$1:$B$4347,2,0),Table_Query_from_AMULTIQRY45[[#This Row],[WPROD]])</f>
        <v>WRJE175152012D-R970BK</v>
      </c>
      <c r="I74" s="4" t="s">
        <v>8436</v>
      </c>
      <c r="J74" s="1" t="s">
        <v>5</v>
      </c>
      <c r="L74" s="11">
        <v>3.2750000000000001E-2</v>
      </c>
      <c r="M74" s="1"/>
      <c r="N74" s="1" t="s">
        <v>37</v>
      </c>
      <c r="P74" s="1" t="str">
        <f>CONCATENATE(Table_Query_from_AMULTIQRY45[[#This Row],[WWHS]],"-",Table_Query_from_AMULTIQRY45[[#This Row],[LLOC]])</f>
        <v>E1-FG</v>
      </c>
      <c r="Q74" s="10">
        <f t="shared" ca="1" si="3"/>
        <v>45775</v>
      </c>
      <c r="R74" s="10"/>
      <c r="S74" s="28">
        <v>1815</v>
      </c>
      <c r="T74" s="1" t="s">
        <v>2</v>
      </c>
      <c r="U74" s="1" t="s">
        <v>88</v>
      </c>
      <c r="V74" s="1">
        <v>20210225</v>
      </c>
      <c r="W74" s="8" t="s">
        <v>8442</v>
      </c>
      <c r="Z74" s="1"/>
      <c r="AA74" s="1"/>
      <c r="AC74" s="1"/>
      <c r="AD74" s="1"/>
      <c r="AE74" s="1"/>
      <c r="AF74" s="1"/>
    </row>
    <row r="75" spans="2:32" ht="12.75" x14ac:dyDescent="0.2">
      <c r="B75" s="1" t="s">
        <v>8581</v>
      </c>
      <c r="C75" s="10">
        <f t="shared" ca="1" si="2"/>
        <v>44252</v>
      </c>
      <c r="D75" s="4"/>
      <c r="E75" s="4" t="s">
        <v>8434</v>
      </c>
      <c r="F75" s="4" t="s">
        <v>1293</v>
      </c>
      <c r="G75" s="4"/>
      <c r="H75" s="4" t="str">
        <f>_xlfn.IFNA(VLOOKUP(Table_Query_from_AMULTIQRY45[[#This Row],[WPROD]],'Part# with New'!$A$1:$B$4347,2,0),Table_Query_from_AMULTIQRY45[[#This Row],[WPROD]])</f>
        <v>WRJE134111012D-R970BK</v>
      </c>
      <c r="I75" s="4" t="s">
        <v>8436</v>
      </c>
      <c r="J75" s="1" t="s">
        <v>5</v>
      </c>
      <c r="L75" s="11">
        <v>2.3859999999999999E-2</v>
      </c>
      <c r="M75" s="1"/>
      <c r="N75" s="1" t="s">
        <v>37</v>
      </c>
      <c r="P75" s="1" t="str">
        <f>CONCATENATE(Table_Query_from_AMULTIQRY45[[#This Row],[WWHS]],"-",Table_Query_from_AMULTIQRY45[[#This Row],[LLOC]])</f>
        <v>E1-FG</v>
      </c>
      <c r="Q75" s="10">
        <f t="shared" ca="1" si="3"/>
        <v>45775</v>
      </c>
      <c r="R75" s="10"/>
      <c r="S75" s="28">
        <v>1195</v>
      </c>
      <c r="T75" s="1" t="s">
        <v>2</v>
      </c>
      <c r="U75" s="1" t="s">
        <v>90</v>
      </c>
      <c r="V75" s="1">
        <v>20210225</v>
      </c>
      <c r="W75" s="8" t="s">
        <v>8442</v>
      </c>
      <c r="Z75" s="1"/>
      <c r="AA75" s="1"/>
      <c r="AC75" s="1"/>
      <c r="AD75" s="1"/>
      <c r="AE75" s="1"/>
      <c r="AF75" s="1"/>
    </row>
    <row r="76" spans="2:32" ht="12.75" x14ac:dyDescent="0.2">
      <c r="B76" s="1" t="s">
        <v>8582</v>
      </c>
      <c r="C76" s="10">
        <f t="shared" ca="1" si="2"/>
        <v>45569</v>
      </c>
      <c r="D76" s="4"/>
      <c r="E76" s="4" t="s">
        <v>8434</v>
      </c>
      <c r="F76" s="4" t="s">
        <v>1293</v>
      </c>
      <c r="G76" s="4"/>
      <c r="H76" s="4" t="str">
        <f>_xlfn.IFNA(VLOOKUP(Table_Query_from_AMULTIQRY45[[#This Row],[WPROD]],'Part# with New'!$A$1:$B$4347,2,0),Table_Query_from_AMULTIQRY45[[#This Row],[WPROD]])</f>
        <v>WRJC121061009K-R870AK</v>
      </c>
      <c r="I76" s="4" t="s">
        <v>8436</v>
      </c>
      <c r="J76" s="1" t="s">
        <v>5</v>
      </c>
      <c r="L76" s="11">
        <v>2.349E-2</v>
      </c>
      <c r="M76" s="1"/>
      <c r="N76" s="1" t="s">
        <v>34</v>
      </c>
      <c r="P76" s="1" t="str">
        <f>CONCATENATE(Table_Query_from_AMULTIQRY45[[#This Row],[WWHS]],"-",Table_Query_from_AMULTIQRY45[[#This Row],[LLOC]])</f>
        <v>E1-FG</v>
      </c>
      <c r="Q76" s="10">
        <f t="shared" ca="1" si="3"/>
        <v>45775</v>
      </c>
      <c r="R76" s="10"/>
      <c r="S76" s="28">
        <v>1195</v>
      </c>
      <c r="T76" s="1" t="s">
        <v>2</v>
      </c>
      <c r="U76" s="1" t="s">
        <v>92</v>
      </c>
      <c r="V76" s="1">
        <v>20241004</v>
      </c>
      <c r="W76" s="8" t="s">
        <v>8442</v>
      </c>
      <c r="Z76" s="1"/>
      <c r="AA76" s="1"/>
      <c r="AC76" s="1"/>
      <c r="AD76" s="1"/>
      <c r="AE76" s="1"/>
      <c r="AF76" s="1"/>
    </row>
    <row r="77" spans="2:32" ht="12.75" x14ac:dyDescent="0.2">
      <c r="B77" s="1" t="s">
        <v>8583</v>
      </c>
      <c r="C77" s="10">
        <f t="shared" ca="1" si="2"/>
        <v>45590</v>
      </c>
      <c r="D77" s="4"/>
      <c r="E77" s="4" t="s">
        <v>8434</v>
      </c>
      <c r="F77" s="4" t="s">
        <v>1293</v>
      </c>
      <c r="G77" s="4"/>
      <c r="H77" s="4" t="str">
        <f>_xlfn.IFNA(VLOOKUP(Table_Query_from_AMULTIQRY45[[#This Row],[WPROD]],'Part# with New'!$A$1:$B$4347,2,0),Table_Query_from_AMULTIQRY45[[#This Row],[WPROD]])</f>
        <v>1-10289</v>
      </c>
      <c r="I77" s="4" t="s">
        <v>8436</v>
      </c>
      <c r="J77" s="1" t="s">
        <v>5</v>
      </c>
      <c r="L77" s="11">
        <v>3.0089999999999999E-2</v>
      </c>
      <c r="M77" s="1"/>
      <c r="N77" s="1" t="s">
        <v>37</v>
      </c>
      <c r="P77" s="1" t="str">
        <f>CONCATENATE(Table_Query_from_AMULTIQRY45[[#This Row],[WWHS]],"-",Table_Query_from_AMULTIQRY45[[#This Row],[LLOC]])</f>
        <v>E1-FG</v>
      </c>
      <c r="Q77" s="10">
        <f t="shared" ca="1" si="3"/>
        <v>45775</v>
      </c>
      <c r="R77" s="10"/>
      <c r="S77" s="28">
        <v>624</v>
      </c>
      <c r="T77" s="1" t="s">
        <v>2</v>
      </c>
      <c r="U77" s="1" t="s">
        <v>93</v>
      </c>
      <c r="V77" s="1">
        <v>20241025</v>
      </c>
      <c r="W77" s="8" t="s">
        <v>8442</v>
      </c>
      <c r="Z77" s="1"/>
      <c r="AA77" s="1"/>
      <c r="AC77" s="1"/>
      <c r="AD77" s="1"/>
      <c r="AE77" s="1"/>
      <c r="AF77" s="1"/>
    </row>
    <row r="78" spans="2:32" ht="12.75" x14ac:dyDescent="0.2">
      <c r="B78" s="1" t="s">
        <v>8584</v>
      </c>
      <c r="C78" s="10">
        <f t="shared" ca="1" si="2"/>
        <v>45316</v>
      </c>
      <c r="D78" s="4"/>
      <c r="E78" s="4" t="s">
        <v>8434</v>
      </c>
      <c r="F78" s="4" t="s">
        <v>1293</v>
      </c>
      <c r="G78" s="4"/>
      <c r="H78" s="4" t="str">
        <f>_xlfn.IFNA(VLOOKUP(Table_Query_from_AMULTIQRY45[[#This Row],[WPROD]],'Part# with New'!$A$1:$B$4347,2,0),Table_Query_from_AMULTIQRY45[[#This Row],[WPROD]])</f>
        <v>WRJC093050007D-R470BK</v>
      </c>
      <c r="I78" s="4" t="s">
        <v>8436</v>
      </c>
      <c r="J78" s="1" t="s">
        <v>5</v>
      </c>
      <c r="L78" s="11">
        <v>1.379E-2</v>
      </c>
      <c r="M78" s="1"/>
      <c r="N78" s="1" t="s">
        <v>34</v>
      </c>
      <c r="P78" s="1" t="str">
        <f>CONCATENATE(Table_Query_from_AMULTIQRY45[[#This Row],[WWHS]],"-",Table_Query_from_AMULTIQRY45[[#This Row],[LLOC]])</f>
        <v>E1-FG</v>
      </c>
      <c r="Q78" s="10">
        <f t="shared" ca="1" si="3"/>
        <v>45775</v>
      </c>
      <c r="R78" s="10"/>
      <c r="S78" s="28">
        <v>730</v>
      </c>
      <c r="T78" s="1" t="s">
        <v>2</v>
      </c>
      <c r="U78" s="1" t="s">
        <v>94</v>
      </c>
      <c r="V78" s="1">
        <v>20240125</v>
      </c>
      <c r="W78" s="8" t="s">
        <v>8442</v>
      </c>
      <c r="Z78" s="1"/>
      <c r="AA78" s="1"/>
      <c r="AC78" s="1"/>
      <c r="AD78" s="1"/>
      <c r="AE78" s="1"/>
      <c r="AF78" s="1"/>
    </row>
    <row r="79" spans="2:32" ht="12.75" x14ac:dyDescent="0.2">
      <c r="B79" s="1" t="s">
        <v>8585</v>
      </c>
      <c r="C79" s="10">
        <f t="shared" ca="1" si="2"/>
        <v>44771</v>
      </c>
      <c r="D79" s="4"/>
      <c r="E79" s="4" t="s">
        <v>8434</v>
      </c>
      <c r="F79" s="4" t="s">
        <v>1293</v>
      </c>
      <c r="G79" s="4"/>
      <c r="H79" s="4" t="str">
        <f>_xlfn.IFNA(VLOOKUP(Table_Query_from_AMULTIQRY45[[#This Row],[WPROD]],'Part# with New'!$A$1:$B$4347,2,0),Table_Query_from_AMULTIQRY45[[#This Row],[WPROD]])</f>
        <v>WRJC038031006D-R470AK</v>
      </c>
      <c r="I79" s="4" t="s">
        <v>8436</v>
      </c>
      <c r="J79" s="1" t="s">
        <v>5</v>
      </c>
      <c r="L79" s="11">
        <v>7.0600000000000003E-3</v>
      </c>
      <c r="M79" s="1"/>
      <c r="N79" s="1" t="s">
        <v>34</v>
      </c>
      <c r="P79" s="1" t="str">
        <f>CONCATENATE(Table_Query_from_AMULTIQRY45[[#This Row],[WWHS]],"-",Table_Query_from_AMULTIQRY45[[#This Row],[LLOC]])</f>
        <v>E1-FG</v>
      </c>
      <c r="Q79" s="10">
        <f t="shared" ca="1" si="3"/>
        <v>45775</v>
      </c>
      <c r="R79" s="10"/>
      <c r="S79" s="28">
        <v>1750</v>
      </c>
      <c r="T79" s="1" t="s">
        <v>2</v>
      </c>
      <c r="U79" s="1" t="s">
        <v>95</v>
      </c>
      <c r="V79" s="1">
        <v>20220729</v>
      </c>
      <c r="W79" s="8" t="s">
        <v>8442</v>
      </c>
      <c r="Z79" s="1"/>
      <c r="AA79" s="1"/>
      <c r="AC79" s="1"/>
      <c r="AD79" s="1"/>
      <c r="AE79" s="1"/>
      <c r="AF79" s="1"/>
    </row>
    <row r="80" spans="2:32" ht="12.75" x14ac:dyDescent="0.2">
      <c r="B80" s="1" t="s">
        <v>8586</v>
      </c>
      <c r="C80" s="10">
        <f t="shared" ca="1" si="2"/>
        <v>45553</v>
      </c>
      <c r="D80" s="4"/>
      <c r="E80" s="4" t="s">
        <v>8434</v>
      </c>
      <c r="F80" s="4" t="s">
        <v>1293</v>
      </c>
      <c r="G80" s="4"/>
      <c r="H80" s="4" t="str">
        <f>_xlfn.IFNA(VLOOKUP(Table_Query_from_AMULTIQRY45[[#This Row],[WPROD]],'Part# with New'!$A$1:$B$4347,2,0),Table_Query_from_AMULTIQRY45[[#This Row],[WPROD]])</f>
        <v>WRJA427407012D-R980BK</v>
      </c>
      <c r="I80" s="4" t="s">
        <v>8436</v>
      </c>
      <c r="J80" s="1" t="s">
        <v>5</v>
      </c>
      <c r="L80" s="11">
        <v>6.9779999999999995E-2</v>
      </c>
      <c r="M80" s="1"/>
      <c r="N80" s="1" t="s">
        <v>30</v>
      </c>
      <c r="P80" s="1" t="str">
        <f>CONCATENATE(Table_Query_from_AMULTIQRY45[[#This Row],[WWHS]],"-",Table_Query_from_AMULTIQRY45[[#This Row],[LLOC]])</f>
        <v>E1-FG</v>
      </c>
      <c r="Q80" s="10">
        <f t="shared" ca="1" si="3"/>
        <v>45775</v>
      </c>
      <c r="R80" s="10"/>
      <c r="S80" s="28">
        <v>2060</v>
      </c>
      <c r="T80" s="1" t="s">
        <v>2</v>
      </c>
      <c r="U80" s="1" t="s">
        <v>96</v>
      </c>
      <c r="V80" s="1">
        <v>20240918</v>
      </c>
      <c r="W80" s="8" t="s">
        <v>8442</v>
      </c>
      <c r="Z80" s="1"/>
      <c r="AA80" s="1"/>
      <c r="AC80" s="1"/>
      <c r="AD80" s="1"/>
      <c r="AE80" s="1"/>
      <c r="AF80" s="1"/>
    </row>
    <row r="81" spans="2:32" ht="12.75" x14ac:dyDescent="0.2">
      <c r="B81" s="1" t="s">
        <v>8587</v>
      </c>
      <c r="C81" s="10">
        <f t="shared" ca="1" si="2"/>
        <v>45380</v>
      </c>
      <c r="D81" s="4"/>
      <c r="E81" s="4" t="s">
        <v>8434</v>
      </c>
      <c r="F81" s="4" t="s">
        <v>1293</v>
      </c>
      <c r="G81" s="4"/>
      <c r="H81" s="4" t="str">
        <f>_xlfn.IFNA(VLOOKUP(Table_Query_from_AMULTIQRY45[[#This Row],[WPROD]],'Part# with New'!$A$1:$B$4347,2,0),Table_Query_from_AMULTIQRY45[[#This Row],[WPROD]])</f>
        <v>WRJC212198005D-R470AK</v>
      </c>
      <c r="I81" s="4" t="s">
        <v>8436</v>
      </c>
      <c r="J81" s="1" t="s">
        <v>5</v>
      </c>
      <c r="L81" s="11">
        <v>1.9470000000000001E-2</v>
      </c>
      <c r="M81" s="1"/>
      <c r="N81" s="1" t="s">
        <v>34</v>
      </c>
      <c r="P81" s="1" t="str">
        <f>CONCATENATE(Table_Query_from_AMULTIQRY45[[#This Row],[WWHS]],"-",Table_Query_from_AMULTIQRY45[[#This Row],[LLOC]])</f>
        <v>E1-FG</v>
      </c>
      <c r="Q81" s="10">
        <f t="shared" ca="1" si="3"/>
        <v>45775</v>
      </c>
      <c r="R81" s="10"/>
      <c r="S81" s="28">
        <v>1325</v>
      </c>
      <c r="T81" s="1" t="s">
        <v>2</v>
      </c>
      <c r="U81" s="1" t="s">
        <v>97</v>
      </c>
      <c r="V81" s="1">
        <v>20240329</v>
      </c>
      <c r="W81" s="8" t="s">
        <v>8442</v>
      </c>
      <c r="Z81" s="1"/>
      <c r="AA81" s="1"/>
      <c r="AC81" s="1"/>
      <c r="AD81" s="1"/>
      <c r="AE81" s="1"/>
      <c r="AF81" s="1"/>
    </row>
    <row r="82" spans="2:32" ht="12.75" x14ac:dyDescent="0.2">
      <c r="B82" s="1" t="s">
        <v>8588</v>
      </c>
      <c r="C82" s="10">
        <f t="shared" ca="1" si="2"/>
        <v>45748</v>
      </c>
      <c r="D82" s="4"/>
      <c r="E82" s="4" t="s">
        <v>8434</v>
      </c>
      <c r="F82" s="4" t="s">
        <v>1293</v>
      </c>
      <c r="G82" s="4"/>
      <c r="H82" s="4" t="str">
        <f>_xlfn.IFNA(VLOOKUP(Table_Query_from_AMULTIQRY45[[#This Row],[WPROD]],'Part# with New'!$A$1:$B$4347,2,0),Table_Query_from_AMULTIQRY45[[#This Row],[WPROD]])</f>
        <v>WRJA250159012D-R590AK</v>
      </c>
      <c r="I82" s="4" t="s">
        <v>8436</v>
      </c>
      <c r="J82" s="1" t="s">
        <v>5</v>
      </c>
      <c r="L82" s="11">
        <v>0.21246999999999999</v>
      </c>
      <c r="M82" s="1"/>
      <c r="N82" s="1" t="s">
        <v>30</v>
      </c>
      <c r="P82" s="1" t="str">
        <f>CONCATENATE(Table_Query_from_AMULTIQRY45[[#This Row],[WWHS]],"-",Table_Query_from_AMULTIQRY45[[#This Row],[LLOC]])</f>
        <v>E1-FG</v>
      </c>
      <c r="Q82" s="10">
        <f t="shared" ca="1" si="3"/>
        <v>45775</v>
      </c>
      <c r="R82" s="10"/>
      <c r="S82" s="28">
        <v>1115</v>
      </c>
      <c r="T82" s="1" t="s">
        <v>2</v>
      </c>
      <c r="U82" s="1" t="s">
        <v>98</v>
      </c>
      <c r="V82" s="1">
        <v>20250401</v>
      </c>
      <c r="W82" s="8" t="s">
        <v>8442</v>
      </c>
      <c r="Z82" s="1"/>
      <c r="AA82" s="1"/>
      <c r="AC82" s="1"/>
      <c r="AD82" s="1"/>
      <c r="AE82" s="1"/>
      <c r="AF82" s="1"/>
    </row>
    <row r="83" spans="2:32" ht="12.75" x14ac:dyDescent="0.2">
      <c r="B83" s="1" t="s">
        <v>8589</v>
      </c>
      <c r="C83" s="10">
        <f t="shared" ca="1" si="2"/>
        <v>44371</v>
      </c>
      <c r="D83" s="4"/>
      <c r="E83" s="4" t="s">
        <v>8434</v>
      </c>
      <c r="F83" s="4" t="s">
        <v>1293</v>
      </c>
      <c r="G83" s="4"/>
      <c r="H83" s="4" t="str">
        <f>_xlfn.IFNA(VLOOKUP(Table_Query_from_AMULTIQRY45[[#This Row],[WPROD]],'Part# with New'!$A$1:$B$4347,2,0),Table_Query_from_AMULTIQRY45[[#This Row],[WPROD]])</f>
        <v>WRJE195171012D-R970BK</v>
      </c>
      <c r="I83" s="4" t="s">
        <v>8436</v>
      </c>
      <c r="J83" s="1" t="s">
        <v>5</v>
      </c>
      <c r="L83" s="11">
        <v>2.794E-2</v>
      </c>
      <c r="M83" s="1"/>
      <c r="N83" s="1" t="s">
        <v>37</v>
      </c>
      <c r="P83" s="1" t="str">
        <f>CONCATENATE(Table_Query_from_AMULTIQRY45[[#This Row],[WWHS]],"-",Table_Query_from_AMULTIQRY45[[#This Row],[LLOC]])</f>
        <v>E1-FG</v>
      </c>
      <c r="Q83" s="10">
        <f t="shared" ca="1" si="3"/>
        <v>45775</v>
      </c>
      <c r="R83" s="10"/>
      <c r="S83" s="28">
        <v>1845</v>
      </c>
      <c r="T83" s="1" t="s">
        <v>2</v>
      </c>
      <c r="U83" s="1" t="s">
        <v>99</v>
      </c>
      <c r="V83" s="1">
        <v>20210624</v>
      </c>
      <c r="W83" s="8" t="s">
        <v>8442</v>
      </c>
      <c r="Z83" s="1"/>
      <c r="AA83" s="1"/>
      <c r="AC83" s="1"/>
      <c r="AD83" s="1"/>
      <c r="AE83" s="1"/>
      <c r="AF83" s="1"/>
    </row>
    <row r="84" spans="2:32" ht="12.75" x14ac:dyDescent="0.2">
      <c r="B84" s="1" t="s">
        <v>8590</v>
      </c>
      <c r="C84" s="10">
        <f t="shared" ca="1" si="2"/>
        <v>44239</v>
      </c>
      <c r="D84" s="4"/>
      <c r="E84" s="4" t="s">
        <v>8434</v>
      </c>
      <c r="F84" s="4" t="s">
        <v>1293</v>
      </c>
      <c r="G84" s="4"/>
      <c r="H84" s="4" t="str">
        <f>_xlfn.IFNA(VLOOKUP(Table_Query_from_AMULTIQRY45[[#This Row],[WPROD]],'Part# with New'!$A$1:$B$4347,2,0),Table_Query_from_AMULTIQRY45[[#This Row],[WPROD]])</f>
        <v>WRJE261236012D-R970BK</v>
      </c>
      <c r="I84" s="4" t="s">
        <v>8436</v>
      </c>
      <c r="J84" s="1" t="s">
        <v>46</v>
      </c>
      <c r="L84" s="11">
        <v>3.499E-2</v>
      </c>
      <c r="M84" s="1"/>
      <c r="N84" s="1" t="s">
        <v>37</v>
      </c>
      <c r="P84" s="1" t="str">
        <f>CONCATENATE(Table_Query_from_AMULTIQRY45[[#This Row],[WWHS]],"-",Table_Query_from_AMULTIQRY45[[#This Row],[LLOC]])</f>
        <v>E1-FG</v>
      </c>
      <c r="Q84" s="10">
        <f t="shared" ca="1" si="3"/>
        <v>45775</v>
      </c>
      <c r="R84" s="10"/>
      <c r="S84" s="28">
        <v>865</v>
      </c>
      <c r="T84" s="1" t="s">
        <v>2</v>
      </c>
      <c r="U84" s="1" t="s">
        <v>100</v>
      </c>
      <c r="V84" s="1">
        <v>20210212</v>
      </c>
      <c r="W84" s="8" t="s">
        <v>8442</v>
      </c>
      <c r="Z84" s="1"/>
      <c r="AA84" s="1"/>
      <c r="AC84" s="1"/>
      <c r="AD84" s="1"/>
      <c r="AE84" s="1"/>
      <c r="AF84" s="1"/>
    </row>
    <row r="85" spans="2:32" ht="12.75" x14ac:dyDescent="0.2">
      <c r="B85" s="1" t="s">
        <v>8591</v>
      </c>
      <c r="C85" s="10">
        <f t="shared" ca="1" si="2"/>
        <v>44293</v>
      </c>
      <c r="D85" s="4"/>
      <c r="E85" s="4" t="s">
        <v>8434</v>
      </c>
      <c r="F85" s="4" t="s">
        <v>1293</v>
      </c>
      <c r="G85" s="4"/>
      <c r="H85" s="4" t="str">
        <f>_xlfn.IFNA(VLOOKUP(Table_Query_from_AMULTIQRY45[[#This Row],[WPROD]],'Part# with New'!$A$1:$B$4347,2,0),Table_Query_from_AMULTIQRY45[[#This Row],[WPROD]])</f>
        <v>WRJA284259012D-R970BK</v>
      </c>
      <c r="I85" s="4" t="s">
        <v>8436</v>
      </c>
      <c r="J85" s="1" t="s">
        <v>5</v>
      </c>
      <c r="L85" s="11">
        <v>3.6630000000000003E-2</v>
      </c>
      <c r="M85" s="1"/>
      <c r="N85" s="1" t="s">
        <v>30</v>
      </c>
      <c r="P85" s="1" t="str">
        <f>CONCATENATE(Table_Query_from_AMULTIQRY45[[#This Row],[WWHS]],"-",Table_Query_from_AMULTIQRY45[[#This Row],[LLOC]])</f>
        <v>E1-FG</v>
      </c>
      <c r="Q85" s="10">
        <f t="shared" ca="1" si="3"/>
        <v>45775</v>
      </c>
      <c r="R85" s="10"/>
      <c r="S85" s="28">
        <v>1370</v>
      </c>
      <c r="T85" s="1" t="s">
        <v>2</v>
      </c>
      <c r="U85" s="1" t="s">
        <v>101</v>
      </c>
      <c r="V85" s="1">
        <v>20210407</v>
      </c>
      <c r="W85" s="8" t="s">
        <v>8442</v>
      </c>
      <c r="Z85" s="1"/>
      <c r="AA85" s="1"/>
      <c r="AC85" s="1"/>
      <c r="AD85" s="1"/>
      <c r="AE85" s="1"/>
      <c r="AF85" s="1"/>
    </row>
    <row r="86" spans="2:32" ht="12.75" x14ac:dyDescent="0.2">
      <c r="B86" s="1" t="s">
        <v>8592</v>
      </c>
      <c r="C86" s="10">
        <f t="shared" ca="1" si="2"/>
        <v>44348</v>
      </c>
      <c r="D86" s="4"/>
      <c r="E86" s="4" t="s">
        <v>8434</v>
      </c>
      <c r="F86" s="4" t="s">
        <v>1293</v>
      </c>
      <c r="G86" s="4"/>
      <c r="H86" s="4" t="str">
        <f>_xlfn.IFNA(VLOOKUP(Table_Query_from_AMULTIQRY45[[#This Row],[WPROD]],'Part# with New'!$A$1:$B$4347,2,0),Table_Query_from_AMULTIQRY45[[#This Row],[WPROD]])</f>
        <v>WRJE243218012D-R970BK</v>
      </c>
      <c r="I86" s="4" t="s">
        <v>8436</v>
      </c>
      <c r="J86" s="1" t="s">
        <v>5</v>
      </c>
      <c r="L86" s="11">
        <v>2.9700000000000001E-2</v>
      </c>
      <c r="M86" s="1"/>
      <c r="N86" s="1" t="s">
        <v>37</v>
      </c>
      <c r="P86" s="1" t="str">
        <f>CONCATENATE(Table_Query_from_AMULTIQRY45[[#This Row],[WWHS]],"-",Table_Query_from_AMULTIQRY45[[#This Row],[LLOC]])</f>
        <v>E1-FG</v>
      </c>
      <c r="Q86" s="10">
        <f t="shared" ca="1" si="3"/>
        <v>45775</v>
      </c>
      <c r="R86" s="10"/>
      <c r="S86" s="28">
        <v>2965</v>
      </c>
      <c r="T86" s="1" t="s">
        <v>2</v>
      </c>
      <c r="U86" s="1" t="s">
        <v>102</v>
      </c>
      <c r="V86" s="1">
        <v>20210601</v>
      </c>
      <c r="W86" s="8" t="s">
        <v>8442</v>
      </c>
      <c r="Z86" s="1"/>
      <c r="AA86" s="1"/>
      <c r="AC86" s="1"/>
      <c r="AD86" s="1"/>
      <c r="AE86" s="1"/>
      <c r="AF86" s="1"/>
    </row>
    <row r="87" spans="2:32" ht="12.75" x14ac:dyDescent="0.2">
      <c r="B87" s="1" t="s">
        <v>8593</v>
      </c>
      <c r="C87" s="10">
        <f t="shared" ca="1" si="2"/>
        <v>44167</v>
      </c>
      <c r="D87" s="4"/>
      <c r="E87" s="4" t="s">
        <v>8434</v>
      </c>
      <c r="F87" s="4" t="s">
        <v>1293</v>
      </c>
      <c r="G87" s="4"/>
      <c r="H87" s="4" t="str">
        <f>_xlfn.IFNA(VLOOKUP(Table_Query_from_AMULTIQRY45[[#This Row],[WPROD]],'Part# with New'!$A$1:$B$4347,2,0),Table_Query_from_AMULTIQRY45[[#This Row],[WPROD]])</f>
        <v>WRJE214190012D-R970BK</v>
      </c>
      <c r="I87" s="4" t="s">
        <v>8436</v>
      </c>
      <c r="J87" s="1" t="s">
        <v>5</v>
      </c>
      <c r="L87" s="11">
        <v>2.9989999999999999E-2</v>
      </c>
      <c r="M87" s="1"/>
      <c r="N87" s="1" t="s">
        <v>37</v>
      </c>
      <c r="P87" s="1" t="str">
        <f>CONCATENATE(Table_Query_from_AMULTIQRY45[[#This Row],[WWHS]],"-",Table_Query_from_AMULTIQRY45[[#This Row],[LLOC]])</f>
        <v>E1-FG</v>
      </c>
      <c r="Q87" s="10">
        <f t="shared" ca="1" si="3"/>
        <v>45775</v>
      </c>
      <c r="R87" s="10"/>
      <c r="S87" s="28">
        <v>1632</v>
      </c>
      <c r="T87" s="1" t="s">
        <v>2</v>
      </c>
      <c r="U87" s="1" t="s">
        <v>103</v>
      </c>
      <c r="V87" s="1">
        <v>20201202</v>
      </c>
      <c r="W87" s="8" t="s">
        <v>8442</v>
      </c>
      <c r="Z87" s="1"/>
      <c r="AA87" s="1"/>
      <c r="AC87" s="1"/>
      <c r="AD87" s="1"/>
      <c r="AE87" s="1"/>
      <c r="AF87" s="1"/>
    </row>
    <row r="88" spans="2:32" ht="12.75" x14ac:dyDescent="0.2">
      <c r="B88" s="1" t="s">
        <v>8594</v>
      </c>
      <c r="C88" s="10">
        <f t="shared" ca="1" si="2"/>
        <v>44077</v>
      </c>
      <c r="D88" s="4"/>
      <c r="E88" s="4" t="s">
        <v>8434</v>
      </c>
      <c r="F88" s="4" t="s">
        <v>1293</v>
      </c>
      <c r="G88" s="4"/>
      <c r="H88" s="4" t="str">
        <f>_xlfn.IFNA(VLOOKUP(Table_Query_from_AMULTIQRY45[[#This Row],[WPROD]],'Part# with New'!$A$1:$B$4347,2,0),Table_Query_from_AMULTIQRY45[[#This Row],[WPROD]])</f>
        <v>1-10320</v>
      </c>
      <c r="I88" s="4" t="s">
        <v>8436</v>
      </c>
      <c r="J88" s="1" t="s">
        <v>46</v>
      </c>
      <c r="L88" s="11">
        <v>2.7730000000000001E-2</v>
      </c>
      <c r="M88" s="1"/>
      <c r="N88" s="1" t="s">
        <v>37</v>
      </c>
      <c r="P88" s="1" t="str">
        <f>CONCATENATE(Table_Query_from_AMULTIQRY45[[#This Row],[WWHS]],"-",Table_Query_from_AMULTIQRY45[[#This Row],[LLOC]])</f>
        <v>E1-FG</v>
      </c>
      <c r="Q88" s="10">
        <f t="shared" ca="1" si="3"/>
        <v>45775</v>
      </c>
      <c r="R88" s="10"/>
      <c r="S88" s="28">
        <v>2340</v>
      </c>
      <c r="T88" s="1" t="s">
        <v>2</v>
      </c>
      <c r="U88" s="1" t="s">
        <v>104</v>
      </c>
      <c r="V88" s="1">
        <v>20200903</v>
      </c>
      <c r="W88" s="8" t="s">
        <v>8442</v>
      </c>
      <c r="Z88" s="1"/>
      <c r="AA88" s="1"/>
      <c r="AC88" s="1"/>
      <c r="AD88" s="1"/>
      <c r="AE88" s="1"/>
      <c r="AF88" s="1"/>
    </row>
    <row r="89" spans="2:32" ht="12.75" x14ac:dyDescent="0.2">
      <c r="B89" s="1" t="s">
        <v>8595</v>
      </c>
      <c r="C89" s="10">
        <f t="shared" ca="1" si="2"/>
        <v>42713</v>
      </c>
      <c r="D89" s="4"/>
      <c r="E89" s="4" t="s">
        <v>8434</v>
      </c>
      <c r="F89" s="4" t="s">
        <v>1293</v>
      </c>
      <c r="G89" s="4"/>
      <c r="H89" s="4" t="str">
        <f>_xlfn.IFNA(VLOOKUP(Table_Query_from_AMULTIQRY45[[#This Row],[WPROD]],'Part# with New'!$A$1:$B$4347,2,0),Table_Query_from_AMULTIQRY45[[#This Row],[WPROD]])</f>
        <v>WRJC054035009D-R970BK</v>
      </c>
      <c r="I89" s="4" t="s">
        <v>8436</v>
      </c>
      <c r="J89" s="1" t="s">
        <v>5</v>
      </c>
      <c r="L89" s="11">
        <v>1.1379999999999999E-2</v>
      </c>
      <c r="M89" s="1"/>
      <c r="N89" s="1" t="s">
        <v>34</v>
      </c>
      <c r="P89" s="1" t="str">
        <f>CONCATENATE(Table_Query_from_AMULTIQRY45[[#This Row],[WWHS]],"-",Table_Query_from_AMULTIQRY45[[#This Row],[LLOC]])</f>
        <v>E1-FG</v>
      </c>
      <c r="Q89" s="10">
        <f t="shared" ca="1" si="3"/>
        <v>45775</v>
      </c>
      <c r="R89" s="10"/>
      <c r="S89" s="28">
        <v>1810</v>
      </c>
      <c r="T89" s="1" t="s">
        <v>2</v>
      </c>
      <c r="U89" s="1" t="s">
        <v>105</v>
      </c>
      <c r="V89" s="1">
        <v>20161209</v>
      </c>
      <c r="W89" s="8" t="s">
        <v>8442</v>
      </c>
      <c r="Z89" s="1"/>
      <c r="AA89" s="1"/>
      <c r="AC89" s="1"/>
      <c r="AD89" s="1"/>
      <c r="AE89" s="1"/>
      <c r="AF89" s="1"/>
    </row>
    <row r="90" spans="2:32" ht="12.75" x14ac:dyDescent="0.2">
      <c r="B90" s="1" t="s">
        <v>8596</v>
      </c>
      <c r="C90" s="10">
        <f t="shared" ca="1" si="2"/>
        <v>45363</v>
      </c>
      <c r="D90" s="4"/>
      <c r="E90" s="4" t="s">
        <v>8434</v>
      </c>
      <c r="F90" s="4" t="s">
        <v>1293</v>
      </c>
      <c r="G90" s="4"/>
      <c r="H90" s="4" t="str">
        <f>_xlfn.IFNA(VLOOKUP(Table_Query_from_AMULTIQRY45[[#This Row],[WPROD]],'Part# with New'!$A$1:$B$4347,2,0),Table_Query_from_AMULTIQRY45[[#This Row],[WPROD]])</f>
        <v>WRJC051028008D-R170AK</v>
      </c>
      <c r="I90" s="4" t="s">
        <v>8436</v>
      </c>
      <c r="J90" s="1" t="s">
        <v>5</v>
      </c>
      <c r="L90" s="11">
        <v>4.4400000000000002E-2</v>
      </c>
      <c r="M90" s="1"/>
      <c r="N90" s="1" t="s">
        <v>34</v>
      </c>
      <c r="P90" s="1" t="str">
        <f>CONCATENATE(Table_Query_from_AMULTIQRY45[[#This Row],[WWHS]],"-",Table_Query_from_AMULTIQRY45[[#This Row],[LLOC]])</f>
        <v>E1-FG</v>
      </c>
      <c r="Q90" s="10">
        <f t="shared" ca="1" si="3"/>
        <v>45775</v>
      </c>
      <c r="R90" s="10"/>
      <c r="S90" s="28">
        <v>2790</v>
      </c>
      <c r="T90" s="1" t="s">
        <v>2</v>
      </c>
      <c r="U90" s="1" t="s">
        <v>107</v>
      </c>
      <c r="V90" s="1">
        <v>20240312</v>
      </c>
      <c r="W90" s="8" t="s">
        <v>8442</v>
      </c>
      <c r="Z90" s="1"/>
      <c r="AA90" s="1"/>
      <c r="AC90" s="1"/>
      <c r="AD90" s="1"/>
      <c r="AE90" s="1"/>
      <c r="AF90" s="1"/>
    </row>
    <row r="91" spans="2:32" ht="12.75" x14ac:dyDescent="0.2">
      <c r="B91" s="1" t="s">
        <v>8597</v>
      </c>
      <c r="C91" s="10">
        <f t="shared" ca="1" si="2"/>
        <v>44839</v>
      </c>
      <c r="D91" s="4"/>
      <c r="E91" s="4" t="s">
        <v>8434</v>
      </c>
      <c r="F91" s="4" t="s">
        <v>1293</v>
      </c>
      <c r="G91" s="4"/>
      <c r="H91" s="4" t="str">
        <f>_xlfn.IFNA(VLOOKUP(Table_Query_from_AMULTIQRY45[[#This Row],[WPROD]],'Part# with New'!$A$1:$B$4347,2,0),Table_Query_from_AMULTIQRY45[[#This Row],[WPROD]])</f>
        <v>WRJC035017004D-R170AK</v>
      </c>
      <c r="I91" s="4" t="s">
        <v>8436</v>
      </c>
      <c r="J91" s="1" t="s">
        <v>5</v>
      </c>
      <c r="L91" s="11">
        <v>1.6830000000000001E-2</v>
      </c>
      <c r="M91" s="1"/>
      <c r="N91" s="1" t="s">
        <v>34</v>
      </c>
      <c r="P91" s="1" t="str">
        <f>CONCATENATE(Table_Query_from_AMULTIQRY45[[#This Row],[WWHS]],"-",Table_Query_from_AMULTIQRY45[[#This Row],[LLOC]])</f>
        <v>E1-FG</v>
      </c>
      <c r="Q91" s="10">
        <f t="shared" ca="1" si="3"/>
        <v>45775</v>
      </c>
      <c r="R91" s="10"/>
      <c r="S91" s="28">
        <v>5000</v>
      </c>
      <c r="T91" s="1" t="s">
        <v>2</v>
      </c>
      <c r="U91" s="1" t="s">
        <v>108</v>
      </c>
      <c r="V91" s="1">
        <v>20221005</v>
      </c>
      <c r="W91" s="8" t="s">
        <v>8442</v>
      </c>
      <c r="Z91" s="1"/>
      <c r="AA91" s="1"/>
      <c r="AC91" s="1"/>
      <c r="AD91" s="1"/>
      <c r="AE91" s="1"/>
      <c r="AF91" s="1"/>
    </row>
    <row r="92" spans="2:32" ht="12.75" x14ac:dyDescent="0.2">
      <c r="B92" s="1" t="s">
        <v>8598</v>
      </c>
      <c r="C92" s="10">
        <f t="shared" ca="1" si="2"/>
        <v>45483</v>
      </c>
      <c r="D92" s="4"/>
      <c r="E92" s="4" t="s">
        <v>8434</v>
      </c>
      <c r="F92" s="4" t="s">
        <v>1293</v>
      </c>
      <c r="G92" s="4"/>
      <c r="H92" s="4" t="str">
        <f>_xlfn.IFNA(VLOOKUP(Table_Query_from_AMULTIQRY45[[#This Row],[WPROD]],'Part# with New'!$A$1:$B$4347,2,0),Table_Query_from_AMULTIQRY45[[#This Row],[WPROD]])</f>
        <v>WRJC105092007D-R470AK</v>
      </c>
      <c r="I92" s="4" t="s">
        <v>8436</v>
      </c>
      <c r="J92" s="1" t="s">
        <v>5</v>
      </c>
      <c r="L92" s="11">
        <v>1.3259999999999999E-2</v>
      </c>
      <c r="M92" s="1"/>
      <c r="N92" s="1" t="s">
        <v>34</v>
      </c>
      <c r="P92" s="1" t="str">
        <f>CONCATENATE(Table_Query_from_AMULTIQRY45[[#This Row],[WWHS]],"-",Table_Query_from_AMULTIQRY45[[#This Row],[LLOC]])</f>
        <v>E1-FG</v>
      </c>
      <c r="Q92" s="10">
        <f t="shared" ca="1" si="3"/>
        <v>45775</v>
      </c>
      <c r="R92" s="10"/>
      <c r="S92" s="28">
        <v>1525</v>
      </c>
      <c r="T92" s="1" t="s">
        <v>2</v>
      </c>
      <c r="U92" s="1" t="s">
        <v>109</v>
      </c>
      <c r="V92" s="1">
        <v>20240710</v>
      </c>
      <c r="W92" s="8" t="s">
        <v>8442</v>
      </c>
      <c r="Z92" s="1"/>
      <c r="AA92" s="1"/>
      <c r="AC92" s="1"/>
      <c r="AD92" s="1"/>
      <c r="AE92" s="1"/>
      <c r="AF92" s="1"/>
    </row>
    <row r="93" spans="2:32" ht="12.75" x14ac:dyDescent="0.2">
      <c r="B93" s="1" t="s">
        <v>8599</v>
      </c>
      <c r="C93" s="10">
        <f t="shared" ca="1" si="2"/>
        <v>45723</v>
      </c>
      <c r="D93" s="4"/>
      <c r="E93" s="4" t="s">
        <v>8434</v>
      </c>
      <c r="F93" s="4" t="s">
        <v>1293</v>
      </c>
      <c r="G93" s="4"/>
      <c r="H93" s="4" t="str">
        <f>_xlfn.IFNA(VLOOKUP(Table_Query_from_AMULTIQRY45[[#This Row],[WPROD]],'Part# with New'!$A$1:$B$4347,2,0),Table_Query_from_AMULTIQRY45[[#This Row],[WPROD]])</f>
        <v>WRJE277253012D-R970BK</v>
      </c>
      <c r="I93" s="4" t="s">
        <v>8436</v>
      </c>
      <c r="J93" s="1" t="s">
        <v>5</v>
      </c>
      <c r="L93" s="11">
        <v>4.1549999999999997E-2</v>
      </c>
      <c r="M93" s="1"/>
      <c r="N93" s="1" t="s">
        <v>37</v>
      </c>
      <c r="P93" s="1" t="str">
        <f>CONCATENATE(Table_Query_from_AMULTIQRY45[[#This Row],[WWHS]],"-",Table_Query_from_AMULTIQRY45[[#This Row],[LLOC]])</f>
        <v>E1-FG</v>
      </c>
      <c r="Q93" s="10">
        <f t="shared" ca="1" si="3"/>
        <v>45775</v>
      </c>
      <c r="R93" s="10"/>
      <c r="S93" s="28">
        <v>452</v>
      </c>
      <c r="T93" s="1" t="s">
        <v>2</v>
      </c>
      <c r="U93" s="1" t="s">
        <v>110</v>
      </c>
      <c r="V93" s="1">
        <v>20250307</v>
      </c>
      <c r="W93" s="8" t="s">
        <v>8442</v>
      </c>
      <c r="Z93" s="1"/>
      <c r="AA93" s="1"/>
      <c r="AC93" s="1"/>
      <c r="AD93" s="1"/>
      <c r="AE93" s="1"/>
      <c r="AF93" s="1"/>
    </row>
    <row r="94" spans="2:32" ht="12.75" x14ac:dyDescent="0.2">
      <c r="B94" s="1" t="s">
        <v>8600</v>
      </c>
      <c r="C94" s="10">
        <f t="shared" ca="1" si="2"/>
        <v>43920</v>
      </c>
      <c r="D94" s="4"/>
      <c r="E94" s="4" t="s">
        <v>8434</v>
      </c>
      <c r="F94" s="4" t="s">
        <v>1293</v>
      </c>
      <c r="G94" s="4"/>
      <c r="H94" s="4" t="str">
        <f>_xlfn.IFNA(VLOOKUP(Table_Query_from_AMULTIQRY45[[#This Row],[WPROD]],'Part# with New'!$A$1:$B$4347,2,0),Table_Query_from_AMULTIQRY45[[#This Row],[WPROD]])</f>
        <v>WRJC041024008D-R970BK</v>
      </c>
      <c r="I94" s="4" t="s">
        <v>8436</v>
      </c>
      <c r="J94" s="1" t="s">
        <v>5</v>
      </c>
      <c r="L94" s="11">
        <v>9.7800000000000005E-3</v>
      </c>
      <c r="M94" s="1"/>
      <c r="N94" s="1" t="s">
        <v>34</v>
      </c>
      <c r="P94" s="1" t="str">
        <f>CONCATENATE(Table_Query_from_AMULTIQRY45[[#This Row],[WWHS]],"-",Table_Query_from_AMULTIQRY45[[#This Row],[LLOC]])</f>
        <v>E1-FG</v>
      </c>
      <c r="Q94" s="10">
        <f t="shared" ca="1" si="3"/>
        <v>45775</v>
      </c>
      <c r="R94" s="10"/>
      <c r="S94" s="28">
        <v>2245</v>
      </c>
      <c r="T94" s="1" t="s">
        <v>2</v>
      </c>
      <c r="U94" s="1" t="s">
        <v>111</v>
      </c>
      <c r="V94" s="1">
        <v>20200330</v>
      </c>
      <c r="W94" s="8" t="s">
        <v>8442</v>
      </c>
      <c r="Z94" s="1"/>
      <c r="AA94" s="1"/>
      <c r="AC94" s="1"/>
      <c r="AD94" s="1"/>
      <c r="AE94" s="1"/>
      <c r="AF94" s="1"/>
    </row>
    <row r="95" spans="2:32" ht="12.75" x14ac:dyDescent="0.2">
      <c r="B95" s="1" t="s">
        <v>8601</v>
      </c>
      <c r="C95" s="10">
        <f t="shared" ca="1" si="2"/>
        <v>43840</v>
      </c>
      <c r="D95" s="4"/>
      <c r="E95" s="4" t="s">
        <v>8434</v>
      </c>
      <c r="F95" s="4" t="s">
        <v>1293</v>
      </c>
      <c r="G95" s="4"/>
      <c r="H95" s="4" t="str">
        <f>_xlfn.IFNA(VLOOKUP(Table_Query_from_AMULTIQRY45[[#This Row],[WPROD]],'Part# with New'!$A$1:$B$4347,2,0),Table_Query_from_AMULTIQRY45[[#This Row],[WPROD]])</f>
        <v>WRJE143120013D-R970BK</v>
      </c>
      <c r="I95" s="4" t="s">
        <v>8436</v>
      </c>
      <c r="J95" s="1" t="s">
        <v>5</v>
      </c>
      <c r="L95" s="11">
        <v>2.4060000000000002E-2</v>
      </c>
      <c r="M95" s="1"/>
      <c r="N95" s="1" t="s">
        <v>37</v>
      </c>
      <c r="P95" s="1" t="str">
        <f>CONCATENATE(Table_Query_from_AMULTIQRY45[[#This Row],[WWHS]],"-",Table_Query_from_AMULTIQRY45[[#This Row],[LLOC]])</f>
        <v>E1-FG</v>
      </c>
      <c r="Q95" s="10">
        <f t="shared" ca="1" si="3"/>
        <v>45775</v>
      </c>
      <c r="R95" s="10"/>
      <c r="S95" s="28">
        <v>920</v>
      </c>
      <c r="T95" s="1" t="s">
        <v>2</v>
      </c>
      <c r="U95" s="1" t="s">
        <v>113</v>
      </c>
      <c r="V95" s="1">
        <v>20200110</v>
      </c>
      <c r="W95" s="8" t="s">
        <v>8442</v>
      </c>
      <c r="Z95" s="1"/>
      <c r="AA95" s="1"/>
      <c r="AC95" s="1"/>
      <c r="AD95" s="1"/>
      <c r="AE95" s="1"/>
      <c r="AF95" s="1"/>
    </row>
    <row r="96" spans="2:32" ht="12.75" x14ac:dyDescent="0.2">
      <c r="B96" s="1" t="s">
        <v>8602</v>
      </c>
      <c r="C96" s="10">
        <f t="shared" ca="1" si="2"/>
        <v>45562</v>
      </c>
      <c r="D96" s="4"/>
      <c r="E96" s="4" t="s">
        <v>8434</v>
      </c>
      <c r="F96" s="4" t="s">
        <v>1293</v>
      </c>
      <c r="G96" s="4"/>
      <c r="H96" s="4" t="str">
        <f>_xlfn.IFNA(VLOOKUP(Table_Query_from_AMULTIQRY45[[#This Row],[WPROD]],'Part# with New'!$A$1:$B$4347,2,0),Table_Query_from_AMULTIQRY45[[#This Row],[WPROD]])</f>
        <v>1-10348</v>
      </c>
      <c r="I96" s="4" t="s">
        <v>8436</v>
      </c>
      <c r="J96" s="1" t="s">
        <v>5</v>
      </c>
      <c r="L96" s="11">
        <v>3.601E-2</v>
      </c>
      <c r="M96" s="1"/>
      <c r="N96" s="1" t="s">
        <v>37</v>
      </c>
      <c r="P96" s="1" t="str">
        <f>CONCATENATE(Table_Query_from_AMULTIQRY45[[#This Row],[WWHS]],"-",Table_Query_from_AMULTIQRY45[[#This Row],[LLOC]])</f>
        <v>E1-FG</v>
      </c>
      <c r="Q96" s="10">
        <f t="shared" ca="1" si="3"/>
        <v>45775</v>
      </c>
      <c r="R96" s="10"/>
      <c r="S96" s="28">
        <v>27000</v>
      </c>
      <c r="T96" s="1" t="s">
        <v>2</v>
      </c>
      <c r="U96" s="1" t="s">
        <v>115</v>
      </c>
      <c r="V96" s="1">
        <v>20240927</v>
      </c>
      <c r="W96" s="8" t="s">
        <v>8442</v>
      </c>
      <c r="Z96" s="1"/>
      <c r="AA96" s="1"/>
      <c r="AC96" s="1"/>
      <c r="AD96" s="1"/>
      <c r="AE96" s="1"/>
      <c r="AF96" s="1"/>
    </row>
    <row r="97" spans="2:32" ht="12.75" x14ac:dyDescent="0.2">
      <c r="B97" s="1" t="s">
        <v>8603</v>
      </c>
      <c r="C97" s="10">
        <f t="shared" ca="1" si="2"/>
        <v>43727</v>
      </c>
      <c r="D97" s="4"/>
      <c r="E97" s="4" t="s">
        <v>8434</v>
      </c>
      <c r="F97" s="4" t="s">
        <v>1293</v>
      </c>
      <c r="G97" s="4"/>
      <c r="H97" s="4" t="str">
        <f>_xlfn.IFNA(VLOOKUP(Table_Query_from_AMULTIQRY45[[#This Row],[WPROD]],'Part# with New'!$A$1:$B$4347,2,0),Table_Query_from_AMULTIQRY45[[#This Row],[WPROD]])</f>
        <v>WRJC040021006D-R970BK</v>
      </c>
      <c r="I97" s="4" t="s">
        <v>8436</v>
      </c>
      <c r="J97" s="1" t="s">
        <v>5</v>
      </c>
      <c r="L97" s="11">
        <v>6.4599999999999996E-3</v>
      </c>
      <c r="M97" s="1"/>
      <c r="N97" s="1" t="s">
        <v>34</v>
      </c>
      <c r="P97" s="1" t="str">
        <f>CONCATENATE(Table_Query_from_AMULTIQRY45[[#This Row],[WWHS]],"-",Table_Query_from_AMULTIQRY45[[#This Row],[LLOC]])</f>
        <v>E1-FG</v>
      </c>
      <c r="Q97" s="10">
        <f t="shared" ca="1" si="3"/>
        <v>45775</v>
      </c>
      <c r="R97" s="10"/>
      <c r="S97" s="28">
        <v>3450</v>
      </c>
      <c r="T97" s="1" t="s">
        <v>2</v>
      </c>
      <c r="U97" s="1" t="s">
        <v>116</v>
      </c>
      <c r="V97" s="1">
        <v>20190919</v>
      </c>
      <c r="W97" s="8" t="s">
        <v>8442</v>
      </c>
      <c r="Z97" s="1"/>
      <c r="AA97" s="1"/>
      <c r="AC97" s="1"/>
      <c r="AD97" s="1"/>
      <c r="AE97" s="1"/>
      <c r="AF97" s="1"/>
    </row>
    <row r="98" spans="2:32" ht="12.75" x14ac:dyDescent="0.2">
      <c r="B98" s="1" t="s">
        <v>8604</v>
      </c>
      <c r="C98" s="10">
        <f t="shared" ca="1" si="2"/>
        <v>45771</v>
      </c>
      <c r="D98" s="4"/>
      <c r="E98" s="4" t="s">
        <v>8434</v>
      </c>
      <c r="F98" s="4" t="s">
        <v>1293</v>
      </c>
      <c r="G98" s="4"/>
      <c r="H98" s="4" t="str">
        <f>_xlfn.IFNA(VLOOKUP(Table_Query_from_AMULTIQRY45[[#This Row],[WPROD]],'Part# with New'!$A$1:$B$4347,2,0),Table_Query_from_AMULTIQRY45[[#This Row],[WPROD]])</f>
        <v>WRJC031018006D-R470BK</v>
      </c>
      <c r="I98" s="4" t="s">
        <v>8436</v>
      </c>
      <c r="J98" s="1" t="s">
        <v>5</v>
      </c>
      <c r="L98" s="11">
        <v>8.0599999999999995E-3</v>
      </c>
      <c r="M98" s="1"/>
      <c r="N98" s="1" t="s">
        <v>34</v>
      </c>
      <c r="P98" s="1" t="str">
        <f>CONCATENATE(Table_Query_from_AMULTIQRY45[[#This Row],[WWHS]],"-",Table_Query_from_AMULTIQRY45[[#This Row],[LLOC]])</f>
        <v>E1-FG</v>
      </c>
      <c r="Q98" s="10">
        <f t="shared" ca="1" si="3"/>
        <v>45775</v>
      </c>
      <c r="R98" s="10"/>
      <c r="S98" s="28">
        <v>1539</v>
      </c>
      <c r="T98" s="1" t="s">
        <v>2</v>
      </c>
      <c r="U98" s="1" t="s">
        <v>117</v>
      </c>
      <c r="V98" s="1">
        <v>20250424</v>
      </c>
      <c r="W98" s="8" t="s">
        <v>8442</v>
      </c>
      <c r="Z98" s="1"/>
      <c r="AA98" s="1"/>
      <c r="AC98" s="1"/>
      <c r="AD98" s="1"/>
      <c r="AE98" s="1"/>
      <c r="AF98" s="1"/>
    </row>
    <row r="99" spans="2:32" ht="12.75" x14ac:dyDescent="0.2">
      <c r="B99" s="1" t="s">
        <v>8605</v>
      </c>
      <c r="C99" s="10">
        <f t="shared" ca="1" si="2"/>
        <v>45772</v>
      </c>
      <c r="D99" s="4"/>
      <c r="E99" s="4" t="s">
        <v>8434</v>
      </c>
      <c r="F99" s="4" t="s">
        <v>1293</v>
      </c>
      <c r="G99" s="4"/>
      <c r="H99" s="4" t="str">
        <f>_xlfn.IFNA(VLOOKUP(Table_Query_from_AMULTIQRY45[[#This Row],[WPROD]],'Part# with New'!$A$1:$B$4347,2,0),Table_Query_from_AMULTIQRY45[[#This Row],[WPROD]])</f>
        <v>WRJE152129011D-R970BK</v>
      </c>
      <c r="I99" s="4" t="s">
        <v>8436</v>
      </c>
      <c r="J99" s="1" t="s">
        <v>5</v>
      </c>
      <c r="L99" s="11">
        <v>3.1789999999999999E-2</v>
      </c>
      <c r="M99" s="1"/>
      <c r="N99" s="1" t="s">
        <v>37</v>
      </c>
      <c r="P99" s="1" t="str">
        <f>CONCATENATE(Table_Query_from_AMULTIQRY45[[#This Row],[WWHS]],"-",Table_Query_from_AMULTIQRY45[[#This Row],[LLOC]])</f>
        <v>E1-FG</v>
      </c>
      <c r="Q99" s="10">
        <f t="shared" ca="1" si="3"/>
        <v>45775</v>
      </c>
      <c r="R99" s="10"/>
      <c r="S99" s="28">
        <v>1500</v>
      </c>
      <c r="T99" s="1" t="s">
        <v>2</v>
      </c>
      <c r="U99" s="1" t="s">
        <v>118</v>
      </c>
      <c r="V99" s="1">
        <v>20250425</v>
      </c>
      <c r="W99" s="8" t="s">
        <v>8442</v>
      </c>
      <c r="Z99" s="1"/>
      <c r="AA99" s="1"/>
      <c r="AC99" s="1"/>
      <c r="AD99" s="1"/>
      <c r="AE99" s="1"/>
      <c r="AF99" s="1"/>
    </row>
    <row r="100" spans="2:32" ht="12.75" x14ac:dyDescent="0.2">
      <c r="B100" s="1" t="s">
        <v>8606</v>
      </c>
      <c r="C100" s="10">
        <f t="shared" ca="1" si="2"/>
        <v>45600</v>
      </c>
      <c r="D100" s="4"/>
      <c r="E100" s="4" t="s">
        <v>8434</v>
      </c>
      <c r="F100" s="4" t="s">
        <v>1293</v>
      </c>
      <c r="G100" s="4"/>
      <c r="H100" s="4" t="str">
        <f>_xlfn.IFNA(VLOOKUP(Table_Query_from_AMULTIQRY45[[#This Row],[WPROD]],'Part# with New'!$A$1:$B$4347,2,0),Table_Query_from_AMULTIQRY45[[#This Row],[WPROD]])</f>
        <v>WRJC084050003D-R990AK</v>
      </c>
      <c r="I100" s="4" t="s">
        <v>8436</v>
      </c>
      <c r="J100" s="1" t="s">
        <v>5</v>
      </c>
      <c r="L100" s="11">
        <v>1.3429999999999999E-2</v>
      </c>
      <c r="M100" s="1"/>
      <c r="N100" s="1" t="s">
        <v>34</v>
      </c>
      <c r="P100" s="1" t="str">
        <f>CONCATENATE(Table_Query_from_AMULTIQRY45[[#This Row],[WWHS]],"-",Table_Query_from_AMULTIQRY45[[#This Row],[LLOC]])</f>
        <v>E1-FG</v>
      </c>
      <c r="Q100" s="10">
        <f t="shared" ca="1" si="3"/>
        <v>45775</v>
      </c>
      <c r="R100" s="10"/>
      <c r="S100" s="28">
        <v>1760</v>
      </c>
      <c r="T100" s="1" t="s">
        <v>2</v>
      </c>
      <c r="U100" s="1" t="s">
        <v>119</v>
      </c>
      <c r="V100" s="1">
        <v>20241104</v>
      </c>
      <c r="W100" s="8" t="s">
        <v>8442</v>
      </c>
      <c r="Z100" s="1"/>
      <c r="AA100" s="1"/>
      <c r="AC100" s="1"/>
      <c r="AD100" s="1"/>
      <c r="AE100" s="1"/>
      <c r="AF100" s="1"/>
    </row>
    <row r="101" spans="2:32" ht="12.75" x14ac:dyDescent="0.2">
      <c r="B101" s="1" t="s">
        <v>8607</v>
      </c>
      <c r="C101" s="10">
        <f t="shared" ca="1" si="2"/>
        <v>44767</v>
      </c>
      <c r="D101" s="4"/>
      <c r="E101" s="4" t="s">
        <v>8434</v>
      </c>
      <c r="F101" s="4" t="s">
        <v>1293</v>
      </c>
      <c r="G101" s="4"/>
      <c r="H101" s="4" t="str">
        <f>_xlfn.IFNA(VLOOKUP(Table_Query_from_AMULTIQRY45[[#This Row],[WPROD]],'Part# with New'!$A$1:$B$4347,2,0),Table_Query_from_AMULTIQRY45[[#This Row],[WPROD]])</f>
        <v>WRJC050028013D-R470BK</v>
      </c>
      <c r="I101" s="4" t="s">
        <v>8436</v>
      </c>
      <c r="J101" s="1" t="s">
        <v>5</v>
      </c>
      <c r="L101" s="11">
        <v>1.6060000000000001E-2</v>
      </c>
      <c r="M101" s="1"/>
      <c r="N101" s="1" t="s">
        <v>34</v>
      </c>
      <c r="P101" s="1" t="str">
        <f>CONCATENATE(Table_Query_from_AMULTIQRY45[[#This Row],[WWHS]],"-",Table_Query_from_AMULTIQRY45[[#This Row],[LLOC]])</f>
        <v>E1-FG</v>
      </c>
      <c r="Q101" s="10">
        <f t="shared" ca="1" si="3"/>
        <v>45775</v>
      </c>
      <c r="R101" s="10"/>
      <c r="S101" s="28">
        <v>106</v>
      </c>
      <c r="T101" s="1" t="s">
        <v>2</v>
      </c>
      <c r="U101" s="1" t="s">
        <v>120</v>
      </c>
      <c r="V101" s="1">
        <v>20220725</v>
      </c>
      <c r="W101" s="8" t="s">
        <v>8442</v>
      </c>
      <c r="Z101" s="1"/>
      <c r="AA101" s="1"/>
      <c r="AC101" s="1"/>
      <c r="AD101" s="1"/>
      <c r="AE101" s="1"/>
      <c r="AF101" s="1"/>
    </row>
    <row r="102" spans="2:32" ht="12.75" x14ac:dyDescent="0.2">
      <c r="B102" s="1" t="s">
        <v>8608</v>
      </c>
      <c r="C102" s="10">
        <f t="shared" ca="1" si="2"/>
        <v>45586</v>
      </c>
      <c r="D102" s="4"/>
      <c r="E102" s="4" t="s">
        <v>8434</v>
      </c>
      <c r="F102" s="4" t="s">
        <v>1293</v>
      </c>
      <c r="G102" s="4"/>
      <c r="H102" s="4" t="str">
        <f>_xlfn.IFNA(VLOOKUP(Table_Query_from_AMULTIQRY45[[#This Row],[WPROD]],'Part# with New'!$A$1:$B$4347,2,0),Table_Query_from_AMULTIQRY45[[#This Row],[WPROD]])</f>
        <v>WRJC188120012D-R590AK</v>
      </c>
      <c r="I102" s="4" t="s">
        <v>8436</v>
      </c>
      <c r="J102" s="1" t="s">
        <v>5</v>
      </c>
      <c r="L102" s="11">
        <v>0.10704</v>
      </c>
      <c r="M102" s="1"/>
      <c r="N102" s="1" t="s">
        <v>34</v>
      </c>
      <c r="P102" s="1" t="str">
        <f>CONCATENATE(Table_Query_from_AMULTIQRY45[[#This Row],[WWHS]],"-",Table_Query_from_AMULTIQRY45[[#This Row],[LLOC]])</f>
        <v>E1-FG</v>
      </c>
      <c r="Q102" s="10">
        <f t="shared" ca="1" si="3"/>
        <v>45775</v>
      </c>
      <c r="R102" s="10"/>
      <c r="S102" s="28">
        <v>1700</v>
      </c>
      <c r="T102" s="1" t="s">
        <v>2</v>
      </c>
      <c r="U102" s="1" t="s">
        <v>121</v>
      </c>
      <c r="V102" s="1">
        <v>20241021</v>
      </c>
      <c r="W102" s="8" t="s">
        <v>8442</v>
      </c>
      <c r="Z102" s="1"/>
      <c r="AA102" s="1"/>
      <c r="AC102" s="1"/>
      <c r="AD102" s="1"/>
      <c r="AE102" s="1"/>
      <c r="AF102" s="1"/>
    </row>
    <row r="103" spans="2:32" ht="12.75" x14ac:dyDescent="0.2">
      <c r="B103" s="1" t="s">
        <v>8609</v>
      </c>
      <c r="C103" s="10">
        <f t="shared" ca="1" si="2"/>
        <v>45373</v>
      </c>
      <c r="D103" s="4"/>
      <c r="E103" s="4" t="s">
        <v>8434</v>
      </c>
      <c r="F103" s="4" t="s">
        <v>1293</v>
      </c>
      <c r="G103" s="4"/>
      <c r="H103" s="4" t="str">
        <f>_xlfn.IFNA(VLOOKUP(Table_Query_from_AMULTIQRY45[[#This Row],[WPROD]],'Part# with New'!$A$1:$B$4347,2,0),Table_Query_from_AMULTIQRY45[[#This Row],[WPROD]])</f>
        <v>1-10368</v>
      </c>
      <c r="I103" s="4" t="s">
        <v>8436</v>
      </c>
      <c r="J103" s="1" t="s">
        <v>5</v>
      </c>
      <c r="L103" s="11">
        <v>3.422E-2</v>
      </c>
      <c r="M103" s="1"/>
      <c r="N103" s="1" t="s">
        <v>37</v>
      </c>
      <c r="P103" s="1" t="str">
        <f>CONCATENATE(Table_Query_from_AMULTIQRY45[[#This Row],[WWHS]],"-",Table_Query_from_AMULTIQRY45[[#This Row],[LLOC]])</f>
        <v>E1-FG</v>
      </c>
      <c r="Q103" s="10">
        <f t="shared" ca="1" si="3"/>
        <v>45775</v>
      </c>
      <c r="R103" s="10"/>
      <c r="S103" s="28">
        <v>9000</v>
      </c>
      <c r="T103" s="1" t="s">
        <v>2</v>
      </c>
      <c r="U103" s="1" t="s">
        <v>122</v>
      </c>
      <c r="V103" s="1">
        <v>20240322</v>
      </c>
      <c r="W103" s="8" t="s">
        <v>8442</v>
      </c>
      <c r="Z103" s="1"/>
      <c r="AA103" s="1"/>
      <c r="AC103" s="1"/>
      <c r="AD103" s="1"/>
      <c r="AE103" s="1"/>
      <c r="AF103" s="1"/>
    </row>
    <row r="104" spans="2:32" ht="12.75" x14ac:dyDescent="0.2">
      <c r="B104" s="1" t="s">
        <v>8610</v>
      </c>
      <c r="C104" s="10">
        <f t="shared" ca="1" si="2"/>
        <v>45583</v>
      </c>
      <c r="D104" s="4"/>
      <c r="E104" s="4" t="s">
        <v>8434</v>
      </c>
      <c r="F104" s="4" t="s">
        <v>1293</v>
      </c>
      <c r="G104" s="4"/>
      <c r="H104" s="4" t="str">
        <f>_xlfn.IFNA(VLOOKUP(Table_Query_from_AMULTIQRY45[[#This Row],[WPROD]],'Part# with New'!$A$1:$B$4347,2,0),Table_Query_from_AMULTIQRY45[[#This Row],[WPROD]])</f>
        <v>WRJA284258012D-R175BK</v>
      </c>
      <c r="I104" s="4" t="s">
        <v>8436</v>
      </c>
      <c r="J104" s="1" t="s">
        <v>46</v>
      </c>
      <c r="L104" s="11">
        <v>0.3226</v>
      </c>
      <c r="M104" s="1"/>
      <c r="N104" s="1" t="s">
        <v>30</v>
      </c>
      <c r="P104" s="1" t="str">
        <f>CONCATENATE(Table_Query_from_AMULTIQRY45[[#This Row],[WWHS]],"-",Table_Query_from_AMULTIQRY45[[#This Row],[LLOC]])</f>
        <v>E1-FG</v>
      </c>
      <c r="Q104" s="10">
        <f t="shared" ca="1" si="3"/>
        <v>45775</v>
      </c>
      <c r="R104" s="10"/>
      <c r="S104" s="28">
        <v>2498</v>
      </c>
      <c r="T104" s="1" t="s">
        <v>2</v>
      </c>
      <c r="U104" s="1" t="s">
        <v>123</v>
      </c>
      <c r="V104" s="1">
        <v>20241018</v>
      </c>
      <c r="W104" s="8" t="s">
        <v>8442</v>
      </c>
      <c r="Z104" s="1"/>
      <c r="AA104" s="1"/>
      <c r="AC104" s="1"/>
      <c r="AD104" s="1"/>
      <c r="AE104" s="1"/>
      <c r="AF104" s="1"/>
    </row>
    <row r="105" spans="2:32" ht="12.75" x14ac:dyDescent="0.2">
      <c r="B105" s="1" t="s">
        <v>8611</v>
      </c>
      <c r="C105" s="10">
        <f t="shared" ca="1" si="2"/>
        <v>45575</v>
      </c>
      <c r="D105" s="4"/>
      <c r="E105" s="4" t="s">
        <v>8434</v>
      </c>
      <c r="F105" s="4" t="s">
        <v>1293</v>
      </c>
      <c r="G105" s="4"/>
      <c r="H105" s="4" t="str">
        <f>_xlfn.IFNA(VLOOKUP(Table_Query_from_AMULTIQRY45[[#This Row],[WPROD]],'Part# with New'!$A$1:$B$4347,2,0),Table_Query_from_AMULTIQRY45[[#This Row],[WPROD]])</f>
        <v>WRJA287243003D-R470BK</v>
      </c>
      <c r="I105" s="4" t="s">
        <v>8436</v>
      </c>
      <c r="J105" s="1" t="s">
        <v>5</v>
      </c>
      <c r="L105" s="11">
        <v>1.9560000000000001E-2</v>
      </c>
      <c r="M105" s="1"/>
      <c r="N105" s="1" t="s">
        <v>30</v>
      </c>
      <c r="P105" s="1" t="str">
        <f>CONCATENATE(Table_Query_from_AMULTIQRY45[[#This Row],[WWHS]],"-",Table_Query_from_AMULTIQRY45[[#This Row],[LLOC]])</f>
        <v>E1-FG</v>
      </c>
      <c r="Q105" s="10">
        <f t="shared" ca="1" si="3"/>
        <v>45775</v>
      </c>
      <c r="R105" s="10"/>
      <c r="S105" s="28">
        <v>4620</v>
      </c>
      <c r="T105" s="1" t="s">
        <v>2</v>
      </c>
      <c r="U105" s="1" t="s">
        <v>124</v>
      </c>
      <c r="V105" s="1">
        <v>20241010</v>
      </c>
      <c r="W105" s="8" t="s">
        <v>8442</v>
      </c>
      <c r="Z105" s="1"/>
      <c r="AA105" s="1"/>
      <c r="AC105" s="1"/>
      <c r="AD105" s="1"/>
      <c r="AE105" s="1"/>
      <c r="AF105" s="1"/>
    </row>
    <row r="106" spans="2:32" ht="12.75" x14ac:dyDescent="0.2">
      <c r="B106" s="1" t="s">
        <v>8612</v>
      </c>
      <c r="C106" s="10">
        <f t="shared" ca="1" si="2"/>
        <v>43819</v>
      </c>
      <c r="D106" s="4"/>
      <c r="E106" s="4" t="s">
        <v>8434</v>
      </c>
      <c r="F106" s="4" t="s">
        <v>1293</v>
      </c>
      <c r="G106" s="4"/>
      <c r="H106" s="4" t="str">
        <f>_xlfn.IFNA(VLOOKUP(Table_Query_from_AMULTIQRY45[[#This Row],[WPROD]],'Part# with New'!$A$1:$B$4347,2,0),Table_Query_from_AMULTIQRY45[[#This Row],[WPROD]])</f>
        <v>WRJC054040007D-R970BK</v>
      </c>
      <c r="I106" s="4" t="s">
        <v>8436</v>
      </c>
      <c r="J106" s="1" t="s">
        <v>5</v>
      </c>
      <c r="L106" s="11">
        <v>6.4200000000000004E-3</v>
      </c>
      <c r="M106" s="1"/>
      <c r="N106" s="1" t="s">
        <v>34</v>
      </c>
      <c r="P106" s="1" t="str">
        <f>CONCATENATE(Table_Query_from_AMULTIQRY45[[#This Row],[WWHS]],"-",Table_Query_from_AMULTIQRY45[[#This Row],[LLOC]])</f>
        <v>E1-FG</v>
      </c>
      <c r="Q106" s="10">
        <f t="shared" ca="1" si="3"/>
        <v>45775</v>
      </c>
      <c r="R106" s="10"/>
      <c r="S106" s="28">
        <v>1480</v>
      </c>
      <c r="T106" s="1" t="s">
        <v>2</v>
      </c>
      <c r="U106" s="1" t="s">
        <v>125</v>
      </c>
      <c r="V106" s="1">
        <v>20191220</v>
      </c>
      <c r="W106" s="8" t="s">
        <v>8442</v>
      </c>
      <c r="Z106" s="1"/>
      <c r="AA106" s="1"/>
      <c r="AC106" s="1"/>
      <c r="AD106" s="1"/>
      <c r="AE106" s="1"/>
      <c r="AF106" s="1"/>
    </row>
    <row r="107" spans="2:32" ht="12.75" x14ac:dyDescent="0.2">
      <c r="B107" s="1" t="s">
        <v>8613</v>
      </c>
      <c r="C107" s="10">
        <f t="shared" ca="1" si="2"/>
        <v>45730</v>
      </c>
      <c r="D107" s="4"/>
      <c r="E107" s="4" t="s">
        <v>8434</v>
      </c>
      <c r="F107" s="4" t="s">
        <v>1293</v>
      </c>
      <c r="G107" s="4"/>
      <c r="H107" s="4" t="str">
        <f>_xlfn.IFNA(VLOOKUP(Table_Query_from_AMULTIQRY45[[#This Row],[WPROD]],'Part# with New'!$A$1:$B$4347,2,0),Table_Query_from_AMULTIQRY45[[#This Row],[WPROD]])</f>
        <v>WRJE150127012D-R970BK</v>
      </c>
      <c r="I107" s="4" t="s">
        <v>8436</v>
      </c>
      <c r="J107" s="1" t="s">
        <v>5</v>
      </c>
      <c r="L107" s="11">
        <v>3.397E-2</v>
      </c>
      <c r="M107" s="1"/>
      <c r="N107" s="1" t="s">
        <v>37</v>
      </c>
      <c r="P107" s="1" t="str">
        <f>CONCATENATE(Table_Query_from_AMULTIQRY45[[#This Row],[WWHS]],"-",Table_Query_from_AMULTIQRY45[[#This Row],[LLOC]])</f>
        <v>E1-FG</v>
      </c>
      <c r="Q107" s="10">
        <f t="shared" ca="1" si="3"/>
        <v>45775</v>
      </c>
      <c r="R107" s="10"/>
      <c r="S107" s="28">
        <v>5000</v>
      </c>
      <c r="T107" s="1" t="s">
        <v>2</v>
      </c>
      <c r="U107" s="1" t="s">
        <v>126</v>
      </c>
      <c r="V107" s="1">
        <v>20250314</v>
      </c>
      <c r="W107" s="8" t="s">
        <v>8442</v>
      </c>
      <c r="Z107" s="1"/>
      <c r="AA107" s="1"/>
      <c r="AC107" s="1"/>
      <c r="AD107" s="1"/>
      <c r="AE107" s="1"/>
      <c r="AF107" s="1"/>
    </row>
    <row r="108" spans="2:32" ht="12.75" x14ac:dyDescent="0.2">
      <c r="B108" s="1" t="s">
        <v>8614</v>
      </c>
      <c r="C108" s="10">
        <f t="shared" ca="1" si="2"/>
        <v>43614</v>
      </c>
      <c r="D108" s="4"/>
      <c r="E108" s="4" t="s">
        <v>8434</v>
      </c>
      <c r="F108" s="4" t="s">
        <v>1293</v>
      </c>
      <c r="G108" s="4"/>
      <c r="H108" s="4" t="str">
        <f>_xlfn.IFNA(VLOOKUP(Table_Query_from_AMULTIQRY45[[#This Row],[WPROD]],'Part# with New'!$A$1:$B$4347,2,0),Table_Query_from_AMULTIQRY45[[#This Row],[WPROD]])</f>
        <v>WRJA260211002D-R463AK</v>
      </c>
      <c r="I108" s="4" t="s">
        <v>8436</v>
      </c>
      <c r="J108" s="1" t="s">
        <v>5</v>
      </c>
      <c r="L108" s="11">
        <v>1.703E-2</v>
      </c>
      <c r="M108" s="1"/>
      <c r="N108" s="1" t="s">
        <v>30</v>
      </c>
      <c r="P108" s="1" t="str">
        <f>CONCATENATE(Table_Query_from_AMULTIQRY45[[#This Row],[WWHS]],"-",Table_Query_from_AMULTIQRY45[[#This Row],[LLOC]])</f>
        <v>E1-FG</v>
      </c>
      <c r="Q108" s="10">
        <f t="shared" ca="1" si="3"/>
        <v>45775</v>
      </c>
      <c r="R108" s="10"/>
      <c r="S108" s="28">
        <v>197</v>
      </c>
      <c r="T108" s="1" t="s">
        <v>2</v>
      </c>
      <c r="U108" s="1" t="s">
        <v>127</v>
      </c>
      <c r="V108" s="1">
        <v>20190529</v>
      </c>
      <c r="W108" s="8" t="s">
        <v>8442</v>
      </c>
      <c r="Z108" s="1"/>
      <c r="AA108" s="1"/>
      <c r="AC108" s="1"/>
      <c r="AD108" s="1"/>
      <c r="AE108" s="1"/>
      <c r="AF108" s="1"/>
    </row>
    <row r="109" spans="2:32" ht="12.75" x14ac:dyDescent="0.2">
      <c r="B109" s="1" t="s">
        <v>8615</v>
      </c>
      <c r="C109" s="10">
        <f t="shared" ca="1" si="2"/>
        <v>45772</v>
      </c>
      <c r="D109" s="4"/>
      <c r="E109" s="4" t="s">
        <v>8434</v>
      </c>
      <c r="F109" s="4" t="s">
        <v>1293</v>
      </c>
      <c r="G109" s="4"/>
      <c r="H109" s="4" t="str">
        <f>_xlfn.IFNA(VLOOKUP(Table_Query_from_AMULTIQRY45[[#This Row],[WPROD]],'Part# with New'!$A$1:$B$4347,2,0),Table_Query_from_AMULTIQRY45[[#This Row],[WPROD]])</f>
        <v>WRJC131116003D-R060AK</v>
      </c>
      <c r="I109" s="4" t="s">
        <v>8436</v>
      </c>
      <c r="J109" s="1" t="s">
        <v>5</v>
      </c>
      <c r="L109" s="11">
        <v>1.1209999999999999E-2</v>
      </c>
      <c r="M109" s="1"/>
      <c r="N109" s="1" t="s">
        <v>34</v>
      </c>
      <c r="P109" s="1" t="str">
        <f>CONCATENATE(Table_Query_from_AMULTIQRY45[[#This Row],[WWHS]],"-",Table_Query_from_AMULTIQRY45[[#This Row],[LLOC]])</f>
        <v>E1-FG</v>
      </c>
      <c r="Q109" s="10">
        <f t="shared" ca="1" si="3"/>
        <v>45775</v>
      </c>
      <c r="R109" s="10"/>
      <c r="S109" s="28">
        <v>740</v>
      </c>
      <c r="T109" s="1" t="s">
        <v>2</v>
      </c>
      <c r="U109" s="1" t="s">
        <v>128</v>
      </c>
      <c r="V109" s="1">
        <v>20250425</v>
      </c>
      <c r="W109" s="8" t="s">
        <v>8442</v>
      </c>
      <c r="Z109" s="1"/>
      <c r="AA109" s="1"/>
      <c r="AC109" s="1"/>
      <c r="AD109" s="1"/>
      <c r="AE109" s="1"/>
      <c r="AF109" s="1"/>
    </row>
    <row r="110" spans="2:32" ht="12.75" x14ac:dyDescent="0.2">
      <c r="B110" s="1" t="s">
        <v>8616</v>
      </c>
      <c r="C110" s="10">
        <f t="shared" ca="1" si="2"/>
        <v>43817</v>
      </c>
      <c r="D110" s="4"/>
      <c r="E110" s="4" t="s">
        <v>8434</v>
      </c>
      <c r="F110" s="4" t="s">
        <v>1293</v>
      </c>
      <c r="G110" s="4"/>
      <c r="H110" s="4" t="str">
        <f>_xlfn.IFNA(VLOOKUP(Table_Query_from_AMULTIQRY45[[#This Row],[WPROD]],'Part# with New'!$A$1:$B$4347,2,0),Table_Query_from_AMULTIQRY45[[#This Row],[WPROD]])</f>
        <v>WRJC050043006D-R470AK</v>
      </c>
      <c r="I110" s="4" t="s">
        <v>8436</v>
      </c>
      <c r="J110" s="1" t="s">
        <v>5</v>
      </c>
      <c r="L110" s="11">
        <v>1.319E-2</v>
      </c>
      <c r="M110" s="1"/>
      <c r="N110" s="1" t="s">
        <v>34</v>
      </c>
      <c r="P110" s="1" t="str">
        <f>CONCATENATE(Table_Query_from_AMULTIQRY45[[#This Row],[WWHS]],"-",Table_Query_from_AMULTIQRY45[[#This Row],[LLOC]])</f>
        <v>E1-FG</v>
      </c>
      <c r="Q110" s="10">
        <f t="shared" ca="1" si="3"/>
        <v>45775</v>
      </c>
      <c r="R110" s="10"/>
      <c r="S110" s="28">
        <v>1800</v>
      </c>
      <c r="T110" s="1" t="s">
        <v>2</v>
      </c>
      <c r="U110" s="1" t="s">
        <v>129</v>
      </c>
      <c r="V110" s="1">
        <v>20191218</v>
      </c>
      <c r="W110" s="8" t="s">
        <v>8442</v>
      </c>
      <c r="Z110" s="1"/>
      <c r="AA110" s="1"/>
      <c r="AC110" s="1"/>
      <c r="AD110" s="1"/>
      <c r="AE110" s="1"/>
      <c r="AF110" s="1"/>
    </row>
    <row r="111" spans="2:32" ht="12.75" x14ac:dyDescent="0.2">
      <c r="B111" s="1" t="s">
        <v>8617</v>
      </c>
      <c r="C111" s="10">
        <f t="shared" ca="1" si="2"/>
        <v>43847</v>
      </c>
      <c r="D111" s="4"/>
      <c r="E111" s="4" t="s">
        <v>8434</v>
      </c>
      <c r="F111" s="4" t="s">
        <v>1293</v>
      </c>
      <c r="G111" s="4"/>
      <c r="H111" s="4" t="str">
        <f>_xlfn.IFNA(VLOOKUP(Table_Query_from_AMULTIQRY45[[#This Row],[WPROD]],'Part# with New'!$A$1:$B$4347,2,0),Table_Query_from_AMULTIQRY45[[#This Row],[WPROD]])</f>
        <v>WRJA300260007D-R480AK</v>
      </c>
      <c r="I111" s="4" t="s">
        <v>8436</v>
      </c>
      <c r="J111" s="1" t="s">
        <v>5</v>
      </c>
      <c r="L111" s="11">
        <v>6.497E-2</v>
      </c>
      <c r="M111" s="1"/>
      <c r="N111" s="1" t="s">
        <v>30</v>
      </c>
      <c r="P111" s="1" t="str">
        <f>CONCATENATE(Table_Query_from_AMULTIQRY45[[#This Row],[WWHS]],"-",Table_Query_from_AMULTIQRY45[[#This Row],[LLOC]])</f>
        <v>E1-FG</v>
      </c>
      <c r="Q111" s="10">
        <f t="shared" ca="1" si="3"/>
        <v>45775</v>
      </c>
      <c r="R111" s="10"/>
      <c r="S111" s="28">
        <v>123</v>
      </c>
      <c r="T111" s="1" t="s">
        <v>2</v>
      </c>
      <c r="U111" s="1" t="s">
        <v>130</v>
      </c>
      <c r="V111" s="1">
        <v>20200117</v>
      </c>
      <c r="W111" s="8" t="s">
        <v>8442</v>
      </c>
      <c r="Z111" s="1"/>
      <c r="AA111" s="1"/>
      <c r="AC111" s="1"/>
      <c r="AD111" s="1"/>
      <c r="AE111" s="1"/>
      <c r="AF111" s="1"/>
    </row>
    <row r="112" spans="2:32" ht="12.75" x14ac:dyDescent="0.2">
      <c r="B112" s="1" t="s">
        <v>8618</v>
      </c>
      <c r="C112" s="10">
        <f t="shared" ca="1" si="2"/>
        <v>44112</v>
      </c>
      <c r="D112" s="4"/>
      <c r="E112" s="4" t="s">
        <v>8434</v>
      </c>
      <c r="F112" s="4" t="s">
        <v>1293</v>
      </c>
      <c r="G112" s="4"/>
      <c r="H112" s="4" t="str">
        <f>_xlfn.IFNA(VLOOKUP(Table_Query_from_AMULTIQRY45[[#This Row],[WPROD]],'Part# with New'!$A$1:$B$4347,2,0),Table_Query_from_AMULTIQRY45[[#This Row],[WPROD]])</f>
        <v>1-10394</v>
      </c>
      <c r="I112" s="4" t="s">
        <v>8436</v>
      </c>
      <c r="J112" s="1" t="s">
        <v>5</v>
      </c>
      <c r="L112" s="11">
        <v>7.4099999999999999E-3</v>
      </c>
      <c r="M112" s="1"/>
      <c r="N112" s="1" t="s">
        <v>34</v>
      </c>
      <c r="P112" s="1" t="str">
        <f>CONCATENATE(Table_Query_from_AMULTIQRY45[[#This Row],[WWHS]],"-",Table_Query_from_AMULTIQRY45[[#This Row],[LLOC]])</f>
        <v>E1-FG</v>
      </c>
      <c r="Q112" s="10">
        <f t="shared" ca="1" si="3"/>
        <v>45775</v>
      </c>
      <c r="R112" s="10"/>
      <c r="S112" s="28">
        <v>3679.99</v>
      </c>
      <c r="T112" s="1" t="s">
        <v>2</v>
      </c>
      <c r="U112" s="1" t="s">
        <v>131</v>
      </c>
      <c r="V112" s="1">
        <v>20201008</v>
      </c>
      <c r="W112" s="8" t="s">
        <v>8442</v>
      </c>
      <c r="Z112" s="1"/>
      <c r="AA112" s="1"/>
      <c r="AC112" s="1"/>
      <c r="AD112" s="1"/>
      <c r="AE112" s="1"/>
      <c r="AF112" s="1"/>
    </row>
    <row r="113" spans="2:32" ht="12.75" x14ac:dyDescent="0.2">
      <c r="B113" s="1" t="s">
        <v>8619</v>
      </c>
      <c r="C113" s="10">
        <f t="shared" ca="1" si="2"/>
        <v>44225</v>
      </c>
      <c r="D113" s="4"/>
      <c r="E113" s="4" t="s">
        <v>8434</v>
      </c>
      <c r="F113" s="4" t="s">
        <v>1293</v>
      </c>
      <c r="G113" s="4"/>
      <c r="H113" s="4" t="str">
        <f>_xlfn.IFNA(VLOOKUP(Table_Query_from_AMULTIQRY45[[#This Row],[WPROD]],'Part# with New'!$A$1:$B$4347,2,0),Table_Query_from_AMULTIQRY45[[#This Row],[WPROD]])</f>
        <v>WRJC125101012D-R970BK</v>
      </c>
      <c r="I113" s="4" t="s">
        <v>8436</v>
      </c>
      <c r="J113" s="1" t="s">
        <v>5</v>
      </c>
      <c r="L113" s="11">
        <v>1.8939999999999999E-2</v>
      </c>
      <c r="M113" s="1"/>
      <c r="N113" s="1" t="s">
        <v>34</v>
      </c>
      <c r="P113" s="1" t="str">
        <f>CONCATENATE(Table_Query_from_AMULTIQRY45[[#This Row],[WWHS]],"-",Table_Query_from_AMULTIQRY45[[#This Row],[LLOC]])</f>
        <v>E1-FG</v>
      </c>
      <c r="Q113" s="10">
        <f t="shared" ca="1" si="3"/>
        <v>45775</v>
      </c>
      <c r="R113" s="10"/>
      <c r="S113" s="28">
        <v>1345</v>
      </c>
      <c r="T113" s="1" t="s">
        <v>2</v>
      </c>
      <c r="U113" s="1" t="s">
        <v>132</v>
      </c>
      <c r="V113" s="1">
        <v>20210129</v>
      </c>
      <c r="W113" s="8" t="s">
        <v>8442</v>
      </c>
      <c r="Z113" s="1"/>
      <c r="AA113" s="1"/>
      <c r="AC113" s="1"/>
      <c r="AD113" s="1"/>
      <c r="AE113" s="1"/>
      <c r="AF113" s="1"/>
    </row>
    <row r="114" spans="2:32" ht="12.75" x14ac:dyDescent="0.2">
      <c r="B114" s="1" t="s">
        <v>8620</v>
      </c>
      <c r="C114" s="10">
        <f t="shared" ca="1" si="2"/>
        <v>45356</v>
      </c>
      <c r="D114" s="4"/>
      <c r="E114" s="4" t="s">
        <v>8434</v>
      </c>
      <c r="F114" s="4" t="s">
        <v>1293</v>
      </c>
      <c r="G114" s="4"/>
      <c r="H114" s="4" t="str">
        <f>_xlfn.IFNA(VLOOKUP(Table_Query_from_AMULTIQRY45[[#This Row],[WPROD]],'Part# with New'!$A$1:$B$4347,2,0),Table_Query_from_AMULTIQRY45[[#This Row],[WPROD]])</f>
        <v>WRJC075045006D-R470AK</v>
      </c>
      <c r="I114" s="4" t="s">
        <v>8436</v>
      </c>
      <c r="J114" s="1" t="s">
        <v>5</v>
      </c>
      <c r="L114" s="11">
        <v>1.2699999999999999E-2</v>
      </c>
      <c r="M114" s="1"/>
      <c r="N114" s="1" t="s">
        <v>34</v>
      </c>
      <c r="P114" s="1" t="str">
        <f>CONCATENATE(Table_Query_from_AMULTIQRY45[[#This Row],[WWHS]],"-",Table_Query_from_AMULTIQRY45[[#This Row],[LLOC]])</f>
        <v>E1-FG</v>
      </c>
      <c r="Q114" s="10">
        <f t="shared" ca="1" si="3"/>
        <v>45775</v>
      </c>
      <c r="R114" s="10"/>
      <c r="S114" s="28">
        <v>10000</v>
      </c>
      <c r="T114" s="1" t="s">
        <v>2</v>
      </c>
      <c r="U114" s="1" t="s">
        <v>133</v>
      </c>
      <c r="V114" s="1">
        <v>20240305</v>
      </c>
      <c r="W114" s="8" t="s">
        <v>8442</v>
      </c>
      <c r="Z114" s="1"/>
      <c r="AA114" s="1"/>
      <c r="AC114" s="1"/>
      <c r="AD114" s="1"/>
      <c r="AE114" s="1"/>
      <c r="AF114" s="1"/>
    </row>
    <row r="115" spans="2:32" ht="12.75" x14ac:dyDescent="0.2">
      <c r="B115" s="1" t="s">
        <v>8621</v>
      </c>
      <c r="C115" s="10">
        <f t="shared" ca="1" si="2"/>
        <v>44879</v>
      </c>
      <c r="D115" s="4"/>
      <c r="E115" s="4" t="s">
        <v>8434</v>
      </c>
      <c r="F115" s="4" t="s">
        <v>1293</v>
      </c>
      <c r="G115" s="4"/>
      <c r="H115" s="4" t="str">
        <f>_xlfn.IFNA(VLOOKUP(Table_Query_from_AMULTIQRY45[[#This Row],[WPROD]],'Part# with New'!$A$1:$B$4347,2,0),Table_Query_from_AMULTIQRY45[[#This Row],[WPROD]])</f>
        <v>WRJA206186099D-R490CK</v>
      </c>
      <c r="I115" s="4" t="s">
        <v>8436</v>
      </c>
      <c r="J115" s="1" t="s">
        <v>5</v>
      </c>
      <c r="L115" s="11">
        <v>4.5519999999999998E-2</v>
      </c>
      <c r="M115" s="1"/>
      <c r="N115" s="1" t="s">
        <v>30</v>
      </c>
      <c r="P115" s="1" t="str">
        <f>CONCATENATE(Table_Query_from_AMULTIQRY45[[#This Row],[WWHS]],"-",Table_Query_from_AMULTIQRY45[[#This Row],[LLOC]])</f>
        <v>E1-FG</v>
      </c>
      <c r="Q115" s="10">
        <f t="shared" ca="1" si="3"/>
        <v>45775</v>
      </c>
      <c r="R115" s="10"/>
      <c r="S115" s="28">
        <v>4440</v>
      </c>
      <c r="T115" s="1" t="s">
        <v>2</v>
      </c>
      <c r="U115" s="1" t="s">
        <v>134</v>
      </c>
      <c r="V115" s="1">
        <v>20221114</v>
      </c>
      <c r="W115" s="8" t="s">
        <v>8442</v>
      </c>
      <c r="Z115" s="1"/>
      <c r="AA115" s="1"/>
      <c r="AC115" s="1"/>
      <c r="AD115" s="1"/>
      <c r="AE115" s="1"/>
      <c r="AF115" s="1"/>
    </row>
    <row r="116" spans="2:32" ht="12.75" x14ac:dyDescent="0.2">
      <c r="B116" s="1" t="s">
        <v>8622</v>
      </c>
      <c r="C116" s="10">
        <f t="shared" ca="1" si="2"/>
        <v>44986</v>
      </c>
      <c r="D116" s="4"/>
      <c r="E116" s="4" t="s">
        <v>8434</v>
      </c>
      <c r="F116" s="4" t="s">
        <v>1293</v>
      </c>
      <c r="G116" s="4"/>
      <c r="H116" s="4" t="str">
        <f>_xlfn.IFNA(VLOOKUP(Table_Query_from_AMULTIQRY45[[#This Row],[WPROD]],'Part# with New'!$A$1:$B$4347,2,0),Table_Query_from_AMULTIQRY45[[#This Row],[WPROD]])</f>
        <v>WRJC085034012D-R470BK</v>
      </c>
      <c r="I116" s="4" t="s">
        <v>8436</v>
      </c>
      <c r="J116" s="1" t="s">
        <v>5</v>
      </c>
      <c r="L116" s="11">
        <v>5.391E-2</v>
      </c>
      <c r="M116" s="1"/>
      <c r="N116" s="1" t="s">
        <v>34</v>
      </c>
      <c r="P116" s="1" t="str">
        <f>CONCATENATE(Table_Query_from_AMULTIQRY45[[#This Row],[WWHS]],"-",Table_Query_from_AMULTIQRY45[[#This Row],[LLOC]])</f>
        <v>E1-FG</v>
      </c>
      <c r="Q116" s="10">
        <f t="shared" ca="1" si="3"/>
        <v>45775</v>
      </c>
      <c r="R116" s="10"/>
      <c r="S116" s="28">
        <v>1075</v>
      </c>
      <c r="T116" s="1" t="s">
        <v>2</v>
      </c>
      <c r="U116" s="1" t="s">
        <v>135</v>
      </c>
      <c r="V116" s="1">
        <v>20230301</v>
      </c>
      <c r="W116" s="8" t="s">
        <v>8442</v>
      </c>
      <c r="Z116" s="1"/>
      <c r="AA116" s="1"/>
      <c r="AC116" s="1"/>
      <c r="AD116" s="1"/>
      <c r="AE116" s="1"/>
      <c r="AF116" s="1"/>
    </row>
    <row r="117" spans="2:32" ht="12.75" x14ac:dyDescent="0.2">
      <c r="B117" s="1" t="s">
        <v>8623</v>
      </c>
      <c r="C117" s="10">
        <f t="shared" ca="1" si="2"/>
        <v>45146</v>
      </c>
      <c r="D117" s="4"/>
      <c r="E117" s="4" t="s">
        <v>8434</v>
      </c>
      <c r="F117" s="4" t="s">
        <v>1293</v>
      </c>
      <c r="G117" s="4"/>
      <c r="H117" s="4" t="str">
        <f>_xlfn.IFNA(VLOOKUP(Table_Query_from_AMULTIQRY45[[#This Row],[WPROD]],'Part# with New'!$A$1:$B$4347,2,0),Table_Query_from_AMULTIQRY45[[#This Row],[WPROD]])</f>
        <v>WRJC142093005D-R948AK</v>
      </c>
      <c r="I117" s="4" t="s">
        <v>8436</v>
      </c>
      <c r="J117" s="1" t="s">
        <v>5</v>
      </c>
      <c r="L117" s="11">
        <v>1.124E-2</v>
      </c>
      <c r="M117" s="1"/>
      <c r="N117" s="1" t="s">
        <v>34</v>
      </c>
      <c r="P117" s="1" t="str">
        <f>CONCATENATE(Table_Query_from_AMULTIQRY45[[#This Row],[WWHS]],"-",Table_Query_from_AMULTIQRY45[[#This Row],[LLOC]])</f>
        <v>E1-FG</v>
      </c>
      <c r="Q117" s="10">
        <f t="shared" ca="1" si="3"/>
        <v>45775</v>
      </c>
      <c r="R117" s="10"/>
      <c r="S117" s="28">
        <v>473</v>
      </c>
      <c r="T117" s="1" t="s">
        <v>2</v>
      </c>
      <c r="U117" s="1" t="s">
        <v>136</v>
      </c>
      <c r="V117" s="1">
        <v>20230808</v>
      </c>
      <c r="W117" s="8" t="s">
        <v>8442</v>
      </c>
      <c r="Z117" s="1"/>
      <c r="AA117" s="1"/>
      <c r="AC117" s="1"/>
      <c r="AD117" s="1"/>
      <c r="AE117" s="1"/>
      <c r="AF117" s="1"/>
    </row>
    <row r="118" spans="2:32" ht="12.75" x14ac:dyDescent="0.2">
      <c r="B118" s="1" t="s">
        <v>8624</v>
      </c>
      <c r="C118" s="10">
        <f t="shared" ca="1" si="2"/>
        <v>45148</v>
      </c>
      <c r="D118" s="4"/>
      <c r="E118" s="4" t="s">
        <v>8434</v>
      </c>
      <c r="F118" s="4" t="s">
        <v>1293</v>
      </c>
      <c r="G118" s="4"/>
      <c r="H118" s="4" t="str">
        <f>_xlfn.IFNA(VLOOKUP(Table_Query_from_AMULTIQRY45[[#This Row],[WPROD]],'Part# with New'!$A$1:$B$4347,2,0),Table_Query_from_AMULTIQRY45[[#This Row],[WPROD]])</f>
        <v>WRJC088054006D-R948AK</v>
      </c>
      <c r="I118" s="4" t="s">
        <v>8436</v>
      </c>
      <c r="J118" s="1" t="s">
        <v>5</v>
      </c>
      <c r="L118" s="11">
        <v>1.523E-2</v>
      </c>
      <c r="M118" s="1"/>
      <c r="N118" s="1" t="s">
        <v>34</v>
      </c>
      <c r="P118" s="1" t="str">
        <f>CONCATENATE(Table_Query_from_AMULTIQRY45[[#This Row],[WWHS]],"-",Table_Query_from_AMULTIQRY45[[#This Row],[LLOC]])</f>
        <v>E1-FG</v>
      </c>
      <c r="Q118" s="10">
        <f t="shared" ca="1" si="3"/>
        <v>45775</v>
      </c>
      <c r="R118" s="10"/>
      <c r="S118" s="28">
        <v>366</v>
      </c>
      <c r="T118" s="1" t="s">
        <v>2</v>
      </c>
      <c r="U118" s="1" t="s">
        <v>137</v>
      </c>
      <c r="V118" s="1">
        <v>20230810</v>
      </c>
      <c r="W118" s="8" t="s">
        <v>8442</v>
      </c>
      <c r="Z118" s="1"/>
      <c r="AA118" s="1"/>
      <c r="AC118" s="1"/>
      <c r="AD118" s="1"/>
      <c r="AE118" s="1"/>
      <c r="AF118" s="1"/>
    </row>
    <row r="119" spans="2:32" ht="12.75" x14ac:dyDescent="0.2">
      <c r="B119" s="1" t="s">
        <v>8625</v>
      </c>
      <c r="C119" s="10">
        <f t="shared" ca="1" si="2"/>
        <v>45513</v>
      </c>
      <c r="D119" s="4"/>
      <c r="E119" s="4" t="s">
        <v>8434</v>
      </c>
      <c r="F119" s="4" t="s">
        <v>1293</v>
      </c>
      <c r="G119" s="4"/>
      <c r="H119" s="4" t="str">
        <f>_xlfn.IFNA(VLOOKUP(Table_Query_from_AMULTIQRY45[[#This Row],[WPROD]],'Part# with New'!$A$1:$B$4347,2,0),Table_Query_from_AMULTIQRY45[[#This Row],[WPROD]])</f>
        <v>WRJC157118011D-R470AK</v>
      </c>
      <c r="I119" s="4" t="s">
        <v>8436</v>
      </c>
      <c r="J119" s="1" t="s">
        <v>5</v>
      </c>
      <c r="L119" s="11">
        <v>4.0500000000000001E-2</v>
      </c>
      <c r="M119" s="1"/>
      <c r="N119" s="1" t="s">
        <v>34</v>
      </c>
      <c r="P119" s="1" t="str">
        <f>CONCATENATE(Table_Query_from_AMULTIQRY45[[#This Row],[WWHS]],"-",Table_Query_from_AMULTIQRY45[[#This Row],[LLOC]])</f>
        <v>E1-FG</v>
      </c>
      <c r="Q119" s="10">
        <f t="shared" ca="1" si="3"/>
        <v>45775</v>
      </c>
      <c r="R119" s="10"/>
      <c r="S119" s="28">
        <v>1450</v>
      </c>
      <c r="T119" s="1" t="s">
        <v>2</v>
      </c>
      <c r="U119" s="1" t="s">
        <v>138</v>
      </c>
      <c r="V119" s="1">
        <v>20240809</v>
      </c>
      <c r="W119" s="8" t="s">
        <v>8442</v>
      </c>
      <c r="Z119" s="1"/>
      <c r="AA119" s="1"/>
      <c r="AC119" s="1"/>
      <c r="AD119" s="1"/>
      <c r="AE119" s="1"/>
      <c r="AF119" s="1"/>
    </row>
    <row r="120" spans="2:32" ht="12.75" x14ac:dyDescent="0.2">
      <c r="B120" s="1" t="s">
        <v>8626</v>
      </c>
      <c r="C120" s="10">
        <f t="shared" ca="1" si="2"/>
        <v>45428</v>
      </c>
      <c r="D120" s="4"/>
      <c r="E120" s="4" t="s">
        <v>8434</v>
      </c>
      <c r="F120" s="4" t="s">
        <v>1293</v>
      </c>
      <c r="G120" s="4"/>
      <c r="H120" s="4" t="str">
        <f>_xlfn.IFNA(VLOOKUP(Table_Query_from_AMULTIQRY45[[#This Row],[WPROD]],'Part# with New'!$A$1:$B$4347,2,0),Table_Query_from_AMULTIQRY45[[#This Row],[WPROD]])</f>
        <v>WRJC104062007D-R470BK</v>
      </c>
      <c r="I120" s="4" t="s">
        <v>8436</v>
      </c>
      <c r="J120" s="1" t="s">
        <v>5</v>
      </c>
      <c r="L120" s="11">
        <v>3.2820000000000002E-2</v>
      </c>
      <c r="M120" s="1"/>
      <c r="N120" s="1" t="s">
        <v>34</v>
      </c>
      <c r="P120" s="1" t="str">
        <f>CONCATENATE(Table_Query_from_AMULTIQRY45[[#This Row],[WWHS]],"-",Table_Query_from_AMULTIQRY45[[#This Row],[LLOC]])</f>
        <v>E1-FG</v>
      </c>
      <c r="Q120" s="10">
        <f t="shared" ca="1" si="3"/>
        <v>45775</v>
      </c>
      <c r="R120" s="10"/>
      <c r="S120" s="28">
        <v>1363</v>
      </c>
      <c r="T120" s="1" t="s">
        <v>2</v>
      </c>
      <c r="U120" s="1" t="s">
        <v>139</v>
      </c>
      <c r="V120" s="1">
        <v>20240516</v>
      </c>
      <c r="W120" s="8" t="s">
        <v>8442</v>
      </c>
      <c r="Z120" s="1"/>
      <c r="AA120" s="1"/>
      <c r="AC120" s="1"/>
      <c r="AD120" s="1"/>
      <c r="AE120" s="1"/>
      <c r="AF120" s="1"/>
    </row>
    <row r="121" spans="2:32" ht="12.75" x14ac:dyDescent="0.2">
      <c r="B121" s="1" t="s">
        <v>8627</v>
      </c>
      <c r="C121" s="10">
        <f t="shared" ca="1" si="2"/>
        <v>45401</v>
      </c>
      <c r="D121" s="4"/>
      <c r="E121" s="4" t="s">
        <v>8434</v>
      </c>
      <c r="F121" s="4" t="s">
        <v>1293</v>
      </c>
      <c r="G121" s="4"/>
      <c r="H121" s="4" t="str">
        <f>_xlfn.IFNA(VLOOKUP(Table_Query_from_AMULTIQRY45[[#This Row],[WPROD]],'Part# with New'!$A$1:$B$4347,2,0),Table_Query_from_AMULTIQRY45[[#This Row],[WPROD]])</f>
        <v>WRJC102051009D-R470AK</v>
      </c>
      <c r="I121" s="4" t="s">
        <v>8436</v>
      </c>
      <c r="J121" s="1" t="s">
        <v>5</v>
      </c>
      <c r="L121" s="11">
        <v>5.8799999999999998E-2</v>
      </c>
      <c r="M121" s="1"/>
      <c r="N121" s="1" t="s">
        <v>34</v>
      </c>
      <c r="P121" s="1" t="str">
        <f>CONCATENATE(Table_Query_from_AMULTIQRY45[[#This Row],[WWHS]],"-",Table_Query_from_AMULTIQRY45[[#This Row],[LLOC]])</f>
        <v>E1-FG</v>
      </c>
      <c r="Q121" s="10">
        <f t="shared" ca="1" si="3"/>
        <v>45775</v>
      </c>
      <c r="R121" s="10"/>
      <c r="S121" s="28">
        <v>1200</v>
      </c>
      <c r="T121" s="1" t="s">
        <v>2</v>
      </c>
      <c r="U121" s="1" t="s">
        <v>140</v>
      </c>
      <c r="V121" s="1">
        <v>20240419</v>
      </c>
      <c r="W121" s="8" t="s">
        <v>8442</v>
      </c>
      <c r="Z121" s="1"/>
      <c r="AA121" s="1"/>
      <c r="AC121" s="1"/>
      <c r="AD121" s="1"/>
      <c r="AE121" s="1"/>
      <c r="AF121" s="1"/>
    </row>
    <row r="122" spans="2:32" ht="12.75" x14ac:dyDescent="0.2">
      <c r="B122" s="1" t="s">
        <v>8628</v>
      </c>
      <c r="C122" s="10">
        <f t="shared" ca="1" si="2"/>
        <v>45443</v>
      </c>
      <c r="D122" s="4"/>
      <c r="E122" s="4" t="s">
        <v>8434</v>
      </c>
      <c r="F122" s="4" t="s">
        <v>1293</v>
      </c>
      <c r="G122" s="4"/>
      <c r="H122" s="4" t="str">
        <f>_xlfn.IFNA(VLOOKUP(Table_Query_from_AMULTIQRY45[[#This Row],[WPROD]],'Part# with New'!$A$1:$B$4347,2,0),Table_Query_from_AMULTIQRY45[[#This Row],[WPROD]])</f>
        <v>WRJA429362009D-R470BK</v>
      </c>
      <c r="I122" s="4" t="s">
        <v>8436</v>
      </c>
      <c r="J122" s="1" t="s">
        <v>5</v>
      </c>
      <c r="L122" s="11">
        <v>0.15001</v>
      </c>
      <c r="M122" s="1"/>
      <c r="N122" s="1" t="s">
        <v>30</v>
      </c>
      <c r="P122" s="1" t="str">
        <f>CONCATENATE(Table_Query_from_AMULTIQRY45[[#This Row],[WWHS]],"-",Table_Query_from_AMULTIQRY45[[#This Row],[LLOC]])</f>
        <v>E1-FG</v>
      </c>
      <c r="Q122" s="10">
        <f t="shared" ca="1" si="3"/>
        <v>45775</v>
      </c>
      <c r="R122" s="10"/>
      <c r="S122" s="28">
        <v>962</v>
      </c>
      <c r="T122" s="1" t="s">
        <v>2</v>
      </c>
      <c r="U122" s="1" t="s">
        <v>141</v>
      </c>
      <c r="V122" s="1">
        <v>20240531</v>
      </c>
      <c r="W122" s="8" t="s">
        <v>8442</v>
      </c>
      <c r="Z122" s="1"/>
      <c r="AA122" s="1"/>
      <c r="AC122" s="1"/>
      <c r="AD122" s="1"/>
      <c r="AE122" s="1"/>
      <c r="AF122" s="1"/>
    </row>
    <row r="123" spans="2:32" ht="12.75" x14ac:dyDescent="0.2">
      <c r="B123" s="1" t="s">
        <v>8629</v>
      </c>
      <c r="C123" s="10">
        <f t="shared" ca="1" si="2"/>
        <v>45653</v>
      </c>
      <c r="D123" s="4"/>
      <c r="E123" s="4" t="s">
        <v>8434</v>
      </c>
      <c r="F123" s="4" t="s">
        <v>1293</v>
      </c>
      <c r="G123" s="4"/>
      <c r="H123" s="4" t="str">
        <f>_xlfn.IFNA(VLOOKUP(Table_Query_from_AMULTIQRY45[[#This Row],[WPROD]],'Part# with New'!$A$1:$B$4347,2,0),Table_Query_from_AMULTIQRY45[[#This Row],[WPROD]])</f>
        <v>1-10417</v>
      </c>
      <c r="I123" s="4" t="s">
        <v>8436</v>
      </c>
      <c r="J123" s="1" t="s">
        <v>5</v>
      </c>
      <c r="L123" s="11">
        <v>4.8000000000000001E-2</v>
      </c>
      <c r="M123" s="1"/>
      <c r="N123" s="1" t="s">
        <v>30</v>
      </c>
      <c r="P123" s="1" t="str">
        <f>CONCATENATE(Table_Query_from_AMULTIQRY45[[#This Row],[WWHS]],"-",Table_Query_from_AMULTIQRY45[[#This Row],[LLOC]])</f>
        <v>E1-FG</v>
      </c>
      <c r="Q123" s="10">
        <f t="shared" ca="1" si="3"/>
        <v>45775</v>
      </c>
      <c r="R123" s="10"/>
      <c r="S123" s="28">
        <v>814</v>
      </c>
      <c r="T123" s="1" t="s">
        <v>2</v>
      </c>
      <c r="U123" s="1" t="s">
        <v>142</v>
      </c>
      <c r="V123" s="1">
        <v>20241227</v>
      </c>
      <c r="W123" s="8" t="s">
        <v>8442</v>
      </c>
      <c r="Z123" s="1"/>
      <c r="AA123" s="1"/>
      <c r="AC123" s="1"/>
      <c r="AD123" s="1"/>
      <c r="AE123" s="1"/>
      <c r="AF123" s="1"/>
    </row>
    <row r="124" spans="2:32" ht="12.75" x14ac:dyDescent="0.2">
      <c r="B124" s="1" t="s">
        <v>8630</v>
      </c>
      <c r="C124" s="10">
        <f t="shared" ca="1" si="2"/>
        <v>43503</v>
      </c>
      <c r="D124" s="4"/>
      <c r="E124" s="4" t="s">
        <v>8434</v>
      </c>
      <c r="F124" s="4" t="s">
        <v>1293</v>
      </c>
      <c r="G124" s="4"/>
      <c r="H124" s="4" t="str">
        <f>_xlfn.IFNA(VLOOKUP(Table_Query_from_AMULTIQRY45[[#This Row],[WPROD]],'Part# with New'!$A$1:$B$4347,2,0),Table_Query_from_AMULTIQRY45[[#This Row],[WPROD]])</f>
        <v>WRJC122075003Q-R463AK</v>
      </c>
      <c r="I124" s="4" t="s">
        <v>8436</v>
      </c>
      <c r="J124" s="1" t="s">
        <v>46</v>
      </c>
      <c r="L124" s="11">
        <v>1.341E-2</v>
      </c>
      <c r="M124" s="1"/>
      <c r="N124" s="1" t="s">
        <v>34</v>
      </c>
      <c r="P124" s="1" t="str">
        <f>CONCATENATE(Table_Query_from_AMULTIQRY45[[#This Row],[WWHS]],"-",Table_Query_from_AMULTIQRY45[[#This Row],[LLOC]])</f>
        <v>E1-FG</v>
      </c>
      <c r="Q124" s="10">
        <f t="shared" ca="1" si="3"/>
        <v>45775</v>
      </c>
      <c r="R124" s="10"/>
      <c r="S124" s="28">
        <v>1475</v>
      </c>
      <c r="T124" s="1" t="s">
        <v>2</v>
      </c>
      <c r="U124" s="1" t="s">
        <v>143</v>
      </c>
      <c r="V124" s="1">
        <v>20190207</v>
      </c>
      <c r="W124" s="8" t="s">
        <v>8442</v>
      </c>
      <c r="Z124" s="1"/>
      <c r="AA124" s="1"/>
      <c r="AC124" s="1"/>
      <c r="AD124" s="1"/>
      <c r="AE124" s="1"/>
      <c r="AF124" s="1"/>
    </row>
    <row r="125" spans="2:32" ht="12.75" x14ac:dyDescent="0.2">
      <c r="B125" s="1" t="s">
        <v>8631</v>
      </c>
      <c r="C125" s="10">
        <f t="shared" ca="1" si="2"/>
        <v>44372</v>
      </c>
      <c r="D125" s="4"/>
      <c r="E125" s="4" t="s">
        <v>8434</v>
      </c>
      <c r="F125" s="4" t="s">
        <v>1293</v>
      </c>
      <c r="G125" s="4"/>
      <c r="H125" s="4" t="str">
        <f>_xlfn.IFNA(VLOOKUP(Table_Query_from_AMULTIQRY45[[#This Row],[WPROD]],'Part# with New'!$A$1:$B$4347,2,0),Table_Query_from_AMULTIQRY45[[#This Row],[WPROD]])</f>
        <v>WRJC154119006Q-R560AR</v>
      </c>
      <c r="I125" s="4" t="s">
        <v>8436</v>
      </c>
      <c r="J125" s="1" t="s">
        <v>5</v>
      </c>
      <c r="L125" s="11">
        <v>2.6120000000000001E-2</v>
      </c>
      <c r="M125" s="1"/>
      <c r="N125" s="1" t="s">
        <v>34</v>
      </c>
      <c r="P125" s="1" t="str">
        <f>CONCATENATE(Table_Query_from_AMULTIQRY45[[#This Row],[WWHS]],"-",Table_Query_from_AMULTIQRY45[[#This Row],[LLOC]])</f>
        <v>E1-FG</v>
      </c>
      <c r="Q125" s="10">
        <f t="shared" ca="1" si="3"/>
        <v>45775</v>
      </c>
      <c r="R125" s="10"/>
      <c r="S125" s="28">
        <v>3381</v>
      </c>
      <c r="T125" s="1" t="s">
        <v>2</v>
      </c>
      <c r="U125" s="1" t="s">
        <v>144</v>
      </c>
      <c r="V125" s="1">
        <v>20210625</v>
      </c>
      <c r="W125" s="8" t="s">
        <v>8442</v>
      </c>
      <c r="Z125" s="1"/>
      <c r="AA125" s="1"/>
      <c r="AC125" s="1"/>
      <c r="AD125" s="1"/>
      <c r="AE125" s="1"/>
      <c r="AF125" s="1"/>
    </row>
    <row r="126" spans="2:32" ht="12.75" x14ac:dyDescent="0.2">
      <c r="B126" s="1" t="s">
        <v>8632</v>
      </c>
      <c r="C126" s="10">
        <f t="shared" ca="1" si="2"/>
        <v>45645</v>
      </c>
      <c r="D126" s="4"/>
      <c r="E126" s="4" t="s">
        <v>8434</v>
      </c>
      <c r="F126" s="4" t="s">
        <v>1293</v>
      </c>
      <c r="G126" s="4"/>
      <c r="H126" s="4" t="str">
        <f>_xlfn.IFNA(VLOOKUP(Table_Query_from_AMULTIQRY45[[#This Row],[WPROD]],'Part# with New'!$A$1:$B$4347,2,0),Table_Query_from_AMULTIQRY45[[#This Row],[WPROD]])</f>
        <v>WRJC163153006D-R550AK</v>
      </c>
      <c r="I126" s="4" t="s">
        <v>8436</v>
      </c>
      <c r="J126" s="1" t="s">
        <v>46</v>
      </c>
      <c r="L126" s="11">
        <v>1.3169999999999999E-2</v>
      </c>
      <c r="M126" s="1"/>
      <c r="N126" s="1" t="s">
        <v>34</v>
      </c>
      <c r="P126" s="1" t="str">
        <f>CONCATENATE(Table_Query_from_AMULTIQRY45[[#This Row],[WWHS]],"-",Table_Query_from_AMULTIQRY45[[#This Row],[LLOC]])</f>
        <v>E1-FG</v>
      </c>
      <c r="Q126" s="10">
        <f t="shared" ca="1" si="3"/>
        <v>45775</v>
      </c>
      <c r="R126" s="10"/>
      <c r="S126" s="28">
        <v>5926</v>
      </c>
      <c r="T126" s="1" t="s">
        <v>2</v>
      </c>
      <c r="U126" s="1" t="s">
        <v>145</v>
      </c>
      <c r="V126" s="1">
        <v>20241219</v>
      </c>
      <c r="W126" s="8" t="s">
        <v>8442</v>
      </c>
      <c r="Z126" s="1"/>
      <c r="AA126" s="1"/>
      <c r="AC126" s="1"/>
      <c r="AD126" s="1"/>
      <c r="AE126" s="1"/>
      <c r="AF126" s="1"/>
    </row>
    <row r="127" spans="2:32" ht="12.75" x14ac:dyDescent="0.2">
      <c r="B127" s="1" t="s">
        <v>8633</v>
      </c>
      <c r="C127" s="10">
        <f t="shared" ca="1" si="2"/>
        <v>45243</v>
      </c>
      <c r="D127" s="4"/>
      <c r="E127" s="4" t="s">
        <v>8434</v>
      </c>
      <c r="F127" s="4" t="s">
        <v>1293</v>
      </c>
      <c r="G127" s="4"/>
      <c r="H127" s="4" t="str">
        <f>_xlfn.IFNA(VLOOKUP(Table_Query_from_AMULTIQRY45[[#This Row],[WPROD]],'Part# with New'!$A$1:$B$4347,2,0),Table_Query_from_AMULTIQRY45[[#This Row],[WPROD]])</f>
        <v>1-1524</v>
      </c>
      <c r="I127" s="4" t="s">
        <v>8436</v>
      </c>
      <c r="J127" s="1" t="s">
        <v>46</v>
      </c>
      <c r="L127" s="11">
        <v>2.4420000000000001E-2</v>
      </c>
      <c r="M127" s="1"/>
      <c r="N127" s="1" t="s">
        <v>34</v>
      </c>
      <c r="P127" s="1" t="str">
        <f>CONCATENATE(Table_Query_from_AMULTIQRY45[[#This Row],[WWHS]],"-",Table_Query_from_AMULTIQRY45[[#This Row],[LLOC]])</f>
        <v>E1-FG</v>
      </c>
      <c r="Q127" s="10">
        <f t="shared" ca="1" si="3"/>
        <v>45775</v>
      </c>
      <c r="R127" s="10"/>
      <c r="S127" s="28">
        <v>845</v>
      </c>
      <c r="T127" s="1" t="s">
        <v>2</v>
      </c>
      <c r="U127" s="1" t="s">
        <v>146</v>
      </c>
      <c r="V127" s="1">
        <v>20231113</v>
      </c>
      <c r="W127" s="8" t="s">
        <v>8442</v>
      </c>
      <c r="Z127" s="1"/>
      <c r="AA127" s="1"/>
      <c r="AC127" s="1"/>
      <c r="AD127" s="1"/>
      <c r="AE127" s="1"/>
      <c r="AF127" s="1"/>
    </row>
    <row r="128" spans="2:32" ht="12.75" x14ac:dyDescent="0.2">
      <c r="B128" s="1" t="s">
        <v>8634</v>
      </c>
      <c r="C128" s="10">
        <f t="shared" ca="1" si="2"/>
        <v>45273</v>
      </c>
      <c r="D128" s="4"/>
      <c r="E128" s="4" t="s">
        <v>8434</v>
      </c>
      <c r="F128" s="4" t="s">
        <v>1293</v>
      </c>
      <c r="G128" s="4"/>
      <c r="H128" s="4" t="str">
        <f>_xlfn.IFNA(VLOOKUP(Table_Query_from_AMULTIQRY45[[#This Row],[WPROD]],'Part# with New'!$A$1:$B$4347,2,0),Table_Query_from_AMULTIQRY45[[#This Row],[WPROD]])</f>
        <v>1-1760</v>
      </c>
      <c r="I128" s="4" t="s">
        <v>8436</v>
      </c>
      <c r="J128" s="1" t="s">
        <v>46</v>
      </c>
      <c r="L128" s="11">
        <v>4.215E-2</v>
      </c>
      <c r="M128" s="1"/>
      <c r="N128" s="1" t="s">
        <v>30</v>
      </c>
      <c r="P128" s="1" t="str">
        <f>CONCATENATE(Table_Query_from_AMULTIQRY45[[#This Row],[WWHS]],"-",Table_Query_from_AMULTIQRY45[[#This Row],[LLOC]])</f>
        <v>E1-FG</v>
      </c>
      <c r="Q128" s="10">
        <f t="shared" ca="1" si="3"/>
        <v>45775</v>
      </c>
      <c r="R128" s="10"/>
      <c r="S128" s="28">
        <v>2575</v>
      </c>
      <c r="T128" s="1" t="s">
        <v>2</v>
      </c>
      <c r="U128" s="1" t="s">
        <v>147</v>
      </c>
      <c r="V128" s="1">
        <v>20231213</v>
      </c>
      <c r="W128" s="8" t="s">
        <v>8442</v>
      </c>
      <c r="Z128" s="1"/>
      <c r="AA128" s="1"/>
      <c r="AC128" s="1"/>
      <c r="AD128" s="1"/>
      <c r="AE128" s="1"/>
      <c r="AF128" s="1"/>
    </row>
    <row r="129" spans="2:32" ht="12.75" x14ac:dyDescent="0.2">
      <c r="B129" s="1" t="s">
        <v>8635</v>
      </c>
      <c r="C129" s="10">
        <f t="shared" ca="1" si="2"/>
        <v>43887</v>
      </c>
      <c r="D129" s="4"/>
      <c r="E129" s="4" t="s">
        <v>8434</v>
      </c>
      <c r="F129" s="4" t="s">
        <v>1293</v>
      </c>
      <c r="G129" s="4"/>
      <c r="H129" s="4" t="str">
        <f>_xlfn.IFNA(VLOOKUP(Table_Query_from_AMULTIQRY45[[#This Row],[WPROD]],'Part# with New'!$A$1:$B$4347,2,0),Table_Query_from_AMULTIQRY45[[#This Row],[WPROD]])</f>
        <v>WRJA213140003Q-R470JK</v>
      </c>
      <c r="I129" s="4" t="s">
        <v>8436</v>
      </c>
      <c r="J129" s="1" t="s">
        <v>46</v>
      </c>
      <c r="L129" s="11">
        <v>2.026E-2</v>
      </c>
      <c r="M129" s="1"/>
      <c r="N129" s="1" t="s">
        <v>30</v>
      </c>
      <c r="P129" s="1" t="str">
        <f>CONCATENATE(Table_Query_from_AMULTIQRY45[[#This Row],[WWHS]],"-",Table_Query_from_AMULTIQRY45[[#This Row],[LLOC]])</f>
        <v>E1-FG</v>
      </c>
      <c r="Q129" s="10">
        <f t="shared" ca="1" si="3"/>
        <v>45775</v>
      </c>
      <c r="R129" s="10"/>
      <c r="S129" s="28">
        <v>4054.99</v>
      </c>
      <c r="T129" s="1" t="s">
        <v>2</v>
      </c>
      <c r="U129" s="1" t="s">
        <v>148</v>
      </c>
      <c r="V129" s="1">
        <v>20200226</v>
      </c>
      <c r="W129" s="8" t="s">
        <v>8442</v>
      </c>
      <c r="Z129" s="1"/>
      <c r="AA129" s="1"/>
      <c r="AC129" s="1"/>
      <c r="AD129" s="1"/>
      <c r="AE129" s="1"/>
      <c r="AF129" s="1"/>
    </row>
    <row r="130" spans="2:32" ht="12.75" x14ac:dyDescent="0.2">
      <c r="B130" s="1" t="s">
        <v>8636</v>
      </c>
      <c r="C130" s="10">
        <f t="shared" ca="1" si="2"/>
        <v>45772</v>
      </c>
      <c r="D130" s="4"/>
      <c r="E130" s="4" t="s">
        <v>8434</v>
      </c>
      <c r="F130" s="4" t="s">
        <v>1293</v>
      </c>
      <c r="G130" s="4"/>
      <c r="H130" s="4" t="str">
        <f>_xlfn.IFNA(VLOOKUP(Table_Query_from_AMULTIQRY45[[#This Row],[WPROD]],'Part# with New'!$A$1:$B$4347,2,0),Table_Query_from_AMULTIQRY45[[#This Row],[WPROD]])</f>
        <v>WRJA259187009D-R470DK</v>
      </c>
      <c r="I130" s="4" t="s">
        <v>8436</v>
      </c>
      <c r="J130" s="1" t="s">
        <v>46</v>
      </c>
      <c r="L130" s="11">
        <v>9.8040000000000002E-2</v>
      </c>
      <c r="M130" s="1"/>
      <c r="N130" s="1" t="s">
        <v>30</v>
      </c>
      <c r="P130" s="1" t="str">
        <f>CONCATENATE(Table_Query_from_AMULTIQRY45[[#This Row],[WWHS]],"-",Table_Query_from_AMULTIQRY45[[#This Row],[LLOC]])</f>
        <v>E1-FG</v>
      </c>
      <c r="Q130" s="10">
        <f t="shared" ca="1" si="3"/>
        <v>45775</v>
      </c>
      <c r="R130" s="10"/>
      <c r="S130" s="28">
        <v>2437</v>
      </c>
      <c r="T130" s="1" t="s">
        <v>2</v>
      </c>
      <c r="U130" s="1" t="s">
        <v>149</v>
      </c>
      <c r="V130" s="1">
        <v>20250425</v>
      </c>
      <c r="W130" s="8" t="s">
        <v>8442</v>
      </c>
      <c r="Z130" s="1"/>
      <c r="AA130" s="1"/>
      <c r="AC130" s="1"/>
      <c r="AD130" s="1"/>
      <c r="AE130" s="1"/>
      <c r="AF130" s="1"/>
    </row>
    <row r="131" spans="2:32" ht="12.75" x14ac:dyDescent="0.2">
      <c r="B131" s="1" t="s">
        <v>8637</v>
      </c>
      <c r="C131" s="10">
        <f t="shared" ca="1" si="2"/>
        <v>45729</v>
      </c>
      <c r="D131" s="4"/>
      <c r="E131" s="4" t="s">
        <v>8434</v>
      </c>
      <c r="F131" s="4" t="s">
        <v>1293</v>
      </c>
      <c r="G131" s="4"/>
      <c r="H131" s="4" t="str">
        <f>_xlfn.IFNA(VLOOKUP(Table_Query_from_AMULTIQRY45[[#This Row],[WPROD]],'Part# with New'!$A$1:$B$4347,2,0),Table_Query_from_AMULTIQRY45[[#This Row],[WPROD]])</f>
        <v>WRJC124111005D-R470AK</v>
      </c>
      <c r="I131" s="4" t="s">
        <v>8436</v>
      </c>
      <c r="J131" s="1" t="s">
        <v>46</v>
      </c>
      <c r="L131" s="11">
        <v>1.12E-2</v>
      </c>
      <c r="M131" s="1"/>
      <c r="N131" s="1" t="s">
        <v>34</v>
      </c>
      <c r="P131" s="1" t="str">
        <f>CONCATENATE(Table_Query_from_AMULTIQRY45[[#This Row],[WWHS]],"-",Table_Query_from_AMULTIQRY45[[#This Row],[LLOC]])</f>
        <v>E1-FG</v>
      </c>
      <c r="Q131" s="10">
        <f t="shared" ca="1" si="3"/>
        <v>45775</v>
      </c>
      <c r="R131" s="10"/>
      <c r="S131" s="28">
        <v>1845</v>
      </c>
      <c r="T131" s="1" t="s">
        <v>2</v>
      </c>
      <c r="U131" s="1" t="s">
        <v>150</v>
      </c>
      <c r="V131" s="1">
        <v>20250313</v>
      </c>
      <c r="W131" s="8" t="s">
        <v>8442</v>
      </c>
      <c r="Z131" s="1"/>
      <c r="AA131" s="1"/>
      <c r="AC131" s="1"/>
      <c r="AD131" s="1"/>
      <c r="AE131" s="1"/>
      <c r="AF131" s="1"/>
    </row>
    <row r="132" spans="2:32" ht="12.75" x14ac:dyDescent="0.2">
      <c r="B132" s="1" t="s">
        <v>8638</v>
      </c>
      <c r="C132" s="10">
        <f t="shared" ca="1" si="2"/>
        <v>43347</v>
      </c>
      <c r="D132" s="4"/>
      <c r="E132" s="4" t="s">
        <v>8434</v>
      </c>
      <c r="F132" s="4" t="s">
        <v>1293</v>
      </c>
      <c r="G132" s="4"/>
      <c r="H132" s="4" t="str">
        <f>_xlfn.IFNA(VLOOKUP(Table_Query_from_AMULTIQRY45[[#This Row],[WPROD]],'Part# with New'!$A$1:$B$4347,2,0),Table_Query_from_AMULTIQRY45[[#This Row],[WPROD]])</f>
        <v>1-205</v>
      </c>
      <c r="I132" s="4" t="s">
        <v>8436</v>
      </c>
      <c r="J132" s="1" t="s">
        <v>46</v>
      </c>
      <c r="L132" s="11">
        <v>8.2000000000000007E-3</v>
      </c>
      <c r="M132" s="1"/>
      <c r="N132" s="1" t="s">
        <v>34</v>
      </c>
      <c r="P132" s="1" t="str">
        <f>CONCATENATE(Table_Query_from_AMULTIQRY45[[#This Row],[WWHS]],"-",Table_Query_from_AMULTIQRY45[[#This Row],[LLOC]])</f>
        <v>E1-FG</v>
      </c>
      <c r="Q132" s="10">
        <f t="shared" ca="1" si="3"/>
        <v>45775</v>
      </c>
      <c r="R132" s="10"/>
      <c r="S132" s="28">
        <v>1340</v>
      </c>
      <c r="T132" s="1" t="s">
        <v>2</v>
      </c>
      <c r="U132" s="1" t="s">
        <v>151</v>
      </c>
      <c r="V132" s="1">
        <v>20180904</v>
      </c>
      <c r="W132" s="8" t="s">
        <v>8442</v>
      </c>
      <c r="Z132" s="1"/>
      <c r="AA132" s="1"/>
      <c r="AC132" s="1"/>
      <c r="AD132" s="1"/>
      <c r="AE132" s="1"/>
      <c r="AF132" s="1"/>
    </row>
    <row r="133" spans="2:32" ht="12.75" x14ac:dyDescent="0.2">
      <c r="B133" s="1" t="s">
        <v>8639</v>
      </c>
      <c r="C133" s="10">
        <f t="shared" ca="1" si="2"/>
        <v>45415</v>
      </c>
      <c r="D133" s="4"/>
      <c r="E133" s="4" t="s">
        <v>8434</v>
      </c>
      <c r="F133" s="4" t="s">
        <v>1293</v>
      </c>
      <c r="G133" s="4"/>
      <c r="H133" s="4" t="str">
        <f>_xlfn.IFNA(VLOOKUP(Table_Query_from_AMULTIQRY45[[#This Row],[WPROD]],'Part# with New'!$A$1:$B$4347,2,0),Table_Query_from_AMULTIQRY45[[#This Row],[WPROD]])</f>
        <v>WRJC211197007D-R470BK</v>
      </c>
      <c r="I133" s="4" t="s">
        <v>8436</v>
      </c>
      <c r="J133" s="1" t="s">
        <v>5</v>
      </c>
      <c r="L133" s="11">
        <v>1.6580000000000001E-2</v>
      </c>
      <c r="M133" s="1"/>
      <c r="N133" s="1" t="s">
        <v>34</v>
      </c>
      <c r="P133" s="1" t="str">
        <f>CONCATENATE(Table_Query_from_AMULTIQRY45[[#This Row],[WWHS]],"-",Table_Query_from_AMULTIQRY45[[#This Row],[LLOC]])</f>
        <v>E1-FG</v>
      </c>
      <c r="Q133" s="10">
        <f t="shared" ca="1" si="3"/>
        <v>45775</v>
      </c>
      <c r="R133" s="10"/>
      <c r="S133" s="28">
        <v>825</v>
      </c>
      <c r="T133" s="1" t="s">
        <v>2</v>
      </c>
      <c r="U133" s="1" t="s">
        <v>152</v>
      </c>
      <c r="V133" s="1">
        <v>20240503</v>
      </c>
      <c r="W133" s="8" t="s">
        <v>8442</v>
      </c>
      <c r="Z133" s="1"/>
      <c r="AA133" s="1"/>
      <c r="AC133" s="1"/>
      <c r="AD133" s="1"/>
      <c r="AE133" s="1"/>
      <c r="AF133" s="1"/>
    </row>
    <row r="134" spans="2:32" ht="12.75" x14ac:dyDescent="0.2">
      <c r="B134" s="1" t="s">
        <v>8640</v>
      </c>
      <c r="C134" s="10">
        <f t="shared" ca="1" si="2"/>
        <v>44726</v>
      </c>
      <c r="D134" s="4"/>
      <c r="E134" s="4" t="s">
        <v>8434</v>
      </c>
      <c r="F134" s="4" t="s">
        <v>1293</v>
      </c>
      <c r="G134" s="4"/>
      <c r="H134" s="4" t="str">
        <f>_xlfn.IFNA(VLOOKUP(Table_Query_from_AMULTIQRY45[[#This Row],[WPROD]],'Part# with New'!$A$1:$B$4347,2,0),Table_Query_from_AMULTIQRY45[[#This Row],[WPROD]])</f>
        <v>1-2283</v>
      </c>
      <c r="I134" s="4" t="s">
        <v>8436</v>
      </c>
      <c r="J134" s="1" t="s">
        <v>46</v>
      </c>
      <c r="L134" s="11">
        <v>1.2970000000000001E-2</v>
      </c>
      <c r="M134" s="1"/>
      <c r="N134" s="1" t="s">
        <v>34</v>
      </c>
      <c r="P134" s="1" t="str">
        <f>CONCATENATE(Table_Query_from_AMULTIQRY45[[#This Row],[WWHS]],"-",Table_Query_from_AMULTIQRY45[[#This Row],[LLOC]])</f>
        <v>E1-FG</v>
      </c>
      <c r="Q134" s="10">
        <f t="shared" ca="1" si="3"/>
        <v>45775</v>
      </c>
      <c r="R134" s="10"/>
      <c r="S134" s="28">
        <v>2785</v>
      </c>
      <c r="T134" s="1" t="s">
        <v>2</v>
      </c>
      <c r="U134" s="1" t="s">
        <v>153</v>
      </c>
      <c r="V134" s="1">
        <v>20220614</v>
      </c>
      <c r="W134" s="8" t="s">
        <v>8442</v>
      </c>
      <c r="Z134" s="1"/>
      <c r="AA134" s="1"/>
      <c r="AC134" s="1"/>
      <c r="AD134" s="1"/>
      <c r="AE134" s="1"/>
      <c r="AF134" s="1"/>
    </row>
    <row r="135" spans="2:32" ht="12.75" x14ac:dyDescent="0.2">
      <c r="B135" s="1" t="s">
        <v>8641</v>
      </c>
      <c r="C135" s="10">
        <f t="shared" ref="C135:C198" ca="1" si="4">IFERROR(DATE(LEFT($V135,4),MID($V135,5,2),RIGHT($V135,2)),TODAY())</f>
        <v>44145</v>
      </c>
      <c r="D135" s="4"/>
      <c r="E135" s="4" t="s">
        <v>8434</v>
      </c>
      <c r="F135" s="4" t="s">
        <v>1293</v>
      </c>
      <c r="G135" s="4"/>
      <c r="H135" s="4" t="str">
        <f>_xlfn.IFNA(VLOOKUP(Table_Query_from_AMULTIQRY45[[#This Row],[WPROD]],'Part# with New'!$A$1:$B$4347,2,0),Table_Query_from_AMULTIQRY45[[#This Row],[WPROD]])</f>
        <v>WRJC106034012D-R380AK</v>
      </c>
      <c r="I135" s="4" t="s">
        <v>8436</v>
      </c>
      <c r="J135" s="1" t="s">
        <v>46</v>
      </c>
      <c r="L135" s="11">
        <v>2.137E-2</v>
      </c>
      <c r="M135" s="1"/>
      <c r="N135" s="1" t="s">
        <v>34</v>
      </c>
      <c r="P135" s="1" t="str">
        <f>CONCATENATE(Table_Query_from_AMULTIQRY45[[#This Row],[WWHS]],"-",Table_Query_from_AMULTIQRY45[[#This Row],[LLOC]])</f>
        <v>E1-FG</v>
      </c>
      <c r="Q135" s="10">
        <f t="shared" ref="Q135:Q198" ca="1" si="5">+TODAY()</f>
        <v>45775</v>
      </c>
      <c r="R135" s="10"/>
      <c r="S135" s="28">
        <v>1075</v>
      </c>
      <c r="T135" s="1" t="s">
        <v>2</v>
      </c>
      <c r="U135" s="1" t="s">
        <v>154</v>
      </c>
      <c r="V135" s="1">
        <v>20201110</v>
      </c>
      <c r="W135" s="8" t="s">
        <v>8442</v>
      </c>
      <c r="Z135" s="1"/>
      <c r="AA135" s="1"/>
      <c r="AC135" s="1"/>
      <c r="AD135" s="1"/>
      <c r="AE135" s="1"/>
      <c r="AF135" s="1"/>
    </row>
    <row r="136" spans="2:32" ht="12.75" x14ac:dyDescent="0.2">
      <c r="B136" s="1" t="s">
        <v>8642</v>
      </c>
      <c r="C136" s="10">
        <f t="shared" ca="1" si="4"/>
        <v>44798</v>
      </c>
      <c r="D136" s="4"/>
      <c r="E136" s="4" t="s">
        <v>8434</v>
      </c>
      <c r="F136" s="4" t="s">
        <v>1293</v>
      </c>
      <c r="G136" s="4"/>
      <c r="H136" s="4" t="str">
        <f>_xlfn.IFNA(VLOOKUP(Table_Query_from_AMULTIQRY45[[#This Row],[WPROD]],'Part# with New'!$A$1:$B$4347,2,0),Table_Query_from_AMULTIQRY45[[#This Row],[WPROD]])</f>
        <v>WRJA230194007D-R970DK</v>
      </c>
      <c r="I136" s="4" t="s">
        <v>8436</v>
      </c>
      <c r="J136" s="1" t="s">
        <v>46</v>
      </c>
      <c r="L136" s="11">
        <v>3.9559999999999998E-2</v>
      </c>
      <c r="M136" s="1"/>
      <c r="N136" s="1" t="s">
        <v>30</v>
      </c>
      <c r="P136" s="1" t="str">
        <f>CONCATENATE(Table_Query_from_AMULTIQRY45[[#This Row],[WWHS]],"-",Table_Query_from_AMULTIQRY45[[#This Row],[LLOC]])</f>
        <v>E1-FG</v>
      </c>
      <c r="Q136" s="10">
        <f t="shared" ca="1" si="5"/>
        <v>45775</v>
      </c>
      <c r="R136" s="10"/>
      <c r="S136" s="28">
        <v>803</v>
      </c>
      <c r="T136" s="1" t="s">
        <v>2</v>
      </c>
      <c r="U136" s="1" t="s">
        <v>155</v>
      </c>
      <c r="V136" s="1">
        <v>20220825</v>
      </c>
      <c r="W136" s="8" t="s">
        <v>8442</v>
      </c>
      <c r="Z136" s="1"/>
      <c r="AA136" s="1"/>
      <c r="AC136" s="1"/>
      <c r="AD136" s="1"/>
      <c r="AE136" s="1"/>
      <c r="AF136" s="1"/>
    </row>
    <row r="137" spans="2:32" ht="12.75" x14ac:dyDescent="0.2">
      <c r="B137" s="1" t="s">
        <v>8643</v>
      </c>
      <c r="C137" s="10">
        <f t="shared" ca="1" si="4"/>
        <v>45644</v>
      </c>
      <c r="D137" s="4"/>
      <c r="E137" s="4" t="s">
        <v>8434</v>
      </c>
      <c r="F137" s="4" t="s">
        <v>1293</v>
      </c>
      <c r="G137" s="4"/>
      <c r="H137" s="4" t="str">
        <f>_xlfn.IFNA(VLOOKUP(Table_Query_from_AMULTIQRY45[[#This Row],[WPROD]],'Part# with New'!$A$1:$B$4347,2,0),Table_Query_from_AMULTIQRY45[[#This Row],[WPROD]])</f>
        <v>WRJC120090007Q-R463AK</v>
      </c>
      <c r="I137" s="4" t="s">
        <v>8436</v>
      </c>
      <c r="J137" s="1" t="s">
        <v>46</v>
      </c>
      <c r="L137" s="11">
        <v>1.504E-2</v>
      </c>
      <c r="M137" s="1"/>
      <c r="N137" s="1" t="s">
        <v>34</v>
      </c>
      <c r="P137" s="1" t="str">
        <f>CONCATENATE(Table_Query_from_AMULTIQRY45[[#This Row],[WWHS]],"-",Table_Query_from_AMULTIQRY45[[#This Row],[LLOC]])</f>
        <v>E1-FG</v>
      </c>
      <c r="Q137" s="10">
        <f t="shared" ca="1" si="5"/>
        <v>45775</v>
      </c>
      <c r="R137" s="10"/>
      <c r="S137" s="28">
        <v>3186</v>
      </c>
      <c r="T137" s="1" t="s">
        <v>2</v>
      </c>
      <c r="U137" s="1" t="s">
        <v>156</v>
      </c>
      <c r="V137" s="1">
        <v>20241218</v>
      </c>
      <c r="W137" s="8" t="s">
        <v>8442</v>
      </c>
      <c r="Z137" s="1"/>
      <c r="AA137" s="1"/>
      <c r="AC137" s="1"/>
      <c r="AD137" s="1"/>
      <c r="AE137" s="1"/>
      <c r="AF137" s="1"/>
    </row>
    <row r="138" spans="2:32" ht="12.75" x14ac:dyDescent="0.2">
      <c r="B138" s="1" t="s">
        <v>8644</v>
      </c>
      <c r="C138" s="10">
        <f t="shared" ca="1" si="4"/>
        <v>45602</v>
      </c>
      <c r="D138" s="4"/>
      <c r="E138" s="4" t="s">
        <v>8434</v>
      </c>
      <c r="F138" s="4" t="s">
        <v>1293</v>
      </c>
      <c r="G138" s="4"/>
      <c r="H138" s="4" t="str">
        <f>_xlfn.IFNA(VLOOKUP(Table_Query_from_AMULTIQRY45[[#This Row],[WPROD]],'Part# with New'!$A$1:$B$4347,2,0),Table_Query_from_AMULTIQRY45[[#This Row],[WPROD]])</f>
        <v>WRJC050027004D-R570AK</v>
      </c>
      <c r="I138" s="4" t="s">
        <v>8436</v>
      </c>
      <c r="J138" s="1" t="s">
        <v>5</v>
      </c>
      <c r="L138" s="11">
        <v>8.3300000000000006E-3</v>
      </c>
      <c r="M138" s="1"/>
      <c r="N138" s="1" t="s">
        <v>34</v>
      </c>
      <c r="P138" s="1" t="str">
        <f>CONCATENATE(Table_Query_from_AMULTIQRY45[[#This Row],[WWHS]],"-",Table_Query_from_AMULTIQRY45[[#This Row],[LLOC]])</f>
        <v>E1-FG</v>
      </c>
      <c r="Q138" s="10">
        <f t="shared" ca="1" si="5"/>
        <v>45775</v>
      </c>
      <c r="R138" s="10"/>
      <c r="S138" s="28">
        <v>320</v>
      </c>
      <c r="T138" s="1" t="s">
        <v>2</v>
      </c>
      <c r="U138" s="1" t="s">
        <v>157</v>
      </c>
      <c r="V138" s="1">
        <v>20241106</v>
      </c>
      <c r="W138" s="8" t="s">
        <v>8442</v>
      </c>
      <c r="Z138" s="1"/>
      <c r="AA138" s="1"/>
      <c r="AC138" s="1"/>
      <c r="AD138" s="1"/>
      <c r="AE138" s="1"/>
      <c r="AF138" s="1"/>
    </row>
    <row r="139" spans="2:32" ht="12.75" x14ac:dyDescent="0.2">
      <c r="B139" s="1" t="s">
        <v>8645</v>
      </c>
      <c r="C139" s="10">
        <f t="shared" ca="1" si="4"/>
        <v>44141</v>
      </c>
      <c r="D139" s="4"/>
      <c r="E139" s="4" t="s">
        <v>8434</v>
      </c>
      <c r="F139" s="4" t="s">
        <v>1293</v>
      </c>
      <c r="G139" s="4"/>
      <c r="H139" s="4" t="str">
        <f>_xlfn.IFNA(VLOOKUP(Table_Query_from_AMULTIQRY45[[#This Row],[WPROD]],'Part# with New'!$A$1:$B$4347,2,0),Table_Query_from_AMULTIQRY45[[#This Row],[WPROD]])</f>
        <v>WRJA208116006K-R470DK</v>
      </c>
      <c r="I139" s="4" t="s">
        <v>8436</v>
      </c>
      <c r="J139" s="1" t="s">
        <v>46</v>
      </c>
      <c r="L139" s="11">
        <v>6.5640000000000004E-2</v>
      </c>
      <c r="M139" s="1"/>
      <c r="N139" s="1" t="s">
        <v>30</v>
      </c>
      <c r="P139" s="1" t="str">
        <f>CONCATENATE(Table_Query_from_AMULTIQRY45[[#This Row],[WWHS]],"-",Table_Query_from_AMULTIQRY45[[#This Row],[LLOC]])</f>
        <v>E1-FG</v>
      </c>
      <c r="Q139" s="10">
        <f t="shared" ca="1" si="5"/>
        <v>45775</v>
      </c>
      <c r="R139" s="10"/>
      <c r="S139" s="28">
        <v>1130</v>
      </c>
      <c r="T139" s="1" t="s">
        <v>2</v>
      </c>
      <c r="U139" s="1" t="s">
        <v>158</v>
      </c>
      <c r="V139" s="1">
        <v>20201106</v>
      </c>
      <c r="W139" s="8" t="s">
        <v>8442</v>
      </c>
      <c r="Z139" s="1"/>
      <c r="AA139" s="1"/>
      <c r="AC139" s="1"/>
      <c r="AD139" s="1"/>
      <c r="AE139" s="1"/>
      <c r="AF139" s="1"/>
    </row>
    <row r="140" spans="2:32" ht="12.75" x14ac:dyDescent="0.2">
      <c r="B140" s="1" t="s">
        <v>8646</v>
      </c>
      <c r="C140" s="10">
        <f t="shared" ca="1" si="4"/>
        <v>45770</v>
      </c>
      <c r="D140" s="4"/>
      <c r="E140" s="4" t="s">
        <v>8434</v>
      </c>
      <c r="F140" s="4" t="s">
        <v>1293</v>
      </c>
      <c r="G140" s="4"/>
      <c r="H140" s="4" t="str">
        <f>_xlfn.IFNA(VLOOKUP(Table_Query_from_AMULTIQRY45[[#This Row],[WPROD]],'Part# with New'!$A$1:$B$4347,2,0),Table_Query_from_AMULTIQRY45[[#This Row],[WPROD]])</f>
        <v>WRJC198100005Q-R463AK</v>
      </c>
      <c r="I140" s="4" t="s">
        <v>8436</v>
      </c>
      <c r="J140" s="1" t="s">
        <v>46</v>
      </c>
      <c r="L140" s="11">
        <v>3.8109999999999998E-2</v>
      </c>
      <c r="M140" s="1"/>
      <c r="N140" s="1" t="s">
        <v>34</v>
      </c>
      <c r="P140" s="1" t="str">
        <f>CONCATENATE(Table_Query_from_AMULTIQRY45[[#This Row],[WWHS]],"-",Table_Query_from_AMULTIQRY45[[#This Row],[LLOC]])</f>
        <v>E1-FG</v>
      </c>
      <c r="Q140" s="10">
        <f t="shared" ca="1" si="5"/>
        <v>45775</v>
      </c>
      <c r="R140" s="10"/>
      <c r="S140" s="28">
        <v>8445</v>
      </c>
      <c r="T140" s="1" t="s">
        <v>2</v>
      </c>
      <c r="U140" s="1" t="s">
        <v>159</v>
      </c>
      <c r="V140" s="1">
        <v>20250423</v>
      </c>
      <c r="W140" s="8" t="s">
        <v>8442</v>
      </c>
      <c r="Z140" s="1"/>
      <c r="AA140" s="1"/>
      <c r="AC140" s="1"/>
      <c r="AD140" s="1"/>
      <c r="AE140" s="1"/>
      <c r="AF140" s="1"/>
    </row>
    <row r="141" spans="2:32" ht="12.75" x14ac:dyDescent="0.2">
      <c r="B141" s="1" t="s">
        <v>8647</v>
      </c>
      <c r="C141" s="10">
        <f t="shared" ca="1" si="4"/>
        <v>44172</v>
      </c>
      <c r="D141" s="4"/>
      <c r="E141" s="4" t="s">
        <v>8434</v>
      </c>
      <c r="F141" s="4" t="s">
        <v>1293</v>
      </c>
      <c r="G141" s="4"/>
      <c r="H141" s="4" t="str">
        <f>_xlfn.IFNA(VLOOKUP(Table_Query_from_AMULTIQRY45[[#This Row],[WPROD]],'Part# with New'!$A$1:$B$4347,2,0),Table_Query_from_AMULTIQRY45[[#This Row],[WPROD]])</f>
        <v>WRJC150050012Q-R950AK</v>
      </c>
      <c r="I141" s="4" t="s">
        <v>8436</v>
      </c>
      <c r="J141" s="1" t="s">
        <v>5</v>
      </c>
      <c r="L141" s="11">
        <v>5.0229999999999997E-2</v>
      </c>
      <c r="M141" s="1"/>
      <c r="N141" s="1" t="s">
        <v>34</v>
      </c>
      <c r="P141" s="1" t="str">
        <f>CONCATENATE(Table_Query_from_AMULTIQRY45[[#This Row],[WWHS]],"-",Table_Query_from_AMULTIQRY45[[#This Row],[LLOC]])</f>
        <v>E1-FG</v>
      </c>
      <c r="Q141" s="10">
        <f t="shared" ca="1" si="5"/>
        <v>45775</v>
      </c>
      <c r="R141" s="10"/>
      <c r="S141" s="28">
        <v>2685</v>
      </c>
      <c r="T141" s="1" t="s">
        <v>2</v>
      </c>
      <c r="U141" s="1" t="s">
        <v>160</v>
      </c>
      <c r="V141" s="1">
        <v>20201207</v>
      </c>
      <c r="W141" s="8" t="s">
        <v>8442</v>
      </c>
      <c r="Z141" s="1"/>
      <c r="AA141" s="1"/>
      <c r="AC141" s="1"/>
      <c r="AD141" s="1"/>
      <c r="AE141" s="1"/>
      <c r="AF141" s="1"/>
    </row>
    <row r="142" spans="2:32" ht="12.75" x14ac:dyDescent="0.2">
      <c r="B142" s="1" t="s">
        <v>8648</v>
      </c>
      <c r="C142" s="10">
        <f t="shared" ca="1" si="4"/>
        <v>45652</v>
      </c>
      <c r="D142" s="4"/>
      <c r="E142" s="4" t="s">
        <v>8434</v>
      </c>
      <c r="F142" s="4" t="s">
        <v>1293</v>
      </c>
      <c r="G142" s="4"/>
      <c r="H142" s="4" t="str">
        <f>_xlfn.IFNA(VLOOKUP(Table_Query_from_AMULTIQRY45[[#This Row],[WPROD]],'Part# with New'!$A$1:$B$4347,2,0),Table_Query_from_AMULTIQRY45[[#This Row],[WPROD]])</f>
        <v>WRJC117102007D-R970DK</v>
      </c>
      <c r="I142" s="4" t="s">
        <v>8436</v>
      </c>
      <c r="J142" s="1" t="s">
        <v>46</v>
      </c>
      <c r="L142" s="11">
        <v>1.5129999999999999E-2</v>
      </c>
      <c r="M142" s="1"/>
      <c r="N142" s="1" t="s">
        <v>34</v>
      </c>
      <c r="P142" s="1" t="str">
        <f>CONCATENATE(Table_Query_from_AMULTIQRY45[[#This Row],[WWHS]],"-",Table_Query_from_AMULTIQRY45[[#This Row],[LLOC]])</f>
        <v>E1-FG</v>
      </c>
      <c r="Q142" s="10">
        <f t="shared" ca="1" si="5"/>
        <v>45775</v>
      </c>
      <c r="R142" s="10"/>
      <c r="S142" s="28">
        <v>2408</v>
      </c>
      <c r="T142" s="1" t="s">
        <v>2</v>
      </c>
      <c r="U142" s="1" t="s">
        <v>161</v>
      </c>
      <c r="V142" s="1">
        <v>20241226</v>
      </c>
      <c r="W142" s="8" t="s">
        <v>8442</v>
      </c>
      <c r="Z142" s="1"/>
      <c r="AA142" s="1"/>
      <c r="AC142" s="1"/>
      <c r="AD142" s="1"/>
      <c r="AE142" s="1"/>
      <c r="AF142" s="1"/>
    </row>
    <row r="143" spans="2:32" ht="12.75" x14ac:dyDescent="0.2">
      <c r="B143" s="1" t="s">
        <v>8649</v>
      </c>
      <c r="C143" s="10">
        <f t="shared" ca="1" si="4"/>
        <v>45686</v>
      </c>
      <c r="D143" s="4"/>
      <c r="E143" s="4" t="s">
        <v>8434</v>
      </c>
      <c r="F143" s="4" t="s">
        <v>1293</v>
      </c>
      <c r="G143" s="4"/>
      <c r="H143" s="4" t="str">
        <f>_xlfn.IFNA(VLOOKUP(Table_Query_from_AMULTIQRY45[[#This Row],[WPROD]],'Part# with New'!$A$1:$B$4347,2,0),Table_Query_from_AMULTIQRY45[[#This Row],[WPROD]])</f>
        <v>WRJA415368009D-R470BK</v>
      </c>
      <c r="I143" s="4" t="s">
        <v>8436</v>
      </c>
      <c r="J143" s="1" t="s">
        <v>46</v>
      </c>
      <c r="L143" s="11">
        <v>7.9750000000000001E-2</v>
      </c>
      <c r="M143" s="1"/>
      <c r="N143" s="1" t="s">
        <v>30</v>
      </c>
      <c r="P143" s="1" t="str">
        <f>CONCATENATE(Table_Query_from_AMULTIQRY45[[#This Row],[WWHS]],"-",Table_Query_from_AMULTIQRY45[[#This Row],[LLOC]])</f>
        <v>E1-FG</v>
      </c>
      <c r="Q143" s="10">
        <f t="shared" ca="1" si="5"/>
        <v>45775</v>
      </c>
      <c r="R143" s="10"/>
      <c r="S143" s="28">
        <v>747</v>
      </c>
      <c r="T143" s="1" t="s">
        <v>2</v>
      </c>
      <c r="U143" s="1" t="s">
        <v>162</v>
      </c>
      <c r="V143" s="1">
        <v>20250129</v>
      </c>
      <c r="W143" s="8" t="s">
        <v>8442</v>
      </c>
      <c r="Z143" s="1"/>
      <c r="AA143" s="1"/>
      <c r="AC143" s="1"/>
      <c r="AD143" s="1"/>
      <c r="AE143" s="1"/>
      <c r="AF143" s="1"/>
    </row>
    <row r="144" spans="2:32" ht="12.75" x14ac:dyDescent="0.2">
      <c r="B144" s="1" t="s">
        <v>8650</v>
      </c>
      <c r="C144" s="10">
        <f t="shared" ca="1" si="4"/>
        <v>44917</v>
      </c>
      <c r="D144" s="4"/>
      <c r="E144" s="4" t="s">
        <v>8434</v>
      </c>
      <c r="F144" s="4" t="s">
        <v>1293</v>
      </c>
      <c r="G144" s="4"/>
      <c r="H144" s="4" t="str">
        <f>_xlfn.IFNA(VLOOKUP(Table_Query_from_AMULTIQRY45[[#This Row],[WPROD]],'Part# with New'!$A$1:$B$4347,2,0),Table_Query_from_AMULTIQRY45[[#This Row],[WPROD]])</f>
        <v>WRJA268248010D-R470AK</v>
      </c>
      <c r="I144" s="4" t="s">
        <v>8436</v>
      </c>
      <c r="J144" s="1" t="s">
        <v>46</v>
      </c>
      <c r="L144" s="11">
        <v>4.3470000000000002E-2</v>
      </c>
      <c r="M144" s="1"/>
      <c r="N144" s="1" t="s">
        <v>30</v>
      </c>
      <c r="P144" s="1" t="str">
        <f>CONCATENATE(Table_Query_from_AMULTIQRY45[[#This Row],[WWHS]],"-",Table_Query_from_AMULTIQRY45[[#This Row],[LLOC]])</f>
        <v>E1-FG</v>
      </c>
      <c r="Q144" s="10">
        <f t="shared" ca="1" si="5"/>
        <v>45775</v>
      </c>
      <c r="R144" s="10"/>
      <c r="S144" s="28">
        <v>1263</v>
      </c>
      <c r="T144" s="1" t="s">
        <v>2</v>
      </c>
      <c r="U144" s="1" t="s">
        <v>163</v>
      </c>
      <c r="V144" s="1">
        <v>20221222</v>
      </c>
      <c r="W144" s="8" t="s">
        <v>8442</v>
      </c>
      <c r="Z144" s="1"/>
      <c r="AA144" s="1"/>
      <c r="AC144" s="1"/>
      <c r="AD144" s="1"/>
      <c r="AE144" s="1"/>
      <c r="AF144" s="1"/>
    </row>
    <row r="145" spans="2:32" ht="12.75" x14ac:dyDescent="0.2">
      <c r="B145" s="1" t="s">
        <v>8651</v>
      </c>
      <c r="C145" s="10">
        <f t="shared" ca="1" si="4"/>
        <v>43837</v>
      </c>
      <c r="D145" s="4"/>
      <c r="E145" s="4" t="s">
        <v>8434</v>
      </c>
      <c r="F145" s="4" t="s">
        <v>1293</v>
      </c>
      <c r="G145" s="4"/>
      <c r="H145" s="4" t="str">
        <f>_xlfn.IFNA(VLOOKUP(Table_Query_from_AMULTIQRY45[[#This Row],[WPROD]],'Part# with New'!$A$1:$B$4347,2,0),Table_Query_from_AMULTIQRY45[[#This Row],[WPROD]])</f>
        <v>1-59</v>
      </c>
      <c r="I145" s="4" t="s">
        <v>8436</v>
      </c>
      <c r="J145" s="1" t="s">
        <v>46</v>
      </c>
      <c r="L145" s="11">
        <v>0.10333000000000001</v>
      </c>
      <c r="M145" s="1"/>
      <c r="N145" s="1" t="s">
        <v>30</v>
      </c>
      <c r="P145" s="1" t="str">
        <f>CONCATENATE(Table_Query_from_AMULTIQRY45[[#This Row],[WWHS]],"-",Table_Query_from_AMULTIQRY45[[#This Row],[LLOC]])</f>
        <v>E1-FG</v>
      </c>
      <c r="Q145" s="10">
        <f t="shared" ca="1" si="5"/>
        <v>45775</v>
      </c>
      <c r="R145" s="10"/>
      <c r="S145" s="28">
        <v>220</v>
      </c>
      <c r="T145" s="1" t="s">
        <v>2</v>
      </c>
      <c r="U145" s="1" t="s">
        <v>164</v>
      </c>
      <c r="V145" s="1">
        <v>20200107</v>
      </c>
      <c r="W145" s="8" t="s">
        <v>8442</v>
      </c>
      <c r="Z145" s="1"/>
      <c r="AA145" s="1"/>
      <c r="AC145" s="1"/>
      <c r="AD145" s="1"/>
      <c r="AE145" s="1"/>
      <c r="AF145" s="1"/>
    </row>
    <row r="146" spans="2:32" ht="12.75" x14ac:dyDescent="0.2">
      <c r="B146" s="1" t="s">
        <v>8652</v>
      </c>
      <c r="C146" s="10">
        <f t="shared" ca="1" si="4"/>
        <v>45714</v>
      </c>
      <c r="D146" s="4"/>
      <c r="E146" s="4" t="s">
        <v>8434</v>
      </c>
      <c r="F146" s="4" t="s">
        <v>1293</v>
      </c>
      <c r="G146" s="4"/>
      <c r="H146" s="4" t="str">
        <f>_xlfn.IFNA(VLOOKUP(Table_Query_from_AMULTIQRY45[[#This Row],[WPROD]],'Part# with New'!$A$1:$B$4347,2,0),Table_Query_from_AMULTIQRY45[[#This Row],[WPROD]])</f>
        <v>WRJC140100012D-R470BK</v>
      </c>
      <c r="I146" s="4" t="s">
        <v>8436</v>
      </c>
      <c r="J146" s="1" t="s">
        <v>46</v>
      </c>
      <c r="L146" s="11">
        <v>3.2390000000000002E-2</v>
      </c>
      <c r="M146" s="1"/>
      <c r="N146" s="1" t="s">
        <v>34</v>
      </c>
      <c r="P146" s="1" t="str">
        <f>CONCATENATE(Table_Query_from_AMULTIQRY45[[#This Row],[WWHS]],"-",Table_Query_from_AMULTIQRY45[[#This Row],[LLOC]])</f>
        <v>E1-FG</v>
      </c>
      <c r="Q146" s="10">
        <f t="shared" ca="1" si="5"/>
        <v>45775</v>
      </c>
      <c r="R146" s="10"/>
      <c r="S146" s="28">
        <v>1812</v>
      </c>
      <c r="T146" s="1" t="s">
        <v>2</v>
      </c>
      <c r="U146" s="1" t="s">
        <v>165</v>
      </c>
      <c r="V146" s="1">
        <v>20250226</v>
      </c>
      <c r="W146" s="8" t="s">
        <v>8442</v>
      </c>
      <c r="Z146" s="1"/>
      <c r="AA146" s="1"/>
      <c r="AC146" s="1"/>
      <c r="AD146" s="1"/>
      <c r="AE146" s="1"/>
      <c r="AF146" s="1"/>
    </row>
    <row r="147" spans="2:32" ht="12.75" x14ac:dyDescent="0.2">
      <c r="B147" s="1" t="s">
        <v>8653</v>
      </c>
      <c r="C147" s="10">
        <f t="shared" ca="1" si="4"/>
        <v>43959</v>
      </c>
      <c r="D147" s="4"/>
      <c r="E147" s="4" t="s">
        <v>8434</v>
      </c>
      <c r="F147" s="4" t="s">
        <v>1293</v>
      </c>
      <c r="G147" s="4"/>
      <c r="H147" s="4" t="str">
        <f>_xlfn.IFNA(VLOOKUP(Table_Query_from_AMULTIQRY45[[#This Row],[WPROD]],'Part# with New'!$A$1:$B$4347,2,0),Table_Query_from_AMULTIQRY45[[#This Row],[WPROD]])</f>
        <v>WRJA238220005D-R460CK</v>
      </c>
      <c r="I147" s="4" t="s">
        <v>8436</v>
      </c>
      <c r="J147" s="1" t="s">
        <v>46</v>
      </c>
      <c r="L147" s="11">
        <v>1.456E-2</v>
      </c>
      <c r="M147" s="1"/>
      <c r="N147" s="1" t="s">
        <v>30</v>
      </c>
      <c r="P147" s="1" t="str">
        <f>CONCATENATE(Table_Query_from_AMULTIQRY45[[#This Row],[WWHS]],"-",Table_Query_from_AMULTIQRY45[[#This Row],[LLOC]])</f>
        <v>E1-FG</v>
      </c>
      <c r="Q147" s="10">
        <f t="shared" ca="1" si="5"/>
        <v>45775</v>
      </c>
      <c r="R147" s="10"/>
      <c r="S147" s="28">
        <v>35000</v>
      </c>
      <c r="T147" s="1" t="s">
        <v>2</v>
      </c>
      <c r="U147" s="1" t="s">
        <v>166</v>
      </c>
      <c r="V147" s="1">
        <v>20200508</v>
      </c>
      <c r="W147" s="8" t="s">
        <v>8442</v>
      </c>
      <c r="Z147" s="1"/>
      <c r="AA147" s="1"/>
      <c r="AC147" s="1"/>
      <c r="AD147" s="1"/>
      <c r="AE147" s="1"/>
      <c r="AF147" s="1"/>
    </row>
    <row r="148" spans="2:32" ht="12.75" x14ac:dyDescent="0.2">
      <c r="B148" s="1" t="s">
        <v>8654</v>
      </c>
      <c r="C148" s="10">
        <f t="shared" ca="1" si="4"/>
        <v>45643</v>
      </c>
      <c r="D148" s="4"/>
      <c r="E148" s="4" t="s">
        <v>8434</v>
      </c>
      <c r="F148" s="4" t="s">
        <v>1293</v>
      </c>
      <c r="G148" s="4"/>
      <c r="H148" s="4" t="str">
        <f>_xlfn.IFNA(VLOOKUP(Table_Query_from_AMULTIQRY45[[#This Row],[WPROD]],'Part# with New'!$A$1:$B$4347,2,0),Table_Query_from_AMULTIQRY45[[#This Row],[WPROD]])</f>
        <v>WRJC081062012K-R490AK</v>
      </c>
      <c r="I148" s="4" t="s">
        <v>8436</v>
      </c>
      <c r="J148" s="1" t="s">
        <v>46</v>
      </c>
      <c r="L148" s="11">
        <v>1.4829999999999999E-2</v>
      </c>
      <c r="M148" s="1"/>
      <c r="N148" s="1" t="s">
        <v>34</v>
      </c>
      <c r="P148" s="1" t="str">
        <f>CONCATENATE(Table_Query_from_AMULTIQRY45[[#This Row],[WWHS]],"-",Table_Query_from_AMULTIQRY45[[#This Row],[LLOC]])</f>
        <v>E1-FG</v>
      </c>
      <c r="Q148" s="10">
        <f t="shared" ca="1" si="5"/>
        <v>45775</v>
      </c>
      <c r="R148" s="10"/>
      <c r="S148" s="28">
        <v>780</v>
      </c>
      <c r="T148" s="1" t="s">
        <v>2</v>
      </c>
      <c r="U148" s="1" t="s">
        <v>167</v>
      </c>
      <c r="V148" s="1">
        <v>20241217</v>
      </c>
      <c r="W148" s="8" t="s">
        <v>8442</v>
      </c>
      <c r="Z148" s="1"/>
      <c r="AA148" s="1"/>
      <c r="AC148" s="1"/>
      <c r="AD148" s="1"/>
      <c r="AE148" s="1"/>
      <c r="AF148" s="1"/>
    </row>
    <row r="149" spans="2:32" ht="12.75" x14ac:dyDescent="0.2">
      <c r="B149" s="1" t="s">
        <v>8655</v>
      </c>
      <c r="C149" s="10">
        <f t="shared" ca="1" si="4"/>
        <v>44943</v>
      </c>
      <c r="D149" s="4"/>
      <c r="E149" s="4" t="s">
        <v>8434</v>
      </c>
      <c r="F149" s="4" t="s">
        <v>1293</v>
      </c>
      <c r="G149" s="4"/>
      <c r="H149" s="4" t="str">
        <f>_xlfn.IFNA(VLOOKUP(Table_Query_from_AMULTIQRY45[[#This Row],[WPROD]],'Part# with New'!$A$1:$B$4347,2,0),Table_Query_from_AMULTIQRY45[[#This Row],[WPROD]])</f>
        <v>WRJA212134012D-R590AK</v>
      </c>
      <c r="I149" s="4" t="s">
        <v>8436</v>
      </c>
      <c r="J149" s="1" t="s">
        <v>46</v>
      </c>
      <c r="L149" s="11">
        <v>0.15182000000000001</v>
      </c>
      <c r="M149" s="1"/>
      <c r="N149" s="1" t="s">
        <v>30</v>
      </c>
      <c r="P149" s="1" t="str">
        <f>CONCATENATE(Table_Query_from_AMULTIQRY45[[#This Row],[WWHS]],"-",Table_Query_from_AMULTIQRY45[[#This Row],[LLOC]])</f>
        <v>E1-FG</v>
      </c>
      <c r="Q149" s="10">
        <f t="shared" ca="1" si="5"/>
        <v>45775</v>
      </c>
      <c r="R149" s="10"/>
      <c r="S149" s="28">
        <v>455</v>
      </c>
      <c r="T149" s="1" t="s">
        <v>2</v>
      </c>
      <c r="U149" s="1" t="s">
        <v>168</v>
      </c>
      <c r="V149" s="1">
        <v>20230117</v>
      </c>
      <c r="W149" s="8" t="s">
        <v>8442</v>
      </c>
      <c r="Z149" s="1"/>
      <c r="AA149" s="1"/>
      <c r="AC149" s="1"/>
      <c r="AD149" s="1"/>
      <c r="AE149" s="1"/>
      <c r="AF149" s="1"/>
    </row>
    <row r="150" spans="2:32" ht="12.75" x14ac:dyDescent="0.2">
      <c r="B150" s="1" t="s">
        <v>8656</v>
      </c>
      <c r="C150" s="10">
        <f t="shared" ca="1" si="4"/>
        <v>45678</v>
      </c>
      <c r="D150" s="4"/>
      <c r="E150" s="4" t="s">
        <v>8434</v>
      </c>
      <c r="F150" s="4" t="s">
        <v>1293</v>
      </c>
      <c r="G150" s="4"/>
      <c r="H150" s="4" t="str">
        <f>_xlfn.IFNA(VLOOKUP(Table_Query_from_AMULTIQRY45[[#This Row],[WPROD]],'Part# with New'!$A$1:$B$4347,2,0),Table_Query_from_AMULTIQRY45[[#This Row],[WPROD]])</f>
        <v>WRJC124100007Q-R540AK</v>
      </c>
      <c r="I150" s="4" t="s">
        <v>8436</v>
      </c>
      <c r="J150" s="1" t="s">
        <v>46</v>
      </c>
      <c r="L150" s="11">
        <v>1.634E-2</v>
      </c>
      <c r="M150" s="1"/>
      <c r="N150" s="1" t="s">
        <v>34</v>
      </c>
      <c r="P150" s="1" t="str">
        <f>CONCATENATE(Table_Query_from_AMULTIQRY45[[#This Row],[WWHS]],"-",Table_Query_from_AMULTIQRY45[[#This Row],[LLOC]])</f>
        <v>E1-FG</v>
      </c>
      <c r="Q150" s="10">
        <f t="shared" ca="1" si="5"/>
        <v>45775</v>
      </c>
      <c r="R150" s="10"/>
      <c r="S150" s="28">
        <v>595</v>
      </c>
      <c r="T150" s="1" t="s">
        <v>2</v>
      </c>
      <c r="U150" s="1" t="s">
        <v>169</v>
      </c>
      <c r="V150" s="1">
        <v>20250121</v>
      </c>
      <c r="W150" s="8" t="s">
        <v>8442</v>
      </c>
      <c r="Z150" s="1"/>
      <c r="AA150" s="1"/>
      <c r="AC150" s="1"/>
      <c r="AD150" s="1"/>
      <c r="AE150" s="1"/>
      <c r="AF150" s="1"/>
    </row>
    <row r="151" spans="2:32" ht="12.75" x14ac:dyDescent="0.2">
      <c r="B151" s="1" t="s">
        <v>8657</v>
      </c>
      <c r="C151" s="10">
        <f t="shared" ca="1" si="4"/>
        <v>44845</v>
      </c>
      <c r="D151" s="4"/>
      <c r="E151" s="4" t="s">
        <v>8434</v>
      </c>
      <c r="F151" s="4" t="s">
        <v>1293</v>
      </c>
      <c r="G151" s="4"/>
      <c r="H151" s="4" t="str">
        <f>_xlfn.IFNA(VLOOKUP(Table_Query_from_AMULTIQRY45[[#This Row],[WPROD]],'Part# with New'!$A$1:$B$4347,2,0),Table_Query_from_AMULTIQRY45[[#This Row],[WPROD]])</f>
        <v>WRJA203158009D-R480AK</v>
      </c>
      <c r="I151" s="4" t="s">
        <v>8436</v>
      </c>
      <c r="J151" s="1" t="s">
        <v>5</v>
      </c>
      <c r="L151" s="11">
        <v>3.8710000000000001E-2</v>
      </c>
      <c r="M151" s="1"/>
      <c r="N151" s="1" t="s">
        <v>30</v>
      </c>
      <c r="P151" s="1" t="str">
        <f>CONCATENATE(Table_Query_from_AMULTIQRY45[[#This Row],[WWHS]],"-",Table_Query_from_AMULTIQRY45[[#This Row],[LLOC]])</f>
        <v>E1-FG</v>
      </c>
      <c r="Q151" s="10">
        <f t="shared" ca="1" si="5"/>
        <v>45775</v>
      </c>
      <c r="R151" s="10"/>
      <c r="S151" s="28">
        <v>890</v>
      </c>
      <c r="T151" s="1" t="s">
        <v>2</v>
      </c>
      <c r="U151" s="1" t="s">
        <v>170</v>
      </c>
      <c r="V151" s="1">
        <v>20221011</v>
      </c>
      <c r="W151" s="8" t="s">
        <v>8442</v>
      </c>
      <c r="Z151" s="1"/>
      <c r="AA151" s="1"/>
      <c r="AC151" s="1"/>
      <c r="AD151" s="1"/>
      <c r="AE151" s="1"/>
      <c r="AF151" s="1"/>
    </row>
    <row r="152" spans="2:32" ht="12.75" x14ac:dyDescent="0.2">
      <c r="B152" s="1" t="s">
        <v>8658</v>
      </c>
      <c r="C152" s="10">
        <f t="shared" ca="1" si="4"/>
        <v>44763</v>
      </c>
      <c r="D152" s="4"/>
      <c r="E152" s="4" t="s">
        <v>8434</v>
      </c>
      <c r="F152" s="4" t="s">
        <v>1293</v>
      </c>
      <c r="G152" s="4"/>
      <c r="H152" s="4" t="str">
        <f>_xlfn.IFNA(VLOOKUP(Table_Query_from_AMULTIQRY45[[#This Row],[WPROD]],'Part# with New'!$A$1:$B$4347,2,0),Table_Query_from_AMULTIQRY45[[#This Row],[WPROD]])</f>
        <v>WRJA519502012D-R470BK</v>
      </c>
      <c r="I152" s="4" t="s">
        <v>8436</v>
      </c>
      <c r="J152" s="1" t="s">
        <v>46</v>
      </c>
      <c r="L152" s="11">
        <v>6.5350000000000005E-2</v>
      </c>
      <c r="M152" s="1"/>
      <c r="N152" s="1" t="s">
        <v>30</v>
      </c>
      <c r="P152" s="1" t="str">
        <f>CONCATENATE(Table_Query_from_AMULTIQRY45[[#This Row],[WWHS]],"-",Table_Query_from_AMULTIQRY45[[#This Row],[LLOC]])</f>
        <v>E1-FG</v>
      </c>
      <c r="Q152" s="10">
        <f t="shared" ca="1" si="5"/>
        <v>45775</v>
      </c>
      <c r="R152" s="10"/>
      <c r="S152" s="28">
        <v>350</v>
      </c>
      <c r="T152" s="1" t="s">
        <v>2</v>
      </c>
      <c r="U152" s="1" t="s">
        <v>171</v>
      </c>
      <c r="V152" s="1">
        <v>20220721</v>
      </c>
      <c r="W152" s="8" t="s">
        <v>8442</v>
      </c>
      <c r="Z152" s="1"/>
      <c r="AA152" s="1"/>
      <c r="AC152" s="1"/>
      <c r="AD152" s="1"/>
      <c r="AE152" s="1"/>
      <c r="AF152" s="1"/>
    </row>
    <row r="153" spans="2:32" ht="12.75" x14ac:dyDescent="0.2">
      <c r="B153" s="1" t="s">
        <v>8659</v>
      </c>
      <c r="C153" s="10">
        <f t="shared" ca="1" si="4"/>
        <v>45534</v>
      </c>
      <c r="D153" s="4"/>
      <c r="E153" s="4" t="s">
        <v>8434</v>
      </c>
      <c r="F153" s="4" t="s">
        <v>1293</v>
      </c>
      <c r="G153" s="4"/>
      <c r="H153" s="4" t="str">
        <f>_xlfn.IFNA(VLOOKUP(Table_Query_from_AMULTIQRY45[[#This Row],[WPROD]],'Part# with New'!$A$1:$B$4347,2,0),Table_Query_from_AMULTIQRY45[[#This Row],[WPROD]])</f>
        <v>WRJC187143012D-R570AK</v>
      </c>
      <c r="I153" s="4" t="s">
        <v>8436</v>
      </c>
      <c r="J153" s="1" t="s">
        <v>46</v>
      </c>
      <c r="L153" s="11">
        <v>0.1071</v>
      </c>
      <c r="M153" s="1"/>
      <c r="N153" s="1" t="s">
        <v>34</v>
      </c>
      <c r="P153" s="1" t="str">
        <f>CONCATENATE(Table_Query_from_AMULTIQRY45[[#This Row],[WWHS]],"-",Table_Query_from_AMULTIQRY45[[#This Row],[LLOC]])</f>
        <v>E1-FG</v>
      </c>
      <c r="Q153" s="10">
        <f t="shared" ca="1" si="5"/>
        <v>45775</v>
      </c>
      <c r="R153" s="10"/>
      <c r="S153" s="28">
        <v>1475</v>
      </c>
      <c r="T153" s="1" t="s">
        <v>2</v>
      </c>
      <c r="U153" s="1" t="s">
        <v>172</v>
      </c>
      <c r="V153" s="1">
        <v>20240830</v>
      </c>
      <c r="W153" s="8" t="s">
        <v>8442</v>
      </c>
      <c r="Z153" s="1"/>
      <c r="AA153" s="1"/>
      <c r="AC153" s="1"/>
      <c r="AD153" s="1"/>
      <c r="AE153" s="1"/>
      <c r="AF153" s="1"/>
    </row>
    <row r="154" spans="2:32" ht="12.75" x14ac:dyDescent="0.2">
      <c r="B154" s="1" t="s">
        <v>8660</v>
      </c>
      <c r="C154" s="10">
        <f t="shared" ca="1" si="4"/>
        <v>45531</v>
      </c>
      <c r="D154" s="4"/>
      <c r="E154" s="4" t="s">
        <v>8434</v>
      </c>
      <c r="F154" s="4" t="s">
        <v>1293</v>
      </c>
      <c r="G154" s="4"/>
      <c r="H154" s="4" t="str">
        <f>_xlfn.IFNA(VLOOKUP(Table_Query_from_AMULTIQRY45[[#This Row],[WPROD]],'Part# with New'!$A$1:$B$4347,2,0),Table_Query_from_AMULTIQRY45[[#This Row],[WPROD]])</f>
        <v>WRJA337312012D-R550BK</v>
      </c>
      <c r="I154" s="4" t="s">
        <v>8436</v>
      </c>
      <c r="J154" s="1" t="s">
        <v>46</v>
      </c>
      <c r="L154" s="11">
        <v>7.5469999999999995E-2</v>
      </c>
      <c r="M154" s="1"/>
      <c r="N154" s="1" t="s">
        <v>30</v>
      </c>
      <c r="P154" s="1" t="str">
        <f>CONCATENATE(Table_Query_from_AMULTIQRY45[[#This Row],[WWHS]],"-",Table_Query_from_AMULTIQRY45[[#This Row],[LLOC]])</f>
        <v>E1-FG</v>
      </c>
      <c r="Q154" s="10">
        <f t="shared" ca="1" si="5"/>
        <v>45775</v>
      </c>
      <c r="R154" s="10"/>
      <c r="S154" s="28">
        <v>325</v>
      </c>
      <c r="T154" s="1" t="s">
        <v>2</v>
      </c>
      <c r="U154" s="1" t="s">
        <v>173</v>
      </c>
      <c r="V154" s="1">
        <v>20240827</v>
      </c>
      <c r="W154" s="8" t="s">
        <v>8442</v>
      </c>
      <c r="Z154" s="1"/>
      <c r="AA154" s="1"/>
      <c r="AC154" s="1"/>
      <c r="AD154" s="1"/>
      <c r="AE154" s="1"/>
      <c r="AF154" s="1"/>
    </row>
    <row r="155" spans="2:32" ht="12.75" x14ac:dyDescent="0.2">
      <c r="B155" s="1" t="s">
        <v>8661</v>
      </c>
      <c r="C155" s="10">
        <f t="shared" ca="1" si="4"/>
        <v>45414</v>
      </c>
      <c r="D155" s="4"/>
      <c r="E155" s="4" t="s">
        <v>8434</v>
      </c>
      <c r="F155" s="4" t="s">
        <v>1293</v>
      </c>
      <c r="G155" s="4"/>
      <c r="H155" s="4" t="str">
        <f>_xlfn.IFNA(VLOOKUP(Table_Query_from_AMULTIQRY45[[#This Row],[WPROD]],'Part# with New'!$A$1:$B$4347,2,0),Table_Query_from_AMULTIQRY45[[#This Row],[WPROD]])</f>
        <v>WRJA402384009D-R490AK</v>
      </c>
      <c r="I155" s="4" t="s">
        <v>8436</v>
      </c>
      <c r="J155" s="1" t="s">
        <v>46</v>
      </c>
      <c r="L155" s="11">
        <v>6.7519999999999997E-2</v>
      </c>
      <c r="M155" s="1"/>
      <c r="N155" s="1" t="s">
        <v>30</v>
      </c>
      <c r="P155" s="1" t="str">
        <f>CONCATENATE(Table_Query_from_AMULTIQRY45[[#This Row],[WWHS]],"-",Table_Query_from_AMULTIQRY45[[#This Row],[LLOC]])</f>
        <v>E1-FG</v>
      </c>
      <c r="Q155" s="10">
        <f t="shared" ca="1" si="5"/>
        <v>45775</v>
      </c>
      <c r="R155" s="10"/>
      <c r="S155" s="28">
        <v>1100</v>
      </c>
      <c r="T155" s="1" t="s">
        <v>2</v>
      </c>
      <c r="U155" s="1" t="s">
        <v>174</v>
      </c>
      <c r="V155" s="1">
        <v>20240502</v>
      </c>
      <c r="W155" s="8" t="s">
        <v>8442</v>
      </c>
      <c r="Z155" s="1"/>
      <c r="AA155" s="1"/>
      <c r="AC155" s="1"/>
      <c r="AD155" s="1"/>
      <c r="AE155" s="1"/>
      <c r="AF155" s="1"/>
    </row>
    <row r="156" spans="2:32" ht="12.75" x14ac:dyDescent="0.2">
      <c r="B156" s="1" t="s">
        <v>8662</v>
      </c>
      <c r="C156" s="10">
        <f t="shared" ca="1" si="4"/>
        <v>44146</v>
      </c>
      <c r="D156" s="4"/>
      <c r="E156" s="4" t="s">
        <v>8434</v>
      </c>
      <c r="F156" s="4" t="s">
        <v>1293</v>
      </c>
      <c r="G156" s="4"/>
      <c r="H156" s="4" t="str">
        <f>_xlfn.IFNA(VLOOKUP(Table_Query_from_AMULTIQRY45[[#This Row],[WPROD]],'Part# with New'!$A$1:$B$4347,2,0),Table_Query_from_AMULTIQRY45[[#This Row],[WPROD]])</f>
        <v>WRJC155118007D-R450CK</v>
      </c>
      <c r="I156" s="4" t="s">
        <v>8436</v>
      </c>
      <c r="J156" s="1" t="s">
        <v>46</v>
      </c>
      <c r="L156" s="11">
        <v>2.0279999999999999E-2</v>
      </c>
      <c r="M156" s="1"/>
      <c r="N156" s="1" t="s">
        <v>34</v>
      </c>
      <c r="P156" s="1" t="str">
        <f>CONCATENATE(Table_Query_from_AMULTIQRY45[[#This Row],[WWHS]],"-",Table_Query_from_AMULTIQRY45[[#This Row],[LLOC]])</f>
        <v>E1-FG</v>
      </c>
      <c r="Q156" s="10">
        <f t="shared" ca="1" si="5"/>
        <v>45775</v>
      </c>
      <c r="R156" s="10"/>
      <c r="S156" s="28">
        <v>1750</v>
      </c>
      <c r="T156" s="1" t="s">
        <v>2</v>
      </c>
      <c r="U156" s="1" t="s">
        <v>175</v>
      </c>
      <c r="V156" s="1">
        <v>20201111</v>
      </c>
      <c r="W156" s="8" t="s">
        <v>8442</v>
      </c>
      <c r="Z156" s="1"/>
      <c r="AA156" s="1"/>
      <c r="AC156" s="1"/>
      <c r="AD156" s="1"/>
      <c r="AE156" s="1"/>
      <c r="AF156" s="1"/>
    </row>
    <row r="157" spans="2:32" ht="12.75" x14ac:dyDescent="0.2">
      <c r="B157" s="1" t="s">
        <v>8663</v>
      </c>
      <c r="C157" s="10">
        <f t="shared" ca="1" si="4"/>
        <v>43476</v>
      </c>
      <c r="D157" s="4"/>
      <c r="E157" s="4" t="s">
        <v>8434</v>
      </c>
      <c r="F157" s="4" t="s">
        <v>1293</v>
      </c>
      <c r="G157" s="4"/>
      <c r="H157" s="4" t="str">
        <f>_xlfn.IFNA(VLOOKUP(Table_Query_from_AMULTIQRY45[[#This Row],[WPROD]],'Part# with New'!$A$1:$B$4347,2,0),Table_Query_from_AMULTIQRY45[[#This Row],[WPROD]])</f>
        <v>WRJC200076003Q-R465AK</v>
      </c>
      <c r="I157" s="4" t="s">
        <v>8436</v>
      </c>
      <c r="J157" s="1" t="s">
        <v>46</v>
      </c>
      <c r="L157" s="11">
        <v>7.1069999999999994E-2</v>
      </c>
      <c r="M157" s="1"/>
      <c r="N157" s="1" t="s">
        <v>34</v>
      </c>
      <c r="P157" s="1" t="str">
        <f>CONCATENATE(Table_Query_from_AMULTIQRY45[[#This Row],[WWHS]],"-",Table_Query_from_AMULTIQRY45[[#This Row],[LLOC]])</f>
        <v>E1-FG</v>
      </c>
      <c r="Q157" s="10">
        <f t="shared" ca="1" si="5"/>
        <v>45775</v>
      </c>
      <c r="R157" s="10"/>
      <c r="S157" s="28">
        <v>5890</v>
      </c>
      <c r="T157" s="1" t="s">
        <v>2</v>
      </c>
      <c r="U157" s="1" t="s">
        <v>176</v>
      </c>
      <c r="V157" s="1">
        <v>20190111</v>
      </c>
      <c r="W157" s="8" t="s">
        <v>8442</v>
      </c>
      <c r="Z157" s="1"/>
      <c r="AA157" s="1"/>
      <c r="AC157" s="1"/>
      <c r="AD157" s="1"/>
      <c r="AE157" s="1"/>
      <c r="AF157" s="1"/>
    </row>
    <row r="158" spans="2:32" ht="12.75" x14ac:dyDescent="0.2">
      <c r="B158" s="1" t="s">
        <v>8664</v>
      </c>
      <c r="C158" s="10">
        <f t="shared" ca="1" si="4"/>
        <v>45707</v>
      </c>
      <c r="D158" s="4"/>
      <c r="E158" s="4" t="s">
        <v>8434</v>
      </c>
      <c r="F158" s="4" t="s">
        <v>1293</v>
      </c>
      <c r="G158" s="4"/>
      <c r="H158" s="4" t="str">
        <f>_xlfn.IFNA(VLOOKUP(Table_Query_from_AMULTIQRY45[[#This Row],[WPROD]],'Part# with New'!$A$1:$B$4347,2,0),Table_Query_from_AMULTIQRY45[[#This Row],[WPROD]])</f>
        <v>WRJC075057006D-R980BK</v>
      </c>
      <c r="I158" s="4" t="s">
        <v>8436</v>
      </c>
      <c r="J158" s="1" t="s">
        <v>46</v>
      </c>
      <c r="L158" s="11">
        <v>1.025E-2</v>
      </c>
      <c r="M158" s="1"/>
      <c r="N158" s="1" t="s">
        <v>34</v>
      </c>
      <c r="P158" s="1" t="str">
        <f>CONCATENATE(Table_Query_from_AMULTIQRY45[[#This Row],[WWHS]],"-",Table_Query_from_AMULTIQRY45[[#This Row],[LLOC]])</f>
        <v>E1-FG</v>
      </c>
      <c r="Q158" s="10">
        <f t="shared" ca="1" si="5"/>
        <v>45775</v>
      </c>
      <c r="R158" s="10"/>
      <c r="S158" s="28">
        <v>785</v>
      </c>
      <c r="T158" s="1" t="s">
        <v>2</v>
      </c>
      <c r="U158" s="1" t="s">
        <v>177</v>
      </c>
      <c r="V158" s="1">
        <v>20250219</v>
      </c>
      <c r="W158" s="8" t="s">
        <v>8442</v>
      </c>
      <c r="Z158" s="1"/>
      <c r="AA158" s="1"/>
      <c r="AC158" s="1"/>
      <c r="AD158" s="1"/>
      <c r="AE158" s="1"/>
      <c r="AF158" s="1"/>
    </row>
    <row r="159" spans="2:32" ht="12.75" x14ac:dyDescent="0.2">
      <c r="B159" s="1" t="s">
        <v>8665</v>
      </c>
      <c r="C159" s="10">
        <f t="shared" ca="1" si="4"/>
        <v>45569</v>
      </c>
      <c r="D159" s="4"/>
      <c r="E159" s="4" t="s">
        <v>8434</v>
      </c>
      <c r="F159" s="4" t="s">
        <v>1293</v>
      </c>
      <c r="G159" s="4"/>
      <c r="H159" s="4" t="str">
        <f>_xlfn.IFNA(VLOOKUP(Table_Query_from_AMULTIQRY45[[#This Row],[WPROD]],'Part# with New'!$A$1:$B$4347,2,0),Table_Query_from_AMULTIQRY45[[#This Row],[WPROD]])</f>
        <v>WRJC121042009D-R870AK</v>
      </c>
      <c r="I159" s="4" t="s">
        <v>8436</v>
      </c>
      <c r="J159" s="1" t="s">
        <v>46</v>
      </c>
      <c r="L159" s="11">
        <v>2.929E-2</v>
      </c>
      <c r="M159" s="1"/>
      <c r="N159" s="1" t="s">
        <v>34</v>
      </c>
      <c r="P159" s="1" t="str">
        <f>CONCATENATE(Table_Query_from_AMULTIQRY45[[#This Row],[WWHS]],"-",Table_Query_from_AMULTIQRY45[[#This Row],[LLOC]])</f>
        <v>E1-FG</v>
      </c>
      <c r="Q159" s="10">
        <f t="shared" ca="1" si="5"/>
        <v>45775</v>
      </c>
      <c r="R159" s="10"/>
      <c r="S159" s="28">
        <v>1265</v>
      </c>
      <c r="T159" s="1" t="s">
        <v>2</v>
      </c>
      <c r="U159" s="1" t="s">
        <v>178</v>
      </c>
      <c r="V159" s="1">
        <v>20241004</v>
      </c>
      <c r="W159" s="8" t="s">
        <v>8442</v>
      </c>
      <c r="Z159" s="1"/>
      <c r="AA159" s="1"/>
      <c r="AC159" s="1"/>
      <c r="AD159" s="1"/>
      <c r="AE159" s="1"/>
      <c r="AF159" s="1"/>
    </row>
    <row r="160" spans="2:32" ht="12.75" x14ac:dyDescent="0.2">
      <c r="B160" s="1" t="s">
        <v>8666</v>
      </c>
      <c r="C160" s="10">
        <f t="shared" ca="1" si="4"/>
        <v>45637</v>
      </c>
      <c r="D160" s="4"/>
      <c r="E160" s="4" t="s">
        <v>8434</v>
      </c>
      <c r="F160" s="4" t="s">
        <v>1293</v>
      </c>
      <c r="G160" s="4"/>
      <c r="H160" s="4" t="str">
        <f>_xlfn.IFNA(VLOOKUP(Table_Query_from_AMULTIQRY45[[#This Row],[WPROD]],'Part# with New'!$A$1:$B$4347,2,0),Table_Query_from_AMULTIQRY45[[#This Row],[WPROD]])</f>
        <v>WRJA321283009D-R470BK</v>
      </c>
      <c r="I160" s="4" t="s">
        <v>8436</v>
      </c>
      <c r="J160" s="1" t="s">
        <v>46</v>
      </c>
      <c r="L160" s="11">
        <v>5.6550000000000003E-2</v>
      </c>
      <c r="M160" s="1"/>
      <c r="N160" s="1" t="s">
        <v>30</v>
      </c>
      <c r="P160" s="1" t="str">
        <f>CONCATENATE(Table_Query_from_AMULTIQRY45[[#This Row],[WWHS]],"-",Table_Query_from_AMULTIQRY45[[#This Row],[LLOC]])</f>
        <v>E1-FG</v>
      </c>
      <c r="Q160" s="10">
        <f t="shared" ca="1" si="5"/>
        <v>45775</v>
      </c>
      <c r="R160" s="10"/>
      <c r="S160" s="28">
        <v>595</v>
      </c>
      <c r="T160" s="1" t="s">
        <v>2</v>
      </c>
      <c r="U160" s="1" t="s">
        <v>179</v>
      </c>
      <c r="V160" s="1">
        <v>20241211</v>
      </c>
      <c r="W160" s="8" t="s">
        <v>8442</v>
      </c>
      <c r="Z160" s="1"/>
      <c r="AA160" s="1"/>
      <c r="AC160" s="1"/>
      <c r="AD160" s="1"/>
      <c r="AE160" s="1"/>
      <c r="AF160" s="1"/>
    </row>
    <row r="161" spans="2:32" ht="12.75" x14ac:dyDescent="0.2">
      <c r="B161" s="1" t="s">
        <v>8667</v>
      </c>
      <c r="C161" s="10">
        <f t="shared" ca="1" si="4"/>
        <v>45707</v>
      </c>
      <c r="D161" s="4"/>
      <c r="E161" s="4" t="s">
        <v>8434</v>
      </c>
      <c r="F161" s="4" t="s">
        <v>1293</v>
      </c>
      <c r="G161" s="4"/>
      <c r="H161" s="4" t="str">
        <f>_xlfn.IFNA(VLOOKUP(Table_Query_from_AMULTIQRY45[[#This Row],[WPROD]],'Part# with New'!$A$1:$B$4347,2,0),Table_Query_from_AMULTIQRY45[[#This Row],[WPROD]])</f>
        <v>WRJC157082004Q-R463AK</v>
      </c>
      <c r="I161" s="4" t="s">
        <v>8436</v>
      </c>
      <c r="J161" s="1" t="s">
        <v>46</v>
      </c>
      <c r="L161" s="11">
        <v>1.7989999999999999E-2</v>
      </c>
      <c r="M161" s="1"/>
      <c r="N161" s="1" t="s">
        <v>34</v>
      </c>
      <c r="P161" s="1" t="str">
        <f>CONCATENATE(Table_Query_from_AMULTIQRY45[[#This Row],[WWHS]],"-",Table_Query_from_AMULTIQRY45[[#This Row],[LLOC]])</f>
        <v>E1-FG</v>
      </c>
      <c r="Q161" s="10">
        <f t="shared" ca="1" si="5"/>
        <v>45775</v>
      </c>
      <c r="R161" s="10"/>
      <c r="S161" s="28">
        <v>634</v>
      </c>
      <c r="T161" s="1" t="s">
        <v>2</v>
      </c>
      <c r="U161" s="1" t="s">
        <v>180</v>
      </c>
      <c r="V161" s="1">
        <v>20250219</v>
      </c>
      <c r="W161" s="8" t="s">
        <v>8442</v>
      </c>
      <c r="Z161" s="1"/>
      <c r="AA161" s="1"/>
      <c r="AC161" s="1"/>
      <c r="AD161" s="1"/>
      <c r="AE161" s="1"/>
      <c r="AF161" s="1"/>
    </row>
    <row r="162" spans="2:32" ht="12.75" x14ac:dyDescent="0.2">
      <c r="B162" s="1" t="s">
        <v>8668</v>
      </c>
      <c r="C162" s="10">
        <f t="shared" ca="1" si="4"/>
        <v>45363</v>
      </c>
      <c r="D162" s="4"/>
      <c r="E162" s="4" t="s">
        <v>8434</v>
      </c>
      <c r="F162" s="4" t="s">
        <v>1293</v>
      </c>
      <c r="G162" s="4"/>
      <c r="H162" s="4" t="str">
        <f>_xlfn.IFNA(VLOOKUP(Table_Query_from_AMULTIQRY45[[#This Row],[WPROD]],'Part# with New'!$A$1:$B$4347,2,0),Table_Query_from_AMULTIQRY45[[#This Row],[WPROD]])</f>
        <v>WRJC100076009D-R475AK</v>
      </c>
      <c r="I162" s="4" t="s">
        <v>8436</v>
      </c>
      <c r="J162" s="1" t="s">
        <v>46</v>
      </c>
      <c r="L162" s="11">
        <v>1.6889999999999999E-2</v>
      </c>
      <c r="M162" s="1"/>
      <c r="N162" s="1" t="s">
        <v>34</v>
      </c>
      <c r="P162" s="1" t="str">
        <f>CONCATENATE(Table_Query_from_AMULTIQRY45[[#This Row],[WWHS]],"-",Table_Query_from_AMULTIQRY45[[#This Row],[LLOC]])</f>
        <v>E1-FG</v>
      </c>
      <c r="Q162" s="10">
        <f t="shared" ca="1" si="5"/>
        <v>45775</v>
      </c>
      <c r="R162" s="10"/>
      <c r="S162" s="28">
        <v>4500</v>
      </c>
      <c r="T162" s="1" t="s">
        <v>2</v>
      </c>
      <c r="U162" s="1" t="s">
        <v>181</v>
      </c>
      <c r="V162" s="1">
        <v>20240312</v>
      </c>
      <c r="W162" s="8" t="s">
        <v>8442</v>
      </c>
      <c r="Z162" s="1"/>
      <c r="AA162" s="1"/>
      <c r="AC162" s="1"/>
      <c r="AD162" s="1"/>
      <c r="AE162" s="1"/>
      <c r="AF162" s="1"/>
    </row>
    <row r="163" spans="2:32" ht="12.75" x14ac:dyDescent="0.2">
      <c r="B163" s="1" t="s">
        <v>8669</v>
      </c>
      <c r="C163" s="10">
        <f t="shared" ca="1" si="4"/>
        <v>45587</v>
      </c>
      <c r="D163" s="4"/>
      <c r="E163" s="4" t="s">
        <v>8434</v>
      </c>
      <c r="F163" s="4" t="s">
        <v>1293</v>
      </c>
      <c r="G163" s="4"/>
      <c r="H163" s="4" t="str">
        <f>_xlfn.IFNA(VLOOKUP(Table_Query_from_AMULTIQRY45[[#This Row],[WPROD]],'Part# with New'!$A$1:$B$4347,2,0),Table_Query_from_AMULTIQRY45[[#This Row],[WPROD]])</f>
        <v>WRJC050031004D-R470FK</v>
      </c>
      <c r="I163" s="4" t="s">
        <v>8436</v>
      </c>
      <c r="J163" s="1" t="s">
        <v>46</v>
      </c>
      <c r="L163" s="11">
        <v>7.5799999999999999E-3</v>
      </c>
      <c r="M163" s="1"/>
      <c r="N163" s="1" t="s">
        <v>34</v>
      </c>
      <c r="P163" s="1" t="str">
        <f>CONCATENATE(Table_Query_from_AMULTIQRY45[[#This Row],[WWHS]],"-",Table_Query_from_AMULTIQRY45[[#This Row],[LLOC]])</f>
        <v>E1-FG</v>
      </c>
      <c r="Q163" s="10">
        <f t="shared" ca="1" si="5"/>
        <v>45775</v>
      </c>
      <c r="R163" s="10"/>
      <c r="S163" s="28">
        <v>25860</v>
      </c>
      <c r="T163" s="1" t="s">
        <v>2</v>
      </c>
      <c r="U163" s="1" t="s">
        <v>182</v>
      </c>
      <c r="V163" s="1">
        <v>20241022</v>
      </c>
      <c r="W163" s="8" t="s">
        <v>8442</v>
      </c>
      <c r="Z163" s="1"/>
      <c r="AA163" s="1"/>
      <c r="AC163" s="1"/>
      <c r="AD163" s="1"/>
      <c r="AE163" s="1"/>
      <c r="AF163" s="1"/>
    </row>
    <row r="164" spans="2:32" ht="12.75" x14ac:dyDescent="0.2">
      <c r="B164" s="1" t="s">
        <v>8670</v>
      </c>
      <c r="C164" s="10">
        <f t="shared" ca="1" si="4"/>
        <v>45016</v>
      </c>
      <c r="D164" s="4"/>
      <c r="E164" s="4" t="s">
        <v>8434</v>
      </c>
      <c r="F164" s="4" t="s">
        <v>1293</v>
      </c>
      <c r="G164" s="4"/>
      <c r="H164" s="4" t="str">
        <f>_xlfn.IFNA(VLOOKUP(Table_Query_from_AMULTIQRY45[[#This Row],[WPROD]],'Part# with New'!$A$1:$B$4347,2,0),Table_Query_from_AMULTIQRY45[[#This Row],[WPROD]])</f>
        <v>WRJC043030006D-R470JK</v>
      </c>
      <c r="I164" s="4" t="s">
        <v>8436</v>
      </c>
      <c r="J164" s="1" t="s">
        <v>46</v>
      </c>
      <c r="L164" s="11">
        <v>8.5100000000000002E-3</v>
      </c>
      <c r="M164" s="1"/>
      <c r="N164" s="1" t="s">
        <v>34</v>
      </c>
      <c r="P164" s="1" t="str">
        <f>CONCATENATE(Table_Query_from_AMULTIQRY45[[#This Row],[WWHS]],"-",Table_Query_from_AMULTIQRY45[[#This Row],[LLOC]])</f>
        <v>E1-FG</v>
      </c>
      <c r="Q164" s="10">
        <f t="shared" ca="1" si="5"/>
        <v>45775</v>
      </c>
      <c r="R164" s="10"/>
      <c r="S164" s="28">
        <v>3490</v>
      </c>
      <c r="T164" s="1" t="s">
        <v>2</v>
      </c>
      <c r="U164" s="1" t="s">
        <v>183</v>
      </c>
      <c r="V164" s="1">
        <v>20230331</v>
      </c>
      <c r="W164" s="8" t="s">
        <v>8442</v>
      </c>
      <c r="Z164" s="1"/>
      <c r="AA164" s="1"/>
      <c r="AC164" s="1"/>
      <c r="AD164" s="1"/>
      <c r="AE164" s="1"/>
      <c r="AF164" s="1"/>
    </row>
    <row r="165" spans="2:32" ht="12.75" x14ac:dyDescent="0.2">
      <c r="B165" s="1" t="s">
        <v>8671</v>
      </c>
      <c r="C165" s="10">
        <f t="shared" ca="1" si="4"/>
        <v>45289</v>
      </c>
      <c r="D165" s="4"/>
      <c r="E165" s="4" t="s">
        <v>8434</v>
      </c>
      <c r="F165" s="4" t="s">
        <v>1293</v>
      </c>
      <c r="G165" s="4"/>
      <c r="H165" s="4" t="str">
        <f>_xlfn.IFNA(VLOOKUP(Table_Query_from_AMULTIQRY45[[#This Row],[WPROD]],'Part# with New'!$A$1:$B$4347,2,0),Table_Query_from_AMULTIQRY45[[#This Row],[WPROD]])</f>
        <v>WRJA318294012D-R970BK</v>
      </c>
      <c r="I165" s="4" t="s">
        <v>8436</v>
      </c>
      <c r="J165" s="1" t="s">
        <v>46</v>
      </c>
      <c r="L165" s="11">
        <v>4.3209999999999998E-2</v>
      </c>
      <c r="M165" s="1"/>
      <c r="N165" s="1" t="s">
        <v>30</v>
      </c>
      <c r="P165" s="1" t="str">
        <f>CONCATENATE(Table_Query_from_AMULTIQRY45[[#This Row],[WWHS]],"-",Table_Query_from_AMULTIQRY45[[#This Row],[LLOC]])</f>
        <v>E1-FG</v>
      </c>
      <c r="Q165" s="10">
        <f t="shared" ca="1" si="5"/>
        <v>45775</v>
      </c>
      <c r="R165" s="10"/>
      <c r="S165" s="28">
        <v>6000</v>
      </c>
      <c r="T165" s="1" t="s">
        <v>2</v>
      </c>
      <c r="U165" s="1" t="s">
        <v>184</v>
      </c>
      <c r="V165" s="1">
        <v>20231229</v>
      </c>
      <c r="W165" s="8" t="s">
        <v>8442</v>
      </c>
      <c r="Z165" s="1"/>
      <c r="AA165" s="1"/>
      <c r="AC165" s="1"/>
      <c r="AD165" s="1"/>
      <c r="AE165" s="1"/>
      <c r="AF165" s="1"/>
    </row>
    <row r="166" spans="2:32" ht="12.75" x14ac:dyDescent="0.2">
      <c r="B166" s="1" t="s">
        <v>8672</v>
      </c>
      <c r="C166" s="10">
        <f t="shared" ca="1" si="4"/>
        <v>45317</v>
      </c>
      <c r="D166" s="4"/>
      <c r="E166" s="4" t="s">
        <v>8434</v>
      </c>
      <c r="F166" s="4" t="s">
        <v>1293</v>
      </c>
      <c r="G166" s="4"/>
      <c r="H166" s="4" t="str">
        <f>_xlfn.IFNA(VLOOKUP(Table_Query_from_AMULTIQRY45[[#This Row],[WPROD]],'Part# with New'!$A$1:$B$4347,2,0),Table_Query_from_AMULTIQRY45[[#This Row],[WPROD]])</f>
        <v>WRJA334310012D-R970BK</v>
      </c>
      <c r="I166" s="4" t="s">
        <v>8436</v>
      </c>
      <c r="J166" s="1" t="s">
        <v>46</v>
      </c>
      <c r="L166" s="11">
        <v>4.5400000000000003E-2</v>
      </c>
      <c r="M166" s="1"/>
      <c r="N166" s="1" t="s">
        <v>30</v>
      </c>
      <c r="P166" s="1" t="str">
        <f>CONCATENATE(Table_Query_from_AMULTIQRY45[[#This Row],[WWHS]],"-",Table_Query_from_AMULTIQRY45[[#This Row],[LLOC]])</f>
        <v>E1-FG</v>
      </c>
      <c r="Q166" s="10">
        <f t="shared" ca="1" si="5"/>
        <v>45775</v>
      </c>
      <c r="R166" s="10"/>
      <c r="S166" s="28">
        <v>1181</v>
      </c>
      <c r="T166" s="1" t="s">
        <v>2</v>
      </c>
      <c r="U166" s="1" t="s">
        <v>185</v>
      </c>
      <c r="V166" s="1">
        <v>20240126</v>
      </c>
      <c r="W166" s="8" t="s">
        <v>8442</v>
      </c>
      <c r="Z166" s="1"/>
      <c r="AA166" s="1"/>
      <c r="AC166" s="1"/>
      <c r="AD166" s="1"/>
      <c r="AE166" s="1"/>
      <c r="AF166" s="1"/>
    </row>
    <row r="167" spans="2:32" ht="12.75" x14ac:dyDescent="0.2">
      <c r="B167" s="1" t="s">
        <v>8673</v>
      </c>
      <c r="C167" s="10">
        <f t="shared" ca="1" si="4"/>
        <v>44323</v>
      </c>
      <c r="D167" s="4"/>
      <c r="E167" s="4" t="s">
        <v>8434</v>
      </c>
      <c r="F167" s="4" t="s">
        <v>1293</v>
      </c>
      <c r="G167" s="4"/>
      <c r="H167" s="4" t="str">
        <f>_xlfn.IFNA(VLOOKUP(Table_Query_from_AMULTIQRY45[[#This Row],[WPROD]],'Part# with New'!$A$1:$B$4347,2,0),Table_Query_from_AMULTIQRY45[[#This Row],[WPROD]])</f>
        <v>1-9181</v>
      </c>
      <c r="I167" s="4" t="s">
        <v>8436</v>
      </c>
      <c r="J167" s="1" t="s">
        <v>5</v>
      </c>
      <c r="L167" s="11">
        <v>3.006E-2</v>
      </c>
      <c r="M167" s="1"/>
      <c r="N167" s="1" t="s">
        <v>37</v>
      </c>
      <c r="P167" s="1" t="str">
        <f>CONCATENATE(Table_Query_from_AMULTIQRY45[[#This Row],[WWHS]],"-",Table_Query_from_AMULTIQRY45[[#This Row],[LLOC]])</f>
        <v>E1-FG</v>
      </c>
      <c r="Q167" s="10">
        <f t="shared" ca="1" si="5"/>
        <v>45775</v>
      </c>
      <c r="R167" s="10"/>
      <c r="S167" s="28">
        <v>1335</v>
      </c>
      <c r="T167" s="1" t="s">
        <v>2</v>
      </c>
      <c r="U167" s="1" t="s">
        <v>186</v>
      </c>
      <c r="V167" s="1">
        <v>20210507</v>
      </c>
      <c r="W167" s="8" t="s">
        <v>8442</v>
      </c>
      <c r="Z167" s="1"/>
      <c r="AA167" s="1"/>
      <c r="AC167" s="1"/>
      <c r="AD167" s="1"/>
      <c r="AE167" s="1"/>
      <c r="AF167" s="1"/>
    </row>
    <row r="168" spans="2:32" ht="12.75" x14ac:dyDescent="0.2">
      <c r="B168" s="1" t="s">
        <v>8674</v>
      </c>
      <c r="C168" s="10">
        <f t="shared" ca="1" si="4"/>
        <v>45751</v>
      </c>
      <c r="D168" s="4"/>
      <c r="E168" s="4" t="s">
        <v>8434</v>
      </c>
      <c r="F168" s="4" t="s">
        <v>1293</v>
      </c>
      <c r="G168" s="4"/>
      <c r="H168" s="4" t="str">
        <f>_xlfn.IFNA(VLOOKUP(Table_Query_from_AMULTIQRY45[[#This Row],[WPROD]],'Part# with New'!$A$1:$B$4347,2,0),Table_Query_from_AMULTIQRY45[[#This Row],[WPROD]])</f>
        <v>WRJE236217012D-R970BK</v>
      </c>
      <c r="I168" s="4" t="s">
        <v>8436</v>
      </c>
      <c r="J168" s="1" t="s">
        <v>5</v>
      </c>
      <c r="L168" s="11">
        <v>4.6699999999999998E-2</v>
      </c>
      <c r="M168" s="1"/>
      <c r="N168" s="1" t="s">
        <v>37</v>
      </c>
      <c r="P168" s="1" t="str">
        <f>CONCATENATE(Table_Query_from_AMULTIQRY45[[#This Row],[WWHS]],"-",Table_Query_from_AMULTIQRY45[[#This Row],[LLOC]])</f>
        <v>E1-FG</v>
      </c>
      <c r="Q168" s="10">
        <f t="shared" ca="1" si="5"/>
        <v>45775</v>
      </c>
      <c r="R168" s="10"/>
      <c r="S168" s="28">
        <v>637</v>
      </c>
      <c r="T168" s="1" t="s">
        <v>2</v>
      </c>
      <c r="U168" s="1" t="s">
        <v>188</v>
      </c>
      <c r="V168" s="1">
        <v>20250404</v>
      </c>
      <c r="W168" s="8" t="s">
        <v>8442</v>
      </c>
      <c r="Z168" s="1"/>
      <c r="AA168" s="1"/>
      <c r="AC168" s="1"/>
      <c r="AD168" s="1"/>
      <c r="AE168" s="1"/>
      <c r="AF168" s="1"/>
    </row>
    <row r="169" spans="2:32" ht="12.75" x14ac:dyDescent="0.2">
      <c r="B169" s="1" t="s">
        <v>8675</v>
      </c>
      <c r="C169" s="10">
        <f t="shared" ca="1" si="4"/>
        <v>43882</v>
      </c>
      <c r="D169" s="4"/>
      <c r="E169" s="4" t="s">
        <v>8434</v>
      </c>
      <c r="F169" s="4" t="s">
        <v>1293</v>
      </c>
      <c r="G169" s="4"/>
      <c r="H169" s="4" t="str">
        <f>_xlfn.IFNA(VLOOKUP(Table_Query_from_AMULTIQRY45[[#This Row],[WPROD]],'Part# with New'!$A$1:$B$4347,2,0),Table_Query_from_AMULTIQRY45[[#This Row],[WPROD]])</f>
        <v>WRJE237217012D-R970BK</v>
      </c>
      <c r="I169" s="4" t="s">
        <v>8436</v>
      </c>
      <c r="J169" s="1" t="s">
        <v>46</v>
      </c>
      <c r="L169" s="11">
        <v>2.6429999999999999E-2</v>
      </c>
      <c r="M169" s="1"/>
      <c r="N169" s="1" t="s">
        <v>37</v>
      </c>
      <c r="P169" s="1" t="str">
        <f>CONCATENATE(Table_Query_from_AMULTIQRY45[[#This Row],[WWHS]],"-",Table_Query_from_AMULTIQRY45[[#This Row],[LLOC]])</f>
        <v>E1-FG</v>
      </c>
      <c r="Q169" s="10">
        <f t="shared" ca="1" si="5"/>
        <v>45775</v>
      </c>
      <c r="R169" s="10"/>
      <c r="S169" s="28">
        <v>255</v>
      </c>
      <c r="T169" s="1" t="s">
        <v>2</v>
      </c>
      <c r="U169" s="1" t="s">
        <v>189</v>
      </c>
      <c r="V169" s="1">
        <v>20200221</v>
      </c>
      <c r="W169" s="8" t="s">
        <v>8442</v>
      </c>
      <c r="Z169" s="1"/>
      <c r="AA169" s="1"/>
      <c r="AC169" s="1"/>
      <c r="AD169" s="1"/>
      <c r="AE169" s="1"/>
      <c r="AF169" s="1"/>
    </row>
    <row r="170" spans="2:32" ht="12.75" x14ac:dyDescent="0.2">
      <c r="B170" s="1" t="s">
        <v>8676</v>
      </c>
      <c r="C170" s="10">
        <f t="shared" ca="1" si="4"/>
        <v>45555</v>
      </c>
      <c r="D170" s="4"/>
      <c r="E170" s="4" t="s">
        <v>8434</v>
      </c>
      <c r="F170" s="4" t="s">
        <v>1293</v>
      </c>
      <c r="G170" s="4"/>
      <c r="H170" s="4" t="str">
        <f>_xlfn.IFNA(VLOOKUP(Table_Query_from_AMULTIQRY45[[#This Row],[WPROD]],'Part# with New'!$A$1:$B$4347,2,0),Table_Query_from_AMULTIQRY45[[#This Row],[WPROD]])</f>
        <v>WRJC170157008D-R175AK</v>
      </c>
      <c r="I170" s="4" t="s">
        <v>8436</v>
      </c>
      <c r="J170" s="1" t="s">
        <v>46</v>
      </c>
      <c r="L170" s="11">
        <v>9.7009999999999999E-2</v>
      </c>
      <c r="M170" s="1"/>
      <c r="N170" s="1" t="s">
        <v>34</v>
      </c>
      <c r="P170" s="1" t="str">
        <f>CONCATENATE(Table_Query_from_AMULTIQRY45[[#This Row],[WWHS]],"-",Table_Query_from_AMULTIQRY45[[#This Row],[LLOC]])</f>
        <v>E1-FG</v>
      </c>
      <c r="Q170" s="10">
        <f t="shared" ca="1" si="5"/>
        <v>45775</v>
      </c>
      <c r="R170" s="10"/>
      <c r="S170" s="28">
        <v>234</v>
      </c>
      <c r="T170" s="1" t="s">
        <v>2</v>
      </c>
      <c r="U170" s="1" t="s">
        <v>190</v>
      </c>
      <c r="V170" s="1">
        <v>20240920</v>
      </c>
      <c r="W170" s="8" t="s">
        <v>8442</v>
      </c>
      <c r="Z170" s="1"/>
      <c r="AA170" s="1"/>
      <c r="AC170" s="1"/>
      <c r="AD170" s="1"/>
      <c r="AE170" s="1"/>
      <c r="AF170" s="1"/>
    </row>
    <row r="171" spans="2:32" ht="12.75" x14ac:dyDescent="0.2">
      <c r="B171" s="1" t="s">
        <v>8677</v>
      </c>
      <c r="C171" s="10">
        <f t="shared" ca="1" si="4"/>
        <v>43860</v>
      </c>
      <c r="D171" s="4"/>
      <c r="E171" s="4" t="s">
        <v>8434</v>
      </c>
      <c r="F171" s="4" t="s">
        <v>1293</v>
      </c>
      <c r="G171" s="4"/>
      <c r="H171" s="4" t="str">
        <f>_xlfn.IFNA(VLOOKUP(Table_Query_from_AMULTIQRY45[[#This Row],[WPROD]],'Part# with New'!$A$1:$B$4347,2,0),Table_Query_from_AMULTIQRY45[[#This Row],[WPROD]])</f>
        <v>1-9302</v>
      </c>
      <c r="I171" s="4" t="s">
        <v>8436</v>
      </c>
      <c r="J171" s="1" t="s">
        <v>46</v>
      </c>
      <c r="L171" s="11">
        <v>4.0840000000000001E-2</v>
      </c>
      <c r="M171" s="1"/>
      <c r="N171" s="1" t="s">
        <v>30</v>
      </c>
      <c r="P171" s="1" t="str">
        <f>CONCATENATE(Table_Query_from_AMULTIQRY45[[#This Row],[WWHS]],"-",Table_Query_from_AMULTIQRY45[[#This Row],[LLOC]])</f>
        <v>E1-FG</v>
      </c>
      <c r="Q171" s="10">
        <f t="shared" ca="1" si="5"/>
        <v>45775</v>
      </c>
      <c r="R171" s="10"/>
      <c r="S171" s="28">
        <v>2555</v>
      </c>
      <c r="T171" s="1" t="s">
        <v>2</v>
      </c>
      <c r="U171" s="1" t="s">
        <v>191</v>
      </c>
      <c r="V171" s="1">
        <v>20200130</v>
      </c>
      <c r="W171" s="8" t="s">
        <v>8442</v>
      </c>
      <c r="Z171" s="1"/>
      <c r="AA171" s="1"/>
      <c r="AC171" s="1"/>
      <c r="AD171" s="1"/>
      <c r="AE171" s="1"/>
      <c r="AF171" s="1"/>
    </row>
    <row r="172" spans="2:32" ht="12.75" x14ac:dyDescent="0.2">
      <c r="B172" s="1" t="s">
        <v>8678</v>
      </c>
      <c r="C172" s="10">
        <f t="shared" ca="1" si="4"/>
        <v>45337</v>
      </c>
      <c r="D172" s="4"/>
      <c r="E172" s="4" t="s">
        <v>8434</v>
      </c>
      <c r="F172" s="4" t="s">
        <v>1293</v>
      </c>
      <c r="G172" s="4"/>
      <c r="H172" s="4" t="str">
        <f>_xlfn.IFNA(VLOOKUP(Table_Query_from_AMULTIQRY45[[#This Row],[WPROD]],'Part# with New'!$A$1:$B$4347,2,0),Table_Query_from_AMULTIQRY45[[#This Row],[WPROD]])</f>
        <v>WRJA393373009D-R470AK</v>
      </c>
      <c r="I172" s="4" t="s">
        <v>8436</v>
      </c>
      <c r="J172" s="1" t="s">
        <v>46</v>
      </c>
      <c r="L172" s="11">
        <v>4.929E-2</v>
      </c>
      <c r="M172" s="1"/>
      <c r="N172" s="1" t="s">
        <v>30</v>
      </c>
      <c r="P172" s="1" t="str">
        <f>CONCATENATE(Table_Query_from_AMULTIQRY45[[#This Row],[WWHS]],"-",Table_Query_from_AMULTIQRY45[[#This Row],[LLOC]])</f>
        <v>E1-FG</v>
      </c>
      <c r="Q172" s="10">
        <f t="shared" ca="1" si="5"/>
        <v>45775</v>
      </c>
      <c r="R172" s="10"/>
      <c r="S172" s="28">
        <v>2165</v>
      </c>
      <c r="T172" s="1" t="s">
        <v>2</v>
      </c>
      <c r="U172" s="1" t="s">
        <v>192</v>
      </c>
      <c r="V172" s="1">
        <v>20240215</v>
      </c>
      <c r="W172" s="8" t="s">
        <v>8442</v>
      </c>
      <c r="Z172" s="1"/>
      <c r="AA172" s="1"/>
      <c r="AC172" s="1"/>
      <c r="AD172" s="1"/>
      <c r="AE172" s="1"/>
      <c r="AF172" s="1"/>
    </row>
    <row r="173" spans="2:32" ht="12.75" x14ac:dyDescent="0.2">
      <c r="B173" s="1" t="s">
        <v>8679</v>
      </c>
      <c r="C173" s="10">
        <f t="shared" ca="1" si="4"/>
        <v>45555</v>
      </c>
      <c r="D173" s="4"/>
      <c r="E173" s="4" t="s">
        <v>8434</v>
      </c>
      <c r="F173" s="4" t="s">
        <v>1293</v>
      </c>
      <c r="G173" s="4"/>
      <c r="H173" s="4" t="str">
        <f>_xlfn.IFNA(VLOOKUP(Table_Query_from_AMULTIQRY45[[#This Row],[WPROD]],'Part# with New'!$A$1:$B$4347,2,0),Table_Query_from_AMULTIQRY45[[#This Row],[WPROD]])</f>
        <v>WRJE237213012D-R970BK</v>
      </c>
      <c r="I173" s="4" t="s">
        <v>8436</v>
      </c>
      <c r="J173" s="1" t="s">
        <v>5</v>
      </c>
      <c r="L173" s="11">
        <v>3.0689999999999999E-2</v>
      </c>
      <c r="M173" s="1"/>
      <c r="N173" s="1" t="s">
        <v>37</v>
      </c>
      <c r="P173" s="1" t="str">
        <f>CONCATENATE(Table_Query_from_AMULTIQRY45[[#This Row],[WWHS]],"-",Table_Query_from_AMULTIQRY45[[#This Row],[LLOC]])</f>
        <v>E1-FG</v>
      </c>
      <c r="Q173" s="10">
        <f t="shared" ca="1" si="5"/>
        <v>45775</v>
      </c>
      <c r="R173" s="10"/>
      <c r="S173" s="28">
        <v>26832</v>
      </c>
      <c r="T173" s="1" t="s">
        <v>2</v>
      </c>
      <c r="U173" s="1" t="s">
        <v>193</v>
      </c>
      <c r="V173" s="1">
        <v>20240920</v>
      </c>
      <c r="W173" s="8" t="s">
        <v>8442</v>
      </c>
      <c r="Z173" s="1"/>
      <c r="AA173" s="1"/>
      <c r="AC173" s="1"/>
      <c r="AD173" s="1"/>
      <c r="AE173" s="1"/>
      <c r="AF173" s="1"/>
    </row>
    <row r="174" spans="2:32" ht="12.75" x14ac:dyDescent="0.2">
      <c r="B174" s="1" t="s">
        <v>8680</v>
      </c>
      <c r="C174" s="10">
        <f t="shared" ca="1" si="4"/>
        <v>44252</v>
      </c>
      <c r="D174" s="4"/>
      <c r="E174" s="4" t="s">
        <v>8434</v>
      </c>
      <c r="F174" s="4" t="s">
        <v>1293</v>
      </c>
      <c r="G174" s="4"/>
      <c r="H174" s="4" t="str">
        <f>_xlfn.IFNA(VLOOKUP(Table_Query_from_AMULTIQRY45[[#This Row],[WPROD]],'Part# with New'!$A$1:$B$4347,2,0),Table_Query_from_AMULTIQRY45[[#This Row],[WPROD]])</f>
        <v>WRJE225202012D-R970BK</v>
      </c>
      <c r="I174" s="4" t="s">
        <v>8436</v>
      </c>
      <c r="J174" s="1" t="s">
        <v>46</v>
      </c>
      <c r="L174" s="11">
        <v>4.3430000000000003E-2</v>
      </c>
      <c r="M174" s="1"/>
      <c r="N174" s="1" t="s">
        <v>37</v>
      </c>
      <c r="P174" s="1" t="str">
        <f>CONCATENATE(Table_Query_from_AMULTIQRY45[[#This Row],[WWHS]],"-",Table_Query_from_AMULTIQRY45[[#This Row],[LLOC]])</f>
        <v>E1-FG</v>
      </c>
      <c r="Q174" s="10">
        <f t="shared" ca="1" si="5"/>
        <v>45775</v>
      </c>
      <c r="R174" s="10"/>
      <c r="S174" s="28">
        <v>2623</v>
      </c>
      <c r="T174" s="1" t="s">
        <v>2</v>
      </c>
      <c r="U174" s="1" t="s">
        <v>194</v>
      </c>
      <c r="V174" s="1">
        <v>20210225</v>
      </c>
      <c r="W174" s="8" t="s">
        <v>8442</v>
      </c>
      <c r="Z174" s="1"/>
      <c r="AA174" s="1"/>
      <c r="AC174" s="1"/>
      <c r="AD174" s="1"/>
      <c r="AE174" s="1"/>
      <c r="AF174" s="1"/>
    </row>
    <row r="175" spans="2:32" ht="12.75" x14ac:dyDescent="0.2">
      <c r="B175" s="1" t="s">
        <v>8681</v>
      </c>
      <c r="C175" s="10">
        <f t="shared" ca="1" si="4"/>
        <v>45575</v>
      </c>
      <c r="D175" s="4"/>
      <c r="E175" s="4" t="s">
        <v>8434</v>
      </c>
      <c r="F175" s="4" t="s">
        <v>1293</v>
      </c>
      <c r="G175" s="4"/>
      <c r="H175" s="4" t="str">
        <f>_xlfn.IFNA(VLOOKUP(Table_Query_from_AMULTIQRY45[[#This Row],[WPROD]],'Part# with New'!$A$1:$B$4347,2,0),Table_Query_from_AMULTIQRY45[[#This Row],[WPROD]])</f>
        <v>WRJA334315009D-R470BK</v>
      </c>
      <c r="I175" s="4" t="s">
        <v>8436</v>
      </c>
      <c r="J175" s="1" t="s">
        <v>46</v>
      </c>
      <c r="L175" s="11">
        <v>4.7460000000000002E-2</v>
      </c>
      <c r="M175" s="1"/>
      <c r="N175" s="1" t="s">
        <v>30</v>
      </c>
      <c r="P175" s="1" t="str">
        <f>CONCATENATE(Table_Query_from_AMULTIQRY45[[#This Row],[WWHS]],"-",Table_Query_from_AMULTIQRY45[[#This Row],[LLOC]])</f>
        <v>E1-FG</v>
      </c>
      <c r="Q175" s="10">
        <f t="shared" ca="1" si="5"/>
        <v>45775</v>
      </c>
      <c r="R175" s="10"/>
      <c r="S175" s="28">
        <v>870</v>
      </c>
      <c r="T175" s="1" t="s">
        <v>2</v>
      </c>
      <c r="U175" s="1" t="s">
        <v>195</v>
      </c>
      <c r="V175" s="1">
        <v>20241010</v>
      </c>
      <c r="W175" s="8" t="s">
        <v>8442</v>
      </c>
      <c r="Z175" s="1"/>
      <c r="AA175" s="1"/>
      <c r="AC175" s="1"/>
      <c r="AD175" s="1"/>
      <c r="AE175" s="1"/>
      <c r="AF175" s="1"/>
    </row>
    <row r="176" spans="2:32" ht="12.75" x14ac:dyDescent="0.2">
      <c r="B176" s="1" t="s">
        <v>8682</v>
      </c>
      <c r="C176" s="10">
        <f t="shared" ca="1" si="4"/>
        <v>44012</v>
      </c>
      <c r="D176" s="4"/>
      <c r="E176" s="4" t="s">
        <v>8434</v>
      </c>
      <c r="F176" s="4" t="s">
        <v>1293</v>
      </c>
      <c r="G176" s="4"/>
      <c r="H176" s="4" t="str">
        <f>_xlfn.IFNA(VLOOKUP(Table_Query_from_AMULTIQRY45[[#This Row],[WPROD]],'Part# with New'!$A$1:$B$4347,2,0),Table_Query_from_AMULTIQRY45[[#This Row],[WPROD]])</f>
        <v>WRJA339315012D-R970BK</v>
      </c>
      <c r="I176" s="4" t="s">
        <v>8436</v>
      </c>
      <c r="J176" s="1" t="s">
        <v>46</v>
      </c>
      <c r="L176" s="11">
        <v>4.4810000000000003E-2</v>
      </c>
      <c r="M176" s="1"/>
      <c r="N176" s="1" t="s">
        <v>30</v>
      </c>
      <c r="P176" s="1" t="str">
        <f>CONCATENATE(Table_Query_from_AMULTIQRY45[[#This Row],[WWHS]],"-",Table_Query_from_AMULTIQRY45[[#This Row],[LLOC]])</f>
        <v>E1-FG</v>
      </c>
      <c r="Q176" s="10">
        <f t="shared" ca="1" si="5"/>
        <v>45775</v>
      </c>
      <c r="R176" s="10"/>
      <c r="S176" s="28">
        <v>3464</v>
      </c>
      <c r="T176" s="1" t="s">
        <v>2</v>
      </c>
      <c r="U176" s="1" t="s">
        <v>196</v>
      </c>
      <c r="V176" s="1">
        <v>20200630</v>
      </c>
      <c r="W176" s="8" t="s">
        <v>8442</v>
      </c>
      <c r="Z176" s="1"/>
      <c r="AA176" s="1"/>
      <c r="AC176" s="1"/>
      <c r="AD176" s="1"/>
      <c r="AE176" s="1"/>
      <c r="AF176" s="1"/>
    </row>
    <row r="177" spans="2:32" ht="12.75" x14ac:dyDescent="0.2">
      <c r="B177" s="1" t="s">
        <v>8683</v>
      </c>
      <c r="C177" s="10">
        <f t="shared" ca="1" si="4"/>
        <v>45590</v>
      </c>
      <c r="D177" s="4"/>
      <c r="E177" s="4" t="s">
        <v>8434</v>
      </c>
      <c r="F177" s="4" t="s">
        <v>1293</v>
      </c>
      <c r="G177" s="4"/>
      <c r="H177" s="4" t="str">
        <f>_xlfn.IFNA(VLOOKUP(Table_Query_from_AMULTIQRY45[[#This Row],[WPROD]],'Part# with New'!$A$1:$B$4347,2,0),Table_Query_from_AMULTIQRY45[[#This Row],[WPROD]])</f>
        <v>WRJC113099012Q-R960AK</v>
      </c>
      <c r="I177" s="4" t="s">
        <v>8436</v>
      </c>
      <c r="J177" s="1" t="s">
        <v>46</v>
      </c>
      <c r="L177" s="11">
        <v>2.3859999999999999E-2</v>
      </c>
      <c r="M177" s="1"/>
      <c r="N177" s="1" t="s">
        <v>34</v>
      </c>
      <c r="P177" s="1" t="str">
        <f>CONCATENATE(Table_Query_from_AMULTIQRY45[[#This Row],[WWHS]],"-",Table_Query_from_AMULTIQRY45[[#This Row],[LLOC]])</f>
        <v>E1-FG</v>
      </c>
      <c r="Q177" s="10">
        <f t="shared" ca="1" si="5"/>
        <v>45775</v>
      </c>
      <c r="R177" s="10"/>
      <c r="S177" s="28">
        <v>2340</v>
      </c>
      <c r="T177" s="1" t="s">
        <v>2</v>
      </c>
      <c r="U177" s="1" t="s">
        <v>198</v>
      </c>
      <c r="V177" s="1">
        <v>20241025</v>
      </c>
      <c r="W177" s="8" t="s">
        <v>8442</v>
      </c>
      <c r="Z177" s="1"/>
      <c r="AA177" s="1"/>
      <c r="AC177" s="1"/>
      <c r="AD177" s="1"/>
      <c r="AE177" s="1"/>
      <c r="AF177" s="1"/>
    </row>
    <row r="178" spans="2:32" ht="12.75" x14ac:dyDescent="0.2">
      <c r="B178" s="1" t="s">
        <v>8684</v>
      </c>
      <c r="C178" s="10">
        <f t="shared" ca="1" si="4"/>
        <v>44944</v>
      </c>
      <c r="D178" s="4"/>
      <c r="E178" s="4" t="s">
        <v>8434</v>
      </c>
      <c r="F178" s="4" t="s">
        <v>1293</v>
      </c>
      <c r="G178" s="4"/>
      <c r="H178" s="4" t="str">
        <f>_xlfn.IFNA(VLOOKUP(Table_Query_from_AMULTIQRY45[[#This Row],[WPROD]],'Part# with New'!$A$1:$B$4347,2,0),Table_Query_from_AMULTIQRY45[[#This Row],[WPROD]])</f>
        <v>WRJA196157003Q-R470DK</v>
      </c>
      <c r="I178" s="4" t="s">
        <v>8436</v>
      </c>
      <c r="J178" s="1" t="s">
        <v>46</v>
      </c>
      <c r="L178" s="11">
        <v>2.4060000000000002E-2</v>
      </c>
      <c r="M178" s="1"/>
      <c r="N178" s="1" t="s">
        <v>30</v>
      </c>
      <c r="P178" s="1" t="str">
        <f>CONCATENATE(Table_Query_from_AMULTIQRY45[[#This Row],[WWHS]],"-",Table_Query_from_AMULTIQRY45[[#This Row],[LLOC]])</f>
        <v>E1-FG</v>
      </c>
      <c r="Q178" s="10">
        <f t="shared" ca="1" si="5"/>
        <v>45775</v>
      </c>
      <c r="R178" s="10"/>
      <c r="S178" s="28">
        <v>8773</v>
      </c>
      <c r="T178" s="1" t="s">
        <v>2</v>
      </c>
      <c r="U178" s="1" t="s">
        <v>199</v>
      </c>
      <c r="V178" s="1">
        <v>20230118</v>
      </c>
      <c r="W178" s="8" t="s">
        <v>8442</v>
      </c>
      <c r="Z178" s="1"/>
      <c r="AA178" s="1"/>
      <c r="AC178" s="1"/>
      <c r="AD178" s="1"/>
      <c r="AE178" s="1"/>
      <c r="AF178" s="1"/>
    </row>
    <row r="179" spans="2:32" ht="12.75" x14ac:dyDescent="0.2">
      <c r="B179" s="1" t="s">
        <v>8685</v>
      </c>
      <c r="C179" s="10">
        <f t="shared" ca="1" si="4"/>
        <v>44252</v>
      </c>
      <c r="D179" s="4"/>
      <c r="E179" s="4" t="s">
        <v>8434</v>
      </c>
      <c r="F179" s="4" t="s">
        <v>1293</v>
      </c>
      <c r="G179" s="4"/>
      <c r="H179" s="4" t="str">
        <f>_xlfn.IFNA(VLOOKUP(Table_Query_from_AMULTIQRY45[[#This Row],[WPROD]],'Part# with New'!$A$1:$B$4347,2,0),Table_Query_from_AMULTIQRY45[[#This Row],[WPROD]])</f>
        <v>WRJE263238012D-R970BK</v>
      </c>
      <c r="I179" s="4" t="s">
        <v>8436</v>
      </c>
      <c r="J179" s="1" t="s">
        <v>46</v>
      </c>
      <c r="L179" s="11">
        <v>3.4430000000000002E-2</v>
      </c>
      <c r="M179" s="1"/>
      <c r="N179" s="1" t="s">
        <v>37</v>
      </c>
      <c r="P179" s="1" t="str">
        <f>CONCATENATE(Table_Query_from_AMULTIQRY45[[#This Row],[WWHS]],"-",Table_Query_from_AMULTIQRY45[[#This Row],[LLOC]])</f>
        <v>E1-FG</v>
      </c>
      <c r="Q179" s="10">
        <f t="shared" ca="1" si="5"/>
        <v>45775</v>
      </c>
      <c r="R179" s="10"/>
      <c r="S179" s="28">
        <v>1345</v>
      </c>
      <c r="T179" s="1" t="s">
        <v>2</v>
      </c>
      <c r="U179" s="1" t="s">
        <v>200</v>
      </c>
      <c r="V179" s="1">
        <v>20210225</v>
      </c>
      <c r="W179" s="8" t="s">
        <v>8442</v>
      </c>
      <c r="Z179" s="1"/>
      <c r="AA179" s="1"/>
      <c r="AC179" s="1"/>
      <c r="AD179" s="1"/>
      <c r="AE179" s="1"/>
      <c r="AF179" s="1"/>
    </row>
    <row r="180" spans="2:32" ht="12.75" x14ac:dyDescent="0.2">
      <c r="B180" s="1" t="s">
        <v>8686</v>
      </c>
      <c r="C180" s="10">
        <f t="shared" ca="1" si="4"/>
        <v>43868</v>
      </c>
      <c r="D180" s="4"/>
      <c r="E180" s="4" t="s">
        <v>8434</v>
      </c>
      <c r="F180" s="4" t="s">
        <v>1293</v>
      </c>
      <c r="G180" s="4"/>
      <c r="H180" s="4" t="str">
        <f>_xlfn.IFNA(VLOOKUP(Table_Query_from_AMULTIQRY45[[#This Row],[WPROD]],'Part# with New'!$A$1:$B$4347,2,0),Table_Query_from_AMULTIQRY45[[#This Row],[WPROD]])</f>
        <v>1-9655</v>
      </c>
      <c r="I180" s="4" t="s">
        <v>8436</v>
      </c>
      <c r="J180" s="1" t="s">
        <v>46</v>
      </c>
      <c r="L180" s="11">
        <v>2.9739999999999999E-2</v>
      </c>
      <c r="M180" s="1"/>
      <c r="N180" s="1" t="s">
        <v>37</v>
      </c>
      <c r="P180" s="1" t="str">
        <f>CONCATENATE(Table_Query_from_AMULTIQRY45[[#This Row],[WWHS]],"-",Table_Query_from_AMULTIQRY45[[#This Row],[LLOC]])</f>
        <v>E1-FG</v>
      </c>
      <c r="Q180" s="10">
        <f t="shared" ca="1" si="5"/>
        <v>45775</v>
      </c>
      <c r="R180" s="10"/>
      <c r="S180" s="28">
        <v>2885</v>
      </c>
      <c r="T180" s="1" t="s">
        <v>2</v>
      </c>
      <c r="U180" s="1" t="s">
        <v>201</v>
      </c>
      <c r="V180" s="1">
        <v>20200207</v>
      </c>
      <c r="W180" s="8" t="s">
        <v>8442</v>
      </c>
      <c r="Z180" s="1"/>
      <c r="AA180" s="1"/>
      <c r="AC180" s="1"/>
      <c r="AD180" s="1"/>
      <c r="AE180" s="1"/>
      <c r="AF180" s="1"/>
    </row>
    <row r="181" spans="2:32" ht="12.75" x14ac:dyDescent="0.2">
      <c r="B181" s="1" t="s">
        <v>8687</v>
      </c>
      <c r="C181" s="10">
        <f t="shared" ca="1" si="4"/>
        <v>45708</v>
      </c>
      <c r="D181" s="4"/>
      <c r="E181" s="4" t="s">
        <v>8434</v>
      </c>
      <c r="F181" s="4" t="s">
        <v>1293</v>
      </c>
      <c r="G181" s="4"/>
      <c r="H181" s="4" t="str">
        <f>_xlfn.IFNA(VLOOKUP(Table_Query_from_AMULTIQRY45[[#This Row],[WPROD]],'Part# with New'!$A$1:$B$4347,2,0),Table_Query_from_AMULTIQRY45[[#This Row],[WPROD]])</f>
        <v>WRJC106097012D-R460EK</v>
      </c>
      <c r="I181" s="4" t="s">
        <v>8436</v>
      </c>
      <c r="J181" s="1" t="s">
        <v>5</v>
      </c>
      <c r="L181" s="11">
        <v>1.439E-2</v>
      </c>
      <c r="M181" s="1"/>
      <c r="N181" s="1" t="s">
        <v>34</v>
      </c>
      <c r="P181" s="1" t="str">
        <f>CONCATENATE(Table_Query_from_AMULTIQRY45[[#This Row],[WWHS]],"-",Table_Query_from_AMULTIQRY45[[#This Row],[LLOC]])</f>
        <v>E1-FG</v>
      </c>
      <c r="Q181" s="10">
        <f t="shared" ca="1" si="5"/>
        <v>45775</v>
      </c>
      <c r="R181" s="10"/>
      <c r="S181" s="28">
        <v>1230</v>
      </c>
      <c r="T181" s="1" t="s">
        <v>2</v>
      </c>
      <c r="U181" s="1" t="s">
        <v>202</v>
      </c>
      <c r="V181" s="1">
        <v>20250220</v>
      </c>
      <c r="W181" s="8" t="s">
        <v>8442</v>
      </c>
      <c r="Z181" s="1"/>
      <c r="AA181" s="1"/>
      <c r="AC181" s="1"/>
      <c r="AD181" s="1"/>
      <c r="AE181" s="1"/>
      <c r="AF181" s="1"/>
    </row>
    <row r="182" spans="2:32" ht="12.75" x14ac:dyDescent="0.2">
      <c r="B182" s="1" t="s">
        <v>8688</v>
      </c>
      <c r="C182" s="10">
        <f t="shared" ca="1" si="4"/>
        <v>45464</v>
      </c>
      <c r="D182" s="4"/>
      <c r="E182" s="4" t="s">
        <v>8434</v>
      </c>
      <c r="F182" s="4" t="s">
        <v>1293</v>
      </c>
      <c r="G182" s="4"/>
      <c r="H182" s="4" t="str">
        <f>_xlfn.IFNA(VLOOKUP(Table_Query_from_AMULTIQRY45[[#This Row],[WPROD]],'Part# with New'!$A$1:$B$4347,2,0),Table_Query_from_AMULTIQRY45[[#This Row],[WPROD]])</f>
        <v>1-9689</v>
      </c>
      <c r="I182" s="4" t="s">
        <v>8436</v>
      </c>
      <c r="J182" s="1" t="s">
        <v>46</v>
      </c>
      <c r="L182" s="11">
        <v>3.1009999999999999E-2</v>
      </c>
      <c r="M182" s="1"/>
      <c r="N182" s="1" t="s">
        <v>37</v>
      </c>
      <c r="P182" s="1" t="str">
        <f>CONCATENATE(Table_Query_from_AMULTIQRY45[[#This Row],[WWHS]],"-",Table_Query_from_AMULTIQRY45[[#This Row],[LLOC]])</f>
        <v>E1-FG</v>
      </c>
      <c r="Q182" s="10">
        <f t="shared" ca="1" si="5"/>
        <v>45775</v>
      </c>
      <c r="R182" s="10"/>
      <c r="S182" s="28">
        <v>25798</v>
      </c>
      <c r="T182" s="1" t="s">
        <v>2</v>
      </c>
      <c r="U182" s="1" t="s">
        <v>203</v>
      </c>
      <c r="V182" s="1">
        <v>20240621</v>
      </c>
      <c r="W182" s="8" t="s">
        <v>8442</v>
      </c>
      <c r="Z182" s="1"/>
      <c r="AA182" s="1"/>
      <c r="AC182" s="1"/>
      <c r="AD182" s="1"/>
      <c r="AE182" s="1"/>
      <c r="AF182" s="1"/>
    </row>
    <row r="183" spans="2:32" ht="12.75" x14ac:dyDescent="0.2">
      <c r="B183" s="1" t="s">
        <v>8689</v>
      </c>
      <c r="C183" s="10">
        <f t="shared" ca="1" si="4"/>
        <v>45562</v>
      </c>
      <c r="D183" s="4"/>
      <c r="E183" s="4" t="s">
        <v>8434</v>
      </c>
      <c r="F183" s="4" t="s">
        <v>1293</v>
      </c>
      <c r="G183" s="4"/>
      <c r="H183" s="4" t="str">
        <f>_xlfn.IFNA(VLOOKUP(Table_Query_from_AMULTIQRY45[[#This Row],[WPROD]],'Part# with New'!$A$1:$B$4347,2,0),Table_Query_from_AMULTIQRY45[[#This Row],[WPROD]])</f>
        <v>WRJE173148012D-R970BK</v>
      </c>
      <c r="I183" s="4" t="s">
        <v>8436</v>
      </c>
      <c r="J183" s="1" t="s">
        <v>5</v>
      </c>
      <c r="L183" s="11">
        <v>3.1130000000000001E-2</v>
      </c>
      <c r="M183" s="1"/>
      <c r="N183" s="1" t="s">
        <v>37</v>
      </c>
      <c r="P183" s="1" t="str">
        <f>CONCATENATE(Table_Query_from_AMULTIQRY45[[#This Row],[WWHS]],"-",Table_Query_from_AMULTIQRY45[[#This Row],[LLOC]])</f>
        <v>E1-FG</v>
      </c>
      <c r="Q183" s="10">
        <f t="shared" ca="1" si="5"/>
        <v>45775</v>
      </c>
      <c r="R183" s="10"/>
      <c r="S183" s="28">
        <v>1000</v>
      </c>
      <c r="T183" s="1" t="s">
        <v>2</v>
      </c>
      <c r="U183" s="1" t="s">
        <v>204</v>
      </c>
      <c r="V183" s="1">
        <v>20240927</v>
      </c>
      <c r="W183" s="8" t="s">
        <v>8442</v>
      </c>
      <c r="Z183" s="1"/>
      <c r="AA183" s="1"/>
      <c r="AC183" s="1"/>
      <c r="AD183" s="1"/>
      <c r="AE183" s="1"/>
      <c r="AF183" s="1"/>
    </row>
    <row r="184" spans="2:32" ht="12.75" x14ac:dyDescent="0.2">
      <c r="B184" s="1" t="s">
        <v>8690</v>
      </c>
      <c r="C184" s="10">
        <f t="shared" ca="1" si="4"/>
        <v>43368</v>
      </c>
      <c r="D184" s="4"/>
      <c r="E184" s="4" t="s">
        <v>8434</v>
      </c>
      <c r="F184" s="4" t="s">
        <v>1293</v>
      </c>
      <c r="G184" s="4"/>
      <c r="H184" s="4" t="str">
        <f>_xlfn.IFNA(VLOOKUP(Table_Query_from_AMULTIQRY45[[#This Row],[WPROD]],'Part# with New'!$A$1:$B$4347,2,0),Table_Query_from_AMULTIQRY45[[#This Row],[WPROD]])</f>
        <v>WRJC064047007D-R970BK</v>
      </c>
      <c r="I184" s="4" t="s">
        <v>8436</v>
      </c>
      <c r="J184" s="1" t="s">
        <v>46</v>
      </c>
      <c r="L184" s="11">
        <v>7.45E-3</v>
      </c>
      <c r="M184" s="1"/>
      <c r="N184" s="1" t="s">
        <v>34</v>
      </c>
      <c r="P184" s="1" t="str">
        <f>CONCATENATE(Table_Query_from_AMULTIQRY45[[#This Row],[WWHS]],"-",Table_Query_from_AMULTIQRY45[[#This Row],[LLOC]])</f>
        <v>E1-FG</v>
      </c>
      <c r="Q184" s="10">
        <f t="shared" ca="1" si="5"/>
        <v>45775</v>
      </c>
      <c r="R184" s="10"/>
      <c r="S184" s="28">
        <v>2550</v>
      </c>
      <c r="T184" s="1" t="s">
        <v>2</v>
      </c>
      <c r="U184" s="1" t="s">
        <v>205</v>
      </c>
      <c r="V184" s="1">
        <v>20180925</v>
      </c>
      <c r="W184" s="8" t="s">
        <v>8442</v>
      </c>
      <c r="Z184" s="1"/>
      <c r="AA184" s="1"/>
      <c r="AC184" s="1"/>
      <c r="AD184" s="1"/>
      <c r="AE184" s="1"/>
      <c r="AF184" s="1"/>
    </row>
    <row r="185" spans="2:32" ht="12.75" x14ac:dyDescent="0.2">
      <c r="B185" s="1" t="s">
        <v>8691</v>
      </c>
      <c r="C185" s="10">
        <f t="shared" ca="1" si="4"/>
        <v>45601</v>
      </c>
      <c r="D185" s="4"/>
      <c r="E185" s="4" t="s">
        <v>8434</v>
      </c>
      <c r="F185" s="4" t="s">
        <v>1293</v>
      </c>
      <c r="G185" s="4"/>
      <c r="H185" s="4" t="str">
        <f>_xlfn.IFNA(VLOOKUP(Table_Query_from_AMULTIQRY45[[#This Row],[WPROD]],'Part# with New'!$A$1:$B$4347,2,0),Table_Query_from_AMULTIQRY45[[#This Row],[WPROD]])</f>
        <v>WRJA269198006Q-R460EK</v>
      </c>
      <c r="I185" s="4" t="s">
        <v>8436</v>
      </c>
      <c r="J185" s="1" t="s">
        <v>46</v>
      </c>
      <c r="L185" s="11">
        <v>4.5740000000000003E-2</v>
      </c>
      <c r="M185" s="1"/>
      <c r="N185" s="1" t="s">
        <v>30</v>
      </c>
      <c r="P185" s="1" t="str">
        <f>CONCATENATE(Table_Query_from_AMULTIQRY45[[#This Row],[WWHS]],"-",Table_Query_from_AMULTIQRY45[[#This Row],[LLOC]])</f>
        <v>E1-FG</v>
      </c>
      <c r="Q185" s="10">
        <f t="shared" ca="1" si="5"/>
        <v>45775</v>
      </c>
      <c r="R185" s="10"/>
      <c r="S185" s="28">
        <v>1825</v>
      </c>
      <c r="T185" s="1" t="s">
        <v>2</v>
      </c>
      <c r="U185" s="1" t="s">
        <v>207</v>
      </c>
      <c r="V185" s="1">
        <v>20241105</v>
      </c>
      <c r="W185" s="8" t="s">
        <v>8442</v>
      </c>
      <c r="Z185" s="1"/>
      <c r="AA185" s="1"/>
      <c r="AC185" s="1"/>
      <c r="AD185" s="1"/>
      <c r="AE185" s="1"/>
      <c r="AF185" s="1"/>
    </row>
    <row r="186" spans="2:32" ht="12.75" x14ac:dyDescent="0.2">
      <c r="B186" s="1" t="s">
        <v>8692</v>
      </c>
      <c r="C186" s="10">
        <f t="shared" ca="1" si="4"/>
        <v>45680</v>
      </c>
      <c r="D186" s="4"/>
      <c r="E186" s="4" t="s">
        <v>8434</v>
      </c>
      <c r="F186" s="4" t="s">
        <v>1293</v>
      </c>
      <c r="G186" s="4"/>
      <c r="H186" s="4" t="str">
        <f>_xlfn.IFNA(VLOOKUP(Table_Query_from_AMULTIQRY45[[#This Row],[WPROD]],'Part# with New'!$A$1:$B$4347,2,0),Table_Query_from_AMULTIQRY45[[#This Row],[WPROD]])</f>
        <v>1-9717</v>
      </c>
      <c r="I186" s="4" t="s">
        <v>8436</v>
      </c>
      <c r="J186" s="1" t="s">
        <v>5</v>
      </c>
      <c r="L186" s="11">
        <v>2.6610000000000002E-2</v>
      </c>
      <c r="M186" s="1"/>
      <c r="N186" s="1" t="s">
        <v>37</v>
      </c>
      <c r="P186" s="1" t="str">
        <f>CONCATENATE(Table_Query_from_AMULTIQRY45[[#This Row],[WWHS]],"-",Table_Query_from_AMULTIQRY45[[#This Row],[LLOC]])</f>
        <v>E1-FG</v>
      </c>
      <c r="Q186" s="10">
        <f t="shared" ca="1" si="5"/>
        <v>45775</v>
      </c>
      <c r="R186" s="10"/>
      <c r="S186" s="28">
        <v>3256</v>
      </c>
      <c r="T186" s="1" t="s">
        <v>2</v>
      </c>
      <c r="U186" s="1" t="s">
        <v>208</v>
      </c>
      <c r="V186" s="1">
        <v>20250123</v>
      </c>
      <c r="W186" s="8" t="s">
        <v>8442</v>
      </c>
      <c r="Z186" s="1"/>
      <c r="AA186" s="1"/>
      <c r="AC186" s="1"/>
      <c r="AD186" s="1"/>
      <c r="AE186" s="1"/>
      <c r="AF186" s="1"/>
    </row>
    <row r="187" spans="2:32" ht="12.75" x14ac:dyDescent="0.2">
      <c r="B187" s="1" t="s">
        <v>8693</v>
      </c>
      <c r="C187" s="10">
        <f t="shared" ca="1" si="4"/>
        <v>45149</v>
      </c>
      <c r="D187" s="4"/>
      <c r="E187" s="4" t="s">
        <v>8434</v>
      </c>
      <c r="F187" s="4" t="s">
        <v>1293</v>
      </c>
      <c r="G187" s="4"/>
      <c r="H187" s="4" t="str">
        <f>_xlfn.IFNA(VLOOKUP(Table_Query_from_AMULTIQRY45[[#This Row],[WPROD]],'Part# with New'!$A$1:$B$4347,2,0),Table_Query_from_AMULTIQRY45[[#This Row],[WPROD]])</f>
        <v>WRJE193170012D-R970BK</v>
      </c>
      <c r="I187" s="4" t="s">
        <v>8436</v>
      </c>
      <c r="J187" s="1" t="s">
        <v>46</v>
      </c>
      <c r="L187" s="11">
        <v>3.005E-2</v>
      </c>
      <c r="M187" s="1"/>
      <c r="N187" s="1" t="s">
        <v>37</v>
      </c>
      <c r="P187" s="1" t="str">
        <f>CONCATENATE(Table_Query_from_AMULTIQRY45[[#This Row],[WWHS]],"-",Table_Query_from_AMULTIQRY45[[#This Row],[LLOC]])</f>
        <v>E1-FG</v>
      </c>
      <c r="Q187" s="10">
        <f t="shared" ca="1" si="5"/>
        <v>45775</v>
      </c>
      <c r="R187" s="10"/>
      <c r="S187" s="28">
        <v>2213</v>
      </c>
      <c r="T187" s="1" t="s">
        <v>2</v>
      </c>
      <c r="U187" s="1" t="s">
        <v>209</v>
      </c>
      <c r="V187" s="1">
        <v>20230811</v>
      </c>
      <c r="W187" s="8" t="s">
        <v>8442</v>
      </c>
      <c r="Z187" s="1"/>
      <c r="AA187" s="1"/>
      <c r="AC187" s="1"/>
      <c r="AD187" s="1"/>
      <c r="AE187" s="1"/>
      <c r="AF187" s="1"/>
    </row>
    <row r="188" spans="2:32" ht="12.75" x14ac:dyDescent="0.2">
      <c r="B188" s="1" t="s">
        <v>8694</v>
      </c>
      <c r="C188" s="10">
        <f t="shared" ca="1" si="4"/>
        <v>45680</v>
      </c>
      <c r="D188" s="4"/>
      <c r="E188" s="4" t="s">
        <v>8434</v>
      </c>
      <c r="F188" s="4" t="s">
        <v>1293</v>
      </c>
      <c r="G188" s="4"/>
      <c r="H188" s="4" t="str">
        <f>_xlfn.IFNA(VLOOKUP(Table_Query_from_AMULTIQRY45[[#This Row],[WPROD]],'Part# with New'!$A$1:$B$4347,2,0),Table_Query_from_AMULTIQRY45[[#This Row],[WPROD]])</f>
        <v>1-9729</v>
      </c>
      <c r="I188" s="4" t="s">
        <v>8436</v>
      </c>
      <c r="J188" s="1" t="s">
        <v>46</v>
      </c>
      <c r="L188" s="11">
        <v>4.4130000000000003E-2</v>
      </c>
      <c r="M188" s="1"/>
      <c r="N188" s="1" t="s">
        <v>37</v>
      </c>
      <c r="P188" s="1" t="str">
        <f>CONCATENATE(Table_Query_from_AMULTIQRY45[[#This Row],[WWHS]],"-",Table_Query_from_AMULTIQRY45[[#This Row],[LLOC]])</f>
        <v>E1-FG</v>
      </c>
      <c r="Q188" s="10">
        <f t="shared" ca="1" si="5"/>
        <v>45775</v>
      </c>
      <c r="R188" s="10"/>
      <c r="S188" s="28">
        <v>1005</v>
      </c>
      <c r="T188" s="1" t="s">
        <v>2</v>
      </c>
      <c r="U188" s="1" t="s">
        <v>210</v>
      </c>
      <c r="V188" s="1">
        <v>20250123</v>
      </c>
      <c r="W188" s="8" t="s">
        <v>8442</v>
      </c>
      <c r="Z188" s="1"/>
      <c r="AA188" s="1"/>
      <c r="AC188" s="1"/>
      <c r="AD188" s="1"/>
      <c r="AE188" s="1"/>
      <c r="AF188" s="1"/>
    </row>
    <row r="189" spans="2:32" ht="12.75" x14ac:dyDescent="0.2">
      <c r="B189" s="1" t="s">
        <v>8695</v>
      </c>
      <c r="C189" s="10">
        <f t="shared" ca="1" si="4"/>
        <v>45513</v>
      </c>
      <c r="D189" s="4"/>
      <c r="E189" s="4" t="s">
        <v>8434</v>
      </c>
      <c r="F189" s="4" t="s">
        <v>1293</v>
      </c>
      <c r="G189" s="4"/>
      <c r="H189" s="4" t="str">
        <f>_xlfn.IFNA(VLOOKUP(Table_Query_from_AMULTIQRY45[[#This Row],[WPROD]],'Part# with New'!$A$1:$B$4347,2,0),Table_Query_from_AMULTIQRY45[[#This Row],[WPROD]])</f>
        <v>WRJC095083011D-R470BK</v>
      </c>
      <c r="I189" s="4" t="s">
        <v>8436</v>
      </c>
      <c r="J189" s="1" t="s">
        <v>5</v>
      </c>
      <c r="L189" s="11">
        <v>1.4959999999999999E-2</v>
      </c>
      <c r="M189" s="1"/>
      <c r="N189" s="1" t="s">
        <v>34</v>
      </c>
      <c r="P189" s="1" t="str">
        <f>CONCATENATE(Table_Query_from_AMULTIQRY45[[#This Row],[WWHS]],"-",Table_Query_from_AMULTIQRY45[[#This Row],[LLOC]])</f>
        <v>E1-FG</v>
      </c>
      <c r="Q189" s="10">
        <f t="shared" ca="1" si="5"/>
        <v>45775</v>
      </c>
      <c r="R189" s="10"/>
      <c r="S189" s="28">
        <v>1450</v>
      </c>
      <c r="T189" s="1" t="s">
        <v>2</v>
      </c>
      <c r="U189" s="1" t="s">
        <v>211</v>
      </c>
      <c r="V189" s="1">
        <v>20240809</v>
      </c>
      <c r="W189" s="8" t="s">
        <v>8442</v>
      </c>
      <c r="Z189" s="1"/>
      <c r="AA189" s="1"/>
      <c r="AC189" s="1"/>
      <c r="AD189" s="1"/>
      <c r="AE189" s="1"/>
      <c r="AF189" s="1"/>
    </row>
    <row r="190" spans="2:32" ht="12.75" x14ac:dyDescent="0.2">
      <c r="B190" s="1" t="s">
        <v>8696</v>
      </c>
      <c r="C190" s="10">
        <f t="shared" ca="1" si="4"/>
        <v>45770</v>
      </c>
      <c r="D190" s="4"/>
      <c r="E190" s="4" t="s">
        <v>8434</v>
      </c>
      <c r="F190" s="4" t="s">
        <v>1293</v>
      </c>
      <c r="G190" s="4"/>
      <c r="H190" s="4" t="str">
        <f>_xlfn.IFNA(VLOOKUP(Table_Query_from_AMULTIQRY45[[#This Row],[WPROD]],'Part# with New'!$A$1:$B$4347,2,0),Table_Query_from_AMULTIQRY45[[#This Row],[WPROD]])</f>
        <v>WRJC055044007D-R470BK</v>
      </c>
      <c r="I190" s="4" t="s">
        <v>8436</v>
      </c>
      <c r="J190" s="1" t="s">
        <v>5</v>
      </c>
      <c r="L190" s="11">
        <v>6.2199999999999998E-3</v>
      </c>
      <c r="M190" s="1"/>
      <c r="N190" s="1" t="s">
        <v>34</v>
      </c>
      <c r="P190" s="1" t="str">
        <f>CONCATENATE(Table_Query_from_AMULTIQRY45[[#This Row],[WWHS]],"-",Table_Query_from_AMULTIQRY45[[#This Row],[LLOC]])</f>
        <v>E1-FG</v>
      </c>
      <c r="Q190" s="10">
        <f t="shared" ca="1" si="5"/>
        <v>45775</v>
      </c>
      <c r="R190" s="10"/>
      <c r="S190" s="28">
        <v>1234</v>
      </c>
      <c r="T190" s="1" t="s">
        <v>2</v>
      </c>
      <c r="U190" s="1" t="s">
        <v>213</v>
      </c>
      <c r="V190" s="1">
        <v>20250423</v>
      </c>
      <c r="W190" s="8" t="s">
        <v>8442</v>
      </c>
      <c r="Z190" s="1"/>
      <c r="AA190" s="1"/>
      <c r="AC190" s="1"/>
      <c r="AD190" s="1"/>
      <c r="AE190" s="1"/>
      <c r="AF190" s="1"/>
    </row>
    <row r="191" spans="2:32" ht="12.75" x14ac:dyDescent="0.2">
      <c r="B191" s="1" t="s">
        <v>8697</v>
      </c>
      <c r="C191" s="10">
        <f t="shared" ca="1" si="4"/>
        <v>43307</v>
      </c>
      <c r="D191" s="4"/>
      <c r="E191" s="4" t="s">
        <v>8434</v>
      </c>
      <c r="F191" s="4" t="s">
        <v>1293</v>
      </c>
      <c r="G191" s="4"/>
      <c r="H191" s="4" t="str">
        <f>_xlfn.IFNA(VLOOKUP(Table_Query_from_AMULTIQRY45[[#This Row],[WPROD]],'Part# with New'!$A$1:$B$4347,2,0),Table_Query_from_AMULTIQRY45[[#This Row],[WPROD]])</f>
        <v>WRJC056020012D-R570AK</v>
      </c>
      <c r="I191" s="4" t="s">
        <v>8436</v>
      </c>
      <c r="J191" s="1" t="s">
        <v>5</v>
      </c>
      <c r="L191" s="11">
        <v>1.6750000000000001E-2</v>
      </c>
      <c r="M191" s="1"/>
      <c r="N191" s="1" t="s">
        <v>34</v>
      </c>
      <c r="P191" s="1" t="str">
        <f>CONCATENATE(Table_Query_from_AMULTIQRY45[[#This Row],[WWHS]],"-",Table_Query_from_AMULTIQRY45[[#This Row],[LLOC]])</f>
        <v>E1-FG</v>
      </c>
      <c r="Q191" s="10">
        <f t="shared" ca="1" si="5"/>
        <v>45775</v>
      </c>
      <c r="R191" s="10"/>
      <c r="S191" s="28">
        <v>560</v>
      </c>
      <c r="T191" s="1" t="s">
        <v>2</v>
      </c>
      <c r="U191" s="1" t="s">
        <v>215</v>
      </c>
      <c r="V191" s="1">
        <v>20180726</v>
      </c>
      <c r="W191" s="8" t="s">
        <v>8442</v>
      </c>
      <c r="Z191" s="1"/>
      <c r="AA191" s="1"/>
      <c r="AC191" s="1"/>
      <c r="AD191" s="1"/>
      <c r="AE191" s="1"/>
      <c r="AF191" s="1"/>
    </row>
    <row r="192" spans="2:32" ht="12.75" x14ac:dyDescent="0.2">
      <c r="B192" s="1" t="s">
        <v>8698</v>
      </c>
      <c r="C192" s="10">
        <f t="shared" ca="1" si="4"/>
        <v>45177</v>
      </c>
      <c r="D192" s="4"/>
      <c r="E192" s="4" t="s">
        <v>8434</v>
      </c>
      <c r="F192" s="4" t="s">
        <v>1293</v>
      </c>
      <c r="G192" s="4"/>
      <c r="H192" s="4" t="str">
        <f>_xlfn.IFNA(VLOOKUP(Table_Query_from_AMULTIQRY45[[#This Row],[WPROD]],'Part# with New'!$A$1:$B$4347,2,0),Table_Query_from_AMULTIQRY45[[#This Row],[WPROD]])</f>
        <v>WRJA265234006D-R463AK</v>
      </c>
      <c r="I192" s="4" t="s">
        <v>8436</v>
      </c>
      <c r="J192" s="1" t="s">
        <v>5</v>
      </c>
      <c r="L192" s="11">
        <v>2.8150000000000001E-2</v>
      </c>
      <c r="M192" s="1"/>
      <c r="N192" s="1" t="s">
        <v>30</v>
      </c>
      <c r="P192" s="1" t="str">
        <f>CONCATENATE(Table_Query_from_AMULTIQRY45[[#This Row],[WWHS]],"-",Table_Query_from_AMULTIQRY45[[#This Row],[LLOC]])</f>
        <v>E1-FG</v>
      </c>
      <c r="Q192" s="10">
        <f t="shared" ca="1" si="5"/>
        <v>45775</v>
      </c>
      <c r="R192" s="10"/>
      <c r="S192" s="28">
        <v>4920</v>
      </c>
      <c r="T192" s="1" t="s">
        <v>2</v>
      </c>
      <c r="U192" s="1" t="s">
        <v>216</v>
      </c>
      <c r="V192" s="1">
        <v>20230908</v>
      </c>
      <c r="W192" s="8" t="s">
        <v>8442</v>
      </c>
      <c r="Z192" s="1"/>
      <c r="AA192" s="1"/>
      <c r="AC192" s="1"/>
      <c r="AD192" s="1"/>
      <c r="AE192" s="1"/>
      <c r="AF192" s="1"/>
    </row>
    <row r="193" spans="2:32" ht="12.75" x14ac:dyDescent="0.2">
      <c r="B193" s="1" t="s">
        <v>8699</v>
      </c>
      <c r="C193" s="10">
        <f t="shared" ca="1" si="4"/>
        <v>44932</v>
      </c>
      <c r="D193" s="4"/>
      <c r="E193" s="4" t="s">
        <v>8434</v>
      </c>
      <c r="F193" s="4" t="s">
        <v>1293</v>
      </c>
      <c r="G193" s="4"/>
      <c r="H193" s="4" t="str">
        <f>_xlfn.IFNA(VLOOKUP(Table_Query_from_AMULTIQRY45[[#This Row],[WPROD]],'Part# with New'!$A$1:$B$4347,2,0),Table_Query_from_AMULTIQRY45[[#This Row],[WPROD]])</f>
        <v>WRJC077039006D-R980AK</v>
      </c>
      <c r="I193" s="4" t="s">
        <v>8436</v>
      </c>
      <c r="J193" s="1" t="s">
        <v>5</v>
      </c>
      <c r="L193" s="11">
        <v>1.086E-2</v>
      </c>
      <c r="M193" s="1"/>
      <c r="N193" s="1" t="s">
        <v>34</v>
      </c>
      <c r="P193" s="1" t="str">
        <f>CONCATENATE(Table_Query_from_AMULTIQRY45[[#This Row],[WWHS]],"-",Table_Query_from_AMULTIQRY45[[#This Row],[LLOC]])</f>
        <v>E1-FG</v>
      </c>
      <c r="Q193" s="10">
        <f t="shared" ca="1" si="5"/>
        <v>45775</v>
      </c>
      <c r="R193" s="10"/>
      <c r="S193" s="28">
        <v>2105</v>
      </c>
      <c r="T193" s="1" t="s">
        <v>2</v>
      </c>
      <c r="U193" s="1" t="s">
        <v>217</v>
      </c>
      <c r="V193" s="1">
        <v>20230106</v>
      </c>
      <c r="W193" s="8" t="s">
        <v>8442</v>
      </c>
      <c r="Z193" s="1"/>
      <c r="AA193" s="1"/>
      <c r="AC193" s="1"/>
      <c r="AD193" s="1"/>
      <c r="AE193" s="1"/>
      <c r="AF193" s="1"/>
    </row>
    <row r="194" spans="2:32" ht="12.75" x14ac:dyDescent="0.2">
      <c r="B194" s="1" t="s">
        <v>8700</v>
      </c>
      <c r="C194" s="10">
        <f t="shared" ca="1" si="4"/>
        <v>45453</v>
      </c>
      <c r="D194" s="4"/>
      <c r="E194" s="4" t="s">
        <v>8434</v>
      </c>
      <c r="F194" s="4" t="s">
        <v>1293</v>
      </c>
      <c r="G194" s="4"/>
      <c r="H194" s="4" t="str">
        <f>_xlfn.IFNA(VLOOKUP(Table_Query_from_AMULTIQRY45[[#This Row],[WPROD]],'Part# with New'!$A$1:$B$4347,2,0),Table_Query_from_AMULTIQRY45[[#This Row],[WPROD]])</f>
        <v>WRJA443423010D-R470BK</v>
      </c>
      <c r="I194" s="4" t="s">
        <v>8436</v>
      </c>
      <c r="J194" s="1" t="s">
        <v>5</v>
      </c>
      <c r="L194" s="11">
        <v>5.8970000000000002E-2</v>
      </c>
      <c r="M194" s="1"/>
      <c r="N194" s="1" t="s">
        <v>30</v>
      </c>
      <c r="P194" s="1" t="str">
        <f>CONCATENATE(Table_Query_from_AMULTIQRY45[[#This Row],[WWHS]],"-",Table_Query_from_AMULTIQRY45[[#This Row],[LLOC]])</f>
        <v>E1-FG</v>
      </c>
      <c r="Q194" s="10">
        <f t="shared" ca="1" si="5"/>
        <v>45775</v>
      </c>
      <c r="R194" s="10"/>
      <c r="S194" s="28">
        <v>535</v>
      </c>
      <c r="T194" s="1" t="s">
        <v>2</v>
      </c>
      <c r="U194" s="1" t="s">
        <v>218</v>
      </c>
      <c r="V194" s="1">
        <v>20240610</v>
      </c>
      <c r="W194" s="8" t="s">
        <v>8442</v>
      </c>
      <c r="Z194" s="1"/>
      <c r="AA194" s="1"/>
      <c r="AC194" s="1"/>
      <c r="AD194" s="1"/>
      <c r="AE194" s="1"/>
      <c r="AF194" s="1"/>
    </row>
    <row r="195" spans="2:32" ht="12.75" x14ac:dyDescent="0.2">
      <c r="B195" s="1" t="s">
        <v>8701</v>
      </c>
      <c r="C195" s="10">
        <f t="shared" ca="1" si="4"/>
        <v>44505</v>
      </c>
      <c r="D195" s="4"/>
      <c r="E195" s="4" t="s">
        <v>8434</v>
      </c>
      <c r="F195" s="4" t="s">
        <v>1293</v>
      </c>
      <c r="G195" s="4"/>
      <c r="H195" s="4" t="str">
        <f>_xlfn.IFNA(VLOOKUP(Table_Query_from_AMULTIQRY45[[#This Row],[WPROD]],'Part# with New'!$A$1:$B$4347,2,0),Table_Query_from_AMULTIQRY45[[#This Row],[WPROD]])</f>
        <v>WRJA398386007D-R470BK</v>
      </c>
      <c r="I195" s="4" t="s">
        <v>8436</v>
      </c>
      <c r="J195" s="1" t="s">
        <v>5</v>
      </c>
      <c r="L195" s="11">
        <v>3.6920000000000001E-2</v>
      </c>
      <c r="M195" s="1"/>
      <c r="N195" s="1" t="s">
        <v>30</v>
      </c>
      <c r="P195" s="1" t="str">
        <f>CONCATENATE(Table_Query_from_AMULTIQRY45[[#This Row],[WWHS]],"-",Table_Query_from_AMULTIQRY45[[#This Row],[LLOC]])</f>
        <v>E1-FG</v>
      </c>
      <c r="Q195" s="10">
        <f t="shared" ca="1" si="5"/>
        <v>45775</v>
      </c>
      <c r="R195" s="10"/>
      <c r="S195" s="28">
        <v>1274</v>
      </c>
      <c r="T195" s="1" t="s">
        <v>2</v>
      </c>
      <c r="U195" s="1" t="s">
        <v>219</v>
      </c>
      <c r="V195" s="1">
        <v>20211105</v>
      </c>
      <c r="W195" s="8" t="s">
        <v>8442</v>
      </c>
      <c r="Z195" s="1"/>
      <c r="AA195" s="1"/>
      <c r="AC195" s="1"/>
      <c r="AD195" s="1"/>
      <c r="AE195" s="1"/>
      <c r="AF195" s="1"/>
    </row>
    <row r="196" spans="2:32" ht="12.75" x14ac:dyDescent="0.2">
      <c r="B196" s="1" t="s">
        <v>8702</v>
      </c>
      <c r="C196" s="10">
        <f t="shared" ca="1" si="4"/>
        <v>45098</v>
      </c>
      <c r="D196" s="4"/>
      <c r="E196" s="4" t="s">
        <v>8434</v>
      </c>
      <c r="F196" s="4" t="s">
        <v>1293</v>
      </c>
      <c r="G196" s="4"/>
      <c r="H196" s="4" t="str">
        <f>_xlfn.IFNA(VLOOKUP(Table_Query_from_AMULTIQRY45[[#This Row],[WPROD]],'Part# with New'!$A$1:$B$4347,2,0),Table_Query_from_AMULTIQRY45[[#This Row],[WPROD]])</f>
        <v>WRJA487473006D-R470BK</v>
      </c>
      <c r="I196" s="4" t="s">
        <v>8436</v>
      </c>
      <c r="J196" s="1" t="s">
        <v>5</v>
      </c>
      <c r="L196" s="11">
        <v>4.2849999999999999E-2</v>
      </c>
      <c r="M196" s="1"/>
      <c r="N196" s="1" t="s">
        <v>30</v>
      </c>
      <c r="P196" s="1" t="str">
        <f>CONCATENATE(Table_Query_from_AMULTIQRY45[[#This Row],[WWHS]],"-",Table_Query_from_AMULTIQRY45[[#This Row],[LLOC]])</f>
        <v>E1-FG</v>
      </c>
      <c r="Q196" s="10">
        <f t="shared" ca="1" si="5"/>
        <v>45775</v>
      </c>
      <c r="R196" s="10"/>
      <c r="S196" s="28">
        <v>2271</v>
      </c>
      <c r="T196" s="1" t="s">
        <v>2</v>
      </c>
      <c r="U196" s="1" t="s">
        <v>220</v>
      </c>
      <c r="V196" s="1">
        <v>20230621</v>
      </c>
      <c r="W196" s="8" t="s">
        <v>8442</v>
      </c>
      <c r="Z196" s="1"/>
      <c r="AA196" s="1"/>
      <c r="AC196" s="1"/>
      <c r="AD196" s="1"/>
      <c r="AE196" s="1"/>
      <c r="AF196" s="1"/>
    </row>
    <row r="197" spans="2:32" ht="12.75" x14ac:dyDescent="0.2">
      <c r="B197" s="1" t="s">
        <v>8703</v>
      </c>
      <c r="C197" s="10">
        <f t="shared" ca="1" si="4"/>
        <v>45716</v>
      </c>
      <c r="D197" s="4"/>
      <c r="E197" s="4" t="s">
        <v>8434</v>
      </c>
      <c r="F197" s="4" t="s">
        <v>1293</v>
      </c>
      <c r="G197" s="4"/>
      <c r="H197" s="4" t="str">
        <f>_xlfn.IFNA(VLOOKUP(Table_Query_from_AMULTIQRY45[[#This Row],[WPROD]],'Part# with New'!$A$1:$B$4347,2,0),Table_Query_from_AMULTIQRY45[[#This Row],[WPROD]])</f>
        <v>WRJE232209012D-R970BK</v>
      </c>
      <c r="I197" s="4" t="s">
        <v>8436</v>
      </c>
      <c r="J197" s="1" t="s">
        <v>5</v>
      </c>
      <c r="L197" s="11">
        <v>3.603E-2</v>
      </c>
      <c r="M197" s="1"/>
      <c r="N197" s="1" t="s">
        <v>37</v>
      </c>
      <c r="P197" s="1" t="str">
        <f>CONCATENATE(Table_Query_from_AMULTIQRY45[[#This Row],[WWHS]],"-",Table_Query_from_AMULTIQRY45[[#This Row],[LLOC]])</f>
        <v>E1-FG</v>
      </c>
      <c r="Q197" s="10">
        <f t="shared" ca="1" si="5"/>
        <v>45775</v>
      </c>
      <c r="R197" s="10"/>
      <c r="S197" s="28">
        <v>1464</v>
      </c>
      <c r="T197" s="1" t="s">
        <v>2</v>
      </c>
      <c r="U197" s="1" t="s">
        <v>221</v>
      </c>
      <c r="V197" s="1">
        <v>20250228</v>
      </c>
      <c r="W197" s="8" t="s">
        <v>8442</v>
      </c>
      <c r="Z197" s="1"/>
      <c r="AA197" s="1"/>
      <c r="AC197" s="1"/>
      <c r="AD197" s="1"/>
      <c r="AE197" s="1"/>
      <c r="AF197" s="1"/>
    </row>
    <row r="198" spans="2:32" ht="12.75" x14ac:dyDescent="0.2">
      <c r="B198" s="1" t="s">
        <v>8704</v>
      </c>
      <c r="C198" s="10">
        <f t="shared" ca="1" si="4"/>
        <v>45632</v>
      </c>
      <c r="D198" s="4"/>
      <c r="E198" s="4" t="s">
        <v>8434</v>
      </c>
      <c r="F198" s="4" t="s">
        <v>1293</v>
      </c>
      <c r="G198" s="4"/>
      <c r="H198" s="4" t="str">
        <f>_xlfn.IFNA(VLOOKUP(Table_Query_from_AMULTIQRY45[[#This Row],[WPROD]],'Part# with New'!$A$1:$B$4347,2,0),Table_Query_from_AMULTIQRY45[[#This Row],[WPROD]])</f>
        <v>WRJC118090014D-R570AK</v>
      </c>
      <c r="I198" s="4" t="s">
        <v>8436</v>
      </c>
      <c r="J198" s="1" t="s">
        <v>5</v>
      </c>
      <c r="L198" s="11">
        <v>8.6980000000000002E-2</v>
      </c>
      <c r="M198" s="1"/>
      <c r="N198" s="1" t="s">
        <v>34</v>
      </c>
      <c r="P198" s="1" t="str">
        <f>CONCATENATE(Table_Query_from_AMULTIQRY45[[#This Row],[WWHS]],"-",Table_Query_from_AMULTIQRY45[[#This Row],[LLOC]])</f>
        <v>E1-FG</v>
      </c>
      <c r="Q198" s="10">
        <f t="shared" ca="1" si="5"/>
        <v>45775</v>
      </c>
      <c r="R198" s="10"/>
      <c r="S198" s="28">
        <v>2034</v>
      </c>
      <c r="T198" s="1" t="s">
        <v>2</v>
      </c>
      <c r="U198" s="1" t="s">
        <v>222</v>
      </c>
      <c r="V198" s="1">
        <v>20241206</v>
      </c>
      <c r="W198" s="8" t="s">
        <v>8442</v>
      </c>
      <c r="Z198" s="1"/>
      <c r="AA198" s="1"/>
      <c r="AC198" s="1"/>
      <c r="AD198" s="1"/>
      <c r="AE198" s="1"/>
      <c r="AF198" s="1"/>
    </row>
    <row r="199" spans="2:32" ht="12.75" x14ac:dyDescent="0.2">
      <c r="B199" s="1" t="s">
        <v>8705</v>
      </c>
      <c r="C199" s="10">
        <f t="shared" ref="C199:C262" ca="1" si="6">IFERROR(DATE(LEFT($V199,4),MID($V199,5,2),RIGHT($V199,2)),TODAY())</f>
        <v>44344</v>
      </c>
      <c r="D199" s="4"/>
      <c r="E199" s="4" t="s">
        <v>8434</v>
      </c>
      <c r="F199" s="4" t="s">
        <v>1293</v>
      </c>
      <c r="G199" s="4"/>
      <c r="H199" s="4" t="str">
        <f>_xlfn.IFNA(VLOOKUP(Table_Query_from_AMULTIQRY45[[#This Row],[WPROD]],'Part# with New'!$A$1:$B$4347,2,0),Table_Query_from_AMULTIQRY45[[#This Row],[WPROD]])</f>
        <v>WRJC026015021D-R580AK</v>
      </c>
      <c r="I199" s="4" t="s">
        <v>8436</v>
      </c>
      <c r="J199" s="1" t="s">
        <v>46</v>
      </c>
      <c r="L199" s="11">
        <v>1.4250000000000001E-2</v>
      </c>
      <c r="M199" s="1"/>
      <c r="N199" s="1" t="s">
        <v>34</v>
      </c>
      <c r="P199" s="1" t="str">
        <f>CONCATENATE(Table_Query_from_AMULTIQRY45[[#This Row],[WWHS]],"-",Table_Query_from_AMULTIQRY45[[#This Row],[LLOC]])</f>
        <v>E1-FG</v>
      </c>
      <c r="Q199" s="10">
        <f t="shared" ref="Q199:Q262" ca="1" si="7">+TODAY()</f>
        <v>45775</v>
      </c>
      <c r="R199" s="10"/>
      <c r="S199" s="28">
        <v>1415</v>
      </c>
      <c r="T199" s="1" t="s">
        <v>2</v>
      </c>
      <c r="U199" s="1" t="s">
        <v>223</v>
      </c>
      <c r="V199" s="1">
        <v>20210528</v>
      </c>
      <c r="W199" s="8" t="s">
        <v>8442</v>
      </c>
      <c r="Z199" s="1"/>
      <c r="AA199" s="1"/>
      <c r="AC199" s="1"/>
      <c r="AD199" s="1"/>
      <c r="AE199" s="1"/>
      <c r="AF199" s="1"/>
    </row>
    <row r="200" spans="2:32" ht="12.75" x14ac:dyDescent="0.2">
      <c r="B200" s="1" t="s">
        <v>8706</v>
      </c>
      <c r="C200" s="10">
        <f t="shared" ca="1" si="6"/>
        <v>45680</v>
      </c>
      <c r="D200" s="4"/>
      <c r="E200" s="4" t="s">
        <v>8434</v>
      </c>
      <c r="F200" s="4" t="s">
        <v>1293</v>
      </c>
      <c r="G200" s="4"/>
      <c r="H200" s="4" t="str">
        <f>_xlfn.IFNA(VLOOKUP(Table_Query_from_AMULTIQRY45[[#This Row],[WPROD]],'Part# with New'!$A$1:$B$4347,2,0),Table_Query_from_AMULTIQRY45[[#This Row],[WPROD]])</f>
        <v>WRJC181145021D-R850AK</v>
      </c>
      <c r="I200" s="4" t="s">
        <v>8436</v>
      </c>
      <c r="J200" s="1" t="s">
        <v>46</v>
      </c>
      <c r="L200" s="11">
        <v>6.1030000000000001E-2</v>
      </c>
      <c r="M200" s="1"/>
      <c r="N200" s="1" t="s">
        <v>34</v>
      </c>
      <c r="P200" s="1" t="str">
        <f>CONCATENATE(Table_Query_from_AMULTIQRY45[[#This Row],[WWHS]],"-",Table_Query_from_AMULTIQRY45[[#This Row],[LLOC]])</f>
        <v>E1-FG</v>
      </c>
      <c r="Q200" s="10">
        <f t="shared" ca="1" si="7"/>
        <v>45775</v>
      </c>
      <c r="R200" s="10"/>
      <c r="S200" s="28">
        <v>520</v>
      </c>
      <c r="T200" s="1" t="s">
        <v>2</v>
      </c>
      <c r="U200" s="1" t="s">
        <v>224</v>
      </c>
      <c r="V200" s="1">
        <v>20250123</v>
      </c>
      <c r="W200" s="8" t="s">
        <v>8442</v>
      </c>
      <c r="Z200" s="1"/>
      <c r="AA200" s="1"/>
      <c r="AC200" s="1"/>
      <c r="AD200" s="1"/>
      <c r="AE200" s="1"/>
      <c r="AF200" s="1"/>
    </row>
    <row r="201" spans="2:32" ht="12.75" x14ac:dyDescent="0.2">
      <c r="B201" s="1" t="s">
        <v>8707</v>
      </c>
      <c r="C201" s="10">
        <f t="shared" ca="1" si="6"/>
        <v>45562</v>
      </c>
      <c r="D201" s="4"/>
      <c r="E201" s="4" t="s">
        <v>8434</v>
      </c>
      <c r="F201" s="4" t="s">
        <v>1293</v>
      </c>
      <c r="G201" s="4"/>
      <c r="H201" s="4" t="str">
        <f>_xlfn.IFNA(VLOOKUP(Table_Query_from_AMULTIQRY45[[#This Row],[WPROD]],'Part# with New'!$A$1:$B$4347,2,0),Table_Query_from_AMULTIQRY45[[#This Row],[WPROD]])</f>
        <v>2-4454</v>
      </c>
      <c r="I201" s="4" t="s">
        <v>8436</v>
      </c>
      <c r="J201" s="1" t="s">
        <v>46</v>
      </c>
      <c r="L201" s="11">
        <v>2.3810000000000001E-2</v>
      </c>
      <c r="M201" s="1"/>
      <c r="N201" s="1" t="s">
        <v>34</v>
      </c>
      <c r="P201" s="1" t="str">
        <f>CONCATENATE(Table_Query_from_AMULTIQRY45[[#This Row],[WWHS]],"-",Table_Query_from_AMULTIQRY45[[#This Row],[LLOC]])</f>
        <v>E1-FG</v>
      </c>
      <c r="Q201" s="10">
        <f t="shared" ca="1" si="7"/>
        <v>45775</v>
      </c>
      <c r="R201" s="10"/>
      <c r="S201" s="28">
        <v>950</v>
      </c>
      <c r="T201" s="1" t="s">
        <v>2</v>
      </c>
      <c r="U201" s="1" t="s">
        <v>225</v>
      </c>
      <c r="V201" s="1">
        <v>20240927</v>
      </c>
      <c r="W201" s="8" t="s">
        <v>8442</v>
      </c>
      <c r="Z201" s="1"/>
      <c r="AA201" s="1"/>
      <c r="AC201" s="1"/>
      <c r="AD201" s="1"/>
      <c r="AE201" s="1"/>
      <c r="AF201" s="1"/>
    </row>
    <row r="202" spans="2:32" ht="12.75" x14ac:dyDescent="0.2">
      <c r="B202" s="1" t="s">
        <v>8708</v>
      </c>
      <c r="C202" s="10">
        <f t="shared" ca="1" si="6"/>
        <v>45630</v>
      </c>
      <c r="D202" s="4"/>
      <c r="E202" s="4" t="s">
        <v>8434</v>
      </c>
      <c r="F202" s="4" t="s">
        <v>1293</v>
      </c>
      <c r="G202" s="4"/>
      <c r="H202" s="4" t="str">
        <f>_xlfn.IFNA(VLOOKUP(Table_Query_from_AMULTIQRY45[[#This Row],[WPROD]],'Part# with New'!$A$1:$B$4347,2,0),Table_Query_from_AMULTIQRY45[[#This Row],[WPROD]])</f>
        <v>2-4687</v>
      </c>
      <c r="I202" s="4" t="s">
        <v>8436</v>
      </c>
      <c r="J202" s="1" t="s">
        <v>46</v>
      </c>
      <c r="L202" s="11">
        <v>0.40860999999999997</v>
      </c>
      <c r="M202" s="1"/>
      <c r="N202" s="1" t="s">
        <v>30</v>
      </c>
      <c r="P202" s="1" t="str">
        <f>CONCATENATE(Table_Query_from_AMULTIQRY45[[#This Row],[WWHS]],"-",Table_Query_from_AMULTIQRY45[[#This Row],[LLOC]])</f>
        <v>E1-FG</v>
      </c>
      <c r="Q202" s="10">
        <f t="shared" ca="1" si="7"/>
        <v>45775</v>
      </c>
      <c r="R202" s="10"/>
      <c r="S202" s="28">
        <v>272</v>
      </c>
      <c r="T202" s="1" t="s">
        <v>2</v>
      </c>
      <c r="U202" s="1" t="s">
        <v>226</v>
      </c>
      <c r="V202" s="1">
        <v>20241204</v>
      </c>
      <c r="W202" s="8" t="s">
        <v>8442</v>
      </c>
      <c r="Z202" s="1"/>
      <c r="AA202" s="1"/>
      <c r="AC202" s="1"/>
      <c r="AD202" s="1"/>
      <c r="AE202" s="1"/>
      <c r="AF202" s="1"/>
    </row>
    <row r="203" spans="2:32" ht="12.75" x14ac:dyDescent="0.2">
      <c r="B203" s="1" t="s">
        <v>8709</v>
      </c>
      <c r="C203" s="10">
        <f t="shared" ca="1" si="6"/>
        <v>45316</v>
      </c>
      <c r="D203" s="4"/>
      <c r="E203" s="4" t="s">
        <v>8434</v>
      </c>
      <c r="F203" s="4" t="s">
        <v>1293</v>
      </c>
      <c r="G203" s="4"/>
      <c r="H203" s="4" t="str">
        <f>_xlfn.IFNA(VLOOKUP(Table_Query_from_AMULTIQRY45[[#This Row],[WPROD]],'Part# with New'!$A$1:$B$4347,2,0),Table_Query_from_AMULTIQRY45[[#This Row],[WPROD]])</f>
        <v>2-8202</v>
      </c>
      <c r="I203" s="4" t="s">
        <v>8436</v>
      </c>
      <c r="J203" s="1" t="s">
        <v>5</v>
      </c>
      <c r="L203" s="11">
        <v>1.7250000000000001E-2</v>
      </c>
      <c r="M203" s="1"/>
      <c r="N203" s="1" t="s">
        <v>34</v>
      </c>
      <c r="P203" s="1" t="str">
        <f>CONCATENATE(Table_Query_from_AMULTIQRY45[[#This Row],[WWHS]],"-",Table_Query_from_AMULTIQRY45[[#This Row],[LLOC]])</f>
        <v>E1-FG</v>
      </c>
      <c r="Q203" s="10">
        <f t="shared" ca="1" si="7"/>
        <v>45775</v>
      </c>
      <c r="R203" s="10"/>
      <c r="S203" s="28">
        <v>560</v>
      </c>
      <c r="T203" s="1" t="s">
        <v>2</v>
      </c>
      <c r="U203" s="1" t="s">
        <v>227</v>
      </c>
      <c r="V203" s="1">
        <v>20240125</v>
      </c>
      <c r="W203" s="8" t="s">
        <v>8442</v>
      </c>
      <c r="Z203" s="1"/>
      <c r="AA203" s="1"/>
      <c r="AC203" s="1"/>
      <c r="AD203" s="1"/>
      <c r="AE203" s="1"/>
      <c r="AF203" s="1"/>
    </row>
    <row r="204" spans="2:32" ht="12.75" x14ac:dyDescent="0.2">
      <c r="B204" s="1" t="s">
        <v>8710</v>
      </c>
      <c r="C204" s="10">
        <f t="shared" ca="1" si="6"/>
        <v>45590</v>
      </c>
      <c r="D204" s="4"/>
      <c r="E204" s="4" t="s">
        <v>8434</v>
      </c>
      <c r="F204" s="4" t="s">
        <v>1293</v>
      </c>
      <c r="G204" s="4"/>
      <c r="H204" s="4" t="str">
        <f>_xlfn.IFNA(VLOOKUP(Table_Query_from_AMULTIQRY45[[#This Row],[WPROD]],'Part# with New'!$A$1:$B$4347,2,0),Table_Query_from_AMULTIQRY45[[#This Row],[WPROD]])</f>
        <v>2-8213</v>
      </c>
      <c r="I204" s="4" t="s">
        <v>8436</v>
      </c>
      <c r="J204" s="1" t="s">
        <v>46</v>
      </c>
      <c r="L204" s="11">
        <v>6.7430000000000004E-2</v>
      </c>
      <c r="M204" s="1"/>
      <c r="N204" s="1" t="s">
        <v>30</v>
      </c>
      <c r="P204" s="1" t="str">
        <f>CONCATENATE(Table_Query_from_AMULTIQRY45[[#This Row],[WWHS]],"-",Table_Query_from_AMULTIQRY45[[#This Row],[LLOC]])</f>
        <v>E1-FG</v>
      </c>
      <c r="Q204" s="10">
        <f t="shared" ca="1" si="7"/>
        <v>45775</v>
      </c>
      <c r="R204" s="10"/>
      <c r="S204" s="28">
        <v>6000</v>
      </c>
      <c r="T204" s="1" t="s">
        <v>2</v>
      </c>
      <c r="U204" s="1" t="s">
        <v>228</v>
      </c>
      <c r="V204" s="1">
        <v>20241025</v>
      </c>
      <c r="W204" s="8" t="s">
        <v>8442</v>
      </c>
      <c r="Z204" s="1"/>
      <c r="AA204" s="1"/>
      <c r="AC204" s="1"/>
      <c r="AD204" s="1"/>
      <c r="AE204" s="1"/>
      <c r="AF204" s="1"/>
    </row>
    <row r="205" spans="2:32" ht="12.75" x14ac:dyDescent="0.2">
      <c r="B205" s="1" t="s">
        <v>8711</v>
      </c>
      <c r="C205" s="10">
        <f t="shared" ca="1" si="6"/>
        <v>45714</v>
      </c>
      <c r="D205" s="4"/>
      <c r="E205" s="4" t="s">
        <v>8434</v>
      </c>
      <c r="F205" s="4" t="s">
        <v>1293</v>
      </c>
      <c r="G205" s="4"/>
      <c r="H205" s="4" t="str">
        <f>_xlfn.IFNA(VLOOKUP(Table_Query_from_AMULTIQRY45[[#This Row],[WPROD]],'Part# with New'!$A$1:$B$4347,2,0),Table_Query_from_AMULTIQRY45[[#This Row],[WPROD]])</f>
        <v>2-8248</v>
      </c>
      <c r="I205" s="4" t="s">
        <v>8436</v>
      </c>
      <c r="J205" s="1" t="s">
        <v>46</v>
      </c>
      <c r="L205" s="11">
        <v>6.1249999999999999E-2</v>
      </c>
      <c r="M205" s="1"/>
      <c r="N205" s="1" t="s">
        <v>30</v>
      </c>
      <c r="P205" s="1" t="str">
        <f>CONCATENATE(Table_Query_from_AMULTIQRY45[[#This Row],[WWHS]],"-",Table_Query_from_AMULTIQRY45[[#This Row],[LLOC]])</f>
        <v>E1-FG</v>
      </c>
      <c r="Q205" s="10">
        <f t="shared" ca="1" si="7"/>
        <v>45775</v>
      </c>
      <c r="R205" s="10"/>
      <c r="S205" s="28">
        <v>3647</v>
      </c>
      <c r="T205" s="1" t="s">
        <v>2</v>
      </c>
      <c r="U205" s="1" t="s">
        <v>229</v>
      </c>
      <c r="V205" s="1">
        <v>20250226</v>
      </c>
      <c r="W205" s="8" t="s">
        <v>8442</v>
      </c>
      <c r="Z205" s="1"/>
      <c r="AA205" s="1"/>
      <c r="AC205" s="1"/>
      <c r="AD205" s="1"/>
      <c r="AE205" s="1"/>
      <c r="AF205" s="1"/>
    </row>
    <row r="206" spans="2:32" ht="12.75" x14ac:dyDescent="0.2">
      <c r="B206" s="1" t="s">
        <v>8712</v>
      </c>
      <c r="C206" s="10">
        <f t="shared" ca="1" si="6"/>
        <v>43420</v>
      </c>
      <c r="D206" s="4"/>
      <c r="E206" s="4" t="s">
        <v>8434</v>
      </c>
      <c r="F206" s="4" t="s">
        <v>1293</v>
      </c>
      <c r="G206" s="4"/>
      <c r="H206" s="4" t="str">
        <f>_xlfn.IFNA(VLOOKUP(Table_Query_from_AMULTIQRY45[[#This Row],[WPROD]],'Part# with New'!$A$1:$B$4347,2,0),Table_Query_from_AMULTIQRY45[[#This Row],[WPROD]])</f>
        <v>2-8262</v>
      </c>
      <c r="I206" s="4" t="s">
        <v>8436</v>
      </c>
      <c r="J206" s="1" t="s">
        <v>46</v>
      </c>
      <c r="L206" s="11">
        <v>2.5520000000000001E-2</v>
      </c>
      <c r="M206" s="1"/>
      <c r="N206" s="1" t="s">
        <v>37</v>
      </c>
      <c r="P206" s="1" t="str">
        <f>CONCATENATE(Table_Query_from_AMULTIQRY45[[#This Row],[WWHS]],"-",Table_Query_from_AMULTIQRY45[[#This Row],[LLOC]])</f>
        <v>E1-FG</v>
      </c>
      <c r="Q206" s="10">
        <f t="shared" ca="1" si="7"/>
        <v>45775</v>
      </c>
      <c r="R206" s="10"/>
      <c r="S206" s="28">
        <v>3471</v>
      </c>
      <c r="T206" s="1" t="s">
        <v>2</v>
      </c>
      <c r="U206" s="1" t="s">
        <v>230</v>
      </c>
      <c r="V206" s="1">
        <v>20181116</v>
      </c>
      <c r="W206" s="8" t="s">
        <v>8442</v>
      </c>
      <c r="Z206" s="1"/>
      <c r="AA206" s="1"/>
      <c r="AC206" s="1"/>
      <c r="AD206" s="1"/>
      <c r="AE206" s="1"/>
      <c r="AF206" s="1"/>
    </row>
    <row r="207" spans="2:32" ht="12.75" x14ac:dyDescent="0.2">
      <c r="B207" s="1" t="s">
        <v>8713</v>
      </c>
      <c r="C207" s="10">
        <f t="shared" ca="1" si="6"/>
        <v>44774</v>
      </c>
      <c r="D207" s="4"/>
      <c r="E207" s="4" t="s">
        <v>8434</v>
      </c>
      <c r="F207" s="4" t="s">
        <v>1293</v>
      </c>
      <c r="G207" s="4"/>
      <c r="H207" s="4" t="str">
        <f>_xlfn.IFNA(VLOOKUP(Table_Query_from_AMULTIQRY45[[#This Row],[WPROD]],'Part# with New'!$A$1:$B$4347,2,0),Table_Query_from_AMULTIQRY45[[#This Row],[WPROD]])</f>
        <v>2-8426</v>
      </c>
      <c r="I207" s="4" t="s">
        <v>8436</v>
      </c>
      <c r="J207" s="1" t="s">
        <v>46</v>
      </c>
      <c r="L207" s="11">
        <v>4.0960000000000003E-2</v>
      </c>
      <c r="M207" s="1"/>
      <c r="N207" s="1" t="s">
        <v>34</v>
      </c>
      <c r="P207" s="1" t="str">
        <f>CONCATENATE(Table_Query_from_AMULTIQRY45[[#This Row],[WWHS]],"-",Table_Query_from_AMULTIQRY45[[#This Row],[LLOC]])</f>
        <v>E1-FG</v>
      </c>
      <c r="Q207" s="10">
        <f t="shared" ca="1" si="7"/>
        <v>45775</v>
      </c>
      <c r="R207" s="10"/>
      <c r="S207" s="28">
        <v>1537</v>
      </c>
      <c r="T207" s="1" t="s">
        <v>2</v>
      </c>
      <c r="U207" s="1" t="s">
        <v>231</v>
      </c>
      <c r="V207" s="1">
        <v>20220801</v>
      </c>
      <c r="W207" s="8" t="s">
        <v>8442</v>
      </c>
      <c r="Z207" s="1"/>
      <c r="AA207" s="1"/>
      <c r="AC207" s="1"/>
      <c r="AD207" s="1"/>
      <c r="AE207" s="1"/>
      <c r="AF207" s="1"/>
    </row>
    <row r="208" spans="2:32" ht="12.75" x14ac:dyDescent="0.2">
      <c r="B208" s="1" t="s">
        <v>8714</v>
      </c>
      <c r="C208" s="10">
        <f t="shared" ca="1" si="6"/>
        <v>45568</v>
      </c>
      <c r="D208" s="4"/>
      <c r="E208" s="4" t="s">
        <v>8434</v>
      </c>
      <c r="F208" s="4" t="s">
        <v>1293</v>
      </c>
      <c r="G208" s="4"/>
      <c r="H208" s="4" t="str">
        <f>_xlfn.IFNA(VLOOKUP(Table_Query_from_AMULTIQRY45[[#This Row],[WPROD]],'Part# with New'!$A$1:$B$4347,2,0),Table_Query_from_AMULTIQRY45[[#This Row],[WPROD]])</f>
        <v>2-8463</v>
      </c>
      <c r="I208" s="4" t="s">
        <v>8436</v>
      </c>
      <c r="J208" s="1" t="s">
        <v>46</v>
      </c>
      <c r="L208" s="11">
        <v>0.17029</v>
      </c>
      <c r="M208" s="1"/>
      <c r="N208" s="1" t="s">
        <v>30</v>
      </c>
      <c r="P208" s="1" t="str">
        <f>CONCATENATE(Table_Query_from_AMULTIQRY45[[#This Row],[WWHS]],"-",Table_Query_from_AMULTIQRY45[[#This Row],[LLOC]])</f>
        <v>E1-FG</v>
      </c>
      <c r="Q208" s="10">
        <f t="shared" ca="1" si="7"/>
        <v>45775</v>
      </c>
      <c r="R208" s="10"/>
      <c r="S208" s="28">
        <v>530</v>
      </c>
      <c r="T208" s="1" t="s">
        <v>2</v>
      </c>
      <c r="U208" s="1" t="s">
        <v>232</v>
      </c>
      <c r="V208" s="1">
        <v>20241003</v>
      </c>
      <c r="W208" s="8" t="s">
        <v>8442</v>
      </c>
      <c r="Z208" s="1"/>
      <c r="AA208" s="1"/>
      <c r="AC208" s="1"/>
      <c r="AD208" s="1"/>
      <c r="AE208" s="1"/>
      <c r="AF208" s="1"/>
    </row>
    <row r="209" spans="2:32" ht="12.75" x14ac:dyDescent="0.2">
      <c r="B209" s="1" t="s">
        <v>8715</v>
      </c>
      <c r="C209" s="10">
        <f t="shared" ca="1" si="6"/>
        <v>45236</v>
      </c>
      <c r="D209" s="4"/>
      <c r="E209" s="4" t="s">
        <v>8434</v>
      </c>
      <c r="F209" s="4" t="s">
        <v>1293</v>
      </c>
      <c r="G209" s="4"/>
      <c r="H209" s="4" t="str">
        <f>_xlfn.IFNA(VLOOKUP(Table_Query_from_AMULTIQRY45[[#This Row],[WPROD]],'Part# with New'!$A$1:$B$4347,2,0),Table_Query_from_AMULTIQRY45[[#This Row],[WPROD]])</f>
        <v>2-8633</v>
      </c>
      <c r="I209" s="4" t="s">
        <v>8436</v>
      </c>
      <c r="J209" s="1" t="s">
        <v>5</v>
      </c>
      <c r="L209" s="11">
        <v>0.43332999999999999</v>
      </c>
      <c r="M209" s="1"/>
      <c r="N209" s="1" t="s">
        <v>30</v>
      </c>
      <c r="P209" s="1" t="str">
        <f>CONCATENATE(Table_Query_from_AMULTIQRY45[[#This Row],[WWHS]],"-",Table_Query_from_AMULTIQRY45[[#This Row],[LLOC]])</f>
        <v>E1-FG</v>
      </c>
      <c r="Q209" s="10">
        <f t="shared" ca="1" si="7"/>
        <v>45775</v>
      </c>
      <c r="R209" s="10"/>
      <c r="S209" s="28">
        <v>138</v>
      </c>
      <c r="T209" s="1" t="s">
        <v>2</v>
      </c>
      <c r="U209" s="1" t="s">
        <v>233</v>
      </c>
      <c r="V209" s="1">
        <v>20231106</v>
      </c>
      <c r="W209" s="8" t="s">
        <v>8442</v>
      </c>
      <c r="Z209" s="1"/>
      <c r="AA209" s="1"/>
      <c r="AC209" s="1"/>
      <c r="AD209" s="1"/>
      <c r="AE209" s="1"/>
      <c r="AF209" s="1"/>
    </row>
    <row r="210" spans="2:32" ht="12.75" x14ac:dyDescent="0.2">
      <c r="B210" s="1" t="s">
        <v>8716</v>
      </c>
      <c r="C210" s="10">
        <f t="shared" ca="1" si="6"/>
        <v>45772</v>
      </c>
      <c r="D210" s="4"/>
      <c r="E210" s="4" t="s">
        <v>8434</v>
      </c>
      <c r="F210" s="4" t="s">
        <v>1293</v>
      </c>
      <c r="G210" s="4"/>
      <c r="H210" s="4" t="str">
        <f>_xlfn.IFNA(VLOOKUP(Table_Query_from_AMULTIQRY45[[#This Row],[WPROD]],'Part# with New'!$A$1:$B$4347,2,0),Table_Query_from_AMULTIQRY45[[#This Row],[WPROD]])</f>
        <v>2-8741</v>
      </c>
      <c r="I210" s="4" t="s">
        <v>8436</v>
      </c>
      <c r="J210" s="1" t="s">
        <v>46</v>
      </c>
      <c r="L210" s="11">
        <v>5.4170000000000003E-2</v>
      </c>
      <c r="M210" s="1"/>
      <c r="N210" s="1" t="s">
        <v>30</v>
      </c>
      <c r="P210" s="1" t="str">
        <f>CONCATENATE(Table_Query_from_AMULTIQRY45[[#This Row],[WWHS]],"-",Table_Query_from_AMULTIQRY45[[#This Row],[LLOC]])</f>
        <v>E1-FG</v>
      </c>
      <c r="Q210" s="10">
        <f t="shared" ca="1" si="7"/>
        <v>45775</v>
      </c>
      <c r="R210" s="10"/>
      <c r="S210" s="28">
        <v>768</v>
      </c>
      <c r="T210" s="1" t="s">
        <v>2</v>
      </c>
      <c r="U210" s="1" t="s">
        <v>234</v>
      </c>
      <c r="V210" s="1">
        <v>20250425</v>
      </c>
      <c r="W210" s="8" t="s">
        <v>8442</v>
      </c>
      <c r="Z210" s="1"/>
      <c r="AA210" s="1"/>
      <c r="AC210" s="1"/>
      <c r="AD210" s="1"/>
      <c r="AE210" s="1"/>
      <c r="AF210" s="1"/>
    </row>
    <row r="211" spans="2:32" ht="12.75" x14ac:dyDescent="0.2">
      <c r="B211" s="1" t="s">
        <v>8717</v>
      </c>
      <c r="C211" s="10">
        <f t="shared" ca="1" si="6"/>
        <v>45614</v>
      </c>
      <c r="D211" s="4"/>
      <c r="E211" s="4" t="s">
        <v>8434</v>
      </c>
      <c r="F211" s="4" t="s">
        <v>1293</v>
      </c>
      <c r="G211" s="4"/>
      <c r="H211" s="4" t="str">
        <f>_xlfn.IFNA(VLOOKUP(Table_Query_from_AMULTIQRY45[[#This Row],[WPROD]],'Part# with New'!$A$1:$B$4347,2,0),Table_Query_from_AMULTIQRY45[[#This Row],[WPROD]])</f>
        <v>2-8787</v>
      </c>
      <c r="I211" s="4" t="s">
        <v>8436</v>
      </c>
      <c r="J211" s="1" t="s">
        <v>46</v>
      </c>
      <c r="L211" s="11">
        <v>0.36889</v>
      </c>
      <c r="M211" s="1"/>
      <c r="N211" s="1" t="s">
        <v>34</v>
      </c>
      <c r="P211" s="1" t="str">
        <f>CONCATENATE(Table_Query_from_AMULTIQRY45[[#This Row],[WWHS]],"-",Table_Query_from_AMULTIQRY45[[#This Row],[LLOC]])</f>
        <v>E1-FG</v>
      </c>
      <c r="Q211" s="10">
        <f t="shared" ca="1" si="7"/>
        <v>45775</v>
      </c>
      <c r="R211" s="10"/>
      <c r="S211" s="28">
        <v>326</v>
      </c>
      <c r="T211" s="1" t="s">
        <v>2</v>
      </c>
      <c r="U211" s="1" t="s">
        <v>235</v>
      </c>
      <c r="V211" s="1">
        <v>20241118</v>
      </c>
      <c r="W211" s="8" t="s">
        <v>8442</v>
      </c>
      <c r="Z211" s="1"/>
      <c r="AA211" s="1"/>
      <c r="AC211" s="1"/>
      <c r="AD211" s="1"/>
      <c r="AE211" s="1"/>
      <c r="AF211" s="1"/>
    </row>
    <row r="212" spans="2:32" ht="12.75" x14ac:dyDescent="0.2">
      <c r="B212" s="1" t="s">
        <v>8718</v>
      </c>
      <c r="C212" s="10">
        <f t="shared" ca="1" si="6"/>
        <v>43868</v>
      </c>
      <c r="D212" s="4"/>
      <c r="E212" s="4" t="s">
        <v>8434</v>
      </c>
      <c r="F212" s="4" t="s">
        <v>1293</v>
      </c>
      <c r="G212" s="4"/>
      <c r="H212" s="4" t="str">
        <f>_xlfn.IFNA(VLOOKUP(Table_Query_from_AMULTIQRY45[[#This Row],[WPROD]],'Part# with New'!$A$1:$B$4347,2,0),Table_Query_from_AMULTIQRY45[[#This Row],[WPROD]])</f>
        <v>2-8807</v>
      </c>
      <c r="I212" s="4" t="s">
        <v>8436</v>
      </c>
      <c r="J212" s="1" t="s">
        <v>46</v>
      </c>
      <c r="L212" s="11">
        <v>6.0749999999999998E-2</v>
      </c>
      <c r="M212" s="1"/>
      <c r="N212" s="1" t="s">
        <v>30</v>
      </c>
      <c r="P212" s="1" t="str">
        <f>CONCATENATE(Table_Query_from_AMULTIQRY45[[#This Row],[WWHS]],"-",Table_Query_from_AMULTIQRY45[[#This Row],[LLOC]])</f>
        <v>E1-FG</v>
      </c>
      <c r="Q212" s="10">
        <f t="shared" ca="1" si="7"/>
        <v>45775</v>
      </c>
      <c r="R212" s="10"/>
      <c r="S212" s="28">
        <v>6680</v>
      </c>
      <c r="T212" s="1" t="s">
        <v>2</v>
      </c>
      <c r="U212" s="1" t="s">
        <v>236</v>
      </c>
      <c r="V212" s="1">
        <v>20200207</v>
      </c>
      <c r="W212" s="8" t="s">
        <v>8442</v>
      </c>
      <c r="Z212" s="1"/>
      <c r="AA212" s="1"/>
      <c r="AC212" s="1"/>
      <c r="AD212" s="1"/>
      <c r="AE212" s="1"/>
      <c r="AF212" s="1"/>
    </row>
    <row r="213" spans="2:32" ht="12.75" x14ac:dyDescent="0.2">
      <c r="B213" s="1" t="s">
        <v>8719</v>
      </c>
      <c r="C213" s="10">
        <f t="shared" ca="1" si="6"/>
        <v>45680</v>
      </c>
      <c r="D213" s="4"/>
      <c r="E213" s="4" t="s">
        <v>8434</v>
      </c>
      <c r="F213" s="4" t="s">
        <v>1293</v>
      </c>
      <c r="G213" s="4"/>
      <c r="H213" s="4" t="str">
        <f>_xlfn.IFNA(VLOOKUP(Table_Query_from_AMULTIQRY45[[#This Row],[WPROD]],'Part# with New'!$A$1:$B$4347,2,0),Table_Query_from_AMULTIQRY45[[#This Row],[WPROD]])</f>
        <v>2-8825</v>
      </c>
      <c r="I213" s="4" t="s">
        <v>8436</v>
      </c>
      <c r="J213" s="1" t="s">
        <v>5</v>
      </c>
      <c r="L213" s="11">
        <v>4.4200000000000003E-2</v>
      </c>
      <c r="M213" s="1"/>
      <c r="N213" s="1" t="s">
        <v>37</v>
      </c>
      <c r="P213" s="1" t="str">
        <f>CONCATENATE(Table_Query_from_AMULTIQRY45[[#This Row],[WWHS]],"-",Table_Query_from_AMULTIQRY45[[#This Row],[LLOC]])</f>
        <v>E1-FG</v>
      </c>
      <c r="Q213" s="10">
        <f t="shared" ca="1" si="7"/>
        <v>45775</v>
      </c>
      <c r="R213" s="10"/>
      <c r="S213" s="28">
        <v>4320</v>
      </c>
      <c r="T213" s="1" t="s">
        <v>2</v>
      </c>
      <c r="U213" s="1" t="s">
        <v>237</v>
      </c>
      <c r="V213" s="1">
        <v>20250123</v>
      </c>
      <c r="W213" s="8" t="s">
        <v>8442</v>
      </c>
      <c r="Z213" s="1"/>
      <c r="AA213" s="1"/>
      <c r="AC213" s="1"/>
      <c r="AD213" s="1"/>
      <c r="AE213" s="1"/>
      <c r="AF213" s="1"/>
    </row>
    <row r="214" spans="2:32" ht="12.75" x14ac:dyDescent="0.2">
      <c r="B214" s="1" t="s">
        <v>8720</v>
      </c>
      <c r="C214" s="10">
        <f t="shared" ca="1" si="6"/>
        <v>45680</v>
      </c>
      <c r="D214" s="4"/>
      <c r="E214" s="4" t="s">
        <v>8434</v>
      </c>
      <c r="F214" s="4" t="s">
        <v>1293</v>
      </c>
      <c r="G214" s="4"/>
      <c r="H214" s="4" t="str">
        <f>_xlfn.IFNA(VLOOKUP(Table_Query_from_AMULTIQRY45[[#This Row],[WPROD]],'Part# with New'!$A$1:$B$4347,2,0),Table_Query_from_AMULTIQRY45[[#This Row],[WPROD]])</f>
        <v>2-8888</v>
      </c>
      <c r="I214" s="4" t="s">
        <v>8436</v>
      </c>
      <c r="J214" s="1" t="s">
        <v>5</v>
      </c>
      <c r="L214" s="11">
        <v>3.7260000000000001E-2</v>
      </c>
      <c r="M214" s="1"/>
      <c r="N214" s="1" t="s">
        <v>37</v>
      </c>
      <c r="P214" s="1" t="str">
        <f>CONCATENATE(Table_Query_from_AMULTIQRY45[[#This Row],[WWHS]],"-",Table_Query_from_AMULTIQRY45[[#This Row],[LLOC]])</f>
        <v>E1-FG</v>
      </c>
      <c r="Q214" s="10">
        <f t="shared" ca="1" si="7"/>
        <v>45775</v>
      </c>
      <c r="R214" s="10"/>
      <c r="S214" s="28">
        <v>887</v>
      </c>
      <c r="T214" s="1" t="s">
        <v>2</v>
      </c>
      <c r="U214" s="1" t="s">
        <v>238</v>
      </c>
      <c r="V214" s="1">
        <v>20250123</v>
      </c>
      <c r="W214" s="8" t="s">
        <v>8442</v>
      </c>
      <c r="Z214" s="1"/>
      <c r="AA214" s="1"/>
      <c r="AC214" s="1"/>
      <c r="AD214" s="1"/>
      <c r="AE214" s="1"/>
      <c r="AF214" s="1"/>
    </row>
    <row r="215" spans="2:32" ht="12.75" x14ac:dyDescent="0.2">
      <c r="B215" s="1" t="s">
        <v>8721</v>
      </c>
      <c r="C215" s="10">
        <f t="shared" ca="1" si="6"/>
        <v>45512</v>
      </c>
      <c r="D215" s="4"/>
      <c r="E215" s="4" t="s">
        <v>8434</v>
      </c>
      <c r="F215" s="4" t="s">
        <v>1293</v>
      </c>
      <c r="G215" s="4"/>
      <c r="H215" s="4" t="str">
        <f>_xlfn.IFNA(VLOOKUP(Table_Query_from_AMULTIQRY45[[#This Row],[WPROD]],'Part# with New'!$A$1:$B$4347,2,0),Table_Query_from_AMULTIQRY45[[#This Row],[WPROD]])</f>
        <v>2-8917</v>
      </c>
      <c r="I215" s="4" t="s">
        <v>8436</v>
      </c>
      <c r="J215" s="1" t="s">
        <v>46</v>
      </c>
      <c r="L215" s="11">
        <v>0.15728</v>
      </c>
      <c r="M215" s="1"/>
      <c r="N215" s="1" t="s">
        <v>30</v>
      </c>
      <c r="P215" s="1" t="str">
        <f>CONCATENATE(Table_Query_from_AMULTIQRY45[[#This Row],[WWHS]],"-",Table_Query_from_AMULTIQRY45[[#This Row],[LLOC]])</f>
        <v>E1-FG</v>
      </c>
      <c r="Q215" s="10">
        <f t="shared" ca="1" si="7"/>
        <v>45775</v>
      </c>
      <c r="R215" s="10"/>
      <c r="S215" s="28">
        <v>1265</v>
      </c>
      <c r="T215" s="1" t="s">
        <v>2</v>
      </c>
      <c r="U215" s="1" t="s">
        <v>239</v>
      </c>
      <c r="V215" s="1">
        <v>20240808</v>
      </c>
      <c r="W215" s="8" t="s">
        <v>8442</v>
      </c>
      <c r="Z215" s="1"/>
      <c r="AA215" s="1"/>
      <c r="AC215" s="1"/>
      <c r="AD215" s="1"/>
      <c r="AE215" s="1"/>
      <c r="AF215" s="1"/>
    </row>
    <row r="216" spans="2:32" ht="12.75" x14ac:dyDescent="0.2">
      <c r="B216" s="1" t="s">
        <v>8722</v>
      </c>
      <c r="C216" s="10">
        <f t="shared" ca="1" si="6"/>
        <v>45317</v>
      </c>
      <c r="D216" s="4"/>
      <c r="E216" s="4" t="s">
        <v>8434</v>
      </c>
      <c r="F216" s="4" t="s">
        <v>1293</v>
      </c>
      <c r="G216" s="4"/>
      <c r="H216" s="4" t="str">
        <f>_xlfn.IFNA(VLOOKUP(Table_Query_from_AMULTIQRY45[[#This Row],[WPROD]],'Part# with New'!$A$1:$B$4347,2,0),Table_Query_from_AMULTIQRY45[[#This Row],[WPROD]])</f>
        <v>2-8954</v>
      </c>
      <c r="I216" s="4" t="s">
        <v>8436</v>
      </c>
      <c r="J216" s="1" t="s">
        <v>46</v>
      </c>
      <c r="L216" s="11">
        <v>5.7329999999999999E-2</v>
      </c>
      <c r="M216" s="1"/>
      <c r="N216" s="1" t="s">
        <v>30</v>
      </c>
      <c r="P216" s="1" t="str">
        <f>CONCATENATE(Table_Query_from_AMULTIQRY45[[#This Row],[WWHS]],"-",Table_Query_from_AMULTIQRY45[[#This Row],[LLOC]])</f>
        <v>E1-FG</v>
      </c>
      <c r="Q216" s="10">
        <f t="shared" ca="1" si="7"/>
        <v>45775</v>
      </c>
      <c r="R216" s="10"/>
      <c r="S216" s="28">
        <v>500</v>
      </c>
      <c r="T216" s="1" t="s">
        <v>2</v>
      </c>
      <c r="U216" s="1" t="s">
        <v>240</v>
      </c>
      <c r="V216" s="1">
        <v>20240126</v>
      </c>
      <c r="W216" s="8" t="s">
        <v>8442</v>
      </c>
      <c r="Z216" s="1"/>
      <c r="AA216" s="1"/>
      <c r="AC216" s="1"/>
      <c r="AD216" s="1"/>
      <c r="AE216" s="1"/>
      <c r="AF216" s="1"/>
    </row>
    <row r="217" spans="2:32" ht="12.75" x14ac:dyDescent="0.2">
      <c r="B217" s="1" t="s">
        <v>8723</v>
      </c>
      <c r="C217" s="10">
        <f t="shared" ca="1" si="6"/>
        <v>45765</v>
      </c>
      <c r="D217" s="4"/>
      <c r="E217" s="4" t="s">
        <v>8434</v>
      </c>
      <c r="F217" s="4" t="s">
        <v>1293</v>
      </c>
      <c r="G217" s="4"/>
      <c r="H217" s="4" t="str">
        <f>_xlfn.IFNA(VLOOKUP(Table_Query_from_AMULTIQRY45[[#This Row],[WPROD]],'Part# with New'!$A$1:$B$4347,2,0),Table_Query_from_AMULTIQRY45[[#This Row],[WPROD]])</f>
        <v>2-8961</v>
      </c>
      <c r="I217" s="4" t="s">
        <v>8436</v>
      </c>
      <c r="J217" s="1" t="s">
        <v>46</v>
      </c>
      <c r="L217" s="11">
        <v>3.1029999999999999E-2</v>
      </c>
      <c r="M217" s="1"/>
      <c r="N217" s="1" t="s">
        <v>37</v>
      </c>
      <c r="P217" s="1" t="str">
        <f>CONCATENATE(Table_Query_from_AMULTIQRY45[[#This Row],[WWHS]],"-",Table_Query_from_AMULTIQRY45[[#This Row],[LLOC]])</f>
        <v>E1-FG</v>
      </c>
      <c r="Q217" s="10">
        <f t="shared" ca="1" si="7"/>
        <v>45775</v>
      </c>
      <c r="R217" s="10"/>
      <c r="S217" s="28">
        <v>8000</v>
      </c>
      <c r="T217" s="1" t="s">
        <v>2</v>
      </c>
      <c r="U217" s="1" t="s">
        <v>241</v>
      </c>
      <c r="V217" s="1">
        <v>20250418</v>
      </c>
      <c r="W217" s="8" t="s">
        <v>8442</v>
      </c>
      <c r="Z217" s="1"/>
      <c r="AA217" s="1"/>
      <c r="AC217" s="1"/>
      <c r="AD217" s="1"/>
      <c r="AE217" s="1"/>
      <c r="AF217" s="1"/>
    </row>
    <row r="218" spans="2:32" ht="12.75" x14ac:dyDescent="0.2">
      <c r="B218" s="1" t="s">
        <v>8724</v>
      </c>
      <c r="C218" s="10">
        <f t="shared" ca="1" si="6"/>
        <v>44012</v>
      </c>
      <c r="D218" s="4"/>
      <c r="E218" s="4" t="s">
        <v>8434</v>
      </c>
      <c r="F218" s="4" t="s">
        <v>1293</v>
      </c>
      <c r="G218" s="4"/>
      <c r="H218" s="4" t="str">
        <f>_xlfn.IFNA(VLOOKUP(Table_Query_from_AMULTIQRY45[[#This Row],[WPROD]],'Part# with New'!$A$1:$B$4347,2,0),Table_Query_from_AMULTIQRY45[[#This Row],[WPROD]])</f>
        <v>2-8962</v>
      </c>
      <c r="I218" s="4" t="s">
        <v>8436</v>
      </c>
      <c r="J218" s="1" t="s">
        <v>46</v>
      </c>
      <c r="L218" s="11">
        <v>5.1549999999999999E-2</v>
      </c>
      <c r="M218" s="1"/>
      <c r="N218" s="1" t="s">
        <v>30</v>
      </c>
      <c r="P218" s="1" t="str">
        <f>CONCATENATE(Table_Query_from_AMULTIQRY45[[#This Row],[WWHS]],"-",Table_Query_from_AMULTIQRY45[[#This Row],[LLOC]])</f>
        <v>E1-FG</v>
      </c>
      <c r="Q218" s="10">
        <f t="shared" ca="1" si="7"/>
        <v>45775</v>
      </c>
      <c r="R218" s="10"/>
      <c r="S218" s="28">
        <v>1380</v>
      </c>
      <c r="T218" s="1" t="s">
        <v>2</v>
      </c>
      <c r="U218" s="1" t="s">
        <v>242</v>
      </c>
      <c r="V218" s="1">
        <v>20200630</v>
      </c>
      <c r="W218" s="8" t="s">
        <v>8442</v>
      </c>
      <c r="Z218" s="1"/>
      <c r="AA218" s="1"/>
      <c r="AC218" s="1"/>
      <c r="AD218" s="1"/>
      <c r="AE218" s="1"/>
      <c r="AF218" s="1"/>
    </row>
    <row r="219" spans="2:32" ht="12.75" x14ac:dyDescent="0.2">
      <c r="B219" s="1" t="s">
        <v>8725</v>
      </c>
      <c r="C219" s="10">
        <f t="shared" ca="1" si="6"/>
        <v>45436</v>
      </c>
      <c r="D219" s="4"/>
      <c r="E219" s="4" t="s">
        <v>8434</v>
      </c>
      <c r="F219" s="4" t="s">
        <v>1293</v>
      </c>
      <c r="G219" s="4"/>
      <c r="H219" s="4" t="str">
        <f>_xlfn.IFNA(VLOOKUP(Table_Query_from_AMULTIQRY45[[#This Row],[WPROD]],'Part# with New'!$A$1:$B$4347,2,0),Table_Query_from_AMULTIQRY45[[#This Row],[WPROD]])</f>
        <v>2-8973</v>
      </c>
      <c r="I219" s="4" t="s">
        <v>8436</v>
      </c>
      <c r="J219" s="1" t="s">
        <v>5</v>
      </c>
      <c r="L219" s="11">
        <v>5.3359999999999998E-2</v>
      </c>
      <c r="M219" s="1"/>
      <c r="N219" s="1" t="s">
        <v>30</v>
      </c>
      <c r="P219" s="1" t="str">
        <f>CONCATENATE(Table_Query_from_AMULTIQRY45[[#This Row],[WWHS]],"-",Table_Query_from_AMULTIQRY45[[#This Row],[LLOC]])</f>
        <v>E1-FG</v>
      </c>
      <c r="Q219" s="10">
        <f t="shared" ca="1" si="7"/>
        <v>45775</v>
      </c>
      <c r="R219" s="10"/>
      <c r="S219" s="28">
        <v>2091</v>
      </c>
      <c r="T219" s="1" t="s">
        <v>2</v>
      </c>
      <c r="U219" s="1" t="s">
        <v>243</v>
      </c>
      <c r="V219" s="1">
        <v>20240524</v>
      </c>
      <c r="W219" s="8" t="s">
        <v>8442</v>
      </c>
      <c r="Z219" s="1"/>
      <c r="AA219" s="1"/>
      <c r="AC219" s="1"/>
      <c r="AD219" s="1"/>
      <c r="AE219" s="1"/>
      <c r="AF219" s="1"/>
    </row>
    <row r="220" spans="2:32" ht="12.75" x14ac:dyDescent="0.2">
      <c r="B220" s="1" t="s">
        <v>8726</v>
      </c>
      <c r="C220" s="10">
        <f t="shared" ca="1" si="6"/>
        <v>43875</v>
      </c>
      <c r="D220" s="4"/>
      <c r="E220" s="4" t="s">
        <v>8434</v>
      </c>
      <c r="F220" s="4" t="s">
        <v>1293</v>
      </c>
      <c r="G220" s="4"/>
      <c r="H220" s="4" t="str">
        <f>_xlfn.IFNA(VLOOKUP(Table_Query_from_AMULTIQRY45[[#This Row],[WPROD]],'Part# with New'!$A$1:$B$4347,2,0),Table_Query_from_AMULTIQRY45[[#This Row],[WPROD]])</f>
        <v>2-8974</v>
      </c>
      <c r="I220" s="4" t="s">
        <v>8436</v>
      </c>
      <c r="J220" s="1" t="s">
        <v>5</v>
      </c>
      <c r="L220" s="11">
        <v>3.2840000000000001E-2</v>
      </c>
      <c r="M220" s="1"/>
      <c r="N220" s="1" t="s">
        <v>37</v>
      </c>
      <c r="P220" s="1" t="str">
        <f>CONCATENATE(Table_Query_from_AMULTIQRY45[[#This Row],[WWHS]],"-",Table_Query_from_AMULTIQRY45[[#This Row],[LLOC]])</f>
        <v>E1-FG</v>
      </c>
      <c r="Q220" s="10">
        <f t="shared" ca="1" si="7"/>
        <v>45775</v>
      </c>
      <c r="R220" s="10"/>
      <c r="S220" s="28">
        <v>2080</v>
      </c>
      <c r="T220" s="1" t="s">
        <v>2</v>
      </c>
      <c r="U220" s="1" t="s">
        <v>244</v>
      </c>
      <c r="V220" s="1">
        <v>20200214</v>
      </c>
      <c r="W220" s="8" t="s">
        <v>8442</v>
      </c>
      <c r="Z220" s="1"/>
      <c r="AA220" s="1"/>
      <c r="AC220" s="1"/>
      <c r="AD220" s="1"/>
      <c r="AE220" s="1"/>
      <c r="AF220" s="1"/>
    </row>
    <row r="221" spans="2:32" ht="12.75" x14ac:dyDescent="0.2">
      <c r="B221" s="1" t="s">
        <v>8727</v>
      </c>
      <c r="C221" s="10">
        <f t="shared" ca="1" si="6"/>
        <v>43878</v>
      </c>
      <c r="D221" s="4"/>
      <c r="E221" s="4" t="s">
        <v>8434</v>
      </c>
      <c r="F221" s="4" t="s">
        <v>1293</v>
      </c>
      <c r="G221" s="4"/>
      <c r="H221" s="4" t="str">
        <f>_xlfn.IFNA(VLOOKUP(Table_Query_from_AMULTIQRY45[[#This Row],[WPROD]],'Part# with New'!$A$1:$B$4347,2,0),Table_Query_from_AMULTIQRY45[[#This Row],[WPROD]])</f>
        <v>2-8999</v>
      </c>
      <c r="I221" s="4" t="s">
        <v>8436</v>
      </c>
      <c r="J221" s="1" t="s">
        <v>5</v>
      </c>
      <c r="L221" s="11">
        <v>8.1439999999999999E-2</v>
      </c>
      <c r="M221" s="1"/>
      <c r="N221" s="1" t="s">
        <v>30</v>
      </c>
      <c r="P221" s="1" t="str">
        <f>CONCATENATE(Table_Query_from_AMULTIQRY45[[#This Row],[WWHS]],"-",Table_Query_from_AMULTIQRY45[[#This Row],[LLOC]])</f>
        <v>E1-FG</v>
      </c>
      <c r="Q221" s="10">
        <f t="shared" ca="1" si="7"/>
        <v>45775</v>
      </c>
      <c r="R221" s="10"/>
      <c r="S221" s="28">
        <v>845</v>
      </c>
      <c r="T221" s="1" t="s">
        <v>2</v>
      </c>
      <c r="U221" s="1" t="s">
        <v>245</v>
      </c>
      <c r="V221" s="1">
        <v>20200217</v>
      </c>
      <c r="W221" s="8" t="s">
        <v>8442</v>
      </c>
      <c r="Z221" s="1"/>
      <c r="AA221" s="1"/>
      <c r="AC221" s="1"/>
      <c r="AD221" s="1"/>
      <c r="AE221" s="1"/>
      <c r="AF221" s="1"/>
    </row>
    <row r="222" spans="2:32" ht="12.75" x14ac:dyDescent="0.2">
      <c r="B222" s="1" t="s">
        <v>8728</v>
      </c>
      <c r="C222" s="10">
        <f t="shared" ca="1" si="6"/>
        <v>45518</v>
      </c>
      <c r="D222" s="4"/>
      <c r="E222" s="4" t="s">
        <v>8434</v>
      </c>
      <c r="F222" s="4" t="s">
        <v>1293</v>
      </c>
      <c r="G222" s="4"/>
      <c r="H222" s="4" t="str">
        <f>_xlfn.IFNA(VLOOKUP(Table_Query_from_AMULTIQRY45[[#This Row],[WPROD]],'Part# with New'!$A$1:$B$4347,2,0),Table_Query_from_AMULTIQRY45[[#This Row],[WPROD]])</f>
        <v>2-9000</v>
      </c>
      <c r="I222" s="4" t="s">
        <v>8436</v>
      </c>
      <c r="J222" s="1" t="s">
        <v>5</v>
      </c>
      <c r="L222" s="11">
        <v>3.6229999999999998E-2</v>
      </c>
      <c r="M222" s="1"/>
      <c r="N222" s="1" t="s">
        <v>34</v>
      </c>
      <c r="P222" s="1" t="str">
        <f>CONCATENATE(Table_Query_from_AMULTIQRY45[[#This Row],[WWHS]],"-",Table_Query_from_AMULTIQRY45[[#This Row],[LLOC]])</f>
        <v>E1-FG</v>
      </c>
      <c r="Q222" s="10">
        <f t="shared" ca="1" si="7"/>
        <v>45775</v>
      </c>
      <c r="R222" s="10"/>
      <c r="S222" s="28">
        <v>858</v>
      </c>
      <c r="T222" s="1" t="s">
        <v>2</v>
      </c>
      <c r="U222" s="1" t="s">
        <v>246</v>
      </c>
      <c r="V222" s="1">
        <v>20240814</v>
      </c>
      <c r="W222" s="8" t="s">
        <v>8442</v>
      </c>
      <c r="Z222" s="1"/>
      <c r="AA222" s="1"/>
      <c r="AC222" s="1"/>
      <c r="AD222" s="1"/>
      <c r="AE222" s="1"/>
      <c r="AF222" s="1"/>
    </row>
    <row r="223" spans="2:32" ht="12.75" x14ac:dyDescent="0.2">
      <c r="B223" s="1" t="s">
        <v>8729</v>
      </c>
      <c r="C223" s="10">
        <f t="shared" ca="1" si="6"/>
        <v>45541</v>
      </c>
      <c r="D223" s="4"/>
      <c r="E223" s="4" t="s">
        <v>8434</v>
      </c>
      <c r="F223" s="4" t="s">
        <v>1293</v>
      </c>
      <c r="G223" s="4"/>
      <c r="H223" s="4" t="str">
        <f>_xlfn.IFNA(VLOOKUP(Table_Query_from_AMULTIQRY45[[#This Row],[WPROD]],'Part# with New'!$A$1:$B$4347,2,0),Table_Query_from_AMULTIQRY45[[#This Row],[WPROD]])</f>
        <v>2-9110</v>
      </c>
      <c r="I223" s="4" t="s">
        <v>8436</v>
      </c>
      <c r="J223" s="1" t="s">
        <v>5</v>
      </c>
      <c r="L223" s="11">
        <v>1.6830000000000001E-2</v>
      </c>
      <c r="M223" s="1"/>
      <c r="N223" s="1" t="s">
        <v>34</v>
      </c>
      <c r="P223" s="1" t="str">
        <f>CONCATENATE(Table_Query_from_AMULTIQRY45[[#This Row],[WWHS]],"-",Table_Query_from_AMULTIQRY45[[#This Row],[LLOC]])</f>
        <v>E1-FG</v>
      </c>
      <c r="Q223" s="10">
        <f t="shared" ca="1" si="7"/>
        <v>45775</v>
      </c>
      <c r="R223" s="10"/>
      <c r="S223" s="28">
        <v>989</v>
      </c>
      <c r="T223" s="1" t="s">
        <v>2</v>
      </c>
      <c r="U223" s="1" t="s">
        <v>247</v>
      </c>
      <c r="V223" s="1">
        <v>20240906</v>
      </c>
      <c r="W223" s="8" t="s">
        <v>8442</v>
      </c>
      <c r="Z223" s="1"/>
      <c r="AA223" s="1"/>
      <c r="AC223" s="1"/>
      <c r="AD223" s="1"/>
      <c r="AE223" s="1"/>
      <c r="AF223" s="1"/>
    </row>
    <row r="224" spans="2:32" ht="12.75" x14ac:dyDescent="0.2">
      <c r="B224" s="1" t="s">
        <v>8730</v>
      </c>
      <c r="C224" s="10">
        <f t="shared" ca="1" si="6"/>
        <v>45708</v>
      </c>
      <c r="D224" s="4"/>
      <c r="E224" s="4" t="s">
        <v>8434</v>
      </c>
      <c r="F224" s="4" t="s">
        <v>1293</v>
      </c>
      <c r="G224" s="4"/>
      <c r="H224" s="4" t="str">
        <f>_xlfn.IFNA(VLOOKUP(Table_Query_from_AMULTIQRY45[[#This Row],[WPROD]],'Part# with New'!$A$1:$B$4347,2,0),Table_Query_from_AMULTIQRY45[[#This Row],[WPROD]])</f>
        <v>2-9111</v>
      </c>
      <c r="I224" s="4" t="s">
        <v>8436</v>
      </c>
      <c r="J224" s="1" t="s">
        <v>5</v>
      </c>
      <c r="L224" s="11">
        <v>4.265E-2</v>
      </c>
      <c r="M224" s="1"/>
      <c r="N224" s="1" t="s">
        <v>34</v>
      </c>
      <c r="P224" s="1" t="str">
        <f>CONCATENATE(Table_Query_from_AMULTIQRY45[[#This Row],[WWHS]],"-",Table_Query_from_AMULTIQRY45[[#This Row],[LLOC]])</f>
        <v>E1-FG</v>
      </c>
      <c r="Q224" s="10">
        <f t="shared" ca="1" si="7"/>
        <v>45775</v>
      </c>
      <c r="R224" s="10"/>
      <c r="S224" s="28">
        <v>6662</v>
      </c>
      <c r="T224" s="1" t="s">
        <v>2</v>
      </c>
      <c r="U224" s="1" t="s">
        <v>248</v>
      </c>
      <c r="V224" s="1">
        <v>20250220</v>
      </c>
      <c r="W224" s="8" t="s">
        <v>8442</v>
      </c>
      <c r="Z224" s="1"/>
      <c r="AA224" s="1"/>
      <c r="AC224" s="1"/>
      <c r="AD224" s="1"/>
      <c r="AE224" s="1"/>
      <c r="AF224" s="1"/>
    </row>
    <row r="225" spans="2:32" ht="12.75" x14ac:dyDescent="0.2">
      <c r="B225" s="1" t="s">
        <v>8731</v>
      </c>
      <c r="C225" s="10">
        <f t="shared" ca="1" si="6"/>
        <v>45758</v>
      </c>
      <c r="D225" s="4"/>
      <c r="E225" s="4" t="s">
        <v>8434</v>
      </c>
      <c r="F225" s="4" t="s">
        <v>1293</v>
      </c>
      <c r="G225" s="4"/>
      <c r="H225" s="4" t="str">
        <f>_xlfn.IFNA(VLOOKUP(Table_Query_from_AMULTIQRY45[[#This Row],[WPROD]],'Part# with New'!$A$1:$B$4347,2,0),Table_Query_from_AMULTIQRY45[[#This Row],[WPROD]])</f>
        <v>2-9137</v>
      </c>
      <c r="I225" s="4" t="s">
        <v>8436</v>
      </c>
      <c r="J225" s="1" t="s">
        <v>5</v>
      </c>
      <c r="L225" s="11">
        <v>4.2750000000000003E-2</v>
      </c>
      <c r="M225" s="1"/>
      <c r="N225" s="1" t="s">
        <v>34</v>
      </c>
      <c r="P225" s="1" t="str">
        <f>CONCATENATE(Table_Query_from_AMULTIQRY45[[#This Row],[WWHS]],"-",Table_Query_from_AMULTIQRY45[[#This Row],[LLOC]])</f>
        <v>E1-FG</v>
      </c>
      <c r="Q225" s="10">
        <f t="shared" ca="1" si="7"/>
        <v>45775</v>
      </c>
      <c r="R225" s="10"/>
      <c r="S225" s="28">
        <v>3420</v>
      </c>
      <c r="T225" s="1" t="s">
        <v>2</v>
      </c>
      <c r="U225" s="1" t="s">
        <v>249</v>
      </c>
      <c r="V225" s="1">
        <v>20250411</v>
      </c>
      <c r="W225" s="8" t="s">
        <v>8442</v>
      </c>
      <c r="Z225" s="1"/>
      <c r="AA225" s="1"/>
      <c r="AC225" s="1"/>
      <c r="AD225" s="1"/>
      <c r="AE225" s="1"/>
      <c r="AF225" s="1"/>
    </row>
    <row r="226" spans="2:32" ht="12.75" x14ac:dyDescent="0.2">
      <c r="B226" s="1" t="s">
        <v>8732</v>
      </c>
      <c r="C226" s="10">
        <f t="shared" ca="1" si="6"/>
        <v>45351</v>
      </c>
      <c r="D226" s="4"/>
      <c r="E226" s="4" t="s">
        <v>8434</v>
      </c>
      <c r="F226" s="4" t="s">
        <v>1293</v>
      </c>
      <c r="G226" s="4"/>
      <c r="H226" s="4" t="str">
        <f>_xlfn.IFNA(VLOOKUP(Table_Query_from_AMULTIQRY45[[#This Row],[WPROD]],'Part# with New'!$A$1:$B$4347,2,0),Table_Query_from_AMULTIQRY45[[#This Row],[WPROD]])</f>
        <v>2-9144</v>
      </c>
      <c r="I226" s="4" t="s">
        <v>8436</v>
      </c>
      <c r="J226" s="1" t="s">
        <v>5</v>
      </c>
      <c r="L226" s="11">
        <v>0.12956999999999999</v>
      </c>
      <c r="M226" s="1"/>
      <c r="N226" s="1" t="s">
        <v>30</v>
      </c>
      <c r="P226" s="1" t="str">
        <f>CONCATENATE(Table_Query_from_AMULTIQRY45[[#This Row],[WWHS]],"-",Table_Query_from_AMULTIQRY45[[#This Row],[LLOC]])</f>
        <v>E1-FG</v>
      </c>
      <c r="Q226" s="10">
        <f t="shared" ca="1" si="7"/>
        <v>45775</v>
      </c>
      <c r="R226" s="10"/>
      <c r="S226" s="28">
        <v>1175</v>
      </c>
      <c r="T226" s="1" t="s">
        <v>2</v>
      </c>
      <c r="U226" s="1" t="s">
        <v>250</v>
      </c>
      <c r="V226" s="1">
        <v>20240229</v>
      </c>
      <c r="W226" s="8" t="s">
        <v>8442</v>
      </c>
      <c r="Z226" s="1"/>
      <c r="AA226" s="1"/>
      <c r="AC226" s="1"/>
      <c r="AD226" s="1"/>
      <c r="AE226" s="1"/>
      <c r="AF226" s="1"/>
    </row>
    <row r="227" spans="2:32" ht="12.75" x14ac:dyDescent="0.2">
      <c r="B227" s="1" t="s">
        <v>8733</v>
      </c>
      <c r="C227" s="10">
        <f t="shared" ca="1" si="6"/>
        <v>45211</v>
      </c>
      <c r="D227" s="4"/>
      <c r="E227" s="4" t="s">
        <v>8434</v>
      </c>
      <c r="F227" s="4" t="s">
        <v>1293</v>
      </c>
      <c r="G227" s="4"/>
      <c r="H227" s="4" t="str">
        <f>_xlfn.IFNA(VLOOKUP(Table_Query_from_AMULTIQRY45[[#This Row],[WPROD]],'Part# with New'!$A$1:$B$4347,2,0),Table_Query_from_AMULTIQRY45[[#This Row],[WPROD]])</f>
        <v>2-9145</v>
      </c>
      <c r="I227" s="4" t="s">
        <v>8436</v>
      </c>
      <c r="J227" s="1" t="s">
        <v>46</v>
      </c>
      <c r="L227" s="11">
        <v>0.12648999999999999</v>
      </c>
      <c r="M227" s="1"/>
      <c r="N227" s="1" t="s">
        <v>30</v>
      </c>
      <c r="P227" s="1" t="str">
        <f>CONCATENATE(Table_Query_from_AMULTIQRY45[[#This Row],[WWHS]],"-",Table_Query_from_AMULTIQRY45[[#This Row],[LLOC]])</f>
        <v>E1-FG</v>
      </c>
      <c r="Q227" s="10">
        <f t="shared" ca="1" si="7"/>
        <v>45775</v>
      </c>
      <c r="R227" s="10"/>
      <c r="S227" s="28">
        <v>3355</v>
      </c>
      <c r="T227" s="1" t="s">
        <v>2</v>
      </c>
      <c r="U227" s="1" t="s">
        <v>251</v>
      </c>
      <c r="V227" s="1">
        <v>20231012</v>
      </c>
      <c r="W227" s="8" t="s">
        <v>8442</v>
      </c>
      <c r="Z227" s="1"/>
      <c r="AA227" s="1"/>
      <c r="AC227" s="1"/>
      <c r="AD227" s="1"/>
      <c r="AE227" s="1"/>
      <c r="AF227" s="1"/>
    </row>
    <row r="228" spans="2:32" ht="12.75" x14ac:dyDescent="0.2">
      <c r="B228" s="1" t="s">
        <v>8734</v>
      </c>
      <c r="C228" s="10">
        <f t="shared" ca="1" si="6"/>
        <v>43777</v>
      </c>
      <c r="D228" s="4"/>
      <c r="E228" s="4" t="s">
        <v>8434</v>
      </c>
      <c r="F228" s="4" t="s">
        <v>1293</v>
      </c>
      <c r="G228" s="4"/>
      <c r="H228" s="4" t="str">
        <f>_xlfn.IFNA(VLOOKUP(Table_Query_from_AMULTIQRY45[[#This Row],[WPROD]],'Part# with New'!$A$1:$B$4347,2,0),Table_Query_from_AMULTIQRY45[[#This Row],[WPROD]])</f>
        <v>2-9146</v>
      </c>
      <c r="I228" s="4" t="s">
        <v>8436</v>
      </c>
      <c r="J228" s="1" t="s">
        <v>5</v>
      </c>
      <c r="L228" s="11">
        <v>0.29250999999999999</v>
      </c>
      <c r="M228" s="1"/>
      <c r="N228" s="1" t="s">
        <v>30</v>
      </c>
      <c r="P228" s="1" t="str">
        <f>CONCATENATE(Table_Query_from_AMULTIQRY45[[#This Row],[WWHS]],"-",Table_Query_from_AMULTIQRY45[[#This Row],[LLOC]])</f>
        <v>E1-FG</v>
      </c>
      <c r="Q228" s="10">
        <f t="shared" ca="1" si="7"/>
        <v>45775</v>
      </c>
      <c r="R228" s="10"/>
      <c r="S228" s="28">
        <v>455</v>
      </c>
      <c r="T228" s="1" t="s">
        <v>2</v>
      </c>
      <c r="U228" s="1" t="s">
        <v>252</v>
      </c>
      <c r="V228" s="1">
        <v>20191108</v>
      </c>
      <c r="W228" s="8" t="s">
        <v>8442</v>
      </c>
      <c r="Z228" s="1"/>
      <c r="AA228" s="1"/>
      <c r="AC228" s="1"/>
      <c r="AD228" s="1"/>
      <c r="AE228" s="1"/>
      <c r="AF228" s="1"/>
    </row>
    <row r="229" spans="2:32" ht="12.75" x14ac:dyDescent="0.2">
      <c r="B229" s="1" t="s">
        <v>8735</v>
      </c>
      <c r="C229" s="10">
        <f t="shared" ca="1" si="6"/>
        <v>43980</v>
      </c>
      <c r="D229" s="4"/>
      <c r="E229" s="4" t="s">
        <v>8434</v>
      </c>
      <c r="F229" s="4" t="s">
        <v>1293</v>
      </c>
      <c r="G229" s="4"/>
      <c r="H229" s="4" t="str">
        <f>_xlfn.IFNA(VLOOKUP(Table_Query_from_AMULTIQRY45[[#This Row],[WPROD]],'Part# with New'!$A$1:$B$4347,2,0),Table_Query_from_AMULTIQRY45[[#This Row],[WPROD]])</f>
        <v>2-9166</v>
      </c>
      <c r="I229" s="4" t="s">
        <v>8436</v>
      </c>
      <c r="J229" s="1" t="s">
        <v>5</v>
      </c>
      <c r="L229" s="11">
        <v>3.1609999999999999E-2</v>
      </c>
      <c r="M229" s="1"/>
      <c r="N229" s="1" t="s">
        <v>37</v>
      </c>
      <c r="P229" s="1" t="str">
        <f>CONCATENATE(Table_Query_from_AMULTIQRY45[[#This Row],[WWHS]],"-",Table_Query_from_AMULTIQRY45[[#This Row],[LLOC]])</f>
        <v>E1-FG</v>
      </c>
      <c r="Q229" s="10">
        <f t="shared" ca="1" si="7"/>
        <v>45775</v>
      </c>
      <c r="R229" s="10"/>
      <c r="S229" s="28">
        <v>4895</v>
      </c>
      <c r="T229" s="1" t="s">
        <v>2</v>
      </c>
      <c r="U229" s="1" t="s">
        <v>253</v>
      </c>
      <c r="V229" s="1">
        <v>20200529</v>
      </c>
      <c r="W229" s="8" t="s">
        <v>8442</v>
      </c>
      <c r="Z229" s="1"/>
      <c r="AA229" s="1"/>
      <c r="AC229" s="1"/>
      <c r="AD229" s="1"/>
      <c r="AE229" s="1"/>
      <c r="AF229" s="1"/>
    </row>
    <row r="230" spans="2:32" ht="12.75" x14ac:dyDescent="0.2">
      <c r="B230" s="1" t="s">
        <v>8736</v>
      </c>
      <c r="C230" s="10">
        <f t="shared" ca="1" si="6"/>
        <v>45637</v>
      </c>
      <c r="D230" s="4"/>
      <c r="E230" s="4" t="s">
        <v>8434</v>
      </c>
      <c r="F230" s="4" t="s">
        <v>1293</v>
      </c>
      <c r="G230" s="4"/>
      <c r="H230" s="4" t="str">
        <f>_xlfn.IFNA(VLOOKUP(Table_Query_from_AMULTIQRY45[[#This Row],[WPROD]],'Part# with New'!$A$1:$B$4347,2,0),Table_Query_from_AMULTIQRY45[[#This Row],[WPROD]])</f>
        <v>2-9177</v>
      </c>
      <c r="I230" s="4" t="s">
        <v>8436</v>
      </c>
      <c r="J230" s="1" t="s">
        <v>5</v>
      </c>
      <c r="L230" s="11">
        <v>1.745E-2</v>
      </c>
      <c r="M230" s="1"/>
      <c r="N230" s="1" t="s">
        <v>34</v>
      </c>
      <c r="P230" s="1" t="str">
        <f>CONCATENATE(Table_Query_from_AMULTIQRY45[[#This Row],[WWHS]],"-",Table_Query_from_AMULTIQRY45[[#This Row],[LLOC]])</f>
        <v>E1-FG</v>
      </c>
      <c r="Q230" s="10">
        <f t="shared" ca="1" si="7"/>
        <v>45775</v>
      </c>
      <c r="R230" s="10"/>
      <c r="S230" s="28">
        <v>1509</v>
      </c>
      <c r="T230" s="1" t="s">
        <v>2</v>
      </c>
      <c r="U230" s="1" t="s">
        <v>255</v>
      </c>
      <c r="V230" s="1">
        <v>20241211</v>
      </c>
      <c r="W230" s="8" t="s">
        <v>8442</v>
      </c>
      <c r="Z230" s="1"/>
      <c r="AA230" s="1"/>
      <c r="AC230" s="1"/>
      <c r="AD230" s="1"/>
      <c r="AE230" s="1"/>
      <c r="AF230" s="1"/>
    </row>
    <row r="231" spans="2:32" ht="12.75" x14ac:dyDescent="0.2">
      <c r="B231" s="1" t="s">
        <v>8737</v>
      </c>
      <c r="C231" s="10">
        <f t="shared" ca="1" si="6"/>
        <v>44257</v>
      </c>
      <c r="D231" s="4"/>
      <c r="E231" s="4" t="s">
        <v>8434</v>
      </c>
      <c r="F231" s="4" t="s">
        <v>1293</v>
      </c>
      <c r="G231" s="4"/>
      <c r="H231" s="4" t="str">
        <f>_xlfn.IFNA(VLOOKUP(Table_Query_from_AMULTIQRY45[[#This Row],[WPROD]],'Part# with New'!$A$1:$B$4347,2,0),Table_Query_from_AMULTIQRY45[[#This Row],[WPROD]])</f>
        <v>2-9188</v>
      </c>
      <c r="I231" s="4" t="s">
        <v>8436</v>
      </c>
      <c r="J231" s="1" t="s">
        <v>5</v>
      </c>
      <c r="L231" s="11">
        <v>3.211E-2</v>
      </c>
      <c r="M231" s="1"/>
      <c r="N231" s="1" t="s">
        <v>37</v>
      </c>
      <c r="P231" s="1" t="str">
        <f>CONCATENATE(Table_Query_from_AMULTIQRY45[[#This Row],[WWHS]],"-",Table_Query_from_AMULTIQRY45[[#This Row],[LLOC]])</f>
        <v>E1-FG</v>
      </c>
      <c r="Q231" s="10">
        <f t="shared" ca="1" si="7"/>
        <v>45775</v>
      </c>
      <c r="R231" s="10"/>
      <c r="S231" s="28">
        <v>1965</v>
      </c>
      <c r="T231" s="1" t="s">
        <v>2</v>
      </c>
      <c r="U231" s="1" t="s">
        <v>256</v>
      </c>
      <c r="V231" s="1">
        <v>20210302</v>
      </c>
      <c r="W231" s="8" t="s">
        <v>8442</v>
      </c>
      <c r="Z231" s="1"/>
      <c r="AA231" s="1"/>
      <c r="AC231" s="1"/>
      <c r="AD231" s="1"/>
      <c r="AE231" s="1"/>
      <c r="AF231" s="1"/>
    </row>
    <row r="232" spans="2:32" ht="12.75" x14ac:dyDescent="0.2">
      <c r="B232" s="1" t="s">
        <v>8738</v>
      </c>
      <c r="C232" s="10">
        <f t="shared" ca="1" si="6"/>
        <v>45611</v>
      </c>
      <c r="D232" s="4"/>
      <c r="E232" s="4" t="s">
        <v>8434</v>
      </c>
      <c r="F232" s="4" t="s">
        <v>1293</v>
      </c>
      <c r="G232" s="4"/>
      <c r="H232" s="4" t="str">
        <f>_xlfn.IFNA(VLOOKUP(Table_Query_from_AMULTIQRY45[[#This Row],[WPROD]],'Part# with New'!$A$1:$B$4347,2,0),Table_Query_from_AMULTIQRY45[[#This Row],[WPROD]])</f>
        <v>2-9202</v>
      </c>
      <c r="I232" s="4" t="s">
        <v>8436</v>
      </c>
      <c r="J232" s="1" t="s">
        <v>5</v>
      </c>
      <c r="L232" s="11">
        <v>2.6089999999999999E-2</v>
      </c>
      <c r="M232" s="1"/>
      <c r="N232" s="1" t="s">
        <v>37</v>
      </c>
      <c r="P232" s="1" t="str">
        <f>CONCATENATE(Table_Query_from_AMULTIQRY45[[#This Row],[WWHS]],"-",Table_Query_from_AMULTIQRY45[[#This Row],[LLOC]])</f>
        <v>E1-FG</v>
      </c>
      <c r="Q232" s="10">
        <f t="shared" ca="1" si="7"/>
        <v>45775</v>
      </c>
      <c r="R232" s="10"/>
      <c r="S232" s="28">
        <v>26436</v>
      </c>
      <c r="T232" s="1" t="s">
        <v>2</v>
      </c>
      <c r="U232" s="1" t="s">
        <v>258</v>
      </c>
      <c r="V232" s="1">
        <v>20241115</v>
      </c>
      <c r="W232" s="8" t="s">
        <v>8442</v>
      </c>
      <c r="Z232" s="1"/>
      <c r="AA232" s="1"/>
      <c r="AC232" s="1"/>
      <c r="AD232" s="1"/>
      <c r="AE232" s="1"/>
      <c r="AF232" s="1"/>
    </row>
    <row r="233" spans="2:32" ht="12.75" x14ac:dyDescent="0.2">
      <c r="B233" s="1" t="s">
        <v>8739</v>
      </c>
      <c r="C233" s="10">
        <f t="shared" ca="1" si="6"/>
        <v>43649</v>
      </c>
      <c r="D233" s="4"/>
      <c r="E233" s="4" t="s">
        <v>8434</v>
      </c>
      <c r="F233" s="4" t="s">
        <v>1293</v>
      </c>
      <c r="G233" s="4"/>
      <c r="H233" s="4" t="str">
        <f>_xlfn.IFNA(VLOOKUP(Table_Query_from_AMULTIQRY45[[#This Row],[WPROD]],'Part# with New'!$A$1:$B$4347,2,0),Table_Query_from_AMULTIQRY45[[#This Row],[WPROD]])</f>
        <v>2-9209</v>
      </c>
      <c r="I233" s="4" t="s">
        <v>8436</v>
      </c>
      <c r="J233" s="1" t="s">
        <v>5</v>
      </c>
      <c r="L233" s="11">
        <v>2.5610000000000001E-2</v>
      </c>
      <c r="M233" s="1"/>
      <c r="N233" s="1" t="s">
        <v>37</v>
      </c>
      <c r="P233" s="1" t="str">
        <f>CONCATENATE(Table_Query_from_AMULTIQRY45[[#This Row],[WWHS]],"-",Table_Query_from_AMULTIQRY45[[#This Row],[LLOC]])</f>
        <v>E1-FG</v>
      </c>
      <c r="Q233" s="10">
        <f t="shared" ca="1" si="7"/>
        <v>45775</v>
      </c>
      <c r="R233" s="10"/>
      <c r="S233" s="28">
        <v>2720</v>
      </c>
      <c r="T233" s="1" t="s">
        <v>2</v>
      </c>
      <c r="U233" s="1" t="s">
        <v>259</v>
      </c>
      <c r="V233" s="1">
        <v>20190703</v>
      </c>
      <c r="W233" s="8" t="s">
        <v>8442</v>
      </c>
      <c r="Z233" s="1"/>
      <c r="AA233" s="1"/>
      <c r="AC233" s="1"/>
      <c r="AD233" s="1"/>
      <c r="AE233" s="1"/>
      <c r="AF233" s="1"/>
    </row>
    <row r="234" spans="2:32" ht="12.75" x14ac:dyDescent="0.2">
      <c r="B234" s="1" t="s">
        <v>8740</v>
      </c>
      <c r="C234" s="10">
        <f t="shared" ca="1" si="6"/>
        <v>43545</v>
      </c>
      <c r="D234" s="4"/>
      <c r="E234" s="4" t="s">
        <v>8434</v>
      </c>
      <c r="F234" s="4" t="s">
        <v>1293</v>
      </c>
      <c r="G234" s="4"/>
      <c r="H234" s="4" t="str">
        <f>_xlfn.IFNA(VLOOKUP(Table_Query_from_AMULTIQRY45[[#This Row],[WPROD]],'Part# with New'!$A$1:$B$4347,2,0),Table_Query_from_AMULTIQRY45[[#This Row],[WPROD]])</f>
        <v>2-9225</v>
      </c>
      <c r="I234" s="4" t="s">
        <v>8436</v>
      </c>
      <c r="J234" s="1" t="s">
        <v>5</v>
      </c>
      <c r="L234" s="11">
        <v>3.0679999999999999E-2</v>
      </c>
      <c r="M234" s="1"/>
      <c r="N234" s="1" t="s">
        <v>37</v>
      </c>
      <c r="P234" s="1" t="str">
        <f>CONCATENATE(Table_Query_from_AMULTIQRY45[[#This Row],[WWHS]],"-",Table_Query_from_AMULTIQRY45[[#This Row],[LLOC]])</f>
        <v>E1-FG</v>
      </c>
      <c r="Q234" s="10">
        <f t="shared" ca="1" si="7"/>
        <v>45775</v>
      </c>
      <c r="R234" s="10"/>
      <c r="S234" s="28">
        <v>2370</v>
      </c>
      <c r="T234" s="1" t="s">
        <v>2</v>
      </c>
      <c r="U234" s="1" t="s">
        <v>261</v>
      </c>
      <c r="V234" s="1">
        <v>20190321</v>
      </c>
      <c r="W234" s="8" t="s">
        <v>8442</v>
      </c>
      <c r="Z234" s="1"/>
      <c r="AA234" s="1"/>
      <c r="AC234" s="1"/>
      <c r="AD234" s="1"/>
      <c r="AE234" s="1"/>
      <c r="AF234" s="1"/>
    </row>
    <row r="235" spans="2:32" ht="12.75" x14ac:dyDescent="0.2">
      <c r="B235" s="1" t="s">
        <v>8741</v>
      </c>
      <c r="C235" s="10">
        <f t="shared" ca="1" si="6"/>
        <v>43447</v>
      </c>
      <c r="D235" s="4"/>
      <c r="E235" s="4" t="s">
        <v>8434</v>
      </c>
      <c r="F235" s="4" t="s">
        <v>1293</v>
      </c>
      <c r="G235" s="4"/>
      <c r="H235" s="4" t="str">
        <f>_xlfn.IFNA(VLOOKUP(Table_Query_from_AMULTIQRY45[[#This Row],[WPROD]],'Part# with New'!$A$1:$B$4347,2,0),Table_Query_from_AMULTIQRY45[[#This Row],[WPROD]])</f>
        <v>2-9226</v>
      </c>
      <c r="I235" s="4" t="s">
        <v>8436</v>
      </c>
      <c r="J235" s="1" t="s">
        <v>5</v>
      </c>
      <c r="L235" s="11">
        <v>4.0410000000000001E-2</v>
      </c>
      <c r="M235" s="1"/>
      <c r="N235" s="1" t="s">
        <v>37</v>
      </c>
      <c r="P235" s="1" t="str">
        <f>CONCATENATE(Table_Query_from_AMULTIQRY45[[#This Row],[WWHS]],"-",Table_Query_from_AMULTIQRY45[[#This Row],[LLOC]])</f>
        <v>E1-FG</v>
      </c>
      <c r="Q235" s="10">
        <f t="shared" ca="1" si="7"/>
        <v>45775</v>
      </c>
      <c r="R235" s="10"/>
      <c r="S235" s="28">
        <v>2125</v>
      </c>
      <c r="T235" s="1" t="s">
        <v>2</v>
      </c>
      <c r="U235" s="1" t="s">
        <v>262</v>
      </c>
      <c r="V235" s="1">
        <v>20181213</v>
      </c>
      <c r="W235" s="8" t="s">
        <v>8442</v>
      </c>
      <c r="Z235" s="1"/>
      <c r="AA235" s="1"/>
      <c r="AC235" s="1"/>
      <c r="AD235" s="1"/>
      <c r="AE235" s="1"/>
      <c r="AF235" s="1"/>
    </row>
    <row r="236" spans="2:32" ht="12.75" x14ac:dyDescent="0.2">
      <c r="B236" s="1" t="s">
        <v>8742</v>
      </c>
      <c r="C236" s="10">
        <f t="shared" ca="1" si="6"/>
        <v>43769</v>
      </c>
      <c r="D236" s="4"/>
      <c r="E236" s="4" t="s">
        <v>8434</v>
      </c>
      <c r="F236" s="4" t="s">
        <v>1293</v>
      </c>
      <c r="G236" s="4"/>
      <c r="H236" s="4" t="str">
        <f>_xlfn.IFNA(VLOOKUP(Table_Query_from_AMULTIQRY45[[#This Row],[WPROD]],'Part# with New'!$A$1:$B$4347,2,0),Table_Query_from_AMULTIQRY45[[#This Row],[WPROD]])</f>
        <v>2-9227</v>
      </c>
      <c r="I236" s="4" t="s">
        <v>8436</v>
      </c>
      <c r="J236" s="1" t="s">
        <v>5</v>
      </c>
      <c r="L236" s="11">
        <v>3.6729999999999999E-2</v>
      </c>
      <c r="M236" s="1"/>
      <c r="N236" s="1" t="s">
        <v>37</v>
      </c>
      <c r="P236" s="1" t="str">
        <f>CONCATENATE(Table_Query_from_AMULTIQRY45[[#This Row],[WWHS]],"-",Table_Query_from_AMULTIQRY45[[#This Row],[LLOC]])</f>
        <v>E1-FG</v>
      </c>
      <c r="Q236" s="10">
        <f t="shared" ca="1" si="7"/>
        <v>45775</v>
      </c>
      <c r="R236" s="10"/>
      <c r="S236" s="28">
        <v>1075</v>
      </c>
      <c r="T236" s="1" t="s">
        <v>2</v>
      </c>
      <c r="U236" s="1" t="s">
        <v>264</v>
      </c>
      <c r="V236" s="1">
        <v>20191031</v>
      </c>
      <c r="W236" s="8" t="s">
        <v>8442</v>
      </c>
      <c r="Z236" s="1"/>
      <c r="AA236" s="1"/>
      <c r="AC236" s="1"/>
      <c r="AD236" s="1"/>
      <c r="AE236" s="1"/>
      <c r="AF236" s="1"/>
    </row>
    <row r="237" spans="2:32" ht="12.75" x14ac:dyDescent="0.2">
      <c r="B237" s="1" t="s">
        <v>8743</v>
      </c>
      <c r="C237" s="10">
        <f t="shared" ca="1" si="6"/>
        <v>43840</v>
      </c>
      <c r="D237" s="4"/>
      <c r="E237" s="4" t="s">
        <v>8434</v>
      </c>
      <c r="F237" s="4" t="s">
        <v>1293</v>
      </c>
      <c r="G237" s="4"/>
      <c r="H237" s="4" t="str">
        <f>_xlfn.IFNA(VLOOKUP(Table_Query_from_AMULTIQRY45[[#This Row],[WPROD]],'Part# with New'!$A$1:$B$4347,2,0),Table_Query_from_AMULTIQRY45[[#This Row],[WPROD]])</f>
        <v>2-9228</v>
      </c>
      <c r="I237" s="4" t="s">
        <v>8436</v>
      </c>
      <c r="J237" s="1" t="s">
        <v>5</v>
      </c>
      <c r="L237" s="11">
        <v>5.3030000000000001E-2</v>
      </c>
      <c r="M237" s="1"/>
      <c r="N237" s="1" t="s">
        <v>30</v>
      </c>
      <c r="P237" s="1" t="str">
        <f>CONCATENATE(Table_Query_from_AMULTIQRY45[[#This Row],[WWHS]],"-",Table_Query_from_AMULTIQRY45[[#This Row],[LLOC]])</f>
        <v>E1-FG</v>
      </c>
      <c r="Q237" s="10">
        <f t="shared" ca="1" si="7"/>
        <v>45775</v>
      </c>
      <c r="R237" s="10"/>
      <c r="S237" s="28">
        <v>447</v>
      </c>
      <c r="T237" s="1" t="s">
        <v>2</v>
      </c>
      <c r="U237" s="1" t="s">
        <v>265</v>
      </c>
      <c r="V237" s="1">
        <v>20200110</v>
      </c>
      <c r="W237" s="8" t="s">
        <v>8442</v>
      </c>
      <c r="Z237" s="1"/>
      <c r="AA237" s="1"/>
      <c r="AC237" s="1"/>
      <c r="AD237" s="1"/>
      <c r="AE237" s="1"/>
      <c r="AF237" s="1"/>
    </row>
    <row r="238" spans="2:32" ht="12.75" x14ac:dyDescent="0.2">
      <c r="B238" s="1" t="s">
        <v>8744</v>
      </c>
      <c r="C238" s="10">
        <f t="shared" ca="1" si="6"/>
        <v>43833</v>
      </c>
      <c r="D238" s="4"/>
      <c r="E238" s="4" t="s">
        <v>8434</v>
      </c>
      <c r="F238" s="4" t="s">
        <v>1293</v>
      </c>
      <c r="G238" s="4"/>
      <c r="H238" s="4" t="str">
        <f>_xlfn.IFNA(VLOOKUP(Table_Query_from_AMULTIQRY45[[#This Row],[WPROD]],'Part# with New'!$A$1:$B$4347,2,0),Table_Query_from_AMULTIQRY45[[#This Row],[WPROD]])</f>
        <v>2-9233</v>
      </c>
      <c r="I238" s="4" t="s">
        <v>8436</v>
      </c>
      <c r="J238" s="1" t="s">
        <v>5</v>
      </c>
      <c r="L238" s="11">
        <v>3.5920000000000001E-2</v>
      </c>
      <c r="M238" s="1"/>
      <c r="N238" s="1" t="s">
        <v>37</v>
      </c>
      <c r="P238" s="1" t="str">
        <f>CONCATENATE(Table_Query_from_AMULTIQRY45[[#This Row],[WWHS]],"-",Table_Query_from_AMULTIQRY45[[#This Row],[LLOC]])</f>
        <v>E1-FG</v>
      </c>
      <c r="Q238" s="10">
        <f t="shared" ca="1" si="7"/>
        <v>45775</v>
      </c>
      <c r="R238" s="10"/>
      <c r="S238" s="28">
        <v>2000</v>
      </c>
      <c r="T238" s="1" t="s">
        <v>2</v>
      </c>
      <c r="U238" s="1" t="s">
        <v>267</v>
      </c>
      <c r="V238" s="1">
        <v>20200103</v>
      </c>
      <c r="W238" s="8" t="s">
        <v>8442</v>
      </c>
      <c r="Z238" s="1"/>
      <c r="AA238" s="1"/>
      <c r="AC238" s="1"/>
      <c r="AD238" s="1"/>
      <c r="AE238" s="1"/>
      <c r="AF238" s="1"/>
    </row>
    <row r="239" spans="2:32" ht="12.75" x14ac:dyDescent="0.2">
      <c r="B239" s="1" t="s">
        <v>8745</v>
      </c>
      <c r="C239" s="10">
        <f t="shared" ca="1" si="6"/>
        <v>44665</v>
      </c>
      <c r="D239" s="4"/>
      <c r="E239" s="4" t="s">
        <v>8434</v>
      </c>
      <c r="F239" s="4" t="s">
        <v>1293</v>
      </c>
      <c r="G239" s="4"/>
      <c r="H239" s="4" t="str">
        <f>_xlfn.IFNA(VLOOKUP(Table_Query_from_AMULTIQRY45[[#This Row],[WPROD]],'Part# with New'!$A$1:$B$4347,2,0),Table_Query_from_AMULTIQRY45[[#This Row],[WPROD]])</f>
        <v>2-9242</v>
      </c>
      <c r="I239" s="4" t="s">
        <v>8436</v>
      </c>
      <c r="J239" s="1" t="s">
        <v>5</v>
      </c>
      <c r="L239" s="11">
        <v>2.7660000000000001E-2</v>
      </c>
      <c r="M239" s="1"/>
      <c r="N239" s="1" t="s">
        <v>37</v>
      </c>
      <c r="P239" s="1" t="str">
        <f>CONCATENATE(Table_Query_from_AMULTIQRY45[[#This Row],[WWHS]],"-",Table_Query_from_AMULTIQRY45[[#This Row],[LLOC]])</f>
        <v>E1-FG</v>
      </c>
      <c r="Q239" s="10">
        <f t="shared" ca="1" si="7"/>
        <v>45775</v>
      </c>
      <c r="R239" s="10"/>
      <c r="S239" s="28">
        <v>2985</v>
      </c>
      <c r="T239" s="1" t="s">
        <v>2</v>
      </c>
      <c r="U239" s="1" t="s">
        <v>269</v>
      </c>
      <c r="V239" s="1">
        <v>20220414</v>
      </c>
      <c r="W239" s="8" t="s">
        <v>8442</v>
      </c>
      <c r="Z239" s="1"/>
      <c r="AA239" s="1"/>
      <c r="AC239" s="1"/>
      <c r="AD239" s="1"/>
      <c r="AE239" s="1"/>
      <c r="AF239" s="1"/>
    </row>
    <row r="240" spans="2:32" ht="12.75" x14ac:dyDescent="0.2">
      <c r="B240" s="1" t="s">
        <v>8746</v>
      </c>
      <c r="C240" s="10">
        <f t="shared" ca="1" si="6"/>
        <v>44355</v>
      </c>
      <c r="D240" s="4"/>
      <c r="E240" s="4" t="s">
        <v>8434</v>
      </c>
      <c r="F240" s="4" t="s">
        <v>1293</v>
      </c>
      <c r="G240" s="4"/>
      <c r="H240" s="4" t="str">
        <f>_xlfn.IFNA(VLOOKUP(Table_Query_from_AMULTIQRY45[[#This Row],[WPROD]],'Part# with New'!$A$1:$B$4347,2,0),Table_Query_from_AMULTIQRY45[[#This Row],[WPROD]])</f>
        <v>2-9243</v>
      </c>
      <c r="I240" s="4" t="s">
        <v>8436</v>
      </c>
      <c r="J240" s="1" t="s">
        <v>5</v>
      </c>
      <c r="L240" s="11">
        <v>5.67E-2</v>
      </c>
      <c r="M240" s="1"/>
      <c r="N240" s="1" t="s">
        <v>30</v>
      </c>
      <c r="P240" s="1" t="str">
        <f>CONCATENATE(Table_Query_from_AMULTIQRY45[[#This Row],[WWHS]],"-",Table_Query_from_AMULTIQRY45[[#This Row],[LLOC]])</f>
        <v>E1-FG</v>
      </c>
      <c r="Q240" s="10">
        <f t="shared" ca="1" si="7"/>
        <v>45775</v>
      </c>
      <c r="R240" s="10"/>
      <c r="S240" s="28">
        <v>1145</v>
      </c>
      <c r="T240" s="1" t="s">
        <v>2</v>
      </c>
      <c r="U240" s="1" t="s">
        <v>271</v>
      </c>
      <c r="V240" s="1">
        <v>20210608</v>
      </c>
      <c r="W240" s="8" t="s">
        <v>8442</v>
      </c>
      <c r="Z240" s="1"/>
      <c r="AA240" s="1"/>
      <c r="AC240" s="1"/>
      <c r="AD240" s="1"/>
      <c r="AE240" s="1"/>
      <c r="AF240" s="1"/>
    </row>
    <row r="241" spans="2:32" ht="12.75" x14ac:dyDescent="0.2">
      <c r="B241" s="1" t="s">
        <v>8747</v>
      </c>
      <c r="C241" s="10">
        <f t="shared" ca="1" si="6"/>
        <v>45114</v>
      </c>
      <c r="D241" s="4"/>
      <c r="E241" s="4" t="s">
        <v>8434</v>
      </c>
      <c r="F241" s="4" t="s">
        <v>1293</v>
      </c>
      <c r="G241" s="4"/>
      <c r="H241" s="4" t="str">
        <f>_xlfn.IFNA(VLOOKUP(Table_Query_from_AMULTIQRY45[[#This Row],[WPROD]],'Part# with New'!$A$1:$B$4347,2,0),Table_Query_from_AMULTIQRY45[[#This Row],[WPROD]])</f>
        <v>2-9259</v>
      </c>
      <c r="I241" s="4" t="s">
        <v>8436</v>
      </c>
      <c r="J241" s="1" t="s">
        <v>5</v>
      </c>
      <c r="L241" s="11">
        <v>9.5300000000000003E-3</v>
      </c>
      <c r="M241" s="1"/>
      <c r="N241" s="1" t="s">
        <v>34</v>
      </c>
      <c r="P241" s="1" t="str">
        <f>CONCATENATE(Table_Query_from_AMULTIQRY45[[#This Row],[WWHS]],"-",Table_Query_from_AMULTIQRY45[[#This Row],[LLOC]])</f>
        <v>E1-FG</v>
      </c>
      <c r="Q241" s="10">
        <f t="shared" ca="1" si="7"/>
        <v>45775</v>
      </c>
      <c r="R241" s="10"/>
      <c r="S241" s="28">
        <v>398</v>
      </c>
      <c r="T241" s="1" t="s">
        <v>2</v>
      </c>
      <c r="U241" s="1" t="s">
        <v>273</v>
      </c>
      <c r="V241" s="1">
        <v>20230707</v>
      </c>
      <c r="W241" s="8" t="s">
        <v>8442</v>
      </c>
      <c r="Z241" s="1"/>
      <c r="AA241" s="1"/>
      <c r="AC241" s="1"/>
      <c r="AD241" s="1"/>
      <c r="AE241" s="1"/>
      <c r="AF241" s="1"/>
    </row>
    <row r="242" spans="2:32" ht="12.75" x14ac:dyDescent="0.2">
      <c r="B242" s="1" t="s">
        <v>8748</v>
      </c>
      <c r="C242" s="10">
        <f t="shared" ca="1" si="6"/>
        <v>45772</v>
      </c>
      <c r="D242" s="4"/>
      <c r="E242" s="4" t="s">
        <v>8434</v>
      </c>
      <c r="F242" s="4" t="s">
        <v>1293</v>
      </c>
      <c r="G242" s="4"/>
      <c r="H242" s="4" t="str">
        <f>_xlfn.IFNA(VLOOKUP(Table_Query_from_AMULTIQRY45[[#This Row],[WPROD]],'Part# with New'!$A$1:$B$4347,2,0),Table_Query_from_AMULTIQRY45[[#This Row],[WPROD]])</f>
        <v>2-9266</v>
      </c>
      <c r="I242" s="4" t="s">
        <v>8436</v>
      </c>
      <c r="J242" s="1" t="s">
        <v>5</v>
      </c>
      <c r="L242" s="11">
        <v>4.1730000000000003E-2</v>
      </c>
      <c r="M242" s="1"/>
      <c r="N242" s="1" t="s">
        <v>37</v>
      </c>
      <c r="P242" s="1" t="str">
        <f>CONCATENATE(Table_Query_from_AMULTIQRY45[[#This Row],[WWHS]],"-",Table_Query_from_AMULTIQRY45[[#This Row],[LLOC]])</f>
        <v>E1-FG</v>
      </c>
      <c r="Q242" s="10">
        <f t="shared" ca="1" si="7"/>
        <v>45775</v>
      </c>
      <c r="R242" s="10"/>
      <c r="S242" s="28">
        <v>10</v>
      </c>
      <c r="T242" s="1" t="s">
        <v>2</v>
      </c>
      <c r="U242" s="1" t="s">
        <v>7825</v>
      </c>
      <c r="V242" s="1">
        <v>20250425</v>
      </c>
      <c r="W242" s="8" t="s">
        <v>8442</v>
      </c>
      <c r="Z242" s="1"/>
      <c r="AA242" s="1"/>
      <c r="AC242" s="1"/>
      <c r="AD242" s="1"/>
      <c r="AE242" s="1"/>
      <c r="AF242" s="1"/>
    </row>
    <row r="243" spans="2:32" ht="12.75" x14ac:dyDescent="0.2">
      <c r="B243" s="1" t="s">
        <v>8749</v>
      </c>
      <c r="C243" s="10">
        <f t="shared" ca="1" si="6"/>
        <v>45765</v>
      </c>
      <c r="D243" s="4"/>
      <c r="E243" s="4" t="s">
        <v>8434</v>
      </c>
      <c r="F243" s="4" t="s">
        <v>1293</v>
      </c>
      <c r="G243" s="4"/>
      <c r="H243" s="4" t="str">
        <f>_xlfn.IFNA(VLOOKUP(Table_Query_from_AMULTIQRY45[[#This Row],[WPROD]],'Part# with New'!$A$1:$B$4347,2,0),Table_Query_from_AMULTIQRY45[[#This Row],[WPROD]])</f>
        <v>2-9272</v>
      </c>
      <c r="I243" s="4" t="s">
        <v>8436</v>
      </c>
      <c r="J243" s="1" t="s">
        <v>5</v>
      </c>
      <c r="L243" s="11">
        <v>4.6289999999999998E-2</v>
      </c>
      <c r="M243" s="1"/>
      <c r="N243" s="1" t="s">
        <v>30</v>
      </c>
      <c r="P243" s="1" t="str">
        <f>CONCATENATE(Table_Query_from_AMULTIQRY45[[#This Row],[WWHS]],"-",Table_Query_from_AMULTIQRY45[[#This Row],[LLOC]])</f>
        <v>E1-FG</v>
      </c>
      <c r="Q243" s="10">
        <f t="shared" ca="1" si="7"/>
        <v>45775</v>
      </c>
      <c r="R243" s="10"/>
      <c r="S243" s="28">
        <v>1146</v>
      </c>
      <c r="T243" s="1" t="s">
        <v>2</v>
      </c>
      <c r="U243" s="1" t="s">
        <v>274</v>
      </c>
      <c r="V243" s="1">
        <v>20250418</v>
      </c>
      <c r="W243" s="8" t="s">
        <v>8442</v>
      </c>
      <c r="Z243" s="1"/>
      <c r="AA243" s="1"/>
      <c r="AC243" s="1"/>
      <c r="AD243" s="1"/>
      <c r="AE243" s="1"/>
      <c r="AF243" s="1"/>
    </row>
    <row r="244" spans="2:32" ht="12.75" x14ac:dyDescent="0.2">
      <c r="B244" s="1" t="s">
        <v>8750</v>
      </c>
      <c r="C244" s="10">
        <f t="shared" ca="1" si="6"/>
        <v>45597</v>
      </c>
      <c r="D244" s="4"/>
      <c r="E244" s="4" t="s">
        <v>8434</v>
      </c>
      <c r="F244" s="4" t="s">
        <v>1293</v>
      </c>
      <c r="G244" s="4"/>
      <c r="H244" s="4" t="str">
        <f>_xlfn.IFNA(VLOOKUP(Table_Query_from_AMULTIQRY45[[#This Row],[WPROD]],'Part# with New'!$A$1:$B$4347,2,0),Table_Query_from_AMULTIQRY45[[#This Row],[WPROD]])</f>
        <v>2-9273</v>
      </c>
      <c r="I244" s="4" t="s">
        <v>8436</v>
      </c>
      <c r="J244" s="1" t="s">
        <v>5</v>
      </c>
      <c r="L244" s="11">
        <v>3.2489999999999998E-2</v>
      </c>
      <c r="M244" s="1"/>
      <c r="N244" s="1" t="s">
        <v>37</v>
      </c>
      <c r="P244" s="1" t="str">
        <f>CONCATENATE(Table_Query_from_AMULTIQRY45[[#This Row],[WWHS]],"-",Table_Query_from_AMULTIQRY45[[#This Row],[LLOC]])</f>
        <v>E1-FG</v>
      </c>
      <c r="Q244" s="10">
        <f t="shared" ca="1" si="7"/>
        <v>45775</v>
      </c>
      <c r="R244" s="10"/>
      <c r="S244" s="28">
        <v>4000</v>
      </c>
      <c r="T244" s="1" t="s">
        <v>2</v>
      </c>
      <c r="U244" s="1" t="s">
        <v>275</v>
      </c>
      <c r="V244" s="1">
        <v>20241101</v>
      </c>
      <c r="W244" s="8" t="s">
        <v>8442</v>
      </c>
      <c r="Z244" s="1"/>
      <c r="AA244" s="1"/>
      <c r="AC244" s="1"/>
      <c r="AD244" s="1"/>
      <c r="AE244" s="1"/>
      <c r="AF244" s="1"/>
    </row>
    <row r="245" spans="2:32" ht="12.75" x14ac:dyDescent="0.2">
      <c r="B245" s="1" t="s">
        <v>8751</v>
      </c>
      <c r="C245" s="10">
        <f t="shared" ca="1" si="6"/>
        <v>45589</v>
      </c>
      <c r="D245" s="4"/>
      <c r="E245" s="4" t="s">
        <v>8434</v>
      </c>
      <c r="F245" s="4" t="s">
        <v>1293</v>
      </c>
      <c r="G245" s="4"/>
      <c r="H245" s="4" t="str">
        <f>_xlfn.IFNA(VLOOKUP(Table_Query_from_AMULTIQRY45[[#This Row],[WPROD]],'Part# with New'!$A$1:$B$4347,2,0),Table_Query_from_AMULTIQRY45[[#This Row],[WPROD]])</f>
        <v>2-9275</v>
      </c>
      <c r="I245" s="4" t="s">
        <v>8436</v>
      </c>
      <c r="J245" s="1" t="s">
        <v>5</v>
      </c>
      <c r="L245" s="11">
        <v>2.231E-2</v>
      </c>
      <c r="M245" s="1"/>
      <c r="N245" s="1" t="s">
        <v>34</v>
      </c>
      <c r="P245" s="1" t="str">
        <f>CONCATENATE(Table_Query_from_AMULTIQRY45[[#This Row],[WWHS]],"-",Table_Query_from_AMULTIQRY45[[#This Row],[LLOC]])</f>
        <v>E1-FG</v>
      </c>
      <c r="Q245" s="10">
        <f t="shared" ca="1" si="7"/>
        <v>45775</v>
      </c>
      <c r="R245" s="10"/>
      <c r="S245" s="28">
        <v>1270</v>
      </c>
      <c r="T245" s="1" t="s">
        <v>2</v>
      </c>
      <c r="U245" s="1" t="s">
        <v>276</v>
      </c>
      <c r="V245" s="1">
        <v>20241024</v>
      </c>
      <c r="W245" s="8" t="s">
        <v>8442</v>
      </c>
      <c r="Z245" s="1"/>
      <c r="AA245" s="1"/>
      <c r="AC245" s="1"/>
      <c r="AD245" s="1"/>
      <c r="AE245" s="1"/>
      <c r="AF245" s="1"/>
    </row>
    <row r="246" spans="2:32" ht="12.75" x14ac:dyDescent="0.2">
      <c r="B246" s="1" t="s">
        <v>8752</v>
      </c>
      <c r="C246" s="10">
        <f t="shared" ca="1" si="6"/>
        <v>45590</v>
      </c>
      <c r="D246" s="4"/>
      <c r="E246" s="4" t="s">
        <v>8434</v>
      </c>
      <c r="F246" s="4" t="s">
        <v>1293</v>
      </c>
      <c r="G246" s="4"/>
      <c r="H246" s="4" t="str">
        <f>_xlfn.IFNA(VLOOKUP(Table_Query_from_AMULTIQRY45[[#This Row],[WPROD]],'Part# with New'!$A$1:$B$4347,2,0),Table_Query_from_AMULTIQRY45[[#This Row],[WPROD]])</f>
        <v>2-9278</v>
      </c>
      <c r="I246" s="4" t="s">
        <v>8436</v>
      </c>
      <c r="J246" s="1" t="s">
        <v>5</v>
      </c>
      <c r="L246" s="11">
        <v>3.4750000000000003E-2</v>
      </c>
      <c r="M246" s="1"/>
      <c r="N246" s="1" t="s">
        <v>37</v>
      </c>
      <c r="P246" s="1" t="str">
        <f>CONCATENATE(Table_Query_from_AMULTIQRY45[[#This Row],[WWHS]],"-",Table_Query_from_AMULTIQRY45[[#This Row],[LLOC]])</f>
        <v>E1-FG</v>
      </c>
      <c r="Q246" s="10">
        <f t="shared" ca="1" si="7"/>
        <v>45775</v>
      </c>
      <c r="R246" s="10"/>
      <c r="S246" s="28">
        <v>1000</v>
      </c>
      <c r="T246" s="1" t="s">
        <v>2</v>
      </c>
      <c r="U246" s="1" t="s">
        <v>277</v>
      </c>
      <c r="V246" s="1">
        <v>20241025</v>
      </c>
      <c r="W246" s="8" t="s">
        <v>8442</v>
      </c>
      <c r="Z246" s="1"/>
      <c r="AA246" s="1"/>
      <c r="AC246" s="1"/>
      <c r="AD246" s="1"/>
      <c r="AE246" s="1"/>
      <c r="AF246" s="1"/>
    </row>
    <row r="247" spans="2:32" ht="12.75" x14ac:dyDescent="0.2">
      <c r="B247" s="1" t="s">
        <v>8753</v>
      </c>
      <c r="C247" s="10">
        <f t="shared" ca="1" si="6"/>
        <v>45687</v>
      </c>
      <c r="D247" s="4"/>
      <c r="E247" s="4" t="s">
        <v>8434</v>
      </c>
      <c r="F247" s="4" t="s">
        <v>1293</v>
      </c>
      <c r="G247" s="4"/>
      <c r="H247" s="4" t="str">
        <f>_xlfn.IFNA(VLOOKUP(Table_Query_from_AMULTIQRY45[[#This Row],[WPROD]],'Part# with New'!$A$1:$B$4347,2,0),Table_Query_from_AMULTIQRY45[[#This Row],[WPROD]])</f>
        <v>2-9284</v>
      </c>
      <c r="I247" s="4" t="s">
        <v>8436</v>
      </c>
      <c r="J247" s="1" t="s">
        <v>5</v>
      </c>
      <c r="L247" s="11">
        <v>1.7479999999999999E-2</v>
      </c>
      <c r="M247" s="1"/>
      <c r="N247" s="1" t="s">
        <v>34</v>
      </c>
      <c r="P247" s="1" t="str">
        <f>CONCATENATE(Table_Query_from_AMULTIQRY45[[#This Row],[WWHS]],"-",Table_Query_from_AMULTIQRY45[[#This Row],[LLOC]])</f>
        <v>E1-FG</v>
      </c>
      <c r="Q247" s="10">
        <f t="shared" ca="1" si="7"/>
        <v>45775</v>
      </c>
      <c r="R247" s="10"/>
      <c r="S247" s="28">
        <v>642</v>
      </c>
      <c r="T247" s="1" t="s">
        <v>2</v>
      </c>
      <c r="U247" s="1" t="s">
        <v>278</v>
      </c>
      <c r="V247" s="1">
        <v>20250130</v>
      </c>
      <c r="W247" s="8" t="s">
        <v>8442</v>
      </c>
      <c r="Z247" s="1"/>
      <c r="AA247" s="1"/>
      <c r="AC247" s="1"/>
      <c r="AD247" s="1"/>
      <c r="AE247" s="1"/>
      <c r="AF247" s="1"/>
    </row>
    <row r="248" spans="2:32" ht="12.75" x14ac:dyDescent="0.2">
      <c r="B248" s="1" t="s">
        <v>8754</v>
      </c>
      <c r="C248" s="10">
        <f t="shared" ca="1" si="6"/>
        <v>44252</v>
      </c>
      <c r="D248" s="4"/>
      <c r="E248" s="4" t="s">
        <v>8434</v>
      </c>
      <c r="F248" s="4" t="s">
        <v>1293</v>
      </c>
      <c r="G248" s="4"/>
      <c r="H248" s="4" t="str">
        <f>_xlfn.IFNA(VLOOKUP(Table_Query_from_AMULTIQRY45[[#This Row],[WPROD]],'Part# with New'!$A$1:$B$4347,2,0),Table_Query_from_AMULTIQRY45[[#This Row],[WPROD]])</f>
        <v>2-9289</v>
      </c>
      <c r="I248" s="4" t="s">
        <v>8436</v>
      </c>
      <c r="J248" s="1" t="s">
        <v>5</v>
      </c>
      <c r="L248" s="11">
        <v>3.7870000000000001E-2</v>
      </c>
      <c r="M248" s="1"/>
      <c r="N248" s="1" t="s">
        <v>37</v>
      </c>
      <c r="P248" s="1" t="str">
        <f>CONCATENATE(Table_Query_from_AMULTIQRY45[[#This Row],[WWHS]],"-",Table_Query_from_AMULTIQRY45[[#This Row],[LLOC]])</f>
        <v>E1-FG</v>
      </c>
      <c r="Q248" s="10">
        <f t="shared" ca="1" si="7"/>
        <v>45775</v>
      </c>
      <c r="R248" s="10"/>
      <c r="S248" s="28">
        <v>2500</v>
      </c>
      <c r="T248" s="1" t="s">
        <v>2</v>
      </c>
      <c r="U248" s="1" t="s">
        <v>279</v>
      </c>
      <c r="V248" s="1">
        <v>20210225</v>
      </c>
      <c r="W248" s="8" t="s">
        <v>8442</v>
      </c>
      <c r="Z248" s="1"/>
      <c r="AA248" s="1"/>
      <c r="AC248" s="1"/>
      <c r="AD248" s="1"/>
      <c r="AE248" s="1"/>
      <c r="AF248" s="1"/>
    </row>
    <row r="249" spans="2:32" ht="12.75" x14ac:dyDescent="0.2">
      <c r="B249" s="1" t="s">
        <v>8755</v>
      </c>
      <c r="C249" s="10">
        <f t="shared" ca="1" si="6"/>
        <v>45688</v>
      </c>
      <c r="D249" s="4"/>
      <c r="E249" s="4" t="s">
        <v>8434</v>
      </c>
      <c r="F249" s="4" t="s">
        <v>1293</v>
      </c>
      <c r="G249" s="4"/>
      <c r="H249" s="4" t="str">
        <f>_xlfn.IFNA(VLOOKUP(Table_Query_from_AMULTIQRY45[[#This Row],[WPROD]],'Part# with New'!$A$1:$B$4347,2,0),Table_Query_from_AMULTIQRY45[[#This Row],[WPROD]])</f>
        <v>2-9291</v>
      </c>
      <c r="I249" s="4" t="s">
        <v>8436</v>
      </c>
      <c r="J249" s="1" t="s">
        <v>5</v>
      </c>
      <c r="L249" s="11">
        <v>3.168E-2</v>
      </c>
      <c r="M249" s="1"/>
      <c r="N249" s="1" t="s">
        <v>37</v>
      </c>
      <c r="P249" s="1" t="str">
        <f>CONCATENATE(Table_Query_from_AMULTIQRY45[[#This Row],[WWHS]],"-",Table_Query_from_AMULTIQRY45[[#This Row],[LLOC]])</f>
        <v>E1-FG</v>
      </c>
      <c r="Q249" s="10">
        <f t="shared" ca="1" si="7"/>
        <v>45775</v>
      </c>
      <c r="R249" s="10"/>
      <c r="S249" s="28">
        <v>1000</v>
      </c>
      <c r="T249" s="1" t="s">
        <v>2</v>
      </c>
      <c r="U249" s="1" t="s">
        <v>281</v>
      </c>
      <c r="V249" s="1">
        <v>20250131</v>
      </c>
      <c r="W249" s="8" t="s">
        <v>8442</v>
      </c>
      <c r="Z249" s="1"/>
      <c r="AA249" s="1"/>
      <c r="AC249" s="1"/>
      <c r="AD249" s="1"/>
      <c r="AE249" s="1"/>
      <c r="AF249" s="1"/>
    </row>
    <row r="250" spans="2:32" ht="12.75" x14ac:dyDescent="0.2">
      <c r="B250" s="1" t="s">
        <v>8756</v>
      </c>
      <c r="C250" s="10">
        <f t="shared" ca="1" si="6"/>
        <v>43973</v>
      </c>
      <c r="D250" s="4"/>
      <c r="E250" s="4" t="s">
        <v>8434</v>
      </c>
      <c r="F250" s="4" t="s">
        <v>1293</v>
      </c>
      <c r="G250" s="4"/>
      <c r="H250" s="4" t="str">
        <f>_xlfn.IFNA(VLOOKUP(Table_Query_from_AMULTIQRY45[[#This Row],[WPROD]],'Part# with New'!$A$1:$B$4347,2,0),Table_Query_from_AMULTIQRY45[[#This Row],[WPROD]])</f>
        <v>2-9295</v>
      </c>
      <c r="I250" s="4" t="s">
        <v>8436</v>
      </c>
      <c r="J250" s="1" t="s">
        <v>5</v>
      </c>
      <c r="L250" s="11">
        <v>2.3140000000000001E-2</v>
      </c>
      <c r="M250" s="1"/>
      <c r="N250" s="1" t="s">
        <v>34</v>
      </c>
      <c r="P250" s="1" t="str">
        <f>CONCATENATE(Table_Query_from_AMULTIQRY45[[#This Row],[WWHS]],"-",Table_Query_from_AMULTIQRY45[[#This Row],[LLOC]])</f>
        <v>E1-FG</v>
      </c>
      <c r="Q250" s="10">
        <f t="shared" ca="1" si="7"/>
        <v>45775</v>
      </c>
      <c r="R250" s="10"/>
      <c r="S250" s="28">
        <v>1060</v>
      </c>
      <c r="T250" s="1" t="s">
        <v>2</v>
      </c>
      <c r="U250" s="1" t="s">
        <v>282</v>
      </c>
      <c r="V250" s="1">
        <v>20200522</v>
      </c>
      <c r="W250" s="8" t="s">
        <v>8442</v>
      </c>
      <c r="Z250" s="1"/>
      <c r="AA250" s="1"/>
      <c r="AC250" s="1"/>
      <c r="AD250" s="1"/>
      <c r="AE250" s="1"/>
      <c r="AF250" s="1"/>
    </row>
    <row r="251" spans="2:32" ht="12.75" x14ac:dyDescent="0.2">
      <c r="B251" s="1" t="s">
        <v>8757</v>
      </c>
      <c r="C251" s="10">
        <f t="shared" ca="1" si="6"/>
        <v>45758</v>
      </c>
      <c r="D251" s="4"/>
      <c r="E251" s="4" t="s">
        <v>8434</v>
      </c>
      <c r="F251" s="4" t="s">
        <v>1293</v>
      </c>
      <c r="G251" s="4"/>
      <c r="H251" s="4" t="str">
        <f>_xlfn.IFNA(VLOOKUP(Table_Query_from_AMULTIQRY45[[#This Row],[WPROD]],'Part# with New'!$A$1:$B$4347,2,0),Table_Query_from_AMULTIQRY45[[#This Row],[WPROD]])</f>
        <v>2-9298</v>
      </c>
      <c r="I251" s="4" t="s">
        <v>8436</v>
      </c>
      <c r="J251" s="1" t="s">
        <v>5</v>
      </c>
      <c r="L251" s="11">
        <v>3.4860000000000002E-2</v>
      </c>
      <c r="M251" s="1"/>
      <c r="N251" s="1" t="s">
        <v>37</v>
      </c>
      <c r="P251" s="1" t="str">
        <f>CONCATENATE(Table_Query_from_AMULTIQRY45[[#This Row],[WWHS]],"-",Table_Query_from_AMULTIQRY45[[#This Row],[LLOC]])</f>
        <v>E1-FG</v>
      </c>
      <c r="Q251" s="10">
        <f t="shared" ca="1" si="7"/>
        <v>45775</v>
      </c>
      <c r="R251" s="10"/>
      <c r="S251" s="28">
        <v>355</v>
      </c>
      <c r="T251" s="1" t="s">
        <v>2</v>
      </c>
      <c r="U251" s="1" t="s">
        <v>283</v>
      </c>
      <c r="V251" s="1">
        <v>20250411</v>
      </c>
      <c r="W251" s="8" t="s">
        <v>8442</v>
      </c>
      <c r="Z251" s="1"/>
      <c r="AA251" s="1"/>
      <c r="AC251" s="1"/>
      <c r="AD251" s="1"/>
      <c r="AE251" s="1"/>
      <c r="AF251" s="1"/>
    </row>
    <row r="252" spans="2:32" ht="12.75" x14ac:dyDescent="0.2">
      <c r="B252" s="1" t="s">
        <v>8758</v>
      </c>
      <c r="C252" s="10">
        <f t="shared" ca="1" si="6"/>
        <v>45330</v>
      </c>
      <c r="D252" s="4"/>
      <c r="E252" s="4" t="s">
        <v>8434</v>
      </c>
      <c r="F252" s="4" t="s">
        <v>1293</v>
      </c>
      <c r="G252" s="4"/>
      <c r="H252" s="4" t="str">
        <f>_xlfn.IFNA(VLOOKUP(Table_Query_from_AMULTIQRY45[[#This Row],[WPROD]],'Part# with New'!$A$1:$B$4347,2,0),Table_Query_from_AMULTIQRY45[[#This Row],[WPROD]])</f>
        <v>2-9302</v>
      </c>
      <c r="I252" s="4" t="s">
        <v>8436</v>
      </c>
      <c r="J252" s="1" t="s">
        <v>5</v>
      </c>
      <c r="L252" s="11">
        <v>0.24253</v>
      </c>
      <c r="M252" s="1"/>
      <c r="N252" s="1" t="s">
        <v>30</v>
      </c>
      <c r="P252" s="1" t="str">
        <f>CONCATENATE(Table_Query_from_AMULTIQRY45[[#This Row],[WWHS]],"-",Table_Query_from_AMULTIQRY45[[#This Row],[LLOC]])</f>
        <v>E1-FG</v>
      </c>
      <c r="Q252" s="10">
        <f t="shared" ca="1" si="7"/>
        <v>45775</v>
      </c>
      <c r="R252" s="10"/>
      <c r="S252" s="28">
        <v>755</v>
      </c>
      <c r="T252" s="1" t="s">
        <v>2</v>
      </c>
      <c r="U252" s="1" t="s">
        <v>285</v>
      </c>
      <c r="V252" s="1">
        <v>20240208</v>
      </c>
      <c r="W252" s="8" t="s">
        <v>8442</v>
      </c>
      <c r="Z252" s="1"/>
      <c r="AA252" s="1"/>
      <c r="AC252" s="1"/>
      <c r="AD252" s="1"/>
      <c r="AE252" s="1"/>
      <c r="AF252" s="1"/>
    </row>
    <row r="253" spans="2:32" ht="12.75" x14ac:dyDescent="0.2">
      <c r="B253" s="1" t="s">
        <v>8759</v>
      </c>
      <c r="C253" s="10">
        <f t="shared" ca="1" si="6"/>
        <v>45401</v>
      </c>
      <c r="D253" s="4"/>
      <c r="E253" s="4" t="s">
        <v>8434</v>
      </c>
      <c r="F253" s="4" t="s">
        <v>1293</v>
      </c>
      <c r="G253" s="4"/>
      <c r="H253" s="4" t="str">
        <f>_xlfn.IFNA(VLOOKUP(Table_Query_from_AMULTIQRY45[[#This Row],[WPROD]],'Part# with New'!$A$1:$B$4347,2,0),Table_Query_from_AMULTIQRY45[[#This Row],[WPROD]])</f>
        <v>2-9303</v>
      </c>
      <c r="I253" s="4" t="s">
        <v>8436</v>
      </c>
      <c r="J253" s="1" t="s">
        <v>5</v>
      </c>
      <c r="L253" s="11">
        <v>4.2529999999999998E-2</v>
      </c>
      <c r="M253" s="1"/>
      <c r="N253" s="1" t="s">
        <v>37</v>
      </c>
      <c r="P253" s="1" t="str">
        <f>CONCATENATE(Table_Query_from_AMULTIQRY45[[#This Row],[WWHS]],"-",Table_Query_from_AMULTIQRY45[[#This Row],[LLOC]])</f>
        <v>E1-FG</v>
      </c>
      <c r="Q253" s="10">
        <f t="shared" ca="1" si="7"/>
        <v>45775</v>
      </c>
      <c r="R253" s="10"/>
      <c r="S253" s="28">
        <v>1000</v>
      </c>
      <c r="T253" s="1" t="s">
        <v>2</v>
      </c>
      <c r="U253" s="1" t="s">
        <v>286</v>
      </c>
      <c r="V253" s="1">
        <v>20240419</v>
      </c>
      <c r="W253" s="8" t="s">
        <v>8442</v>
      </c>
      <c r="Z253" s="1"/>
      <c r="AA253" s="1"/>
      <c r="AC253" s="1"/>
      <c r="AD253" s="1"/>
      <c r="AE253" s="1"/>
      <c r="AF253" s="1"/>
    </row>
    <row r="254" spans="2:32" ht="12.75" x14ac:dyDescent="0.2">
      <c r="B254" s="1" t="s">
        <v>8760</v>
      </c>
      <c r="C254" s="10">
        <f t="shared" ca="1" si="6"/>
        <v>44988</v>
      </c>
      <c r="D254" s="4"/>
      <c r="E254" s="4" t="s">
        <v>8434</v>
      </c>
      <c r="F254" s="4" t="s">
        <v>1293</v>
      </c>
      <c r="G254" s="4"/>
      <c r="H254" s="4" t="str">
        <f>_xlfn.IFNA(VLOOKUP(Table_Query_from_AMULTIQRY45[[#This Row],[WPROD]],'Part# with New'!$A$1:$B$4347,2,0),Table_Query_from_AMULTIQRY45[[#This Row],[WPROD]])</f>
        <v>2-9308</v>
      </c>
      <c r="I254" s="4" t="s">
        <v>8436</v>
      </c>
      <c r="J254" s="1" t="s">
        <v>5</v>
      </c>
      <c r="L254" s="11">
        <v>4.0750000000000001E-2</v>
      </c>
      <c r="M254" s="1"/>
      <c r="N254" s="1" t="s">
        <v>37</v>
      </c>
      <c r="P254" s="1" t="str">
        <f>CONCATENATE(Table_Query_from_AMULTIQRY45[[#This Row],[WWHS]],"-",Table_Query_from_AMULTIQRY45[[#This Row],[LLOC]])</f>
        <v>E1-FG</v>
      </c>
      <c r="Q254" s="10">
        <f t="shared" ca="1" si="7"/>
        <v>45775</v>
      </c>
      <c r="R254" s="10"/>
      <c r="S254" s="28">
        <v>3000</v>
      </c>
      <c r="T254" s="1" t="s">
        <v>2</v>
      </c>
      <c r="U254" s="1" t="s">
        <v>287</v>
      </c>
      <c r="V254" s="1">
        <v>20230303</v>
      </c>
      <c r="W254" s="8" t="s">
        <v>8442</v>
      </c>
      <c r="Z254" s="1"/>
      <c r="AA254" s="1"/>
      <c r="AC254" s="1"/>
      <c r="AD254" s="1"/>
      <c r="AE254" s="1"/>
      <c r="AF254" s="1"/>
    </row>
    <row r="255" spans="2:32" ht="12.75" x14ac:dyDescent="0.2">
      <c r="B255" s="1" t="s">
        <v>8761</v>
      </c>
      <c r="C255" s="10">
        <f t="shared" ca="1" si="6"/>
        <v>44329</v>
      </c>
      <c r="D255" s="4"/>
      <c r="E255" s="4" t="s">
        <v>8434</v>
      </c>
      <c r="F255" s="4" t="s">
        <v>1293</v>
      </c>
      <c r="G255" s="4"/>
      <c r="H255" s="4" t="str">
        <f>_xlfn.IFNA(VLOOKUP(Table_Query_from_AMULTIQRY45[[#This Row],[WPROD]],'Part# with New'!$A$1:$B$4347,2,0),Table_Query_from_AMULTIQRY45[[#This Row],[WPROD]])</f>
        <v>2-9312</v>
      </c>
      <c r="I255" s="4" t="s">
        <v>8436</v>
      </c>
      <c r="J255" s="1" t="s">
        <v>5</v>
      </c>
      <c r="L255" s="11">
        <v>6.1190000000000001E-2</v>
      </c>
      <c r="M255" s="1"/>
      <c r="N255" s="1" t="s">
        <v>37</v>
      </c>
      <c r="P255" s="1" t="str">
        <f>CONCATENATE(Table_Query_from_AMULTIQRY45[[#This Row],[WWHS]],"-",Table_Query_from_AMULTIQRY45[[#This Row],[LLOC]])</f>
        <v>E1-FG</v>
      </c>
      <c r="Q255" s="10">
        <f t="shared" ca="1" si="7"/>
        <v>45775</v>
      </c>
      <c r="R255" s="10"/>
      <c r="S255" s="28">
        <v>2500</v>
      </c>
      <c r="T255" s="1" t="s">
        <v>2</v>
      </c>
      <c r="U255" s="1" t="s">
        <v>288</v>
      </c>
      <c r="V255" s="1">
        <v>20210513</v>
      </c>
      <c r="W255" s="8" t="s">
        <v>8442</v>
      </c>
      <c r="Z255" s="1"/>
      <c r="AA255" s="1"/>
      <c r="AC255" s="1"/>
      <c r="AD255" s="1"/>
      <c r="AE255" s="1"/>
      <c r="AF255" s="1"/>
    </row>
    <row r="256" spans="2:32" ht="12.75" x14ac:dyDescent="0.2">
      <c r="B256" s="1" t="s">
        <v>8762</v>
      </c>
      <c r="C256" s="10">
        <f t="shared" ca="1" si="6"/>
        <v>43915</v>
      </c>
      <c r="D256" s="4"/>
      <c r="E256" s="4" t="s">
        <v>8434</v>
      </c>
      <c r="F256" s="4" t="s">
        <v>1293</v>
      </c>
      <c r="G256" s="4"/>
      <c r="H256" s="4" t="str">
        <f>_xlfn.IFNA(VLOOKUP(Table_Query_from_AMULTIQRY45[[#This Row],[WPROD]],'Part# with New'!$A$1:$B$4347,2,0),Table_Query_from_AMULTIQRY45[[#This Row],[WPROD]])</f>
        <v>2-9315</v>
      </c>
      <c r="I256" s="4" t="s">
        <v>8436</v>
      </c>
      <c r="J256" s="1" t="s">
        <v>5</v>
      </c>
      <c r="L256" s="11">
        <v>3.56E-2</v>
      </c>
      <c r="M256" s="1"/>
      <c r="N256" s="1" t="s">
        <v>37</v>
      </c>
      <c r="P256" s="1" t="str">
        <f>CONCATENATE(Table_Query_from_AMULTIQRY45[[#This Row],[WWHS]],"-",Table_Query_from_AMULTIQRY45[[#This Row],[LLOC]])</f>
        <v>E1-FG</v>
      </c>
      <c r="Q256" s="10">
        <f t="shared" ca="1" si="7"/>
        <v>45775</v>
      </c>
      <c r="R256" s="10"/>
      <c r="S256" s="28">
        <v>2985</v>
      </c>
      <c r="T256" s="1" t="s">
        <v>2</v>
      </c>
      <c r="U256" s="1" t="s">
        <v>289</v>
      </c>
      <c r="V256" s="1">
        <v>20200325</v>
      </c>
      <c r="W256" s="8" t="s">
        <v>8442</v>
      </c>
      <c r="Z256" s="1"/>
      <c r="AA256" s="1"/>
      <c r="AC256" s="1"/>
      <c r="AD256" s="1"/>
      <c r="AE256" s="1"/>
      <c r="AF256" s="1"/>
    </row>
    <row r="257" spans="2:32" ht="12.75" x14ac:dyDescent="0.2">
      <c r="B257" s="1" t="s">
        <v>8763</v>
      </c>
      <c r="C257" s="10">
        <f t="shared" ca="1" si="6"/>
        <v>45632</v>
      </c>
      <c r="D257" s="4"/>
      <c r="E257" s="4" t="s">
        <v>8434</v>
      </c>
      <c r="F257" s="4" t="s">
        <v>1293</v>
      </c>
      <c r="G257" s="4"/>
      <c r="H257" s="4" t="str">
        <f>_xlfn.IFNA(VLOOKUP(Table_Query_from_AMULTIQRY45[[#This Row],[WPROD]],'Part# with New'!$A$1:$B$4347,2,0),Table_Query_from_AMULTIQRY45[[#This Row],[WPROD]])</f>
        <v>2-9320</v>
      </c>
      <c r="I257" s="4" t="s">
        <v>8436</v>
      </c>
      <c r="J257" s="1" t="s">
        <v>5</v>
      </c>
      <c r="L257" s="11">
        <v>6.4640000000000003E-2</v>
      </c>
      <c r="M257" s="1"/>
      <c r="N257" s="1" t="s">
        <v>30</v>
      </c>
      <c r="P257" s="1" t="str">
        <f>CONCATENATE(Table_Query_from_AMULTIQRY45[[#This Row],[WWHS]],"-",Table_Query_from_AMULTIQRY45[[#This Row],[LLOC]])</f>
        <v>E1-FG</v>
      </c>
      <c r="Q257" s="10">
        <f t="shared" ca="1" si="7"/>
        <v>45775</v>
      </c>
      <c r="R257" s="10"/>
      <c r="S257" s="28">
        <v>4000</v>
      </c>
      <c r="T257" s="1" t="s">
        <v>2</v>
      </c>
      <c r="U257" s="1" t="s">
        <v>291</v>
      </c>
      <c r="V257" s="1">
        <v>20241206</v>
      </c>
      <c r="W257" s="8" t="s">
        <v>8442</v>
      </c>
      <c r="Z257" s="1"/>
      <c r="AA257" s="1"/>
      <c r="AC257" s="1"/>
      <c r="AD257" s="1"/>
      <c r="AE257" s="1"/>
      <c r="AF257" s="1"/>
    </row>
    <row r="258" spans="2:32" ht="12.75" x14ac:dyDescent="0.2">
      <c r="B258" s="1" t="s">
        <v>8764</v>
      </c>
      <c r="C258" s="10">
        <f t="shared" ca="1" si="6"/>
        <v>43887</v>
      </c>
      <c r="D258" s="4"/>
      <c r="E258" s="4" t="s">
        <v>8434</v>
      </c>
      <c r="F258" s="4" t="s">
        <v>1293</v>
      </c>
      <c r="G258" s="4"/>
      <c r="H258" s="4" t="str">
        <f>_xlfn.IFNA(VLOOKUP(Table_Query_from_AMULTIQRY45[[#This Row],[WPROD]],'Part# with New'!$A$1:$B$4347,2,0),Table_Query_from_AMULTIQRY45[[#This Row],[WPROD]])</f>
        <v>2-9322</v>
      </c>
      <c r="I258" s="4" t="s">
        <v>8436</v>
      </c>
      <c r="J258" s="1" t="s">
        <v>5</v>
      </c>
      <c r="L258" s="11">
        <v>3.687E-2</v>
      </c>
      <c r="M258" s="1"/>
      <c r="N258" s="1" t="s">
        <v>37</v>
      </c>
      <c r="P258" s="1" t="str">
        <f>CONCATENATE(Table_Query_from_AMULTIQRY45[[#This Row],[WWHS]],"-",Table_Query_from_AMULTIQRY45[[#This Row],[LLOC]])</f>
        <v>E1-FG</v>
      </c>
      <c r="Q258" s="10">
        <f t="shared" ca="1" si="7"/>
        <v>45775</v>
      </c>
      <c r="R258" s="10"/>
      <c r="S258" s="28">
        <v>2465</v>
      </c>
      <c r="T258" s="1" t="s">
        <v>2</v>
      </c>
      <c r="U258" s="1" t="s">
        <v>292</v>
      </c>
      <c r="V258" s="1">
        <v>20200226</v>
      </c>
      <c r="W258" s="8" t="s">
        <v>8442</v>
      </c>
      <c r="Z258" s="1"/>
      <c r="AA258" s="1"/>
      <c r="AC258" s="1"/>
      <c r="AD258" s="1"/>
      <c r="AE258" s="1"/>
      <c r="AF258" s="1"/>
    </row>
    <row r="259" spans="2:32" ht="12.75" x14ac:dyDescent="0.2">
      <c r="B259" s="1" t="s">
        <v>8765</v>
      </c>
      <c r="C259" s="10">
        <f t="shared" ca="1" si="6"/>
        <v>45343</v>
      </c>
      <c r="D259" s="4"/>
      <c r="E259" s="4" t="s">
        <v>8434</v>
      </c>
      <c r="F259" s="4" t="s">
        <v>1293</v>
      </c>
      <c r="G259" s="4"/>
      <c r="H259" s="4" t="str">
        <f>_xlfn.IFNA(VLOOKUP(Table_Query_from_AMULTIQRY45[[#This Row],[WPROD]],'Part# with New'!$A$1:$B$4347,2,0),Table_Query_from_AMULTIQRY45[[#This Row],[WPROD]])</f>
        <v>2-9326</v>
      </c>
      <c r="I259" s="4" t="s">
        <v>8436</v>
      </c>
      <c r="J259" s="1" t="s">
        <v>5</v>
      </c>
      <c r="L259" s="11">
        <v>7.8140000000000001E-2</v>
      </c>
      <c r="M259" s="1"/>
      <c r="N259" s="1" t="s">
        <v>30</v>
      </c>
      <c r="P259" s="1" t="str">
        <f>CONCATENATE(Table_Query_from_AMULTIQRY45[[#This Row],[WWHS]],"-",Table_Query_from_AMULTIQRY45[[#This Row],[LLOC]])</f>
        <v>E1-FG</v>
      </c>
      <c r="Q259" s="10">
        <f t="shared" ca="1" si="7"/>
        <v>45775</v>
      </c>
      <c r="R259" s="10"/>
      <c r="S259" s="28">
        <v>1107</v>
      </c>
      <c r="T259" s="1" t="s">
        <v>2</v>
      </c>
      <c r="U259" s="1" t="s">
        <v>294</v>
      </c>
      <c r="V259" s="1">
        <v>20240221</v>
      </c>
      <c r="W259" s="8" t="s">
        <v>8442</v>
      </c>
      <c r="Z259" s="1"/>
      <c r="AA259" s="1"/>
      <c r="AC259" s="1"/>
      <c r="AD259" s="1"/>
      <c r="AE259" s="1"/>
      <c r="AF259" s="1"/>
    </row>
    <row r="260" spans="2:32" ht="12.75" x14ac:dyDescent="0.2">
      <c r="B260" s="1" t="s">
        <v>8766</v>
      </c>
      <c r="C260" s="10">
        <f t="shared" ca="1" si="6"/>
        <v>44362</v>
      </c>
      <c r="D260" s="4"/>
      <c r="E260" s="4" t="s">
        <v>8434</v>
      </c>
      <c r="F260" s="4" t="s">
        <v>1293</v>
      </c>
      <c r="G260" s="4"/>
      <c r="H260" s="4" t="str">
        <f>_xlfn.IFNA(VLOOKUP(Table_Query_from_AMULTIQRY45[[#This Row],[WPROD]],'Part# with New'!$A$1:$B$4347,2,0),Table_Query_from_AMULTIQRY45[[#This Row],[WPROD]])</f>
        <v>2-9328</v>
      </c>
      <c r="I260" s="4" t="s">
        <v>8436</v>
      </c>
      <c r="J260" s="1" t="s">
        <v>5</v>
      </c>
      <c r="L260" s="11">
        <v>0.17057</v>
      </c>
      <c r="M260" s="1"/>
      <c r="N260" s="1" t="s">
        <v>30</v>
      </c>
      <c r="P260" s="1" t="str">
        <f>CONCATENATE(Table_Query_from_AMULTIQRY45[[#This Row],[WWHS]],"-",Table_Query_from_AMULTIQRY45[[#This Row],[LLOC]])</f>
        <v>E1-FG</v>
      </c>
      <c r="Q260" s="10">
        <f t="shared" ca="1" si="7"/>
        <v>45775</v>
      </c>
      <c r="R260" s="10"/>
      <c r="S260" s="28">
        <v>5095</v>
      </c>
      <c r="T260" s="1" t="s">
        <v>2</v>
      </c>
      <c r="U260" s="1" t="s">
        <v>295</v>
      </c>
      <c r="V260" s="1">
        <v>20210615</v>
      </c>
      <c r="W260" s="8" t="s">
        <v>8442</v>
      </c>
      <c r="Z260" s="1"/>
      <c r="AA260" s="1"/>
      <c r="AC260" s="1"/>
      <c r="AD260" s="1"/>
      <c r="AE260" s="1"/>
      <c r="AF260" s="1"/>
    </row>
    <row r="261" spans="2:32" ht="12.75" x14ac:dyDescent="0.2">
      <c r="B261" s="1" t="s">
        <v>8767</v>
      </c>
      <c r="C261" s="10">
        <f t="shared" ca="1" si="6"/>
        <v>44090</v>
      </c>
      <c r="D261" s="4"/>
      <c r="E261" s="4" t="s">
        <v>8434</v>
      </c>
      <c r="F261" s="4" t="s">
        <v>1293</v>
      </c>
      <c r="G261" s="4"/>
      <c r="H261" s="4" t="str">
        <f>_xlfn.IFNA(VLOOKUP(Table_Query_from_AMULTIQRY45[[#This Row],[WPROD]],'Part# with New'!$A$1:$B$4347,2,0),Table_Query_from_AMULTIQRY45[[#This Row],[WPROD]])</f>
        <v>2-9330</v>
      </c>
      <c r="I261" s="4" t="s">
        <v>8436</v>
      </c>
      <c r="J261" s="1" t="s">
        <v>5</v>
      </c>
      <c r="L261" s="11">
        <v>3.0329999999999999E-2</v>
      </c>
      <c r="M261" s="1"/>
      <c r="N261" s="1" t="s">
        <v>37</v>
      </c>
      <c r="P261" s="1" t="str">
        <f>CONCATENATE(Table_Query_from_AMULTIQRY45[[#This Row],[WWHS]],"-",Table_Query_from_AMULTIQRY45[[#This Row],[LLOC]])</f>
        <v>E1-FG</v>
      </c>
      <c r="Q261" s="10">
        <f t="shared" ca="1" si="7"/>
        <v>45775</v>
      </c>
      <c r="R261" s="10"/>
      <c r="S261" s="28">
        <v>2780</v>
      </c>
      <c r="T261" s="1" t="s">
        <v>2</v>
      </c>
      <c r="U261" s="1" t="s">
        <v>296</v>
      </c>
      <c r="V261" s="1">
        <v>20200916</v>
      </c>
      <c r="W261" s="8" t="s">
        <v>8442</v>
      </c>
      <c r="Z261" s="1"/>
      <c r="AA261" s="1"/>
      <c r="AC261" s="1"/>
      <c r="AD261" s="1"/>
      <c r="AE261" s="1"/>
      <c r="AF261" s="1"/>
    </row>
    <row r="262" spans="2:32" ht="12.75" x14ac:dyDescent="0.2">
      <c r="B262" s="1" t="s">
        <v>8768</v>
      </c>
      <c r="C262" s="10">
        <f t="shared" ca="1" si="6"/>
        <v>45443</v>
      </c>
      <c r="D262" s="4"/>
      <c r="E262" s="4" t="s">
        <v>8434</v>
      </c>
      <c r="F262" s="4" t="s">
        <v>1293</v>
      </c>
      <c r="G262" s="4"/>
      <c r="H262" s="4" t="str">
        <f>_xlfn.IFNA(VLOOKUP(Table_Query_from_AMULTIQRY45[[#This Row],[WPROD]],'Part# with New'!$A$1:$B$4347,2,0),Table_Query_from_AMULTIQRY45[[#This Row],[WPROD]])</f>
        <v>2-9332</v>
      </c>
      <c r="I262" s="4" t="s">
        <v>8436</v>
      </c>
      <c r="J262" s="1" t="s">
        <v>5</v>
      </c>
      <c r="L262" s="11">
        <v>5.1830000000000001E-2</v>
      </c>
      <c r="M262" s="1"/>
      <c r="N262" s="1" t="s">
        <v>30</v>
      </c>
      <c r="P262" s="1" t="str">
        <f>CONCATENATE(Table_Query_from_AMULTIQRY45[[#This Row],[WWHS]],"-",Table_Query_from_AMULTIQRY45[[#This Row],[LLOC]])</f>
        <v>E1-FG</v>
      </c>
      <c r="Q262" s="10">
        <f t="shared" ca="1" si="7"/>
        <v>45775</v>
      </c>
      <c r="R262" s="10"/>
      <c r="S262" s="28">
        <v>1000</v>
      </c>
      <c r="T262" s="1" t="s">
        <v>2</v>
      </c>
      <c r="U262" s="1" t="s">
        <v>297</v>
      </c>
      <c r="V262" s="1">
        <v>20240531</v>
      </c>
      <c r="W262" s="8" t="s">
        <v>8442</v>
      </c>
      <c r="Z262" s="1"/>
      <c r="AA262" s="1"/>
      <c r="AC262" s="1"/>
      <c r="AD262" s="1"/>
      <c r="AE262" s="1"/>
      <c r="AF262" s="1"/>
    </row>
    <row r="263" spans="2:32" ht="12.75" x14ac:dyDescent="0.2">
      <c r="B263" s="1" t="s">
        <v>8769</v>
      </c>
      <c r="C263" s="10">
        <f t="shared" ref="C263:C326" ca="1" si="8">IFERROR(DATE(LEFT($V263,4),MID($V263,5,2),RIGHT($V263,2)),TODAY())</f>
        <v>44824</v>
      </c>
      <c r="D263" s="4"/>
      <c r="E263" s="4" t="s">
        <v>8434</v>
      </c>
      <c r="F263" s="4" t="s">
        <v>1293</v>
      </c>
      <c r="G263" s="4"/>
      <c r="H263" s="4" t="str">
        <f>_xlfn.IFNA(VLOOKUP(Table_Query_from_AMULTIQRY45[[#This Row],[WPROD]],'Part# with New'!$A$1:$B$4347,2,0),Table_Query_from_AMULTIQRY45[[#This Row],[WPROD]])</f>
        <v>2-9345</v>
      </c>
      <c r="I263" s="4" t="s">
        <v>8436</v>
      </c>
      <c r="J263" s="1" t="s">
        <v>5</v>
      </c>
      <c r="L263" s="11">
        <v>0.12928000000000001</v>
      </c>
      <c r="M263" s="1"/>
      <c r="N263" s="1" t="s">
        <v>30</v>
      </c>
      <c r="P263" s="1" t="str">
        <f>CONCATENATE(Table_Query_from_AMULTIQRY45[[#This Row],[WWHS]],"-",Table_Query_from_AMULTIQRY45[[#This Row],[LLOC]])</f>
        <v>E1-FG</v>
      </c>
      <c r="Q263" s="10">
        <f t="shared" ref="Q263:Q326" ca="1" si="9">+TODAY()</f>
        <v>45775</v>
      </c>
      <c r="R263" s="10"/>
      <c r="S263" s="28">
        <v>655</v>
      </c>
      <c r="T263" s="1" t="s">
        <v>2</v>
      </c>
      <c r="U263" s="1" t="s">
        <v>298</v>
      </c>
      <c r="V263" s="1">
        <v>20220920</v>
      </c>
      <c r="W263" s="8" t="s">
        <v>8442</v>
      </c>
      <c r="Z263" s="1"/>
      <c r="AA263" s="1"/>
      <c r="AC263" s="1"/>
      <c r="AD263" s="1"/>
      <c r="AE263" s="1"/>
      <c r="AF263" s="1"/>
    </row>
    <row r="264" spans="2:32" ht="12.75" x14ac:dyDescent="0.2">
      <c r="B264" s="1" t="s">
        <v>8770</v>
      </c>
      <c r="C264" s="10">
        <f t="shared" ca="1" si="8"/>
        <v>44727</v>
      </c>
      <c r="D264" s="4"/>
      <c r="E264" s="4" t="s">
        <v>8434</v>
      </c>
      <c r="F264" s="4" t="s">
        <v>1293</v>
      </c>
      <c r="G264" s="4"/>
      <c r="H264" s="4" t="str">
        <f>_xlfn.IFNA(VLOOKUP(Table_Query_from_AMULTIQRY45[[#This Row],[WPROD]],'Part# with New'!$A$1:$B$4347,2,0),Table_Query_from_AMULTIQRY45[[#This Row],[WPROD]])</f>
        <v>2-9347</v>
      </c>
      <c r="I264" s="4" t="s">
        <v>8436</v>
      </c>
      <c r="J264" s="1" t="s">
        <v>5</v>
      </c>
      <c r="L264" s="11">
        <v>0.11529</v>
      </c>
      <c r="M264" s="1"/>
      <c r="N264" s="1" t="s">
        <v>34</v>
      </c>
      <c r="P264" s="1" t="str">
        <f>CONCATENATE(Table_Query_from_AMULTIQRY45[[#This Row],[WWHS]],"-",Table_Query_from_AMULTIQRY45[[#This Row],[LLOC]])</f>
        <v>E1-FG</v>
      </c>
      <c r="Q264" s="10">
        <f t="shared" ca="1" si="9"/>
        <v>45775</v>
      </c>
      <c r="R264" s="10"/>
      <c r="S264" s="28">
        <v>1042</v>
      </c>
      <c r="T264" s="1" t="s">
        <v>2</v>
      </c>
      <c r="U264" s="1" t="s">
        <v>299</v>
      </c>
      <c r="V264" s="1">
        <v>20220615</v>
      </c>
      <c r="W264" s="8" t="s">
        <v>8442</v>
      </c>
      <c r="Z264" s="1"/>
      <c r="AA264" s="1"/>
      <c r="AC264" s="1"/>
      <c r="AD264" s="1"/>
      <c r="AE264" s="1"/>
      <c r="AF264" s="1"/>
    </row>
    <row r="265" spans="2:32" ht="12.75" x14ac:dyDescent="0.2">
      <c r="B265" s="1" t="s">
        <v>8771</v>
      </c>
      <c r="C265" s="10">
        <f t="shared" ca="1" si="8"/>
        <v>44770</v>
      </c>
      <c r="D265" s="4"/>
      <c r="E265" s="4" t="s">
        <v>8434</v>
      </c>
      <c r="F265" s="4" t="s">
        <v>1293</v>
      </c>
      <c r="G265" s="4"/>
      <c r="H265" s="4" t="str">
        <f>_xlfn.IFNA(VLOOKUP(Table_Query_from_AMULTIQRY45[[#This Row],[WPROD]],'Part# with New'!$A$1:$B$4347,2,0),Table_Query_from_AMULTIQRY45[[#This Row],[WPROD]])</f>
        <v>2-9348</v>
      </c>
      <c r="I265" s="4" t="s">
        <v>8436</v>
      </c>
      <c r="J265" s="1" t="s">
        <v>5</v>
      </c>
      <c r="L265" s="11">
        <v>0.15637000000000001</v>
      </c>
      <c r="M265" s="1"/>
      <c r="N265" s="1" t="s">
        <v>30</v>
      </c>
      <c r="P265" s="1" t="str">
        <f>CONCATENATE(Table_Query_from_AMULTIQRY45[[#This Row],[WWHS]],"-",Table_Query_from_AMULTIQRY45[[#This Row],[LLOC]])</f>
        <v>E1-FG</v>
      </c>
      <c r="Q265" s="10">
        <f t="shared" ca="1" si="9"/>
        <v>45775</v>
      </c>
      <c r="R265" s="10"/>
      <c r="S265" s="28">
        <v>1228</v>
      </c>
      <c r="T265" s="1" t="s">
        <v>2</v>
      </c>
      <c r="U265" s="1" t="s">
        <v>300</v>
      </c>
      <c r="V265" s="1">
        <v>20220728</v>
      </c>
      <c r="W265" s="8" t="s">
        <v>8442</v>
      </c>
      <c r="Z265" s="1"/>
      <c r="AA265" s="1"/>
      <c r="AC265" s="1"/>
      <c r="AD265" s="1"/>
      <c r="AE265" s="1"/>
      <c r="AF265" s="1"/>
    </row>
    <row r="266" spans="2:32" ht="12.75" x14ac:dyDescent="0.2">
      <c r="B266" s="1" t="s">
        <v>8772</v>
      </c>
      <c r="C266" s="10">
        <f t="shared" ca="1" si="8"/>
        <v>45553</v>
      </c>
      <c r="D266" s="4"/>
      <c r="E266" s="4" t="s">
        <v>8434</v>
      </c>
      <c r="F266" s="4" t="s">
        <v>1293</v>
      </c>
      <c r="G266" s="4"/>
      <c r="H266" s="4" t="str">
        <f>_xlfn.IFNA(VLOOKUP(Table_Query_from_AMULTIQRY45[[#This Row],[WPROD]],'Part# with New'!$A$1:$B$4347,2,0),Table_Query_from_AMULTIQRY45[[#This Row],[WPROD]])</f>
        <v>2-9354</v>
      </c>
      <c r="I266" s="4" t="s">
        <v>8436</v>
      </c>
      <c r="J266" s="1" t="s">
        <v>5</v>
      </c>
      <c r="L266" s="11">
        <v>5.568E-2</v>
      </c>
      <c r="M266" s="1"/>
      <c r="N266" s="1" t="s">
        <v>37</v>
      </c>
      <c r="P266" s="1" t="str">
        <f>CONCATENATE(Table_Query_from_AMULTIQRY45[[#This Row],[WWHS]],"-",Table_Query_from_AMULTIQRY45[[#This Row],[LLOC]])</f>
        <v>E1-FG</v>
      </c>
      <c r="Q266" s="10">
        <f t="shared" ca="1" si="9"/>
        <v>45775</v>
      </c>
      <c r="R266" s="10"/>
      <c r="S266" s="28">
        <v>915</v>
      </c>
      <c r="T266" s="1" t="s">
        <v>2</v>
      </c>
      <c r="U266" s="1" t="s">
        <v>301</v>
      </c>
      <c r="V266" s="1">
        <v>20240918</v>
      </c>
      <c r="W266" s="8" t="s">
        <v>8442</v>
      </c>
      <c r="Z266" s="1"/>
      <c r="AA266" s="1"/>
      <c r="AC266" s="1"/>
      <c r="AD266" s="1"/>
      <c r="AE266" s="1"/>
      <c r="AF266" s="1"/>
    </row>
    <row r="267" spans="2:32" ht="12.75" x14ac:dyDescent="0.2">
      <c r="B267" s="1" t="s">
        <v>8773</v>
      </c>
      <c r="C267" s="10">
        <f t="shared" ca="1" si="8"/>
        <v>43503</v>
      </c>
      <c r="D267" s="4"/>
      <c r="E267" s="4" t="s">
        <v>8434</v>
      </c>
      <c r="F267" s="4" t="s">
        <v>1293</v>
      </c>
      <c r="G267" s="4"/>
      <c r="H267" s="4" t="str">
        <f>_xlfn.IFNA(VLOOKUP(Table_Query_from_AMULTIQRY45[[#This Row],[WPROD]],'Part# with New'!$A$1:$B$4347,2,0),Table_Query_from_AMULTIQRY45[[#This Row],[WPROD]])</f>
        <v>2-9358</v>
      </c>
      <c r="I267" s="4" t="s">
        <v>8436</v>
      </c>
      <c r="J267" s="1" t="s">
        <v>5</v>
      </c>
      <c r="L267" s="11">
        <v>4.8779999999999997E-2</v>
      </c>
      <c r="M267" s="1"/>
      <c r="N267" s="1" t="s">
        <v>37</v>
      </c>
      <c r="P267" s="1" t="str">
        <f>CONCATENATE(Table_Query_from_AMULTIQRY45[[#This Row],[WWHS]],"-",Table_Query_from_AMULTIQRY45[[#This Row],[LLOC]])</f>
        <v>E1-FG</v>
      </c>
      <c r="Q267" s="10">
        <f t="shared" ca="1" si="9"/>
        <v>45775</v>
      </c>
      <c r="R267" s="10"/>
      <c r="S267" s="28">
        <v>700</v>
      </c>
      <c r="T267" s="1" t="s">
        <v>2</v>
      </c>
      <c r="U267" s="1" t="s">
        <v>302</v>
      </c>
      <c r="V267" s="1">
        <v>20190207</v>
      </c>
      <c r="W267" s="8" t="s">
        <v>8442</v>
      </c>
      <c r="Z267" s="1"/>
      <c r="AA267" s="1"/>
      <c r="AC267" s="1"/>
      <c r="AD267" s="1"/>
      <c r="AE267" s="1"/>
      <c r="AF267" s="1"/>
    </row>
    <row r="268" spans="2:32" ht="12.75" x14ac:dyDescent="0.2">
      <c r="B268" s="1" t="s">
        <v>8774</v>
      </c>
      <c r="C268" s="10">
        <f t="shared" ca="1" si="8"/>
        <v>44252</v>
      </c>
      <c r="D268" s="4"/>
      <c r="E268" s="4" t="s">
        <v>8434</v>
      </c>
      <c r="F268" s="4" t="s">
        <v>1293</v>
      </c>
      <c r="G268" s="4"/>
      <c r="H268" s="4" t="str">
        <f>_xlfn.IFNA(VLOOKUP(Table_Query_from_AMULTIQRY45[[#This Row],[WPROD]],'Part# with New'!$A$1:$B$4347,2,0),Table_Query_from_AMULTIQRY45[[#This Row],[WPROD]])</f>
        <v>2-9359</v>
      </c>
      <c r="I268" s="4" t="s">
        <v>8436</v>
      </c>
      <c r="J268" s="1" t="s">
        <v>5</v>
      </c>
      <c r="L268" s="11">
        <v>4.6219999999999997E-2</v>
      </c>
      <c r="M268" s="1"/>
      <c r="N268" s="1" t="s">
        <v>37</v>
      </c>
      <c r="P268" s="1" t="str">
        <f>CONCATENATE(Table_Query_from_AMULTIQRY45[[#This Row],[WWHS]],"-",Table_Query_from_AMULTIQRY45[[#This Row],[LLOC]])</f>
        <v>E1-FG</v>
      </c>
      <c r="Q268" s="10">
        <f t="shared" ca="1" si="9"/>
        <v>45775</v>
      </c>
      <c r="R268" s="10"/>
      <c r="S268" s="28">
        <v>2580</v>
      </c>
      <c r="T268" s="1" t="s">
        <v>2</v>
      </c>
      <c r="U268" s="1" t="s">
        <v>303</v>
      </c>
      <c r="V268" s="1">
        <v>20210225</v>
      </c>
      <c r="W268" s="8" t="s">
        <v>8442</v>
      </c>
      <c r="Z268" s="1"/>
      <c r="AA268" s="1"/>
      <c r="AC268" s="1"/>
      <c r="AD268" s="1"/>
      <c r="AE268" s="1"/>
      <c r="AF268" s="1"/>
    </row>
    <row r="269" spans="2:32" ht="12.75" x14ac:dyDescent="0.2">
      <c r="B269" s="1" t="s">
        <v>8775</v>
      </c>
      <c r="C269" s="10">
        <f t="shared" ca="1" si="8"/>
        <v>43871</v>
      </c>
      <c r="D269" s="4"/>
      <c r="E269" s="4" t="s">
        <v>8434</v>
      </c>
      <c r="F269" s="4" t="s">
        <v>1293</v>
      </c>
      <c r="G269" s="4"/>
      <c r="H269" s="4" t="str">
        <f>_xlfn.IFNA(VLOOKUP(Table_Query_from_AMULTIQRY45[[#This Row],[WPROD]],'Part# with New'!$A$1:$B$4347,2,0),Table_Query_from_AMULTIQRY45[[#This Row],[WPROD]])</f>
        <v>2-9362</v>
      </c>
      <c r="I269" s="4" t="s">
        <v>8436</v>
      </c>
      <c r="J269" s="1" t="s">
        <v>5</v>
      </c>
      <c r="L269" s="11">
        <v>0.20172000000000001</v>
      </c>
      <c r="M269" s="1"/>
      <c r="N269" s="1" t="s">
        <v>30</v>
      </c>
      <c r="P269" s="1" t="str">
        <f>CONCATENATE(Table_Query_from_AMULTIQRY45[[#This Row],[WWHS]],"-",Table_Query_from_AMULTIQRY45[[#This Row],[LLOC]])</f>
        <v>E1-FG</v>
      </c>
      <c r="Q269" s="10">
        <f t="shared" ca="1" si="9"/>
        <v>45775</v>
      </c>
      <c r="R269" s="10"/>
      <c r="S269" s="28">
        <v>588</v>
      </c>
      <c r="T269" s="1" t="s">
        <v>2</v>
      </c>
      <c r="U269" s="1" t="s">
        <v>305</v>
      </c>
      <c r="V269" s="1">
        <v>20200210</v>
      </c>
      <c r="W269" s="8" t="s">
        <v>8442</v>
      </c>
      <c r="Z269" s="1"/>
      <c r="AA269" s="1"/>
      <c r="AC269" s="1"/>
      <c r="AD269" s="1"/>
      <c r="AE269" s="1"/>
      <c r="AF269" s="1"/>
    </row>
    <row r="270" spans="2:32" ht="12.75" x14ac:dyDescent="0.2">
      <c r="B270" s="1" t="s">
        <v>8776</v>
      </c>
      <c r="C270" s="10">
        <f t="shared" ca="1" si="8"/>
        <v>45751</v>
      </c>
      <c r="D270" s="4"/>
      <c r="E270" s="4" t="s">
        <v>8434</v>
      </c>
      <c r="F270" s="4" t="s">
        <v>1293</v>
      </c>
      <c r="G270" s="4"/>
      <c r="H270" s="4" t="str">
        <f>_xlfn.IFNA(VLOOKUP(Table_Query_from_AMULTIQRY45[[#This Row],[WPROD]],'Part# with New'!$A$1:$B$4347,2,0),Table_Query_from_AMULTIQRY45[[#This Row],[WPROD]])</f>
        <v>2-9363</v>
      </c>
      <c r="I270" s="4" t="s">
        <v>8436</v>
      </c>
      <c r="J270" s="1" t="s">
        <v>5</v>
      </c>
      <c r="L270" s="11">
        <v>2.538E-2</v>
      </c>
      <c r="M270" s="1"/>
      <c r="N270" s="1" t="s">
        <v>37</v>
      </c>
      <c r="P270" s="1" t="str">
        <f>CONCATENATE(Table_Query_from_AMULTIQRY45[[#This Row],[WWHS]],"-",Table_Query_from_AMULTIQRY45[[#This Row],[LLOC]])</f>
        <v>E1-FG</v>
      </c>
      <c r="Q270" s="10">
        <f t="shared" ca="1" si="9"/>
        <v>45775</v>
      </c>
      <c r="R270" s="10"/>
      <c r="S270" s="28">
        <v>1000</v>
      </c>
      <c r="T270" s="1" t="s">
        <v>2</v>
      </c>
      <c r="U270" s="1" t="s">
        <v>306</v>
      </c>
      <c r="V270" s="1">
        <v>20250404</v>
      </c>
      <c r="W270" s="8" t="s">
        <v>8442</v>
      </c>
      <c r="Z270" s="1"/>
      <c r="AA270" s="1"/>
      <c r="AC270" s="1"/>
      <c r="AD270" s="1"/>
      <c r="AE270" s="1"/>
      <c r="AF270" s="1"/>
    </row>
    <row r="271" spans="2:32" ht="12.75" x14ac:dyDescent="0.2">
      <c r="B271" s="1" t="s">
        <v>8777</v>
      </c>
      <c r="C271" s="10">
        <f t="shared" ca="1" si="8"/>
        <v>45758</v>
      </c>
      <c r="D271" s="4"/>
      <c r="E271" s="4" t="s">
        <v>8434</v>
      </c>
      <c r="F271" s="4" t="s">
        <v>1293</v>
      </c>
      <c r="G271" s="4"/>
      <c r="H271" s="4" t="str">
        <f>_xlfn.IFNA(VLOOKUP(Table_Query_from_AMULTIQRY45[[#This Row],[WPROD]],'Part# with New'!$A$1:$B$4347,2,0),Table_Query_from_AMULTIQRY45[[#This Row],[WPROD]])</f>
        <v>2-9364</v>
      </c>
      <c r="I271" s="4" t="s">
        <v>8436</v>
      </c>
      <c r="J271" s="1" t="s">
        <v>5</v>
      </c>
      <c r="L271" s="11">
        <v>3.9510000000000003E-2</v>
      </c>
      <c r="M271" s="1"/>
      <c r="N271" s="1" t="s">
        <v>37</v>
      </c>
      <c r="P271" s="1" t="str">
        <f>CONCATENATE(Table_Query_from_AMULTIQRY45[[#This Row],[WWHS]],"-",Table_Query_from_AMULTIQRY45[[#This Row],[LLOC]])</f>
        <v>E1-FG</v>
      </c>
      <c r="Q271" s="10">
        <f t="shared" ca="1" si="9"/>
        <v>45775</v>
      </c>
      <c r="R271" s="10"/>
      <c r="S271" s="28">
        <v>1</v>
      </c>
      <c r="T271" s="1" t="s">
        <v>2</v>
      </c>
      <c r="U271" s="1" t="s">
        <v>307</v>
      </c>
      <c r="V271" s="1">
        <v>20250411</v>
      </c>
      <c r="W271" s="8" t="s">
        <v>8442</v>
      </c>
      <c r="Z271" s="1"/>
      <c r="AA271" s="1"/>
      <c r="AC271" s="1"/>
      <c r="AD271" s="1"/>
      <c r="AE271" s="1"/>
      <c r="AF271" s="1"/>
    </row>
    <row r="272" spans="2:32" ht="12.75" x14ac:dyDescent="0.2">
      <c r="B272" s="1" t="s">
        <v>8778</v>
      </c>
      <c r="C272" s="10">
        <f t="shared" ca="1" si="8"/>
        <v>45505</v>
      </c>
      <c r="D272" s="4"/>
      <c r="E272" s="4" t="s">
        <v>8434</v>
      </c>
      <c r="F272" s="4" t="s">
        <v>1293</v>
      </c>
      <c r="G272" s="4"/>
      <c r="H272" s="4" t="str">
        <f>_xlfn.IFNA(VLOOKUP(Table_Query_from_AMULTIQRY45[[#This Row],[WPROD]],'Part# with New'!$A$1:$B$4347,2,0),Table_Query_from_AMULTIQRY45[[#This Row],[WPROD]])</f>
        <v>2-9368</v>
      </c>
      <c r="I272" s="4" t="s">
        <v>8436</v>
      </c>
      <c r="J272" s="1" t="s">
        <v>5</v>
      </c>
      <c r="L272" s="11">
        <v>3.388E-2</v>
      </c>
      <c r="M272" s="1"/>
      <c r="N272" s="1" t="s">
        <v>37</v>
      </c>
      <c r="P272" s="1" t="str">
        <f>CONCATENATE(Table_Query_from_AMULTIQRY45[[#This Row],[WWHS]],"-",Table_Query_from_AMULTIQRY45[[#This Row],[LLOC]])</f>
        <v>E1-FG</v>
      </c>
      <c r="Q272" s="10">
        <f t="shared" ca="1" si="9"/>
        <v>45775</v>
      </c>
      <c r="R272" s="10"/>
      <c r="S272" s="28">
        <v>2000</v>
      </c>
      <c r="T272" s="1" t="s">
        <v>2</v>
      </c>
      <c r="U272" s="1" t="s">
        <v>308</v>
      </c>
      <c r="V272" s="1">
        <v>20240801</v>
      </c>
      <c r="W272" s="8" t="s">
        <v>8442</v>
      </c>
      <c r="Z272" s="1"/>
      <c r="AA272" s="1"/>
      <c r="AC272" s="1"/>
      <c r="AD272" s="1"/>
      <c r="AE272" s="1"/>
      <c r="AF272" s="1"/>
    </row>
    <row r="273" spans="2:32" ht="12.75" x14ac:dyDescent="0.2">
      <c r="B273" s="1" t="s">
        <v>8779</v>
      </c>
      <c r="C273" s="10">
        <f t="shared" ca="1" si="8"/>
        <v>45667</v>
      </c>
      <c r="D273" s="4"/>
      <c r="E273" s="4" t="s">
        <v>8434</v>
      </c>
      <c r="F273" s="4" t="s">
        <v>1293</v>
      </c>
      <c r="G273" s="4"/>
      <c r="H273" s="4" t="str">
        <f>_xlfn.IFNA(VLOOKUP(Table_Query_from_AMULTIQRY45[[#This Row],[WPROD]],'Part# with New'!$A$1:$B$4347,2,0),Table_Query_from_AMULTIQRY45[[#This Row],[WPROD]])</f>
        <v>2-9369</v>
      </c>
      <c r="I273" s="4" t="s">
        <v>8436</v>
      </c>
      <c r="J273" s="1" t="s">
        <v>5</v>
      </c>
      <c r="L273" s="11">
        <v>3.8519999999999999E-2</v>
      </c>
      <c r="M273" s="1"/>
      <c r="N273" s="1" t="s">
        <v>34</v>
      </c>
      <c r="P273" s="1" t="str">
        <f>CONCATENATE(Table_Query_from_AMULTIQRY45[[#This Row],[WWHS]],"-",Table_Query_from_AMULTIQRY45[[#This Row],[LLOC]])</f>
        <v>E1-FG</v>
      </c>
      <c r="Q273" s="10">
        <f t="shared" ca="1" si="9"/>
        <v>45775</v>
      </c>
      <c r="R273" s="10"/>
      <c r="S273" s="28">
        <v>4055</v>
      </c>
      <c r="T273" s="1" t="s">
        <v>2</v>
      </c>
      <c r="U273" s="1" t="s">
        <v>309</v>
      </c>
      <c r="V273" s="1">
        <v>20250110</v>
      </c>
      <c r="W273" s="8" t="s">
        <v>8442</v>
      </c>
      <c r="Z273" s="1"/>
      <c r="AA273" s="1"/>
      <c r="AC273" s="1"/>
      <c r="AD273" s="1"/>
      <c r="AE273" s="1"/>
      <c r="AF273" s="1"/>
    </row>
    <row r="274" spans="2:32" ht="12.75" x14ac:dyDescent="0.2">
      <c r="B274" s="1" t="s">
        <v>8780</v>
      </c>
      <c r="C274" s="10">
        <f t="shared" ca="1" si="8"/>
        <v>45643</v>
      </c>
      <c r="D274" s="4"/>
      <c r="E274" s="4" t="s">
        <v>8434</v>
      </c>
      <c r="F274" s="4" t="s">
        <v>1293</v>
      </c>
      <c r="G274" s="4"/>
      <c r="H274" s="4" t="str">
        <f>_xlfn.IFNA(VLOOKUP(Table_Query_from_AMULTIQRY45[[#This Row],[WPROD]],'Part# with New'!$A$1:$B$4347,2,0),Table_Query_from_AMULTIQRY45[[#This Row],[WPROD]])</f>
        <v>2-9370</v>
      </c>
      <c r="I274" s="4" t="s">
        <v>8436</v>
      </c>
      <c r="J274" s="1" t="s">
        <v>5</v>
      </c>
      <c r="L274" s="11">
        <v>0.16209000000000001</v>
      </c>
      <c r="M274" s="1"/>
      <c r="N274" s="1" t="s">
        <v>30</v>
      </c>
      <c r="P274" s="1" t="str">
        <f>CONCATENATE(Table_Query_from_AMULTIQRY45[[#This Row],[WWHS]],"-",Table_Query_from_AMULTIQRY45[[#This Row],[LLOC]])</f>
        <v>E1-FG</v>
      </c>
      <c r="Q274" s="10">
        <f t="shared" ca="1" si="9"/>
        <v>45775</v>
      </c>
      <c r="R274" s="10"/>
      <c r="S274" s="28">
        <v>402</v>
      </c>
      <c r="T274" s="1" t="s">
        <v>2</v>
      </c>
      <c r="U274" s="1" t="s">
        <v>310</v>
      </c>
      <c r="V274" s="1">
        <v>20241217</v>
      </c>
      <c r="W274" s="8" t="s">
        <v>8442</v>
      </c>
      <c r="Z274" s="1"/>
      <c r="AA274" s="1"/>
      <c r="AC274" s="1"/>
      <c r="AD274" s="1"/>
      <c r="AE274" s="1"/>
      <c r="AF274" s="1"/>
    </row>
    <row r="275" spans="2:32" ht="12.75" x14ac:dyDescent="0.2">
      <c r="B275" s="1" t="s">
        <v>8781</v>
      </c>
      <c r="C275" s="10">
        <f t="shared" ca="1" si="8"/>
        <v>45168</v>
      </c>
      <c r="D275" s="4"/>
      <c r="E275" s="4" t="s">
        <v>8434</v>
      </c>
      <c r="F275" s="4" t="s">
        <v>1293</v>
      </c>
      <c r="G275" s="4"/>
      <c r="H275" s="4" t="str">
        <f>_xlfn.IFNA(VLOOKUP(Table_Query_from_AMULTIQRY45[[#This Row],[WPROD]],'Part# with New'!$A$1:$B$4347,2,0),Table_Query_from_AMULTIQRY45[[#This Row],[WPROD]])</f>
        <v>2-9373</v>
      </c>
      <c r="I275" s="4" t="s">
        <v>8436</v>
      </c>
      <c r="J275" s="1" t="s">
        <v>5</v>
      </c>
      <c r="L275" s="11">
        <v>0.24215</v>
      </c>
      <c r="M275" s="1"/>
      <c r="N275" s="1" t="s">
        <v>30</v>
      </c>
      <c r="P275" s="1" t="str">
        <f>CONCATENATE(Table_Query_from_AMULTIQRY45[[#This Row],[WWHS]],"-",Table_Query_from_AMULTIQRY45[[#This Row],[LLOC]])</f>
        <v>E1-FG</v>
      </c>
      <c r="Q275" s="10">
        <f t="shared" ca="1" si="9"/>
        <v>45775</v>
      </c>
      <c r="R275" s="10"/>
      <c r="S275" s="28">
        <v>1108</v>
      </c>
      <c r="T275" s="1" t="s">
        <v>2</v>
      </c>
      <c r="U275" s="1" t="s">
        <v>311</v>
      </c>
      <c r="V275" s="1">
        <v>20230830</v>
      </c>
      <c r="W275" s="8" t="s">
        <v>8442</v>
      </c>
      <c r="Z275" s="1"/>
      <c r="AA275" s="1"/>
      <c r="AC275" s="1"/>
      <c r="AD275" s="1"/>
      <c r="AE275" s="1"/>
      <c r="AF275" s="1"/>
    </row>
    <row r="276" spans="2:32" ht="12.75" x14ac:dyDescent="0.2">
      <c r="B276" s="1" t="s">
        <v>8782</v>
      </c>
      <c r="C276" s="10">
        <f t="shared" ca="1" si="8"/>
        <v>45604</v>
      </c>
      <c r="D276" s="4"/>
      <c r="E276" s="4" t="s">
        <v>8434</v>
      </c>
      <c r="F276" s="4" t="s">
        <v>1293</v>
      </c>
      <c r="G276" s="4"/>
      <c r="H276" s="4" t="str">
        <f>_xlfn.IFNA(VLOOKUP(Table_Query_from_AMULTIQRY45[[#This Row],[WPROD]],'Part# with New'!$A$1:$B$4347,2,0),Table_Query_from_AMULTIQRY45[[#This Row],[WPROD]])</f>
        <v>2-9374</v>
      </c>
      <c r="I276" s="4" t="s">
        <v>8436</v>
      </c>
      <c r="J276" s="1" t="s">
        <v>5</v>
      </c>
      <c r="L276" s="11">
        <v>7.4609999999999996E-2</v>
      </c>
      <c r="M276" s="1"/>
      <c r="N276" s="1" t="s">
        <v>34</v>
      </c>
      <c r="P276" s="1" t="str">
        <f>CONCATENATE(Table_Query_from_AMULTIQRY45[[#This Row],[WWHS]],"-",Table_Query_from_AMULTIQRY45[[#This Row],[LLOC]])</f>
        <v>E1-FG</v>
      </c>
      <c r="Q276" s="10">
        <f t="shared" ca="1" si="9"/>
        <v>45775</v>
      </c>
      <c r="R276" s="10"/>
      <c r="S276" s="28">
        <v>611</v>
      </c>
      <c r="T276" s="1" t="s">
        <v>2</v>
      </c>
      <c r="U276" s="1" t="s">
        <v>312</v>
      </c>
      <c r="V276" s="1">
        <v>20241108</v>
      </c>
      <c r="W276" s="8" t="s">
        <v>8442</v>
      </c>
      <c r="Z276" s="1"/>
      <c r="AA276" s="1"/>
      <c r="AC276" s="1"/>
      <c r="AD276" s="1"/>
      <c r="AE276" s="1"/>
      <c r="AF276" s="1"/>
    </row>
    <row r="277" spans="2:32" ht="12.75" x14ac:dyDescent="0.2">
      <c r="B277" s="1" t="s">
        <v>8783</v>
      </c>
      <c r="C277" s="10">
        <f t="shared" ca="1" si="8"/>
        <v>45358</v>
      </c>
      <c r="D277" s="4"/>
      <c r="E277" s="4" t="s">
        <v>8434</v>
      </c>
      <c r="F277" s="4" t="s">
        <v>1293</v>
      </c>
      <c r="G277" s="4"/>
      <c r="H277" s="4" t="str">
        <f>_xlfn.IFNA(VLOOKUP(Table_Query_from_AMULTIQRY45[[#This Row],[WPROD]],'Part# with New'!$A$1:$B$4347,2,0),Table_Query_from_AMULTIQRY45[[#This Row],[WPROD]])</f>
        <v>2-9376</v>
      </c>
      <c r="I277" s="4" t="s">
        <v>8436</v>
      </c>
      <c r="J277" s="1" t="s">
        <v>5</v>
      </c>
      <c r="L277" s="11">
        <v>1.312E-2</v>
      </c>
      <c r="M277" s="1"/>
      <c r="N277" s="1" t="s">
        <v>34</v>
      </c>
      <c r="P277" s="1" t="str">
        <f>CONCATENATE(Table_Query_from_AMULTIQRY45[[#This Row],[WWHS]],"-",Table_Query_from_AMULTIQRY45[[#This Row],[LLOC]])</f>
        <v>E1-FG</v>
      </c>
      <c r="Q277" s="10">
        <f t="shared" ca="1" si="9"/>
        <v>45775</v>
      </c>
      <c r="R277" s="10"/>
      <c r="S277" s="28">
        <v>3911</v>
      </c>
      <c r="T277" s="1" t="s">
        <v>2</v>
      </c>
      <c r="U277" s="1" t="s">
        <v>313</v>
      </c>
      <c r="V277" s="1">
        <v>20240307</v>
      </c>
      <c r="W277" s="8" t="s">
        <v>8442</v>
      </c>
      <c r="Z277" s="1"/>
      <c r="AA277" s="1"/>
      <c r="AC277" s="1"/>
      <c r="AD277" s="1"/>
      <c r="AE277" s="1"/>
      <c r="AF277" s="1"/>
    </row>
    <row r="278" spans="2:32" ht="12.75" x14ac:dyDescent="0.2">
      <c r="B278" s="1" t="s">
        <v>8784</v>
      </c>
      <c r="C278" s="10">
        <f t="shared" ca="1" si="8"/>
        <v>45471</v>
      </c>
      <c r="D278" s="4"/>
      <c r="E278" s="4" t="s">
        <v>8434</v>
      </c>
      <c r="F278" s="4" t="s">
        <v>1293</v>
      </c>
      <c r="G278" s="4"/>
      <c r="H278" s="4" t="str">
        <f>_xlfn.IFNA(VLOOKUP(Table_Query_from_AMULTIQRY45[[#This Row],[WPROD]],'Part# with New'!$A$1:$B$4347,2,0),Table_Query_from_AMULTIQRY45[[#This Row],[WPROD]])</f>
        <v>2-9377</v>
      </c>
      <c r="I278" s="4" t="s">
        <v>8436</v>
      </c>
      <c r="J278" s="1" t="s">
        <v>5</v>
      </c>
      <c r="L278" s="11">
        <v>0.10015</v>
      </c>
      <c r="M278" s="1"/>
      <c r="N278" s="1" t="s">
        <v>34</v>
      </c>
      <c r="P278" s="1" t="str">
        <f>CONCATENATE(Table_Query_from_AMULTIQRY45[[#This Row],[WWHS]],"-",Table_Query_from_AMULTIQRY45[[#This Row],[LLOC]])</f>
        <v>E1-FG</v>
      </c>
      <c r="Q278" s="10">
        <f t="shared" ca="1" si="9"/>
        <v>45775</v>
      </c>
      <c r="R278" s="10"/>
      <c r="S278" s="28">
        <v>624</v>
      </c>
      <c r="T278" s="1" t="s">
        <v>2</v>
      </c>
      <c r="U278" s="1" t="s">
        <v>314</v>
      </c>
      <c r="V278" s="1">
        <v>20240628</v>
      </c>
      <c r="W278" s="8" t="s">
        <v>8442</v>
      </c>
      <c r="Z278" s="1"/>
      <c r="AA278" s="1"/>
      <c r="AC278" s="1"/>
      <c r="AD278" s="1"/>
      <c r="AE278" s="1"/>
      <c r="AF278" s="1"/>
    </row>
    <row r="279" spans="2:32" ht="12.75" x14ac:dyDescent="0.2">
      <c r="B279" s="1" t="s">
        <v>8785</v>
      </c>
      <c r="C279" s="10">
        <f t="shared" ca="1" si="8"/>
        <v>44230</v>
      </c>
      <c r="D279" s="4"/>
      <c r="E279" s="4" t="s">
        <v>8434</v>
      </c>
      <c r="F279" s="4" t="s">
        <v>1293</v>
      </c>
      <c r="G279" s="4"/>
      <c r="H279" s="4" t="str">
        <f>_xlfn.IFNA(VLOOKUP(Table_Query_from_AMULTIQRY45[[#This Row],[WPROD]],'Part# with New'!$A$1:$B$4347,2,0),Table_Query_from_AMULTIQRY45[[#This Row],[WPROD]])</f>
        <v>WPBR162161009Q-TGX15W</v>
      </c>
      <c r="I279" s="4" t="s">
        <v>8436</v>
      </c>
      <c r="J279" s="1" t="s">
        <v>5</v>
      </c>
      <c r="L279" s="11">
        <v>1.37435</v>
      </c>
      <c r="M279" s="1"/>
      <c r="N279" s="1" t="s">
        <v>315</v>
      </c>
      <c r="P279" s="1" t="str">
        <f>CONCATENATE(Table_Query_from_AMULTIQRY45[[#This Row],[WWHS]],"-",Table_Query_from_AMULTIQRY45[[#This Row],[LLOC]])</f>
        <v>E1-FG</v>
      </c>
      <c r="Q279" s="10">
        <f t="shared" ca="1" si="9"/>
        <v>45775</v>
      </c>
      <c r="R279" s="10"/>
      <c r="S279" s="28">
        <v>124</v>
      </c>
      <c r="T279" s="1" t="s">
        <v>2</v>
      </c>
      <c r="U279" s="1" t="s">
        <v>316</v>
      </c>
      <c r="V279" s="1">
        <v>20210203</v>
      </c>
      <c r="W279" s="8" t="s">
        <v>8442</v>
      </c>
      <c r="Z279" s="1"/>
      <c r="AA279" s="1"/>
      <c r="AC279" s="1"/>
      <c r="AD279" s="1"/>
      <c r="AE279" s="1"/>
      <c r="AF279" s="1"/>
    </row>
    <row r="280" spans="2:32" ht="12.75" x14ac:dyDescent="0.2">
      <c r="B280" s="1" t="s">
        <v>8786</v>
      </c>
      <c r="C280" s="10">
        <f t="shared" ca="1" si="8"/>
        <v>45707</v>
      </c>
      <c r="D280" s="4"/>
      <c r="E280" s="4" t="s">
        <v>8434</v>
      </c>
      <c r="F280" s="4" t="s">
        <v>1293</v>
      </c>
      <c r="G280" s="4"/>
      <c r="H280" s="4" t="str">
        <f>_xlfn.IFNA(VLOOKUP(Table_Query_from_AMULTIQRY45[[#This Row],[WPROD]],'Part# with New'!$A$1:$B$4347,2,0),Table_Query_from_AMULTIQRY45[[#This Row],[WPROD]])</f>
        <v>WPBR180179009Q-TGX15W</v>
      </c>
      <c r="I280" s="4" t="s">
        <v>8436</v>
      </c>
      <c r="J280" s="1" t="s">
        <v>5</v>
      </c>
      <c r="L280" s="11">
        <v>1.4637500000000001</v>
      </c>
      <c r="M280" s="1"/>
      <c r="N280" s="1" t="s">
        <v>315</v>
      </c>
      <c r="P280" s="1" t="str">
        <f>CONCATENATE(Table_Query_from_AMULTIQRY45[[#This Row],[WWHS]],"-",Table_Query_from_AMULTIQRY45[[#This Row],[LLOC]])</f>
        <v>E1-FG</v>
      </c>
      <c r="Q280" s="10">
        <f t="shared" ca="1" si="9"/>
        <v>45775</v>
      </c>
      <c r="R280" s="10"/>
      <c r="S280" s="28">
        <v>6</v>
      </c>
      <c r="T280" s="1" t="s">
        <v>2</v>
      </c>
      <c r="U280" s="1" t="s">
        <v>317</v>
      </c>
      <c r="V280" s="1">
        <v>20250219</v>
      </c>
      <c r="W280" s="8" t="s">
        <v>8442</v>
      </c>
      <c r="Z280" s="1"/>
      <c r="AA280" s="1"/>
      <c r="AC280" s="1"/>
      <c r="AD280" s="1"/>
      <c r="AE280" s="1"/>
      <c r="AF280" s="1"/>
    </row>
    <row r="281" spans="2:32" ht="12.75" x14ac:dyDescent="0.2">
      <c r="B281" s="1" t="s">
        <v>8787</v>
      </c>
      <c r="C281" s="10">
        <f t="shared" ca="1" si="8"/>
        <v>45772</v>
      </c>
      <c r="D281" s="4"/>
      <c r="E281" s="4" t="s">
        <v>8434</v>
      </c>
      <c r="F281" s="4" t="s">
        <v>1293</v>
      </c>
      <c r="G281" s="4"/>
      <c r="H281" s="4" t="str">
        <f>_xlfn.IFNA(VLOOKUP(Table_Query_from_AMULTIQRY45[[#This Row],[WPROD]],'Part# with New'!$A$1:$B$4347,2,0),Table_Query_from_AMULTIQRY45[[#This Row],[WPROD]])</f>
        <v>WPBR092091009Q-TGX15W</v>
      </c>
      <c r="I281" s="4" t="s">
        <v>8436</v>
      </c>
      <c r="J281" s="1" t="s">
        <v>5</v>
      </c>
      <c r="L281" s="11">
        <v>1.0339499999999999</v>
      </c>
      <c r="M281" s="1"/>
      <c r="N281" s="1" t="s">
        <v>315</v>
      </c>
      <c r="P281" s="1" t="str">
        <f>CONCATENATE(Table_Query_from_AMULTIQRY45[[#This Row],[WWHS]],"-",Table_Query_from_AMULTIQRY45[[#This Row],[LLOC]])</f>
        <v>E1-FG</v>
      </c>
      <c r="Q281" s="10">
        <f t="shared" ca="1" si="9"/>
        <v>45775</v>
      </c>
      <c r="R281" s="10"/>
      <c r="S281" s="28">
        <v>78</v>
      </c>
      <c r="T281" s="1" t="s">
        <v>2</v>
      </c>
      <c r="U281" s="1" t="s">
        <v>318</v>
      </c>
      <c r="V281" s="1">
        <v>20250425</v>
      </c>
      <c r="W281" s="8" t="s">
        <v>8442</v>
      </c>
      <c r="Z281" s="1"/>
      <c r="AA281" s="1"/>
      <c r="AC281" s="1"/>
      <c r="AD281" s="1"/>
      <c r="AE281" s="1"/>
      <c r="AF281" s="1"/>
    </row>
    <row r="282" spans="2:32" ht="12.75" x14ac:dyDescent="0.2">
      <c r="B282" s="1" t="s">
        <v>8788</v>
      </c>
      <c r="C282" s="10">
        <f t="shared" ca="1" si="8"/>
        <v>45757</v>
      </c>
      <c r="D282" s="4"/>
      <c r="E282" s="4" t="s">
        <v>8434</v>
      </c>
      <c r="F282" s="4" t="s">
        <v>1293</v>
      </c>
      <c r="G282" s="4"/>
      <c r="H282" s="4" t="str">
        <f>_xlfn.IFNA(VLOOKUP(Table_Query_from_AMULTIQRY45[[#This Row],[WPROD]],'Part# with New'!$A$1:$B$4347,2,0),Table_Query_from_AMULTIQRY45[[#This Row],[WPROD]])</f>
        <v>WPBR188186009Q-TGX15W</v>
      </c>
      <c r="I282" s="4" t="s">
        <v>8436</v>
      </c>
      <c r="J282" s="1" t="s">
        <v>5</v>
      </c>
      <c r="L282" s="11">
        <v>1.50692</v>
      </c>
      <c r="M282" s="1"/>
      <c r="N282" s="1" t="s">
        <v>315</v>
      </c>
      <c r="P282" s="1" t="str">
        <f>CONCATENATE(Table_Query_from_AMULTIQRY45[[#This Row],[WWHS]],"-",Table_Query_from_AMULTIQRY45[[#This Row],[LLOC]])</f>
        <v>E1-FG</v>
      </c>
      <c r="Q282" s="10">
        <f t="shared" ca="1" si="9"/>
        <v>45775</v>
      </c>
      <c r="R282" s="10"/>
      <c r="S282" s="28">
        <v>614</v>
      </c>
      <c r="T282" s="1" t="s">
        <v>2</v>
      </c>
      <c r="U282" s="1" t="s">
        <v>319</v>
      </c>
      <c r="V282" s="1">
        <v>20250410</v>
      </c>
      <c r="W282" s="8" t="s">
        <v>8442</v>
      </c>
      <c r="Z282" s="1"/>
      <c r="AA282" s="1"/>
      <c r="AC282" s="1"/>
      <c r="AD282" s="1"/>
      <c r="AE282" s="1"/>
      <c r="AF282" s="1"/>
    </row>
    <row r="283" spans="2:32" ht="12.75" x14ac:dyDescent="0.2">
      <c r="B283" s="1" t="s">
        <v>8789</v>
      </c>
      <c r="C283" s="10">
        <f t="shared" ca="1" si="8"/>
        <v>45772</v>
      </c>
      <c r="D283" s="4"/>
      <c r="E283" s="4" t="s">
        <v>8434</v>
      </c>
      <c r="F283" s="4" t="s">
        <v>1293</v>
      </c>
      <c r="G283" s="4"/>
      <c r="H283" s="4" t="str">
        <f>_xlfn.IFNA(VLOOKUP(Table_Query_from_AMULTIQRY45[[#This Row],[WPROD]],'Part# with New'!$A$1:$B$4347,2,0),Table_Query_from_AMULTIQRY45[[#This Row],[WPROD]])</f>
        <v>WPBR141139009Q-TGX15W</v>
      </c>
      <c r="I283" s="4" t="s">
        <v>8436</v>
      </c>
      <c r="J283" s="1" t="s">
        <v>5</v>
      </c>
      <c r="L283" s="11">
        <v>1.26684</v>
      </c>
      <c r="M283" s="1"/>
      <c r="N283" s="1" t="s">
        <v>315</v>
      </c>
      <c r="P283" s="1" t="str">
        <f>CONCATENATE(Table_Query_from_AMULTIQRY45[[#This Row],[WWHS]],"-",Table_Query_from_AMULTIQRY45[[#This Row],[LLOC]])</f>
        <v>E1-FG</v>
      </c>
      <c r="Q283" s="10">
        <f t="shared" ca="1" si="9"/>
        <v>45775</v>
      </c>
      <c r="R283" s="10"/>
      <c r="S283" s="28">
        <v>15</v>
      </c>
      <c r="T283" s="1" t="s">
        <v>2</v>
      </c>
      <c r="U283" s="1" t="s">
        <v>320</v>
      </c>
      <c r="V283" s="1">
        <v>20250425</v>
      </c>
      <c r="W283" s="8" t="s">
        <v>8442</v>
      </c>
      <c r="Z283" s="1"/>
      <c r="AA283" s="1"/>
      <c r="AC283" s="1"/>
      <c r="AD283" s="1"/>
      <c r="AE283" s="1"/>
      <c r="AF283" s="1"/>
    </row>
    <row r="284" spans="2:32" ht="12.75" x14ac:dyDescent="0.2">
      <c r="B284" s="1" t="s">
        <v>8790</v>
      </c>
      <c r="C284" s="10">
        <f t="shared" ca="1" si="8"/>
        <v>45719</v>
      </c>
      <c r="D284" s="4"/>
      <c r="E284" s="4" t="s">
        <v>8434</v>
      </c>
      <c r="F284" s="4" t="s">
        <v>1293</v>
      </c>
      <c r="G284" s="4"/>
      <c r="H284" s="4" t="str">
        <f>_xlfn.IFNA(VLOOKUP(Table_Query_from_AMULTIQRY45[[#This Row],[WPROD]],'Part# with New'!$A$1:$B$4347,2,0),Table_Query_from_AMULTIQRY45[[#This Row],[WPROD]])</f>
        <v>WPBR094092009Q-TGX15W</v>
      </c>
      <c r="I284" s="4" t="s">
        <v>8436</v>
      </c>
      <c r="J284" s="1" t="s">
        <v>5</v>
      </c>
      <c r="L284" s="11">
        <v>1.0390699999999999</v>
      </c>
      <c r="M284" s="1"/>
      <c r="N284" s="1" t="s">
        <v>315</v>
      </c>
      <c r="P284" s="1" t="str">
        <f>CONCATENATE(Table_Query_from_AMULTIQRY45[[#This Row],[WWHS]],"-",Table_Query_from_AMULTIQRY45[[#This Row],[LLOC]])</f>
        <v>E1-FG</v>
      </c>
      <c r="Q284" s="10">
        <f t="shared" ca="1" si="9"/>
        <v>45775</v>
      </c>
      <c r="R284" s="10"/>
      <c r="S284" s="28">
        <v>42</v>
      </c>
      <c r="T284" s="1" t="s">
        <v>2</v>
      </c>
      <c r="U284" s="1" t="s">
        <v>321</v>
      </c>
      <c r="V284" s="1">
        <v>20250303</v>
      </c>
      <c r="W284" s="8" t="s">
        <v>8442</v>
      </c>
      <c r="Z284" s="1"/>
      <c r="AA284" s="1"/>
      <c r="AC284" s="1"/>
      <c r="AD284" s="1"/>
      <c r="AE284" s="1"/>
      <c r="AF284" s="1"/>
    </row>
    <row r="285" spans="2:32" ht="12.75" x14ac:dyDescent="0.2">
      <c r="B285" s="1" t="s">
        <v>8791</v>
      </c>
      <c r="C285" s="10">
        <f t="shared" ca="1" si="8"/>
        <v>45709</v>
      </c>
      <c r="D285" s="4"/>
      <c r="E285" s="4" t="s">
        <v>8434</v>
      </c>
      <c r="F285" s="4" t="s">
        <v>1293</v>
      </c>
      <c r="G285" s="4"/>
      <c r="H285" s="4" t="str">
        <f>_xlfn.IFNA(VLOOKUP(Table_Query_from_AMULTIQRY45[[#This Row],[WPROD]],'Part# with New'!$A$1:$B$4347,2,0),Table_Query_from_AMULTIQRY45[[#This Row],[WPROD]])</f>
        <v>WPBR150149009Q-TGX15W</v>
      </c>
      <c r="I285" s="4" t="s">
        <v>8436</v>
      </c>
      <c r="J285" s="1" t="s">
        <v>5</v>
      </c>
      <c r="L285" s="11">
        <v>1.3180799999999999</v>
      </c>
      <c r="M285" s="1"/>
      <c r="N285" s="1" t="s">
        <v>315</v>
      </c>
      <c r="P285" s="1" t="str">
        <f>CONCATENATE(Table_Query_from_AMULTIQRY45[[#This Row],[WWHS]],"-",Table_Query_from_AMULTIQRY45[[#This Row],[LLOC]])</f>
        <v>E1-FG</v>
      </c>
      <c r="Q285" s="10">
        <f t="shared" ca="1" si="9"/>
        <v>45775</v>
      </c>
      <c r="R285" s="10"/>
      <c r="S285" s="28">
        <v>53</v>
      </c>
      <c r="T285" s="1" t="s">
        <v>2</v>
      </c>
      <c r="U285" s="1" t="s">
        <v>322</v>
      </c>
      <c r="V285" s="1">
        <v>20250221</v>
      </c>
      <c r="W285" s="8" t="s">
        <v>8442</v>
      </c>
      <c r="Z285" s="1"/>
      <c r="AA285" s="1"/>
      <c r="AC285" s="1"/>
      <c r="AD285" s="1"/>
      <c r="AE285" s="1"/>
      <c r="AF285" s="1"/>
    </row>
    <row r="286" spans="2:32" ht="12.75" x14ac:dyDescent="0.2">
      <c r="B286" s="1" t="s">
        <v>8792</v>
      </c>
      <c r="C286" s="10">
        <f t="shared" ca="1" si="8"/>
        <v>45693</v>
      </c>
      <c r="D286" s="4"/>
      <c r="E286" s="4" t="s">
        <v>8434</v>
      </c>
      <c r="F286" s="4" t="s">
        <v>1293</v>
      </c>
      <c r="G286" s="4"/>
      <c r="H286" s="4" t="str">
        <f>_xlfn.IFNA(VLOOKUP(Table_Query_from_AMULTIQRY45[[#This Row],[WPROD]],'Part# with New'!$A$1:$B$4347,2,0),Table_Query_from_AMULTIQRY45[[#This Row],[WPROD]])</f>
        <v>WPOT162156018Q-PXX00W</v>
      </c>
      <c r="I286" s="4" t="s">
        <v>8436</v>
      </c>
      <c r="J286" s="1" t="s">
        <v>5</v>
      </c>
      <c r="L286" s="11">
        <v>0.16392999999999999</v>
      </c>
      <c r="M286" s="1"/>
      <c r="N286" s="1" t="s">
        <v>6</v>
      </c>
      <c r="P286" s="1" t="str">
        <f>CONCATENATE(Table_Query_from_AMULTIQRY45[[#This Row],[WWHS]],"-",Table_Query_from_AMULTIQRY45[[#This Row],[LLOC]])</f>
        <v>E1-FG</v>
      </c>
      <c r="Q286" s="10">
        <f t="shared" ca="1" si="9"/>
        <v>45775</v>
      </c>
      <c r="R286" s="10"/>
      <c r="S286" s="28">
        <v>6</v>
      </c>
      <c r="T286" s="1" t="s">
        <v>2</v>
      </c>
      <c r="U286" s="1" t="s">
        <v>323</v>
      </c>
      <c r="V286" s="1">
        <v>20250205</v>
      </c>
      <c r="W286" s="8" t="s">
        <v>8442</v>
      </c>
      <c r="Z286" s="1"/>
      <c r="AA286" s="1"/>
      <c r="AC286" s="1"/>
      <c r="AD286" s="1"/>
      <c r="AE286" s="1"/>
      <c r="AF286" s="1"/>
    </row>
    <row r="287" spans="2:32" ht="12.75" x14ac:dyDescent="0.2">
      <c r="B287" s="1" t="s">
        <v>8793</v>
      </c>
      <c r="C287" s="10">
        <f t="shared" ca="1" si="8"/>
        <v>45729</v>
      </c>
      <c r="D287" s="4"/>
      <c r="E287" s="4" t="s">
        <v>8434</v>
      </c>
      <c r="F287" s="4" t="s">
        <v>1293</v>
      </c>
      <c r="G287" s="4"/>
      <c r="H287" s="4" t="str">
        <f>_xlfn.IFNA(VLOOKUP(Table_Query_from_AMULTIQRY45[[#This Row],[WPROD]],'Part# with New'!$A$1:$B$4347,2,0),Table_Query_from_AMULTIQRY45[[#This Row],[WPROD]])</f>
        <v>WPBR137136009Q-TGX15W</v>
      </c>
      <c r="I287" s="4" t="s">
        <v>8436</v>
      </c>
      <c r="J287" s="1" t="s">
        <v>5</v>
      </c>
      <c r="L287" s="11">
        <v>1.24977</v>
      </c>
      <c r="M287" s="1"/>
      <c r="N287" s="1" t="s">
        <v>315</v>
      </c>
      <c r="P287" s="1" t="str">
        <f>CONCATENATE(Table_Query_from_AMULTIQRY45[[#This Row],[WWHS]],"-",Table_Query_from_AMULTIQRY45[[#This Row],[LLOC]])</f>
        <v>E1-FG</v>
      </c>
      <c r="Q287" s="10">
        <f t="shared" ca="1" si="9"/>
        <v>45775</v>
      </c>
      <c r="R287" s="10"/>
      <c r="S287" s="28">
        <v>140</v>
      </c>
      <c r="T287" s="1" t="s">
        <v>2</v>
      </c>
      <c r="U287" s="1" t="s">
        <v>324</v>
      </c>
      <c r="V287" s="1">
        <v>20250313</v>
      </c>
      <c r="W287" s="8" t="s">
        <v>8442</v>
      </c>
      <c r="Z287" s="1"/>
      <c r="AA287" s="1"/>
      <c r="AC287" s="1"/>
      <c r="AD287" s="1"/>
      <c r="AE287" s="1"/>
      <c r="AF287" s="1"/>
    </row>
    <row r="288" spans="2:32" ht="12.75" x14ac:dyDescent="0.2">
      <c r="B288" s="1" t="s">
        <v>8794</v>
      </c>
      <c r="C288" s="10">
        <f t="shared" ca="1" si="8"/>
        <v>45654</v>
      </c>
      <c r="D288" s="4"/>
      <c r="E288" s="4" t="s">
        <v>8434</v>
      </c>
      <c r="F288" s="4" t="s">
        <v>1293</v>
      </c>
      <c r="G288" s="4"/>
      <c r="H288" s="4" t="str">
        <f>_xlfn.IFNA(VLOOKUP(Table_Query_from_AMULTIQRY45[[#This Row],[WPROD]],'Part# with New'!$A$1:$B$4347,2,0),Table_Query_from_AMULTIQRY45[[#This Row],[WPROD]])</f>
        <v>WPBR169168009Q-TGX15W</v>
      </c>
      <c r="I288" s="4" t="s">
        <v>8436</v>
      </c>
      <c r="J288" s="1" t="s">
        <v>5</v>
      </c>
      <c r="L288" s="11">
        <v>1.41048</v>
      </c>
      <c r="M288" s="1"/>
      <c r="N288" s="1" t="s">
        <v>315</v>
      </c>
      <c r="P288" s="1" t="str">
        <f>CONCATENATE(Table_Query_from_AMULTIQRY45[[#This Row],[WWHS]],"-",Table_Query_from_AMULTIQRY45[[#This Row],[LLOC]])</f>
        <v>E1-FG</v>
      </c>
      <c r="Q288" s="10">
        <f t="shared" ca="1" si="9"/>
        <v>45775</v>
      </c>
      <c r="R288" s="10"/>
      <c r="S288" s="28">
        <v>93</v>
      </c>
      <c r="T288" s="1" t="s">
        <v>2</v>
      </c>
      <c r="U288" s="1" t="s">
        <v>325</v>
      </c>
      <c r="V288" s="1">
        <v>20241228</v>
      </c>
      <c r="W288" s="8" t="s">
        <v>8442</v>
      </c>
      <c r="Z288" s="1"/>
      <c r="AA288" s="1"/>
      <c r="AC288" s="1"/>
      <c r="AD288" s="1"/>
      <c r="AE288" s="1"/>
      <c r="AF288" s="1"/>
    </row>
    <row r="289" spans="2:32" ht="12.75" x14ac:dyDescent="0.2">
      <c r="B289" s="1" t="s">
        <v>8795</v>
      </c>
      <c r="C289" s="10">
        <f t="shared" ca="1" si="8"/>
        <v>45574</v>
      </c>
      <c r="D289" s="4"/>
      <c r="E289" s="4" t="s">
        <v>8434</v>
      </c>
      <c r="F289" s="4" t="s">
        <v>1293</v>
      </c>
      <c r="G289" s="4"/>
      <c r="H289" s="4" t="str">
        <f>_xlfn.IFNA(VLOOKUP(Table_Query_from_AMULTIQRY45[[#This Row],[WPROD]],'Part# with New'!$A$1:$B$4347,2,0),Table_Query_from_AMULTIQRY45[[#This Row],[WPROD]])</f>
        <v>WPSM278266009Q-PGX15W</v>
      </c>
      <c r="I289" s="4" t="s">
        <v>8436</v>
      </c>
      <c r="J289" s="1" t="s">
        <v>5</v>
      </c>
      <c r="L289" s="11">
        <v>0.10116</v>
      </c>
      <c r="M289" s="1"/>
      <c r="N289" s="1" t="s">
        <v>326</v>
      </c>
      <c r="P289" s="1" t="str">
        <f>CONCATENATE(Table_Query_from_AMULTIQRY45[[#This Row],[WWHS]],"-",Table_Query_from_AMULTIQRY45[[#This Row],[LLOC]])</f>
        <v>E1-FG</v>
      </c>
      <c r="Q289" s="10">
        <f t="shared" ca="1" si="9"/>
        <v>45775</v>
      </c>
      <c r="R289" s="10"/>
      <c r="S289" s="28">
        <v>816</v>
      </c>
      <c r="T289" s="1" t="s">
        <v>2</v>
      </c>
      <c r="U289" s="1" t="s">
        <v>327</v>
      </c>
      <c r="V289" s="1">
        <v>20241009</v>
      </c>
      <c r="W289" s="8" t="s">
        <v>8442</v>
      </c>
      <c r="Z289" s="1"/>
      <c r="AA289" s="1"/>
      <c r="AC289" s="1"/>
      <c r="AD289" s="1"/>
      <c r="AE289" s="1"/>
      <c r="AF289" s="1"/>
    </row>
    <row r="290" spans="2:32" ht="12.75" x14ac:dyDescent="0.2">
      <c r="B290" s="1" t="s">
        <v>8796</v>
      </c>
      <c r="C290" s="10">
        <f t="shared" ca="1" si="8"/>
        <v>45567</v>
      </c>
      <c r="D290" s="4"/>
      <c r="E290" s="4" t="s">
        <v>8434</v>
      </c>
      <c r="F290" s="4" t="s">
        <v>1293</v>
      </c>
      <c r="G290" s="4"/>
      <c r="H290" s="4" t="str">
        <f>_xlfn.IFNA(VLOOKUP(Table_Query_from_AMULTIQRY45[[#This Row],[WPROD]],'Part# with New'!$A$1:$B$4347,2,0),Table_Query_from_AMULTIQRY45[[#This Row],[WPROD]])</f>
        <v>WSLD481453018Q-PGX15W</v>
      </c>
      <c r="I290" s="4" t="s">
        <v>8436</v>
      </c>
      <c r="J290" s="1" t="s">
        <v>5</v>
      </c>
      <c r="L290" s="11">
        <v>1.44675</v>
      </c>
      <c r="M290" s="1"/>
      <c r="N290" s="1" t="s">
        <v>328</v>
      </c>
      <c r="P290" s="1" t="str">
        <f>CONCATENATE(Table_Query_from_AMULTIQRY45[[#This Row],[WWHS]],"-",Table_Query_from_AMULTIQRY45[[#This Row],[LLOC]])</f>
        <v>E1-FG</v>
      </c>
      <c r="Q290" s="10">
        <f t="shared" ca="1" si="9"/>
        <v>45775</v>
      </c>
      <c r="R290" s="10"/>
      <c r="S290" s="28">
        <v>128</v>
      </c>
      <c r="T290" s="1" t="s">
        <v>2</v>
      </c>
      <c r="U290" s="1" t="s">
        <v>329</v>
      </c>
      <c r="V290" s="1">
        <v>20241002</v>
      </c>
      <c r="W290" s="8" t="s">
        <v>8442</v>
      </c>
      <c r="Z290" s="1"/>
      <c r="AA290" s="1"/>
      <c r="AC290" s="1"/>
      <c r="AD290" s="1"/>
      <c r="AE290" s="1"/>
      <c r="AF290" s="1"/>
    </row>
    <row r="291" spans="2:32" ht="12.75" x14ac:dyDescent="0.2">
      <c r="B291" s="1" t="s">
        <v>8797</v>
      </c>
      <c r="C291" s="10">
        <f t="shared" ca="1" si="8"/>
        <v>45737</v>
      </c>
      <c r="D291" s="4"/>
      <c r="E291" s="4" t="s">
        <v>8434</v>
      </c>
      <c r="F291" s="4" t="s">
        <v>1293</v>
      </c>
      <c r="G291" s="4"/>
      <c r="H291" s="4" t="str">
        <f>_xlfn.IFNA(VLOOKUP(Table_Query_from_AMULTIQRY45[[#This Row],[WPROD]],'Part# with New'!$A$1:$B$4347,2,0),Table_Query_from_AMULTIQRY45[[#This Row],[WPROD]])</f>
        <v>WPBR158157009Q-TGX15W</v>
      </c>
      <c r="I291" s="4" t="s">
        <v>8436</v>
      </c>
      <c r="J291" s="1" t="s">
        <v>5</v>
      </c>
      <c r="L291" s="11">
        <v>1.3542400000000001</v>
      </c>
      <c r="M291" s="1"/>
      <c r="N291" s="1" t="s">
        <v>315</v>
      </c>
      <c r="P291" s="1" t="str">
        <f>CONCATENATE(Table_Query_from_AMULTIQRY45[[#This Row],[WWHS]],"-",Table_Query_from_AMULTIQRY45[[#This Row],[LLOC]])</f>
        <v>E1-FG</v>
      </c>
      <c r="Q291" s="10">
        <f t="shared" ca="1" si="9"/>
        <v>45775</v>
      </c>
      <c r="R291" s="10"/>
      <c r="S291" s="28">
        <v>56</v>
      </c>
      <c r="T291" s="1" t="s">
        <v>2</v>
      </c>
      <c r="U291" s="1" t="s">
        <v>330</v>
      </c>
      <c r="V291" s="1">
        <v>20250321</v>
      </c>
      <c r="W291" s="8" t="s">
        <v>8442</v>
      </c>
      <c r="Z291" s="1"/>
      <c r="AA291" s="1"/>
      <c r="AC291" s="1"/>
      <c r="AD291" s="1"/>
      <c r="AE291" s="1"/>
      <c r="AF291" s="1"/>
    </row>
    <row r="292" spans="2:32" ht="12.75" x14ac:dyDescent="0.2">
      <c r="B292" s="1" t="s">
        <v>8798</v>
      </c>
      <c r="C292" s="10">
        <f t="shared" ca="1" si="8"/>
        <v>45733</v>
      </c>
      <c r="D292" s="4"/>
      <c r="E292" s="4" t="s">
        <v>8434</v>
      </c>
      <c r="F292" s="4" t="s">
        <v>1293</v>
      </c>
      <c r="G292" s="4"/>
      <c r="H292" s="4" t="str">
        <f>_xlfn.IFNA(VLOOKUP(Table_Query_from_AMULTIQRY45[[#This Row],[WPROD]],'Part# with New'!$A$1:$B$4347,2,0),Table_Query_from_AMULTIQRY45[[#This Row],[WPROD]])</f>
        <v>WSLD537494018Q-PGX15W</v>
      </c>
      <c r="I292" s="4" t="s">
        <v>8436</v>
      </c>
      <c r="J292" s="1" t="s">
        <v>5</v>
      </c>
      <c r="L292" s="11">
        <v>1.39716</v>
      </c>
      <c r="M292" s="1"/>
      <c r="N292" s="1" t="s">
        <v>328</v>
      </c>
      <c r="P292" s="1" t="str">
        <f>CONCATENATE(Table_Query_from_AMULTIQRY45[[#This Row],[WWHS]],"-",Table_Query_from_AMULTIQRY45[[#This Row],[LLOC]])</f>
        <v>E1-FG</v>
      </c>
      <c r="Q292" s="10">
        <f t="shared" ca="1" si="9"/>
        <v>45775</v>
      </c>
      <c r="R292" s="10"/>
      <c r="S292" s="28">
        <v>17</v>
      </c>
      <c r="T292" s="1" t="s">
        <v>2</v>
      </c>
      <c r="U292" s="1" t="s">
        <v>331</v>
      </c>
      <c r="V292" s="1">
        <v>20250317</v>
      </c>
      <c r="W292" s="8" t="s">
        <v>8442</v>
      </c>
      <c r="Z292" s="1"/>
      <c r="AA292" s="1"/>
      <c r="AC292" s="1"/>
      <c r="AD292" s="1"/>
      <c r="AE292" s="1"/>
      <c r="AF292" s="1"/>
    </row>
    <row r="293" spans="2:32" ht="12.75" x14ac:dyDescent="0.2">
      <c r="B293" s="1" t="s">
        <v>8799</v>
      </c>
      <c r="C293" s="10">
        <f t="shared" ca="1" si="8"/>
        <v>45742</v>
      </c>
      <c r="D293" s="4"/>
      <c r="E293" s="4" t="s">
        <v>8434</v>
      </c>
      <c r="F293" s="4" t="s">
        <v>1293</v>
      </c>
      <c r="G293" s="4"/>
      <c r="H293" s="4" t="str">
        <f>_xlfn.IFNA(VLOOKUP(Table_Query_from_AMULTIQRY45[[#This Row],[WPROD]],'Part# with New'!$A$1:$B$4347,2,0),Table_Query_from_AMULTIQRY45[[#This Row],[WPROD]])</f>
        <v>WPBR129128009Q-TGX15W</v>
      </c>
      <c r="I293" s="4" t="s">
        <v>8436</v>
      </c>
      <c r="J293" s="1" t="s">
        <v>5</v>
      </c>
      <c r="L293" s="11">
        <v>1.2096</v>
      </c>
      <c r="M293" s="1"/>
      <c r="N293" s="1" t="s">
        <v>315</v>
      </c>
      <c r="P293" s="1" t="str">
        <f>CONCATENATE(Table_Query_from_AMULTIQRY45[[#This Row],[WWHS]],"-",Table_Query_from_AMULTIQRY45[[#This Row],[LLOC]])</f>
        <v>E1-FG</v>
      </c>
      <c r="Q293" s="10">
        <f t="shared" ca="1" si="9"/>
        <v>45775</v>
      </c>
      <c r="R293" s="10"/>
      <c r="S293" s="28">
        <v>13</v>
      </c>
      <c r="T293" s="1" t="s">
        <v>2</v>
      </c>
      <c r="U293" s="1" t="s">
        <v>332</v>
      </c>
      <c r="V293" s="1">
        <v>20250326</v>
      </c>
      <c r="W293" s="8" t="s">
        <v>8442</v>
      </c>
      <c r="Z293" s="1"/>
      <c r="AA293" s="1"/>
      <c r="AC293" s="1"/>
      <c r="AD293" s="1"/>
      <c r="AE293" s="1"/>
      <c r="AF293" s="1"/>
    </row>
    <row r="294" spans="2:32" ht="12.75" x14ac:dyDescent="0.2">
      <c r="B294" s="1" t="s">
        <v>8800</v>
      </c>
      <c r="C294" s="10">
        <f t="shared" ca="1" si="8"/>
        <v>45519</v>
      </c>
      <c r="D294" s="4"/>
      <c r="E294" s="4" t="s">
        <v>8434</v>
      </c>
      <c r="F294" s="4" t="s">
        <v>1293</v>
      </c>
      <c r="G294" s="4"/>
      <c r="H294" s="4" t="str">
        <f>_xlfn.IFNA(VLOOKUP(Table_Query_from_AMULTIQRY45[[#This Row],[WPROD]],'Part# with New'!$A$1:$B$4347,2,0),Table_Query_from_AMULTIQRY45[[#This Row],[WPROD]])</f>
        <v>WSLD550522018Q-PGX15W</v>
      </c>
      <c r="I294" s="4" t="s">
        <v>8436</v>
      </c>
      <c r="J294" s="1" t="s">
        <v>5</v>
      </c>
      <c r="L294" s="11">
        <v>1.28254</v>
      </c>
      <c r="M294" s="1"/>
      <c r="N294" s="1" t="s">
        <v>328</v>
      </c>
      <c r="P294" s="1" t="str">
        <f>CONCATENATE(Table_Query_from_AMULTIQRY45[[#This Row],[WWHS]],"-",Table_Query_from_AMULTIQRY45[[#This Row],[LLOC]])</f>
        <v>E1-FG</v>
      </c>
      <c r="Q294" s="10">
        <f t="shared" ca="1" si="9"/>
        <v>45775</v>
      </c>
      <c r="R294" s="10"/>
      <c r="S294" s="28">
        <v>68</v>
      </c>
      <c r="T294" s="1" t="s">
        <v>2</v>
      </c>
      <c r="U294" s="1" t="s">
        <v>333</v>
      </c>
      <c r="V294" s="1">
        <v>20240815</v>
      </c>
      <c r="W294" s="8" t="s">
        <v>8442</v>
      </c>
      <c r="Z294" s="1"/>
      <c r="AA294" s="1"/>
      <c r="AC294" s="1"/>
      <c r="AD294" s="1"/>
      <c r="AE294" s="1"/>
      <c r="AF294" s="1"/>
    </row>
    <row r="295" spans="2:32" ht="12.75" x14ac:dyDescent="0.2">
      <c r="B295" s="1" t="s">
        <v>8801</v>
      </c>
      <c r="C295" s="10">
        <f t="shared" ca="1" si="8"/>
        <v>45595</v>
      </c>
      <c r="D295" s="4"/>
      <c r="E295" s="4" t="s">
        <v>8434</v>
      </c>
      <c r="F295" s="4" t="s">
        <v>1293</v>
      </c>
      <c r="G295" s="4"/>
      <c r="H295" s="4" t="str">
        <f>_xlfn.IFNA(VLOOKUP(Table_Query_from_AMULTIQRY45[[#This Row],[WPROD]],'Part# with New'!$A$1:$B$4347,2,0),Table_Query_from_AMULTIQRY45[[#This Row],[WPROD]])</f>
        <v>WSLD850799018Q-PGX15W</v>
      </c>
      <c r="I295" s="4" t="s">
        <v>8436</v>
      </c>
      <c r="J295" s="1" t="s">
        <v>5</v>
      </c>
      <c r="L295" s="11">
        <v>2.1683599999999998</v>
      </c>
      <c r="M295" s="1"/>
      <c r="N295" s="1" t="s">
        <v>328</v>
      </c>
      <c r="P295" s="1" t="str">
        <f>CONCATENATE(Table_Query_from_AMULTIQRY45[[#This Row],[WWHS]],"-",Table_Query_from_AMULTIQRY45[[#This Row],[LLOC]])</f>
        <v>E1-FG</v>
      </c>
      <c r="Q295" s="10">
        <f t="shared" ca="1" si="9"/>
        <v>45775</v>
      </c>
      <c r="R295" s="10"/>
      <c r="S295" s="28">
        <v>53.12</v>
      </c>
      <c r="T295" s="1" t="s">
        <v>2</v>
      </c>
      <c r="U295" s="1" t="s">
        <v>334</v>
      </c>
      <c r="V295" s="1">
        <v>20241030</v>
      </c>
      <c r="W295" s="8" t="s">
        <v>8442</v>
      </c>
      <c r="Z295" s="1"/>
      <c r="AA295" s="1"/>
      <c r="AC295" s="1"/>
      <c r="AD295" s="1"/>
      <c r="AE295" s="1"/>
      <c r="AF295" s="1"/>
    </row>
    <row r="296" spans="2:32" ht="12.75" x14ac:dyDescent="0.2">
      <c r="B296" s="1" t="s">
        <v>8802</v>
      </c>
      <c r="C296" s="10">
        <f t="shared" ca="1" si="8"/>
        <v>45568</v>
      </c>
      <c r="D296" s="4"/>
      <c r="E296" s="4" t="s">
        <v>8434</v>
      </c>
      <c r="F296" s="4" t="s">
        <v>1293</v>
      </c>
      <c r="G296" s="4"/>
      <c r="H296" s="4" t="str">
        <f>_xlfn.IFNA(VLOOKUP(Table_Query_from_AMULTIQRY45[[#This Row],[WPROD]],'Part# with New'!$A$1:$B$4347,2,0),Table_Query_from_AMULTIQRY45[[#This Row],[WPROD]])</f>
        <v>WSLD675632018Q-PGX15W</v>
      </c>
      <c r="I296" s="4" t="s">
        <v>8436</v>
      </c>
      <c r="J296" s="1" t="s">
        <v>5</v>
      </c>
      <c r="L296" s="11">
        <v>1.7417400000000001</v>
      </c>
      <c r="M296" s="1"/>
      <c r="N296" s="1" t="s">
        <v>328</v>
      </c>
      <c r="P296" s="1" t="str">
        <f>CONCATENATE(Table_Query_from_AMULTIQRY45[[#This Row],[WWHS]],"-",Table_Query_from_AMULTIQRY45[[#This Row],[LLOC]])</f>
        <v>E1-FG</v>
      </c>
      <c r="Q296" s="10">
        <f t="shared" ca="1" si="9"/>
        <v>45775</v>
      </c>
      <c r="R296" s="10"/>
      <c r="S296" s="28">
        <v>35</v>
      </c>
      <c r="T296" s="1" t="s">
        <v>2</v>
      </c>
      <c r="U296" s="1" t="s">
        <v>335</v>
      </c>
      <c r="V296" s="1">
        <v>20241003</v>
      </c>
      <c r="W296" s="8" t="s">
        <v>8442</v>
      </c>
      <c r="Z296" s="1"/>
      <c r="AA296" s="1"/>
      <c r="AC296" s="1"/>
      <c r="AD296" s="1"/>
      <c r="AE296" s="1"/>
      <c r="AF296" s="1"/>
    </row>
    <row r="297" spans="2:32" ht="12.75" x14ac:dyDescent="0.2">
      <c r="B297" s="1" t="s">
        <v>8803</v>
      </c>
      <c r="C297" s="10">
        <f t="shared" ca="1" si="8"/>
        <v>45699</v>
      </c>
      <c r="D297" s="4"/>
      <c r="E297" s="4" t="s">
        <v>8434</v>
      </c>
      <c r="F297" s="4" t="s">
        <v>1293</v>
      </c>
      <c r="G297" s="4"/>
      <c r="H297" s="4" t="str">
        <f>_xlfn.IFNA(VLOOKUP(Table_Query_from_AMULTIQRY45[[#This Row],[WPROD]],'Part# with New'!$A$1:$B$4347,2,0),Table_Query_from_AMULTIQRY45[[#This Row],[WPROD]])</f>
        <v>WPBR136135009Q-TGX15W</v>
      </c>
      <c r="I297" s="4" t="s">
        <v>8436</v>
      </c>
      <c r="J297" s="1" t="s">
        <v>5</v>
      </c>
      <c r="L297" s="11">
        <v>1.24173</v>
      </c>
      <c r="M297" s="1"/>
      <c r="N297" s="1" t="s">
        <v>315</v>
      </c>
      <c r="P297" s="1" t="str">
        <f>CONCATENATE(Table_Query_from_AMULTIQRY45[[#This Row],[WWHS]],"-",Table_Query_from_AMULTIQRY45[[#This Row],[LLOC]])</f>
        <v>E1-FG</v>
      </c>
      <c r="Q297" s="10">
        <f t="shared" ca="1" si="9"/>
        <v>45775</v>
      </c>
      <c r="R297" s="10"/>
      <c r="S297" s="28">
        <v>54</v>
      </c>
      <c r="T297" s="1" t="s">
        <v>2</v>
      </c>
      <c r="U297" s="1" t="s">
        <v>336</v>
      </c>
      <c r="V297" s="1">
        <v>20250211</v>
      </c>
      <c r="W297" s="8" t="s">
        <v>8442</v>
      </c>
      <c r="Z297" s="1"/>
      <c r="AA297" s="1"/>
      <c r="AC297" s="1"/>
      <c r="AD297" s="1"/>
      <c r="AE297" s="1"/>
      <c r="AF297" s="1"/>
    </row>
    <row r="298" spans="2:32" ht="12.75" x14ac:dyDescent="0.2">
      <c r="B298" s="1" t="s">
        <v>8804</v>
      </c>
      <c r="C298" s="10">
        <f t="shared" ca="1" si="8"/>
        <v>45772</v>
      </c>
      <c r="D298" s="4"/>
      <c r="E298" s="4" t="s">
        <v>8434</v>
      </c>
      <c r="F298" s="4" t="s">
        <v>1293</v>
      </c>
      <c r="G298" s="4"/>
      <c r="H298" s="4" t="str">
        <f>_xlfn.IFNA(VLOOKUP(Table_Query_from_AMULTIQRY45[[#This Row],[WPROD]],'Part# with New'!$A$1:$B$4347,2,0),Table_Query_from_AMULTIQRY45[[#This Row],[WPROD]])</f>
        <v>WPBR143142009Q-TGX15W</v>
      </c>
      <c r="I298" s="4" t="s">
        <v>8436</v>
      </c>
      <c r="J298" s="1" t="s">
        <v>5</v>
      </c>
      <c r="L298" s="11">
        <v>1.2887599999999999</v>
      </c>
      <c r="M298" s="1"/>
      <c r="N298" s="1" t="s">
        <v>315</v>
      </c>
      <c r="P298" s="1" t="str">
        <f>CONCATENATE(Table_Query_from_AMULTIQRY45[[#This Row],[WWHS]],"-",Table_Query_from_AMULTIQRY45[[#This Row],[LLOC]])</f>
        <v>E1-FG</v>
      </c>
      <c r="Q298" s="10">
        <f t="shared" ca="1" si="9"/>
        <v>45775</v>
      </c>
      <c r="R298" s="10"/>
      <c r="S298" s="28">
        <v>92</v>
      </c>
      <c r="T298" s="1" t="s">
        <v>2</v>
      </c>
      <c r="U298" s="1" t="s">
        <v>337</v>
      </c>
      <c r="V298" s="1">
        <v>20250425</v>
      </c>
      <c r="W298" s="8" t="s">
        <v>8442</v>
      </c>
      <c r="Z298" s="1"/>
      <c r="AA298" s="1"/>
      <c r="AC298" s="1"/>
      <c r="AD298" s="1"/>
      <c r="AE298" s="1"/>
      <c r="AF298" s="1"/>
    </row>
    <row r="299" spans="2:32" ht="12.75" x14ac:dyDescent="0.2">
      <c r="B299" s="1" t="s">
        <v>8805</v>
      </c>
      <c r="C299" s="10">
        <f t="shared" ca="1" si="8"/>
        <v>44939</v>
      </c>
      <c r="D299" s="4"/>
      <c r="E299" s="4" t="s">
        <v>8434</v>
      </c>
      <c r="F299" s="4" t="s">
        <v>1293</v>
      </c>
      <c r="G299" s="4"/>
      <c r="H299" s="4" t="str">
        <f>_xlfn.IFNA(VLOOKUP(Table_Query_from_AMULTIQRY45[[#This Row],[WPROD]],'Part# with New'!$A$1:$B$4347,2,0),Table_Query_from_AMULTIQRY45[[#This Row],[WPROD]])</f>
        <v>WSLD750709018Q-PGX15W</v>
      </c>
      <c r="I299" s="4" t="s">
        <v>8436</v>
      </c>
      <c r="J299" s="1" t="s">
        <v>5</v>
      </c>
      <c r="L299" s="11">
        <v>1.63303</v>
      </c>
      <c r="M299" s="1"/>
      <c r="N299" s="1" t="s">
        <v>328</v>
      </c>
      <c r="P299" s="1" t="str">
        <f>CONCATENATE(Table_Query_from_AMULTIQRY45[[#This Row],[WWHS]],"-",Table_Query_from_AMULTIQRY45[[#This Row],[LLOC]])</f>
        <v>E1-FG</v>
      </c>
      <c r="Q299" s="10">
        <f t="shared" ca="1" si="9"/>
        <v>45775</v>
      </c>
      <c r="R299" s="10"/>
      <c r="S299" s="28">
        <v>53</v>
      </c>
      <c r="T299" s="1" t="s">
        <v>2</v>
      </c>
      <c r="U299" s="1" t="s">
        <v>338</v>
      </c>
      <c r="V299" s="1">
        <v>20230113</v>
      </c>
      <c r="W299" s="8" t="s">
        <v>8442</v>
      </c>
      <c r="Z299" s="1"/>
      <c r="AA299" s="1"/>
      <c r="AC299" s="1"/>
      <c r="AD299" s="1"/>
      <c r="AE299" s="1"/>
      <c r="AF299" s="1"/>
    </row>
    <row r="300" spans="2:32" ht="12.75" x14ac:dyDescent="0.2">
      <c r="B300" s="1" t="s">
        <v>8806</v>
      </c>
      <c r="C300" s="10">
        <f t="shared" ca="1" si="8"/>
        <v>45567</v>
      </c>
      <c r="D300" s="4"/>
      <c r="E300" s="4" t="s">
        <v>8434</v>
      </c>
      <c r="F300" s="4" t="s">
        <v>1293</v>
      </c>
      <c r="G300" s="4"/>
      <c r="H300" s="4" t="str">
        <f>_xlfn.IFNA(VLOOKUP(Table_Query_from_AMULTIQRY45[[#This Row],[WPROD]],'Part# with New'!$A$1:$B$4347,2,0),Table_Query_from_AMULTIQRY45[[#This Row],[WPROD]])</f>
        <v>WSMP950893018Q-PGX15W</v>
      </c>
      <c r="I300" s="4" t="s">
        <v>8436</v>
      </c>
      <c r="J300" s="1" t="s">
        <v>5</v>
      </c>
      <c r="L300" s="11">
        <v>3.14697</v>
      </c>
      <c r="M300" s="1"/>
      <c r="N300" s="1" t="s">
        <v>18</v>
      </c>
      <c r="P300" s="1" t="str">
        <f>CONCATENATE(Table_Query_from_AMULTIQRY45[[#This Row],[WWHS]],"-",Table_Query_from_AMULTIQRY45[[#This Row],[LLOC]])</f>
        <v>E1-FG</v>
      </c>
      <c r="Q300" s="10">
        <f t="shared" ca="1" si="9"/>
        <v>45775</v>
      </c>
      <c r="R300" s="10"/>
      <c r="S300" s="28">
        <v>65</v>
      </c>
      <c r="T300" s="1" t="s">
        <v>2</v>
      </c>
      <c r="U300" s="1" t="s">
        <v>339</v>
      </c>
      <c r="V300" s="1">
        <v>20241002</v>
      </c>
      <c r="W300" s="8" t="s">
        <v>8442</v>
      </c>
      <c r="Z300" s="1"/>
      <c r="AA300" s="1"/>
      <c r="AC300" s="1"/>
      <c r="AD300" s="1"/>
      <c r="AE300" s="1"/>
      <c r="AF300" s="1"/>
    </row>
    <row r="301" spans="2:32" ht="12.75" x14ac:dyDescent="0.2">
      <c r="B301" s="1" t="s">
        <v>8807</v>
      </c>
      <c r="C301" s="10">
        <f t="shared" ca="1" si="8"/>
        <v>45754</v>
      </c>
      <c r="D301" s="4"/>
      <c r="E301" s="4" t="s">
        <v>8434</v>
      </c>
      <c r="F301" s="4" t="s">
        <v>1293</v>
      </c>
      <c r="G301" s="4"/>
      <c r="H301" s="4" t="str">
        <f>_xlfn.IFNA(VLOOKUP(Table_Query_from_AMULTIQRY45[[#This Row],[WPROD]],'Part# with New'!$A$1:$B$4347,2,0),Table_Query_from_AMULTIQRY45[[#This Row],[WPROD]])</f>
        <v>WSNC112090011S-PXX00W</v>
      </c>
      <c r="I301" s="4" t="s">
        <v>8436</v>
      </c>
      <c r="J301" s="1" t="s">
        <v>5</v>
      </c>
      <c r="L301" s="11">
        <v>0.27659</v>
      </c>
      <c r="M301" s="1"/>
      <c r="N301" s="1" t="s">
        <v>6</v>
      </c>
      <c r="P301" s="1" t="str">
        <f>CONCATENATE(Table_Query_from_AMULTIQRY45[[#This Row],[WWHS]],"-",Table_Query_from_AMULTIQRY45[[#This Row],[LLOC]])</f>
        <v>E1-FG</v>
      </c>
      <c r="Q301" s="10">
        <f t="shared" ca="1" si="9"/>
        <v>45775</v>
      </c>
      <c r="R301" s="10"/>
      <c r="S301" s="28">
        <v>400</v>
      </c>
      <c r="T301" s="1" t="s">
        <v>2</v>
      </c>
      <c r="U301" s="1" t="s">
        <v>340</v>
      </c>
      <c r="V301" s="1">
        <v>20250407</v>
      </c>
      <c r="W301" s="8" t="s">
        <v>8442</v>
      </c>
      <c r="Z301" s="1"/>
      <c r="AA301" s="1"/>
      <c r="AC301" s="1"/>
      <c r="AD301" s="1"/>
      <c r="AE301" s="1"/>
      <c r="AF301" s="1"/>
    </row>
    <row r="302" spans="2:32" ht="12.75" x14ac:dyDescent="0.2">
      <c r="B302" s="1" t="s">
        <v>8808</v>
      </c>
      <c r="C302" s="10">
        <f t="shared" ca="1" si="8"/>
        <v>45391</v>
      </c>
      <c r="D302" s="4"/>
      <c r="E302" s="4" t="s">
        <v>8434</v>
      </c>
      <c r="F302" s="4" t="s">
        <v>1293</v>
      </c>
      <c r="G302" s="4"/>
      <c r="H302" s="4" t="str">
        <f>_xlfn.IFNA(VLOOKUP(Table_Query_from_AMULTIQRY45[[#This Row],[WPROD]],'Part# with New'!$A$1:$B$4347,2,0),Table_Query_from_AMULTIQRY45[[#This Row],[WPROD]])</f>
        <v>WPBR121120090Q-TGX15W</v>
      </c>
      <c r="I302" s="4" t="s">
        <v>8436</v>
      </c>
      <c r="J302" s="1" t="s">
        <v>5</v>
      </c>
      <c r="L302" s="11">
        <v>16.33859</v>
      </c>
      <c r="M302" s="1"/>
      <c r="N302" s="1" t="s">
        <v>315</v>
      </c>
      <c r="P302" s="1" t="str">
        <f>CONCATENATE(Table_Query_from_AMULTIQRY45[[#This Row],[WWHS]],"-",Table_Query_from_AMULTIQRY45[[#This Row],[LLOC]])</f>
        <v>E1-FG</v>
      </c>
      <c r="Q302" s="10">
        <f t="shared" ca="1" si="9"/>
        <v>45775</v>
      </c>
      <c r="R302" s="10"/>
      <c r="S302" s="28">
        <v>54</v>
      </c>
      <c r="T302" s="1" t="s">
        <v>2</v>
      </c>
      <c r="U302" s="1" t="s">
        <v>341</v>
      </c>
      <c r="V302" s="1">
        <v>20240409</v>
      </c>
      <c r="W302" s="8" t="s">
        <v>8442</v>
      </c>
      <c r="Z302" s="1"/>
      <c r="AA302" s="1"/>
      <c r="AC302" s="1"/>
      <c r="AD302" s="1"/>
      <c r="AE302" s="1"/>
      <c r="AF302" s="1"/>
    </row>
    <row r="303" spans="2:32" ht="12.75" x14ac:dyDescent="0.2">
      <c r="B303" s="1" t="s">
        <v>8809</v>
      </c>
      <c r="C303" s="10">
        <f t="shared" ca="1" si="8"/>
        <v>45735</v>
      </c>
      <c r="D303" s="4"/>
      <c r="E303" s="4" t="s">
        <v>8434</v>
      </c>
      <c r="F303" s="4" t="s">
        <v>1293</v>
      </c>
      <c r="G303" s="4"/>
      <c r="H303" s="4" t="str">
        <f>_xlfn.IFNA(VLOOKUP(Table_Query_from_AMULTIQRY45[[#This Row],[WPROD]],'Part# with New'!$A$1:$B$4347,2,0),Table_Query_from_AMULTIQRY45[[#This Row],[WPROD]])</f>
        <v>WPBR069068009Q-TGX15W</v>
      </c>
      <c r="I303" s="4" t="s">
        <v>8436</v>
      </c>
      <c r="J303" s="1" t="s">
        <v>5</v>
      </c>
      <c r="L303" s="11">
        <v>0.91027999999999998</v>
      </c>
      <c r="M303" s="1"/>
      <c r="N303" s="1" t="s">
        <v>315</v>
      </c>
      <c r="P303" s="1" t="str">
        <f>CONCATENATE(Table_Query_from_AMULTIQRY45[[#This Row],[WWHS]],"-",Table_Query_from_AMULTIQRY45[[#This Row],[LLOC]])</f>
        <v>E1-FG</v>
      </c>
      <c r="Q303" s="10">
        <f t="shared" ca="1" si="9"/>
        <v>45775</v>
      </c>
      <c r="R303" s="10"/>
      <c r="S303" s="28">
        <v>7</v>
      </c>
      <c r="T303" s="1" t="s">
        <v>2</v>
      </c>
      <c r="U303" s="1" t="s">
        <v>342</v>
      </c>
      <c r="V303" s="1">
        <v>20250319</v>
      </c>
      <c r="W303" s="8" t="s">
        <v>8442</v>
      </c>
      <c r="Z303" s="1"/>
      <c r="AA303" s="1"/>
      <c r="AC303" s="1"/>
      <c r="AD303" s="1"/>
      <c r="AE303" s="1"/>
      <c r="AF303" s="1"/>
    </row>
    <row r="304" spans="2:32" ht="12.75" x14ac:dyDescent="0.2">
      <c r="B304" s="1" t="s">
        <v>8810</v>
      </c>
      <c r="C304" s="10">
        <f t="shared" ca="1" si="8"/>
        <v>45735</v>
      </c>
      <c r="D304" s="4"/>
      <c r="E304" s="4" t="s">
        <v>8434</v>
      </c>
      <c r="F304" s="4" t="s">
        <v>1293</v>
      </c>
      <c r="G304" s="4"/>
      <c r="H304" s="4" t="str">
        <f>_xlfn.IFNA(VLOOKUP(Table_Query_from_AMULTIQRY45[[#This Row],[WPROD]],'Part# with New'!$A$1:$B$4347,2,0),Table_Query_from_AMULTIQRY45[[#This Row],[WPROD]])</f>
        <v>WPBR121120009Q-TGX15W</v>
      </c>
      <c r="I304" s="4" t="s">
        <v>8436</v>
      </c>
      <c r="J304" s="1" t="s">
        <v>5</v>
      </c>
      <c r="L304" s="11">
        <v>1.1674199999999999</v>
      </c>
      <c r="M304" s="1"/>
      <c r="N304" s="1" t="s">
        <v>315</v>
      </c>
      <c r="P304" s="1" t="str">
        <f>CONCATENATE(Table_Query_from_AMULTIQRY45[[#This Row],[WWHS]],"-",Table_Query_from_AMULTIQRY45[[#This Row],[LLOC]])</f>
        <v>E1-FG</v>
      </c>
      <c r="Q304" s="10">
        <f t="shared" ca="1" si="9"/>
        <v>45775</v>
      </c>
      <c r="R304" s="10"/>
      <c r="S304" s="28">
        <v>43</v>
      </c>
      <c r="T304" s="1" t="s">
        <v>2</v>
      </c>
      <c r="U304" s="1" t="s">
        <v>343</v>
      </c>
      <c r="V304" s="1">
        <v>20250319</v>
      </c>
      <c r="W304" s="8" t="s">
        <v>8442</v>
      </c>
      <c r="Z304" s="1"/>
      <c r="AA304" s="1"/>
      <c r="AC304" s="1"/>
      <c r="AD304" s="1"/>
      <c r="AE304" s="1"/>
      <c r="AF304" s="1"/>
    </row>
    <row r="305" spans="2:32" ht="12.75" x14ac:dyDescent="0.2">
      <c r="B305" s="1" t="s">
        <v>8811</v>
      </c>
      <c r="C305" s="10">
        <f t="shared" ca="1" si="8"/>
        <v>45728</v>
      </c>
      <c r="D305" s="4"/>
      <c r="E305" s="4" t="s">
        <v>8434</v>
      </c>
      <c r="F305" s="4" t="s">
        <v>1293</v>
      </c>
      <c r="G305" s="4"/>
      <c r="H305" s="4" t="str">
        <f>_xlfn.IFNA(VLOOKUP(Table_Query_from_AMULTIQRY45[[#This Row],[WPROD]],'Part# with New'!$A$1:$B$4347,2,0),Table_Query_from_AMULTIQRY45[[#This Row],[WPROD]])</f>
        <v>WPBR111110009Q-TGX15W</v>
      </c>
      <c r="I305" s="4" t="s">
        <v>8436</v>
      </c>
      <c r="J305" s="1" t="s">
        <v>5</v>
      </c>
      <c r="L305" s="11">
        <v>1.1192</v>
      </c>
      <c r="M305" s="1"/>
      <c r="N305" s="1" t="s">
        <v>315</v>
      </c>
      <c r="P305" s="1" t="str">
        <f>CONCATENATE(Table_Query_from_AMULTIQRY45[[#This Row],[WWHS]],"-",Table_Query_from_AMULTIQRY45[[#This Row],[LLOC]])</f>
        <v>E1-FG</v>
      </c>
      <c r="Q305" s="10">
        <f t="shared" ca="1" si="9"/>
        <v>45775</v>
      </c>
      <c r="R305" s="10"/>
      <c r="S305" s="28">
        <v>50</v>
      </c>
      <c r="T305" s="1" t="s">
        <v>2</v>
      </c>
      <c r="U305" s="1" t="s">
        <v>344</v>
      </c>
      <c r="V305" s="1">
        <v>20250312</v>
      </c>
      <c r="W305" s="8" t="s">
        <v>8442</v>
      </c>
      <c r="Z305" s="1"/>
      <c r="AA305" s="1"/>
      <c r="AC305" s="1"/>
      <c r="AD305" s="1"/>
      <c r="AE305" s="1"/>
      <c r="AF305" s="1"/>
    </row>
    <row r="306" spans="2:32" ht="12.75" x14ac:dyDescent="0.2">
      <c r="B306" s="1" t="s">
        <v>8812</v>
      </c>
      <c r="C306" s="10">
        <f t="shared" ca="1" si="8"/>
        <v>45726</v>
      </c>
      <c r="D306" s="4"/>
      <c r="E306" s="4" t="s">
        <v>8434</v>
      </c>
      <c r="F306" s="4" t="s">
        <v>1293</v>
      </c>
      <c r="G306" s="4"/>
      <c r="H306" s="4" t="str">
        <f>_xlfn.IFNA(VLOOKUP(Table_Query_from_AMULTIQRY45[[#This Row],[WPROD]],'Part# with New'!$A$1:$B$4347,2,0),Table_Query_from_AMULTIQRY45[[#This Row],[WPROD]])</f>
        <v>WSLD326310024Q-PGX25K</v>
      </c>
      <c r="I306" s="4" t="s">
        <v>8436</v>
      </c>
      <c r="J306" s="1" t="s">
        <v>5</v>
      </c>
      <c r="L306" s="11">
        <v>1.88103</v>
      </c>
      <c r="M306" s="1"/>
      <c r="N306" s="1" t="s">
        <v>6</v>
      </c>
      <c r="P306" s="1" t="str">
        <f>CONCATENATE(Table_Query_from_AMULTIQRY45[[#This Row],[WWHS]],"-",Table_Query_from_AMULTIQRY45[[#This Row],[LLOC]])</f>
        <v>E1-FG</v>
      </c>
      <c r="Q306" s="10">
        <f t="shared" ca="1" si="9"/>
        <v>45775</v>
      </c>
      <c r="R306" s="10"/>
      <c r="S306" s="28">
        <v>46</v>
      </c>
      <c r="T306" s="1" t="s">
        <v>2</v>
      </c>
      <c r="U306" s="1" t="s">
        <v>345</v>
      </c>
      <c r="V306" s="1">
        <v>20250310</v>
      </c>
      <c r="W306" s="8" t="s">
        <v>8442</v>
      </c>
      <c r="Z306" s="1"/>
      <c r="AA306" s="1"/>
      <c r="AC306" s="1"/>
      <c r="AD306" s="1"/>
      <c r="AE306" s="1"/>
      <c r="AF306" s="1"/>
    </row>
    <row r="307" spans="2:32" ht="12.75" x14ac:dyDescent="0.2">
      <c r="B307" s="1" t="s">
        <v>8813</v>
      </c>
      <c r="C307" s="10">
        <f t="shared" ca="1" si="8"/>
        <v>45772</v>
      </c>
      <c r="D307" s="4"/>
      <c r="E307" s="4" t="s">
        <v>8434</v>
      </c>
      <c r="F307" s="4" t="s">
        <v>1293</v>
      </c>
      <c r="G307" s="4"/>
      <c r="H307" s="4" t="str">
        <f>_xlfn.IFNA(VLOOKUP(Table_Query_from_AMULTIQRY45[[#This Row],[WPROD]],'Part# with New'!$A$1:$B$4347,2,0),Table_Query_from_AMULTIQRY45[[#This Row],[WPROD]])</f>
        <v>WFFB150102016D-PXX00W</v>
      </c>
      <c r="I307" s="4" t="s">
        <v>8436</v>
      </c>
      <c r="J307" s="1" t="s">
        <v>5</v>
      </c>
      <c r="L307" s="11">
        <v>0.17795</v>
      </c>
      <c r="M307" s="1"/>
      <c r="N307" s="1" t="s">
        <v>346</v>
      </c>
      <c r="P307" s="1" t="str">
        <f>CONCATENATE(Table_Query_from_AMULTIQRY45[[#This Row],[WWHS]],"-",Table_Query_from_AMULTIQRY45[[#This Row],[LLOC]])</f>
        <v>E1-FG</v>
      </c>
      <c r="Q307" s="10">
        <f t="shared" ca="1" si="9"/>
        <v>45775</v>
      </c>
      <c r="R307" s="10"/>
      <c r="S307" s="28">
        <v>47</v>
      </c>
      <c r="T307" s="1" t="s">
        <v>2</v>
      </c>
      <c r="U307" s="1" t="s">
        <v>347</v>
      </c>
      <c r="V307" s="1">
        <v>20250425</v>
      </c>
      <c r="W307" s="8" t="s">
        <v>8442</v>
      </c>
      <c r="Z307" s="1"/>
      <c r="AA307" s="1"/>
      <c r="AC307" s="1"/>
      <c r="AD307" s="1"/>
      <c r="AE307" s="1"/>
      <c r="AF307" s="1"/>
    </row>
    <row r="308" spans="2:32" ht="12.75" x14ac:dyDescent="0.2">
      <c r="B308" s="1" t="s">
        <v>8814</v>
      </c>
      <c r="C308" s="10">
        <f t="shared" ca="1" si="8"/>
        <v>44393</v>
      </c>
      <c r="D308" s="4"/>
      <c r="E308" s="4" t="s">
        <v>8434</v>
      </c>
      <c r="F308" s="4" t="s">
        <v>1293</v>
      </c>
      <c r="G308" s="4"/>
      <c r="H308" s="4" t="str">
        <f>_xlfn.IFNA(VLOOKUP(Table_Query_from_AMULTIQRY45[[#This Row],[WPROD]],'Part# with New'!$A$1:$B$4347,2,0),Table_Query_from_AMULTIQRY45[[#This Row],[WPROD]])</f>
        <v>WFFH200150018D-PXX00W</v>
      </c>
      <c r="I308" s="4" t="s">
        <v>8436</v>
      </c>
      <c r="J308" s="1" t="s">
        <v>5</v>
      </c>
      <c r="L308" s="11">
        <v>0.30980999999999997</v>
      </c>
      <c r="M308" s="1"/>
      <c r="N308" s="1" t="s">
        <v>348</v>
      </c>
      <c r="P308" s="1" t="str">
        <f>CONCATENATE(Table_Query_from_AMULTIQRY45[[#This Row],[WWHS]],"-",Table_Query_from_AMULTIQRY45[[#This Row],[LLOC]])</f>
        <v>E1-FG</v>
      </c>
      <c r="Q308" s="10">
        <f t="shared" ca="1" si="9"/>
        <v>45775</v>
      </c>
      <c r="R308" s="10"/>
      <c r="S308" s="28">
        <v>3375</v>
      </c>
      <c r="T308" s="1" t="s">
        <v>2</v>
      </c>
      <c r="U308" s="1" t="s">
        <v>349</v>
      </c>
      <c r="V308" s="1">
        <v>20210716</v>
      </c>
      <c r="W308" s="8" t="s">
        <v>8442</v>
      </c>
      <c r="Z308" s="1"/>
      <c r="AA308" s="1"/>
      <c r="AC308" s="1"/>
      <c r="AD308" s="1"/>
      <c r="AE308" s="1"/>
      <c r="AF308" s="1"/>
    </row>
    <row r="309" spans="2:32" ht="12.75" x14ac:dyDescent="0.2">
      <c r="B309" s="1" t="s">
        <v>8815</v>
      </c>
      <c r="C309" s="10">
        <f t="shared" ca="1" si="8"/>
        <v>45615</v>
      </c>
      <c r="D309" s="4"/>
      <c r="E309" s="4" t="s">
        <v>8434</v>
      </c>
      <c r="F309" s="4" t="s">
        <v>1293</v>
      </c>
      <c r="G309" s="4"/>
      <c r="H309" s="4" t="str">
        <f>_xlfn.IFNA(VLOOKUP(Table_Query_from_AMULTIQRY45[[#This Row],[WPROD]],'Part# with New'!$A$1:$B$4347,2,0),Table_Query_from_AMULTIQRY45[[#This Row],[WPROD]])</f>
        <v>WSLD850799018B-PGX15W</v>
      </c>
      <c r="I309" s="4" t="s">
        <v>8436</v>
      </c>
      <c r="J309" s="1" t="s">
        <v>5</v>
      </c>
      <c r="L309" s="11">
        <v>2.1006999999999998</v>
      </c>
      <c r="M309" s="1"/>
      <c r="N309" s="1" t="s">
        <v>328</v>
      </c>
      <c r="P309" s="1" t="str">
        <f>CONCATENATE(Table_Query_from_AMULTIQRY45[[#This Row],[WWHS]],"-",Table_Query_from_AMULTIQRY45[[#This Row],[LLOC]])</f>
        <v>E1-FG</v>
      </c>
      <c r="Q309" s="10">
        <f t="shared" ca="1" si="9"/>
        <v>45775</v>
      </c>
      <c r="R309" s="10"/>
      <c r="S309" s="28">
        <v>18</v>
      </c>
      <c r="T309" s="1" t="s">
        <v>2</v>
      </c>
      <c r="U309" s="1" t="s">
        <v>350</v>
      </c>
      <c r="V309" s="1">
        <v>20241119</v>
      </c>
      <c r="W309" s="8" t="s">
        <v>8442</v>
      </c>
      <c r="Z309" s="1"/>
      <c r="AA309" s="1"/>
      <c r="AC309" s="1"/>
      <c r="AD309" s="1"/>
      <c r="AE309" s="1"/>
      <c r="AF309" s="1"/>
    </row>
    <row r="310" spans="2:32" ht="12.75" x14ac:dyDescent="0.2">
      <c r="B310" s="1" t="s">
        <v>8816</v>
      </c>
      <c r="C310" s="10">
        <f t="shared" ca="1" si="8"/>
        <v>45765</v>
      </c>
      <c r="D310" s="4"/>
      <c r="E310" s="4" t="s">
        <v>8434</v>
      </c>
      <c r="F310" s="4" t="s">
        <v>1293</v>
      </c>
      <c r="G310" s="4"/>
      <c r="H310" s="4" t="str">
        <f>_xlfn.IFNA(VLOOKUP(Table_Query_from_AMULTIQRY45[[#This Row],[WPROD]],'Part# with New'!$A$1:$B$4347,2,0),Table_Query_from_AMULTIQRY45[[#This Row],[WPROD]])</f>
        <v>WFFH255205023D-PXX00W</v>
      </c>
      <c r="I310" s="4" t="s">
        <v>8436</v>
      </c>
      <c r="J310" s="1" t="s">
        <v>5</v>
      </c>
      <c r="L310" s="11">
        <v>0.35597000000000001</v>
      </c>
      <c r="M310" s="1"/>
      <c r="N310" s="1" t="s">
        <v>348</v>
      </c>
      <c r="P310" s="1" t="str">
        <f>CONCATENATE(Table_Query_from_AMULTIQRY45[[#This Row],[WWHS]],"-",Table_Query_from_AMULTIQRY45[[#This Row],[LLOC]])</f>
        <v>E1-FG</v>
      </c>
      <c r="Q310" s="10">
        <f t="shared" ca="1" si="9"/>
        <v>45775</v>
      </c>
      <c r="R310" s="10"/>
      <c r="S310" s="28">
        <v>1071</v>
      </c>
      <c r="T310" s="1" t="s">
        <v>2</v>
      </c>
      <c r="U310" s="1" t="s">
        <v>351</v>
      </c>
      <c r="V310" s="1">
        <v>20250418</v>
      </c>
      <c r="W310" s="8" t="s">
        <v>8442</v>
      </c>
      <c r="Z310" s="1"/>
      <c r="AA310" s="1"/>
      <c r="AC310" s="1"/>
      <c r="AD310" s="1"/>
      <c r="AE310" s="1"/>
      <c r="AF310" s="1"/>
    </row>
    <row r="311" spans="2:32" ht="12.75" x14ac:dyDescent="0.2">
      <c r="B311" s="1" t="s">
        <v>8817</v>
      </c>
      <c r="C311" s="10">
        <f t="shared" ca="1" si="8"/>
        <v>43537</v>
      </c>
      <c r="D311" s="4"/>
      <c r="E311" s="4" t="s">
        <v>8434</v>
      </c>
      <c r="F311" s="4" t="s">
        <v>1293</v>
      </c>
      <c r="G311" s="4"/>
      <c r="H311" s="4" t="str">
        <f>_xlfn.IFNA(VLOOKUP(Table_Query_from_AMULTIQRY45[[#This Row],[WPROD]],'Part# with New'!$A$1:$B$4347,2,0),Table_Query_from_AMULTIQRY45[[#This Row],[WPROD]])</f>
        <v>WPSM063047008Q-PGX15W</v>
      </c>
      <c r="I311" s="4" t="s">
        <v>8436</v>
      </c>
      <c r="J311" s="1" t="s">
        <v>5</v>
      </c>
      <c r="L311" s="11">
        <v>4.6559999999999997E-2</v>
      </c>
      <c r="M311" s="1"/>
      <c r="N311" s="1" t="s">
        <v>326</v>
      </c>
      <c r="P311" s="1" t="str">
        <f>CONCATENATE(Table_Query_from_AMULTIQRY45[[#This Row],[WWHS]],"-",Table_Query_from_AMULTIQRY45[[#This Row],[LLOC]])</f>
        <v>E1-FG</v>
      </c>
      <c r="Q311" s="10">
        <f t="shared" ca="1" si="9"/>
        <v>45775</v>
      </c>
      <c r="R311" s="10"/>
      <c r="S311" s="28">
        <v>188</v>
      </c>
      <c r="T311" s="1" t="s">
        <v>2</v>
      </c>
      <c r="U311" s="1" t="s">
        <v>352</v>
      </c>
      <c r="V311" s="1">
        <v>20190313</v>
      </c>
      <c r="W311" s="8" t="s">
        <v>8442</v>
      </c>
      <c r="Z311" s="1"/>
      <c r="AA311" s="1"/>
      <c r="AC311" s="1"/>
      <c r="AD311" s="1"/>
      <c r="AE311" s="1"/>
      <c r="AF311" s="1"/>
    </row>
    <row r="312" spans="2:32" ht="12.75" x14ac:dyDescent="0.2">
      <c r="B312" s="1" t="s">
        <v>8818</v>
      </c>
      <c r="C312" s="10">
        <f t="shared" ca="1" si="8"/>
        <v>45681</v>
      </c>
      <c r="D312" s="4"/>
      <c r="E312" s="4" t="s">
        <v>8434</v>
      </c>
      <c r="F312" s="4" t="s">
        <v>1293</v>
      </c>
      <c r="G312" s="4"/>
      <c r="H312" s="4" t="str">
        <f>_xlfn.IFNA(VLOOKUP(Table_Query_from_AMULTIQRY45[[#This Row],[WPROD]],'Part# with New'!$A$1:$B$4347,2,0),Table_Query_from_AMULTIQRY45[[#This Row],[WPROD]])</f>
        <v>WPSA062050003D-PGX15W</v>
      </c>
      <c r="I312" s="4" t="s">
        <v>8436</v>
      </c>
      <c r="J312" s="1" t="s">
        <v>5</v>
      </c>
      <c r="L312" s="11">
        <v>2.0119999999999999E-2</v>
      </c>
      <c r="M312" s="1"/>
      <c r="N312" s="1" t="s">
        <v>9</v>
      </c>
      <c r="P312" s="1" t="str">
        <f>CONCATENATE(Table_Query_from_AMULTIQRY45[[#This Row],[WWHS]],"-",Table_Query_from_AMULTIQRY45[[#This Row],[LLOC]])</f>
        <v>E1-FG</v>
      </c>
      <c r="Q312" s="10">
        <f t="shared" ca="1" si="9"/>
        <v>45775</v>
      </c>
      <c r="R312" s="10"/>
      <c r="S312" s="28">
        <v>3461</v>
      </c>
      <c r="T312" s="1" t="s">
        <v>2</v>
      </c>
      <c r="U312" s="1" t="s">
        <v>353</v>
      </c>
      <c r="V312" s="1">
        <v>20250124</v>
      </c>
      <c r="W312" s="8" t="s">
        <v>8442</v>
      </c>
      <c r="Z312" s="1"/>
      <c r="AA312" s="1"/>
      <c r="AC312" s="1"/>
      <c r="AD312" s="1"/>
      <c r="AE312" s="1"/>
      <c r="AF312" s="1"/>
    </row>
    <row r="313" spans="2:32" ht="12.75" x14ac:dyDescent="0.2">
      <c r="B313" s="1" t="s">
        <v>8819</v>
      </c>
      <c r="C313" s="10">
        <f t="shared" ca="1" si="8"/>
        <v>45713</v>
      </c>
      <c r="D313" s="4"/>
      <c r="E313" s="4" t="s">
        <v>8434</v>
      </c>
      <c r="F313" s="4" t="s">
        <v>1293</v>
      </c>
      <c r="G313" s="4"/>
      <c r="H313" s="4" t="str">
        <f>_xlfn.IFNA(VLOOKUP(Table_Query_from_AMULTIQRY45[[#This Row],[WPROD]],'Part# with New'!$A$1:$B$4347,2,0),Table_Query_from_AMULTIQRY45[[#This Row],[WPROD]])</f>
        <v>WFFL080057028D-PGX15W</v>
      </c>
      <c r="I313" s="4" t="s">
        <v>8436</v>
      </c>
      <c r="J313" s="1" t="s">
        <v>5</v>
      </c>
      <c r="L313" s="11">
        <v>0.10375</v>
      </c>
      <c r="M313" s="1"/>
      <c r="N313" s="1" t="s">
        <v>348</v>
      </c>
      <c r="P313" s="1" t="str">
        <f>CONCATENATE(Table_Query_from_AMULTIQRY45[[#This Row],[WWHS]],"-",Table_Query_from_AMULTIQRY45[[#This Row],[LLOC]])</f>
        <v>E1-FG</v>
      </c>
      <c r="Q313" s="10">
        <f t="shared" ca="1" si="9"/>
        <v>45775</v>
      </c>
      <c r="R313" s="10"/>
      <c r="S313" s="28">
        <v>425</v>
      </c>
      <c r="T313" s="1" t="s">
        <v>2</v>
      </c>
      <c r="U313" s="1" t="s">
        <v>354</v>
      </c>
      <c r="V313" s="1">
        <v>20250225</v>
      </c>
      <c r="W313" s="8" t="s">
        <v>8442</v>
      </c>
      <c r="Z313" s="1"/>
      <c r="AA313" s="1"/>
      <c r="AC313" s="1"/>
      <c r="AD313" s="1"/>
      <c r="AE313" s="1"/>
      <c r="AF313" s="1"/>
    </row>
    <row r="314" spans="2:32" ht="12.75" x14ac:dyDescent="0.2">
      <c r="B314" s="1" t="s">
        <v>8820</v>
      </c>
      <c r="C314" s="10">
        <f t="shared" ca="1" si="8"/>
        <v>45665</v>
      </c>
      <c r="D314" s="4"/>
      <c r="E314" s="4" t="s">
        <v>8434</v>
      </c>
      <c r="F314" s="4" t="s">
        <v>1293</v>
      </c>
      <c r="G314" s="4"/>
      <c r="H314" s="4" t="str">
        <f>_xlfn.IFNA(VLOOKUP(Table_Query_from_AMULTIQRY45[[#This Row],[WPROD]],'Part# with New'!$A$1:$B$4347,2,0),Table_Query_from_AMULTIQRY45[[#This Row],[WPROD]])</f>
        <v>WFFB105075031D-PGX15W</v>
      </c>
      <c r="I314" s="4" t="s">
        <v>8436</v>
      </c>
      <c r="J314" s="1" t="s">
        <v>5</v>
      </c>
      <c r="L314" s="11">
        <v>0.16303999999999999</v>
      </c>
      <c r="M314" s="1"/>
      <c r="N314" s="1" t="s">
        <v>348</v>
      </c>
      <c r="P314" s="1" t="str">
        <f>CONCATENATE(Table_Query_from_AMULTIQRY45[[#This Row],[WWHS]],"-",Table_Query_from_AMULTIQRY45[[#This Row],[LLOC]])</f>
        <v>E1-FG</v>
      </c>
      <c r="Q314" s="10">
        <f t="shared" ca="1" si="9"/>
        <v>45775</v>
      </c>
      <c r="R314" s="10"/>
      <c r="S314" s="28">
        <v>563</v>
      </c>
      <c r="T314" s="1" t="s">
        <v>2</v>
      </c>
      <c r="U314" s="1" t="s">
        <v>355</v>
      </c>
      <c r="V314" s="1">
        <v>20250108</v>
      </c>
      <c r="W314" s="8" t="s">
        <v>8442</v>
      </c>
      <c r="Z314" s="1"/>
      <c r="AA314" s="1"/>
      <c r="AC314" s="1"/>
      <c r="AD314" s="1"/>
      <c r="AE314" s="1"/>
      <c r="AF314" s="1"/>
    </row>
    <row r="315" spans="2:32" ht="12.75" x14ac:dyDescent="0.2">
      <c r="B315" s="1" t="s">
        <v>8821</v>
      </c>
      <c r="C315" s="10">
        <f t="shared" ca="1" si="8"/>
        <v>45366</v>
      </c>
      <c r="D315" s="4"/>
      <c r="E315" s="4" t="s">
        <v>8434</v>
      </c>
      <c r="F315" s="4" t="s">
        <v>1293</v>
      </c>
      <c r="G315" s="4"/>
      <c r="H315" s="4" t="str">
        <f>_xlfn.IFNA(VLOOKUP(Table_Query_from_AMULTIQRY45[[#This Row],[WPROD]],'Part# with New'!$A$1:$B$4347,2,0),Table_Query_from_AMULTIQRY45[[#This Row],[WPROD]])</f>
        <v>WPSM496470011D-PNX15W</v>
      </c>
      <c r="I315" s="4" t="s">
        <v>8436</v>
      </c>
      <c r="J315" s="1" t="s">
        <v>5</v>
      </c>
      <c r="L315" s="11">
        <v>0.39288000000000001</v>
      </c>
      <c r="M315" s="1"/>
      <c r="N315" s="1" t="s">
        <v>6</v>
      </c>
      <c r="P315" s="1" t="str">
        <f>CONCATENATE(Table_Query_from_AMULTIQRY45[[#This Row],[WWHS]],"-",Table_Query_from_AMULTIQRY45[[#This Row],[LLOC]])</f>
        <v>E1-FG</v>
      </c>
      <c r="Q315" s="10">
        <f t="shared" ca="1" si="9"/>
        <v>45775</v>
      </c>
      <c r="R315" s="10"/>
      <c r="S315" s="28">
        <v>38</v>
      </c>
      <c r="T315" s="1" t="s">
        <v>2</v>
      </c>
      <c r="U315" s="1" t="s">
        <v>356</v>
      </c>
      <c r="V315" s="1">
        <v>20240315</v>
      </c>
      <c r="W315" s="8" t="s">
        <v>8442</v>
      </c>
      <c r="Z315" s="1"/>
      <c r="AA315" s="1"/>
      <c r="AC315" s="1"/>
      <c r="AD315" s="1"/>
      <c r="AE315" s="1"/>
      <c r="AF315" s="1"/>
    </row>
    <row r="316" spans="2:32" ht="12.75" x14ac:dyDescent="0.2">
      <c r="B316" s="1" t="s">
        <v>8822</v>
      </c>
      <c r="C316" s="10">
        <f t="shared" ca="1" si="8"/>
        <v>45762</v>
      </c>
      <c r="D316" s="4"/>
      <c r="E316" s="4" t="s">
        <v>8434</v>
      </c>
      <c r="F316" s="4" t="s">
        <v>1293</v>
      </c>
      <c r="G316" s="4"/>
      <c r="H316" s="4" t="str">
        <f>_xlfn.IFNA(VLOOKUP(Table_Query_from_AMULTIQRY45[[#This Row],[WPROD]],'Part# with New'!$A$1:$B$4347,2,0),Table_Query_from_AMULTIQRY45[[#This Row],[WPROD]])</f>
        <v>WPFS135116150D-PXX00W</v>
      </c>
      <c r="I316" s="4" t="s">
        <v>8436</v>
      </c>
      <c r="J316" s="1" t="s">
        <v>5</v>
      </c>
      <c r="L316" s="11">
        <v>0.62919000000000003</v>
      </c>
      <c r="M316" s="1"/>
      <c r="N316" s="1" t="s">
        <v>357</v>
      </c>
      <c r="P316" s="1" t="str">
        <f>CONCATENATE(Table_Query_from_AMULTIQRY45[[#This Row],[WWHS]],"-",Table_Query_from_AMULTIQRY45[[#This Row],[LLOC]])</f>
        <v>E1-FG</v>
      </c>
      <c r="Q316" s="10">
        <f t="shared" ca="1" si="9"/>
        <v>45775</v>
      </c>
      <c r="R316" s="10"/>
      <c r="S316" s="28">
        <v>101</v>
      </c>
      <c r="T316" s="1" t="s">
        <v>2</v>
      </c>
      <c r="U316" s="1" t="s">
        <v>358</v>
      </c>
      <c r="V316" s="1">
        <v>20250415</v>
      </c>
      <c r="W316" s="8" t="s">
        <v>8442</v>
      </c>
      <c r="Z316" s="1"/>
      <c r="AA316" s="1"/>
      <c r="AC316" s="1"/>
      <c r="AD316" s="1"/>
      <c r="AE316" s="1"/>
      <c r="AF316" s="1"/>
    </row>
    <row r="317" spans="2:32" ht="12.75" x14ac:dyDescent="0.2">
      <c r="B317" s="1" t="s">
        <v>8823</v>
      </c>
      <c r="C317" s="10">
        <f t="shared" ca="1" si="8"/>
        <v>45694</v>
      </c>
      <c r="D317" s="4"/>
      <c r="E317" s="4" t="s">
        <v>8434</v>
      </c>
      <c r="F317" s="4" t="s">
        <v>1293</v>
      </c>
      <c r="G317" s="4"/>
      <c r="H317" s="4" t="str">
        <f>_xlfn.IFNA(VLOOKUP(Table_Query_from_AMULTIQRY45[[#This Row],[WPROD]],'Part# with New'!$A$1:$B$4347,2,0),Table_Query_from_AMULTIQRY45[[#This Row],[WPROD]])</f>
        <v>WPOT099075006D-PXX00W</v>
      </c>
      <c r="I317" s="4" t="s">
        <v>8436</v>
      </c>
      <c r="J317" s="1" t="s">
        <v>5</v>
      </c>
      <c r="L317" s="11">
        <v>8.0310000000000006E-2</v>
      </c>
      <c r="M317" s="1"/>
      <c r="N317" s="1" t="s">
        <v>3</v>
      </c>
      <c r="P317" s="1" t="str">
        <f>CONCATENATE(Table_Query_from_AMULTIQRY45[[#This Row],[WWHS]],"-",Table_Query_from_AMULTIQRY45[[#This Row],[LLOC]])</f>
        <v>E1-FG</v>
      </c>
      <c r="Q317" s="10">
        <f t="shared" ca="1" si="9"/>
        <v>45775</v>
      </c>
      <c r="R317" s="10"/>
      <c r="S317" s="28">
        <v>418</v>
      </c>
      <c r="T317" s="1" t="s">
        <v>2</v>
      </c>
      <c r="U317" s="1" t="s">
        <v>359</v>
      </c>
      <c r="V317" s="1">
        <v>20250206</v>
      </c>
      <c r="W317" s="8" t="s">
        <v>8442</v>
      </c>
      <c r="Z317" s="1"/>
      <c r="AA317" s="1"/>
      <c r="AC317" s="1"/>
      <c r="AD317" s="1"/>
      <c r="AE317" s="1"/>
      <c r="AF317" s="1"/>
    </row>
    <row r="318" spans="2:32" ht="12.75" x14ac:dyDescent="0.2">
      <c r="B318" s="1" t="s">
        <v>8824</v>
      </c>
      <c r="C318" s="10">
        <f t="shared" ca="1" si="8"/>
        <v>45484</v>
      </c>
      <c r="D318" s="4"/>
      <c r="E318" s="4" t="s">
        <v>8434</v>
      </c>
      <c r="F318" s="4" t="s">
        <v>1293</v>
      </c>
      <c r="G318" s="4"/>
      <c r="H318" s="4" t="str">
        <f>_xlfn.IFNA(VLOOKUP(Table_Query_from_AMULTIQRY45[[#This Row],[WPROD]],'Part# with New'!$A$1:$B$4347,2,0),Table_Query_from_AMULTIQRY45[[#This Row],[WPROD]])</f>
        <v>WPSA075057006D-PGX15W</v>
      </c>
      <c r="I318" s="4" t="s">
        <v>8436</v>
      </c>
      <c r="J318" s="1" t="s">
        <v>5</v>
      </c>
      <c r="L318" s="11">
        <v>3.065E-2</v>
      </c>
      <c r="M318" s="1"/>
      <c r="N318" s="1" t="s">
        <v>9</v>
      </c>
      <c r="P318" s="1" t="str">
        <f>CONCATENATE(Table_Query_from_AMULTIQRY45[[#This Row],[WWHS]],"-",Table_Query_from_AMULTIQRY45[[#This Row],[LLOC]])</f>
        <v>E1-FG</v>
      </c>
      <c r="Q318" s="10">
        <f t="shared" ca="1" si="9"/>
        <v>45775</v>
      </c>
      <c r="R318" s="10"/>
      <c r="S318" s="28">
        <v>1450</v>
      </c>
      <c r="T318" s="1" t="s">
        <v>2</v>
      </c>
      <c r="U318" s="1" t="s">
        <v>360</v>
      </c>
      <c r="V318" s="1">
        <v>20240711</v>
      </c>
      <c r="W318" s="8" t="s">
        <v>8442</v>
      </c>
      <c r="Z318" s="1"/>
      <c r="AA318" s="1"/>
      <c r="AC318" s="1"/>
      <c r="AD318" s="1"/>
      <c r="AE318" s="1"/>
      <c r="AF318" s="1"/>
    </row>
    <row r="319" spans="2:32" ht="12.75" x14ac:dyDescent="0.2">
      <c r="B319" s="1" t="s">
        <v>8825</v>
      </c>
      <c r="C319" s="10">
        <f t="shared" ca="1" si="8"/>
        <v>45267</v>
      </c>
      <c r="D319" s="4"/>
      <c r="E319" s="4" t="s">
        <v>8434</v>
      </c>
      <c r="F319" s="4" t="s">
        <v>1293</v>
      </c>
      <c r="G319" s="4"/>
      <c r="H319" s="4" t="str">
        <f>_xlfn.IFNA(VLOOKUP(Table_Query_from_AMULTIQRY45[[#This Row],[WPROD]],'Part# with New'!$A$1:$B$4347,2,0),Table_Query_from_AMULTIQRY45[[#This Row],[WPROD]])</f>
        <v>WPSA075057006D-PXX00W</v>
      </c>
      <c r="I319" s="4" t="s">
        <v>8436</v>
      </c>
      <c r="J319" s="1" t="s">
        <v>5</v>
      </c>
      <c r="L319" s="11">
        <v>3.3759999999999998E-2</v>
      </c>
      <c r="M319" s="1"/>
      <c r="N319" s="1" t="s">
        <v>9</v>
      </c>
      <c r="P319" s="1" t="str">
        <f>CONCATENATE(Table_Query_from_AMULTIQRY45[[#This Row],[WWHS]],"-",Table_Query_from_AMULTIQRY45[[#This Row],[LLOC]])</f>
        <v>E1-FG</v>
      </c>
      <c r="Q319" s="10">
        <f t="shared" ca="1" si="9"/>
        <v>45775</v>
      </c>
      <c r="R319" s="10"/>
      <c r="S319" s="28">
        <v>2835</v>
      </c>
      <c r="T319" s="1" t="s">
        <v>2</v>
      </c>
      <c r="U319" s="1" t="s">
        <v>361</v>
      </c>
      <c r="V319" s="1">
        <v>20231207</v>
      </c>
      <c r="W319" s="8" t="s">
        <v>8442</v>
      </c>
      <c r="Z319" s="1"/>
      <c r="AA319" s="1"/>
      <c r="AC319" s="1"/>
      <c r="AD319" s="1"/>
      <c r="AE319" s="1"/>
      <c r="AF319" s="1"/>
    </row>
    <row r="320" spans="2:32" ht="12.75" x14ac:dyDescent="0.2">
      <c r="B320" s="1" t="s">
        <v>8826</v>
      </c>
      <c r="C320" s="10">
        <f t="shared" ca="1" si="8"/>
        <v>45516</v>
      </c>
      <c r="D320" s="4"/>
      <c r="E320" s="4" t="s">
        <v>8434</v>
      </c>
      <c r="F320" s="4" t="s">
        <v>1293</v>
      </c>
      <c r="G320" s="4"/>
      <c r="H320" s="4" t="str">
        <f>_xlfn.IFNA(VLOOKUP(Table_Query_from_AMULTIQRY45[[#This Row],[WPROD]],'Part# with New'!$A$1:$B$4347,2,0),Table_Query_from_AMULTIQRY45[[#This Row],[WPROD]])</f>
        <v>WPSA075062006D-PXX00W</v>
      </c>
      <c r="I320" s="4" t="s">
        <v>8436</v>
      </c>
      <c r="J320" s="1" t="s">
        <v>5</v>
      </c>
      <c r="L320" s="11">
        <v>4.1549999999999997E-2</v>
      </c>
      <c r="M320" s="1"/>
      <c r="N320" s="1" t="s">
        <v>9</v>
      </c>
      <c r="P320" s="1" t="str">
        <f>CONCATENATE(Table_Query_from_AMULTIQRY45[[#This Row],[WWHS]],"-",Table_Query_from_AMULTIQRY45[[#This Row],[LLOC]])</f>
        <v>E1-FG</v>
      </c>
      <c r="Q320" s="10">
        <f t="shared" ca="1" si="9"/>
        <v>45775</v>
      </c>
      <c r="R320" s="10"/>
      <c r="S320" s="28">
        <v>675</v>
      </c>
      <c r="T320" s="1" t="s">
        <v>2</v>
      </c>
      <c r="U320" s="1" t="s">
        <v>362</v>
      </c>
      <c r="V320" s="1">
        <v>20240812</v>
      </c>
      <c r="W320" s="8" t="s">
        <v>8442</v>
      </c>
      <c r="Z320" s="1"/>
      <c r="AA320" s="1"/>
      <c r="AC320" s="1"/>
      <c r="AD320" s="1"/>
      <c r="AE320" s="1"/>
      <c r="AF320" s="1"/>
    </row>
    <row r="321" spans="2:32" ht="12.75" x14ac:dyDescent="0.2">
      <c r="B321" s="1" t="s">
        <v>8827</v>
      </c>
      <c r="C321" s="10">
        <f t="shared" ca="1" si="8"/>
        <v>45316</v>
      </c>
      <c r="D321" s="4"/>
      <c r="E321" s="4" t="s">
        <v>8434</v>
      </c>
      <c r="F321" s="4" t="s">
        <v>1293</v>
      </c>
      <c r="G321" s="4"/>
      <c r="H321" s="4" t="str">
        <f>_xlfn.IFNA(VLOOKUP(Table_Query_from_AMULTIQRY45[[#This Row],[WPROD]],'Part# with New'!$A$1:$B$4347,2,0),Table_Query_from_AMULTIQRY45[[#This Row],[WPROD]])</f>
        <v>WSMP032028033D-BP05BX</v>
      </c>
      <c r="I321" s="4" t="s">
        <v>8436</v>
      </c>
      <c r="J321" s="1" t="s">
        <v>5</v>
      </c>
      <c r="L321" s="11">
        <v>0.19946</v>
      </c>
      <c r="M321" s="1"/>
      <c r="N321" s="1" t="s">
        <v>6</v>
      </c>
      <c r="P321" s="1" t="str">
        <f>CONCATENATE(Table_Query_from_AMULTIQRY45[[#This Row],[WWHS]],"-",Table_Query_from_AMULTIQRY45[[#This Row],[LLOC]])</f>
        <v>E1-FG</v>
      </c>
      <c r="Q321" s="10">
        <f t="shared" ca="1" si="9"/>
        <v>45775</v>
      </c>
      <c r="R321" s="10"/>
      <c r="S321" s="28">
        <v>3055</v>
      </c>
      <c r="T321" s="1" t="s">
        <v>2</v>
      </c>
      <c r="U321" s="1" t="s">
        <v>363</v>
      </c>
      <c r="V321" s="1">
        <v>20240125</v>
      </c>
      <c r="W321" s="8" t="s">
        <v>8442</v>
      </c>
      <c r="Z321" s="1"/>
      <c r="AA321" s="1"/>
      <c r="AC321" s="1"/>
      <c r="AD321" s="1"/>
      <c r="AE321" s="1"/>
      <c r="AF321" s="1"/>
    </row>
    <row r="322" spans="2:32" ht="12.75" x14ac:dyDescent="0.2">
      <c r="B322" s="1" t="s">
        <v>8828</v>
      </c>
      <c r="C322" s="10">
        <f t="shared" ca="1" si="8"/>
        <v>45743</v>
      </c>
      <c r="D322" s="4"/>
      <c r="E322" s="4" t="s">
        <v>8434</v>
      </c>
      <c r="F322" s="4" t="s">
        <v>1293</v>
      </c>
      <c r="G322" s="4"/>
      <c r="H322" s="4" t="str">
        <f>_xlfn.IFNA(VLOOKUP(Table_Query_from_AMULTIQRY45[[#This Row],[WPROD]],'Part# with New'!$A$1:$B$4347,2,0),Table_Query_from_AMULTIQRY45[[#This Row],[WPROD]])</f>
        <v>WFFL080038018Q-PGX20A</v>
      </c>
      <c r="I322" s="4" t="s">
        <v>8436</v>
      </c>
      <c r="J322" s="1" t="s">
        <v>5</v>
      </c>
      <c r="L322" s="11">
        <v>0.128</v>
      </c>
      <c r="M322" s="1"/>
      <c r="N322" s="1" t="s">
        <v>15</v>
      </c>
      <c r="P322" s="1" t="str">
        <f>CONCATENATE(Table_Query_from_AMULTIQRY45[[#This Row],[WWHS]],"-",Table_Query_from_AMULTIQRY45[[#This Row],[LLOC]])</f>
        <v>E1-FG</v>
      </c>
      <c r="Q322" s="10">
        <f t="shared" ca="1" si="9"/>
        <v>45775</v>
      </c>
      <c r="R322" s="10"/>
      <c r="S322" s="28">
        <v>73</v>
      </c>
      <c r="T322" s="1" t="s">
        <v>2</v>
      </c>
      <c r="U322" s="1" t="s">
        <v>364</v>
      </c>
      <c r="V322" s="1">
        <v>20250327</v>
      </c>
      <c r="W322" s="8" t="s">
        <v>8442</v>
      </c>
      <c r="Z322" s="1"/>
      <c r="AA322" s="1"/>
      <c r="AC322" s="1"/>
      <c r="AD322" s="1"/>
      <c r="AE322" s="1"/>
      <c r="AF322" s="1"/>
    </row>
    <row r="323" spans="2:32" ht="12.75" x14ac:dyDescent="0.2">
      <c r="B323" s="1" t="s">
        <v>8829</v>
      </c>
      <c r="C323" s="10">
        <f t="shared" ca="1" si="8"/>
        <v>45295</v>
      </c>
      <c r="D323" s="4"/>
      <c r="E323" s="4" t="s">
        <v>8434</v>
      </c>
      <c r="F323" s="4" t="s">
        <v>1293</v>
      </c>
      <c r="G323" s="4"/>
      <c r="H323" s="4" t="str">
        <f>_xlfn.IFNA(VLOOKUP(Table_Query_from_AMULTIQRY45[[#This Row],[WPROD]],'Part# with New'!$A$1:$B$4347,2,0),Table_Query_from_AMULTIQRY45[[#This Row],[WPROD]])</f>
        <v>WSNC068021012D-PXX00W</v>
      </c>
      <c r="I323" s="4" t="s">
        <v>8436</v>
      </c>
      <c r="J323" s="1" t="s">
        <v>5</v>
      </c>
      <c r="L323" s="11">
        <v>0.51959</v>
      </c>
      <c r="M323" s="1"/>
      <c r="N323" s="1" t="s">
        <v>6</v>
      </c>
      <c r="P323" s="1" t="str">
        <f>CONCATENATE(Table_Query_from_AMULTIQRY45[[#This Row],[WWHS]],"-",Table_Query_from_AMULTIQRY45[[#This Row],[LLOC]])</f>
        <v>E1-FG</v>
      </c>
      <c r="Q323" s="10">
        <f t="shared" ca="1" si="9"/>
        <v>45775</v>
      </c>
      <c r="R323" s="10"/>
      <c r="S323" s="28">
        <v>150</v>
      </c>
      <c r="T323" s="1" t="s">
        <v>2</v>
      </c>
      <c r="U323" s="1" t="s">
        <v>365</v>
      </c>
      <c r="V323" s="1">
        <v>20240104</v>
      </c>
      <c r="W323" s="8" t="s">
        <v>8442</v>
      </c>
      <c r="Z323" s="1"/>
      <c r="AA323" s="1"/>
      <c r="AC323" s="1"/>
      <c r="AD323" s="1"/>
      <c r="AE323" s="1"/>
      <c r="AF323" s="1"/>
    </row>
    <row r="324" spans="2:32" ht="12.75" x14ac:dyDescent="0.2">
      <c r="B324" s="1" t="s">
        <v>8830</v>
      </c>
      <c r="C324" s="10">
        <f t="shared" ca="1" si="8"/>
        <v>45574</v>
      </c>
      <c r="D324" s="4"/>
      <c r="E324" s="4" t="s">
        <v>8434</v>
      </c>
      <c r="F324" s="4" t="s">
        <v>1293</v>
      </c>
      <c r="G324" s="4"/>
      <c r="H324" s="4" t="str">
        <f>_xlfn.IFNA(VLOOKUP(Table_Query_from_AMULTIQRY45[[#This Row],[WPROD]],'Part# with New'!$A$1:$B$4347,2,0),Table_Query_from_AMULTIQRY45[[#This Row],[WPROD]])</f>
        <v>WSNC093025012D-PXX00W</v>
      </c>
      <c r="I324" s="4" t="s">
        <v>8436</v>
      </c>
      <c r="J324" s="1" t="s">
        <v>5</v>
      </c>
      <c r="L324" s="11">
        <v>0.44341999999999998</v>
      </c>
      <c r="M324" s="1"/>
      <c r="N324" s="1" t="s">
        <v>6</v>
      </c>
      <c r="P324" s="1" t="str">
        <f>CONCATENATE(Table_Query_from_AMULTIQRY45[[#This Row],[WWHS]],"-",Table_Query_from_AMULTIQRY45[[#This Row],[LLOC]])</f>
        <v>E1-FG</v>
      </c>
      <c r="Q324" s="10">
        <f t="shared" ca="1" si="9"/>
        <v>45775</v>
      </c>
      <c r="R324" s="10"/>
      <c r="S324" s="28">
        <v>144</v>
      </c>
      <c r="T324" s="1" t="s">
        <v>2</v>
      </c>
      <c r="U324" s="1" t="s">
        <v>366</v>
      </c>
      <c r="V324" s="1">
        <v>20241009</v>
      </c>
      <c r="W324" s="8" t="s">
        <v>8442</v>
      </c>
      <c r="Z324" s="1"/>
      <c r="AA324" s="1"/>
      <c r="AC324" s="1"/>
      <c r="AD324" s="1"/>
      <c r="AE324" s="1"/>
      <c r="AF324" s="1"/>
    </row>
    <row r="325" spans="2:32" ht="12.75" x14ac:dyDescent="0.2">
      <c r="B325" s="1" t="s">
        <v>8831</v>
      </c>
      <c r="C325" s="10">
        <f t="shared" ca="1" si="8"/>
        <v>45572</v>
      </c>
      <c r="D325" s="4"/>
      <c r="E325" s="4" t="s">
        <v>8434</v>
      </c>
      <c r="F325" s="4" t="s">
        <v>1293</v>
      </c>
      <c r="G325" s="4"/>
      <c r="H325" s="4" t="str">
        <f>_xlfn.IFNA(VLOOKUP(Table_Query_from_AMULTIQRY45[[#This Row],[WPROD]],'Part# with New'!$A$1:$B$4347,2,0),Table_Query_from_AMULTIQRY45[[#This Row],[WPROD]])</f>
        <v>WSNC123025012D-PXX00W</v>
      </c>
      <c r="I325" s="4" t="s">
        <v>8436</v>
      </c>
      <c r="J325" s="1" t="s">
        <v>5</v>
      </c>
      <c r="L325" s="11">
        <v>0.46256999999999998</v>
      </c>
      <c r="M325" s="1"/>
      <c r="N325" s="1" t="s">
        <v>6</v>
      </c>
      <c r="P325" s="1" t="str">
        <f>CONCATENATE(Table_Query_from_AMULTIQRY45[[#This Row],[WWHS]],"-",Table_Query_from_AMULTIQRY45[[#This Row],[LLOC]])</f>
        <v>E1-FG</v>
      </c>
      <c r="Q325" s="10">
        <f t="shared" ca="1" si="9"/>
        <v>45775</v>
      </c>
      <c r="R325" s="10"/>
      <c r="S325" s="28">
        <v>69</v>
      </c>
      <c r="T325" s="1" t="s">
        <v>2</v>
      </c>
      <c r="U325" s="1" t="s">
        <v>367</v>
      </c>
      <c r="V325" s="1">
        <v>20241007</v>
      </c>
      <c r="W325" s="8" t="s">
        <v>8442</v>
      </c>
      <c r="Z325" s="1"/>
      <c r="AA325" s="1"/>
      <c r="AC325" s="1"/>
      <c r="AD325" s="1"/>
      <c r="AE325" s="1"/>
      <c r="AF325" s="1"/>
    </row>
    <row r="326" spans="2:32" ht="12.75" x14ac:dyDescent="0.2">
      <c r="B326" s="1" t="s">
        <v>8832</v>
      </c>
      <c r="C326" s="10">
        <f t="shared" ca="1" si="8"/>
        <v>45428</v>
      </c>
      <c r="D326" s="4"/>
      <c r="E326" s="4" t="s">
        <v>8434</v>
      </c>
      <c r="F326" s="4" t="s">
        <v>1293</v>
      </c>
      <c r="G326" s="4"/>
      <c r="H326" s="4" t="str">
        <f>_xlfn.IFNA(VLOOKUP(Table_Query_from_AMULTIQRY45[[#This Row],[WPROD]],'Part# with New'!$A$1:$B$4347,2,0),Table_Query_from_AMULTIQRY45[[#This Row],[WPROD]])</f>
        <v>WSNC150031018D-PXX00W</v>
      </c>
      <c r="I326" s="4" t="s">
        <v>8436</v>
      </c>
      <c r="J326" s="1" t="s">
        <v>5</v>
      </c>
      <c r="L326" s="11">
        <v>0.62880000000000003</v>
      </c>
      <c r="M326" s="1"/>
      <c r="N326" s="1" t="s">
        <v>6</v>
      </c>
      <c r="P326" s="1" t="str">
        <f>CONCATENATE(Table_Query_from_AMULTIQRY45[[#This Row],[WWHS]],"-",Table_Query_from_AMULTIQRY45[[#This Row],[LLOC]])</f>
        <v>E1-FG</v>
      </c>
      <c r="Q326" s="10">
        <f t="shared" ca="1" si="9"/>
        <v>45775</v>
      </c>
      <c r="R326" s="10"/>
      <c r="S326" s="28">
        <v>71</v>
      </c>
      <c r="T326" s="1" t="s">
        <v>2</v>
      </c>
      <c r="U326" s="1" t="s">
        <v>368</v>
      </c>
      <c r="V326" s="1">
        <v>20240516</v>
      </c>
      <c r="W326" s="8" t="s">
        <v>8442</v>
      </c>
      <c r="Z326" s="1"/>
      <c r="AA326" s="1"/>
      <c r="AC326" s="1"/>
      <c r="AD326" s="1"/>
      <c r="AE326" s="1"/>
      <c r="AF326" s="1"/>
    </row>
    <row r="327" spans="2:32" ht="12.75" x14ac:dyDescent="0.2">
      <c r="B327" s="1" t="s">
        <v>8833</v>
      </c>
      <c r="C327" s="10">
        <f t="shared" ref="C327:C390" ca="1" si="10">IFERROR(DATE(LEFT($V327,4),MID($V327,5,2),RIGHT($V327,2)),TODAY())</f>
        <v>45636</v>
      </c>
      <c r="D327" s="4"/>
      <c r="E327" s="4" t="s">
        <v>8434</v>
      </c>
      <c r="F327" s="4" t="s">
        <v>1293</v>
      </c>
      <c r="G327" s="4"/>
      <c r="H327" s="4" t="str">
        <f>_xlfn.IFNA(VLOOKUP(Table_Query_from_AMULTIQRY45[[#This Row],[WPROD]],'Part# with New'!$A$1:$B$4347,2,0),Table_Query_from_AMULTIQRY45[[#This Row],[WPROD]])</f>
        <v>WSNC175050018D-PXX00W</v>
      </c>
      <c r="I327" s="4" t="s">
        <v>8436</v>
      </c>
      <c r="J327" s="1" t="s">
        <v>5</v>
      </c>
      <c r="L327" s="11">
        <v>0.69599999999999995</v>
      </c>
      <c r="M327" s="1"/>
      <c r="N327" s="1" t="s">
        <v>6</v>
      </c>
      <c r="P327" s="1" t="str">
        <f>CONCATENATE(Table_Query_from_AMULTIQRY45[[#This Row],[WWHS]],"-",Table_Query_from_AMULTIQRY45[[#This Row],[LLOC]])</f>
        <v>E1-FG</v>
      </c>
      <c r="Q327" s="10">
        <f t="shared" ref="Q327:Q390" ca="1" si="11">+TODAY()</f>
        <v>45775</v>
      </c>
      <c r="R327" s="10"/>
      <c r="S327" s="28">
        <v>24</v>
      </c>
      <c r="T327" s="1" t="s">
        <v>2</v>
      </c>
      <c r="U327" s="1" t="s">
        <v>369</v>
      </c>
      <c r="V327" s="1">
        <v>20241210</v>
      </c>
      <c r="W327" s="8" t="s">
        <v>8442</v>
      </c>
      <c r="Z327" s="1"/>
      <c r="AA327" s="1"/>
      <c r="AC327" s="1"/>
      <c r="AD327" s="1"/>
      <c r="AE327" s="1"/>
      <c r="AF327" s="1"/>
    </row>
    <row r="328" spans="2:32" ht="12.75" x14ac:dyDescent="0.2">
      <c r="B328" s="1" t="s">
        <v>8834</v>
      </c>
      <c r="C328" s="10">
        <f t="shared" ca="1" si="10"/>
        <v>45755</v>
      </c>
      <c r="D328" s="4"/>
      <c r="E328" s="4" t="s">
        <v>8434</v>
      </c>
      <c r="F328" s="4" t="s">
        <v>1293</v>
      </c>
      <c r="G328" s="4"/>
      <c r="H328" s="4" t="str">
        <f>_xlfn.IFNA(VLOOKUP(Table_Query_from_AMULTIQRY45[[#This Row],[WPROD]],'Part# with New'!$A$1:$B$4347,2,0),Table_Query_from_AMULTIQRY45[[#This Row],[WPROD]])</f>
        <v>WSNC228051025D-PXX00W</v>
      </c>
      <c r="I328" s="4" t="s">
        <v>8436</v>
      </c>
      <c r="J328" s="1" t="s">
        <v>5</v>
      </c>
      <c r="L328" s="11">
        <v>1.2358800000000001</v>
      </c>
      <c r="M328" s="1"/>
      <c r="N328" s="1" t="s">
        <v>6</v>
      </c>
      <c r="P328" s="1" t="str">
        <f>CONCATENATE(Table_Query_from_AMULTIQRY45[[#This Row],[WWHS]],"-",Table_Query_from_AMULTIQRY45[[#This Row],[LLOC]])</f>
        <v>E1-FG</v>
      </c>
      <c r="Q328" s="10">
        <f t="shared" ca="1" si="11"/>
        <v>45775</v>
      </c>
      <c r="R328" s="10"/>
      <c r="S328" s="28">
        <v>27</v>
      </c>
      <c r="T328" s="1" t="s">
        <v>2</v>
      </c>
      <c r="U328" s="1" t="s">
        <v>370</v>
      </c>
      <c r="V328" s="1">
        <v>20250408</v>
      </c>
      <c r="W328" s="8" t="s">
        <v>8442</v>
      </c>
      <c r="Z328" s="1"/>
      <c r="AA328" s="1"/>
      <c r="AC328" s="1"/>
      <c r="AD328" s="1"/>
      <c r="AE328" s="1"/>
      <c r="AF328" s="1"/>
    </row>
    <row r="329" spans="2:32" ht="12.75" x14ac:dyDescent="0.2">
      <c r="B329" s="1" t="s">
        <v>8835</v>
      </c>
      <c r="C329" s="10">
        <f t="shared" ca="1" si="10"/>
        <v>45702</v>
      </c>
      <c r="D329" s="4"/>
      <c r="E329" s="4" t="s">
        <v>8434</v>
      </c>
      <c r="F329" s="4" t="s">
        <v>1293</v>
      </c>
      <c r="G329" s="4"/>
      <c r="H329" s="4" t="str">
        <f>_xlfn.IFNA(VLOOKUP(Table_Query_from_AMULTIQRY45[[#This Row],[WPROD]],'Part# with New'!$A$1:$B$4347,2,0),Table_Query_from_AMULTIQRY45[[#This Row],[WPROD]])</f>
        <v>WFFB125088016D-PGX15W</v>
      </c>
      <c r="I329" s="4" t="s">
        <v>8436</v>
      </c>
      <c r="J329" s="1" t="s">
        <v>5</v>
      </c>
      <c r="L329" s="11">
        <v>0.13321</v>
      </c>
      <c r="M329" s="1"/>
      <c r="N329" s="1" t="s">
        <v>348</v>
      </c>
      <c r="P329" s="1" t="str">
        <f>CONCATENATE(Table_Query_from_AMULTIQRY45[[#This Row],[WWHS]],"-",Table_Query_from_AMULTIQRY45[[#This Row],[LLOC]])</f>
        <v>E1-FG</v>
      </c>
      <c r="Q329" s="10">
        <f t="shared" ca="1" si="11"/>
        <v>45775</v>
      </c>
      <c r="R329" s="10"/>
      <c r="S329" s="28">
        <v>710</v>
      </c>
      <c r="T329" s="1" t="s">
        <v>2</v>
      </c>
      <c r="U329" s="1" t="s">
        <v>371</v>
      </c>
      <c r="V329" s="1">
        <v>20250214</v>
      </c>
      <c r="W329" s="8" t="s">
        <v>8442</v>
      </c>
      <c r="Z329" s="1"/>
      <c r="AA329" s="1"/>
      <c r="AC329" s="1"/>
      <c r="AD329" s="1"/>
      <c r="AE329" s="1"/>
      <c r="AF329" s="1"/>
    </row>
    <row r="330" spans="2:32" ht="12.75" x14ac:dyDescent="0.2">
      <c r="B330" s="1" t="s">
        <v>8836</v>
      </c>
      <c r="C330" s="10">
        <f t="shared" ca="1" si="10"/>
        <v>44560</v>
      </c>
      <c r="D330" s="4"/>
      <c r="E330" s="4" t="s">
        <v>8434</v>
      </c>
      <c r="F330" s="4" t="s">
        <v>1293</v>
      </c>
      <c r="G330" s="4"/>
      <c r="H330" s="4" t="str">
        <f>_xlfn.IFNA(VLOOKUP(Table_Query_from_AMULTIQRY45[[#This Row],[WPROD]],'Part# with New'!$A$1:$B$4347,2,0),Table_Query_from_AMULTIQRY45[[#This Row],[WPROD]])</f>
        <v>WFFL044031015D-PXX00W</v>
      </c>
      <c r="I330" s="4" t="s">
        <v>8436</v>
      </c>
      <c r="J330" s="1" t="s">
        <v>5</v>
      </c>
      <c r="L330" s="11">
        <v>5.4429999999999999E-2</v>
      </c>
      <c r="M330" s="1"/>
      <c r="N330" s="1" t="s">
        <v>346</v>
      </c>
      <c r="P330" s="1" t="str">
        <f>CONCATENATE(Table_Query_from_AMULTIQRY45[[#This Row],[WWHS]],"-",Table_Query_from_AMULTIQRY45[[#This Row],[LLOC]])</f>
        <v>E1-FG</v>
      </c>
      <c r="Q330" s="10">
        <f t="shared" ca="1" si="11"/>
        <v>45775</v>
      </c>
      <c r="R330" s="10"/>
      <c r="S330" s="28">
        <v>590</v>
      </c>
      <c r="T330" s="1" t="s">
        <v>2</v>
      </c>
      <c r="U330" s="1" t="s">
        <v>372</v>
      </c>
      <c r="V330" s="1">
        <v>20211230</v>
      </c>
      <c r="W330" s="8" t="s">
        <v>8442</v>
      </c>
      <c r="Z330" s="1"/>
      <c r="AA330" s="1"/>
      <c r="AC330" s="1"/>
      <c r="AD330" s="1"/>
      <c r="AE330" s="1"/>
      <c r="AF330" s="1"/>
    </row>
    <row r="331" spans="2:32" ht="12.75" x14ac:dyDescent="0.2">
      <c r="B331" s="1" t="s">
        <v>8837</v>
      </c>
      <c r="C331" s="10">
        <f t="shared" ca="1" si="10"/>
        <v>45764</v>
      </c>
      <c r="D331" s="4"/>
      <c r="E331" s="4" t="s">
        <v>8434</v>
      </c>
      <c r="F331" s="4" t="s">
        <v>1293</v>
      </c>
      <c r="G331" s="4"/>
      <c r="H331" s="4" t="str">
        <f>_xlfn.IFNA(VLOOKUP(Table_Query_from_AMULTIQRY45[[#This Row],[WPROD]],'Part# with New'!$A$1:$B$4347,2,0),Table_Query_from_AMULTIQRY45[[#This Row],[WPROD]])</f>
        <v>WPSA051039005Q-PXX00W</v>
      </c>
      <c r="I331" s="4" t="s">
        <v>8436</v>
      </c>
      <c r="J331" s="1" t="s">
        <v>5</v>
      </c>
      <c r="L331" s="11">
        <v>3.099E-2</v>
      </c>
      <c r="M331" s="1"/>
      <c r="N331" s="1" t="s">
        <v>9</v>
      </c>
      <c r="P331" s="1" t="str">
        <f>CONCATENATE(Table_Query_from_AMULTIQRY45[[#This Row],[WWHS]],"-",Table_Query_from_AMULTIQRY45[[#This Row],[LLOC]])</f>
        <v>E1-FG</v>
      </c>
      <c r="Q331" s="10">
        <f t="shared" ca="1" si="11"/>
        <v>45775</v>
      </c>
      <c r="R331" s="10"/>
      <c r="S331" s="28">
        <v>20100</v>
      </c>
      <c r="T331" s="1" t="s">
        <v>2</v>
      </c>
      <c r="U331" s="1" t="s">
        <v>373</v>
      </c>
      <c r="V331" s="1">
        <v>20250417</v>
      </c>
      <c r="W331" s="8" t="s">
        <v>8442</v>
      </c>
      <c r="Z331" s="1"/>
      <c r="AA331" s="1"/>
      <c r="AC331" s="1"/>
      <c r="AD331" s="1"/>
      <c r="AE331" s="1"/>
      <c r="AF331" s="1"/>
    </row>
    <row r="332" spans="2:32" ht="12.75" x14ac:dyDescent="0.2">
      <c r="B332" s="1" t="s">
        <v>8838</v>
      </c>
      <c r="C332" s="10">
        <f t="shared" ca="1" si="10"/>
        <v>45772</v>
      </c>
      <c r="D332" s="4"/>
      <c r="E332" s="4" t="s">
        <v>8434</v>
      </c>
      <c r="F332" s="4" t="s">
        <v>1293</v>
      </c>
      <c r="G332" s="4"/>
      <c r="H332" s="4" t="str">
        <f>_xlfn.IFNA(VLOOKUP(Table_Query_from_AMULTIQRY45[[#This Row],[WPROD]],'Part# with New'!$A$1:$B$4347,2,0),Table_Query_from_AMULTIQRY45[[#This Row],[WPROD]])</f>
        <v>WFFL062037012D-PGX15W</v>
      </c>
      <c r="I332" s="4" t="s">
        <v>8436</v>
      </c>
      <c r="J332" s="1" t="s">
        <v>5</v>
      </c>
      <c r="L332" s="11">
        <v>6.2950000000000006E-2</v>
      </c>
      <c r="M332" s="1"/>
      <c r="N332" s="1" t="s">
        <v>348</v>
      </c>
      <c r="P332" s="1" t="str">
        <f>CONCATENATE(Table_Query_from_AMULTIQRY45[[#This Row],[WWHS]],"-",Table_Query_from_AMULTIQRY45[[#This Row],[LLOC]])</f>
        <v>E1-FG</v>
      </c>
      <c r="Q332" s="10">
        <f t="shared" ca="1" si="11"/>
        <v>45775</v>
      </c>
      <c r="R332" s="10"/>
      <c r="S332" s="28">
        <v>3967</v>
      </c>
      <c r="T332" s="1" t="s">
        <v>2</v>
      </c>
      <c r="U332" s="1" t="s">
        <v>374</v>
      </c>
      <c r="V332" s="1">
        <v>20250425</v>
      </c>
      <c r="W332" s="8" t="s">
        <v>8442</v>
      </c>
      <c r="Z332" s="1"/>
      <c r="AA332" s="1"/>
      <c r="AC332" s="1"/>
      <c r="AD332" s="1"/>
      <c r="AE332" s="1"/>
      <c r="AF332" s="1"/>
    </row>
    <row r="333" spans="2:32" ht="12.75" x14ac:dyDescent="0.2">
      <c r="B333" s="1" t="s">
        <v>8839</v>
      </c>
      <c r="C333" s="10">
        <f t="shared" ca="1" si="10"/>
        <v>45701</v>
      </c>
      <c r="D333" s="4"/>
      <c r="E333" s="4" t="s">
        <v>8434</v>
      </c>
      <c r="F333" s="4" t="s">
        <v>1293</v>
      </c>
      <c r="G333" s="4"/>
      <c r="H333" s="4" t="str">
        <f>_xlfn.IFNA(VLOOKUP(Table_Query_from_AMULTIQRY45[[#This Row],[WPROD]],'Part# with New'!$A$1:$B$4347,2,0),Table_Query_from_AMULTIQRY45[[#This Row],[WPROD]])</f>
        <v>WFFB150106019D-PGX15W</v>
      </c>
      <c r="I333" s="4" t="s">
        <v>8436</v>
      </c>
      <c r="J333" s="1" t="s">
        <v>5</v>
      </c>
      <c r="L333" s="11">
        <v>0.22305</v>
      </c>
      <c r="M333" s="1"/>
      <c r="N333" s="1" t="s">
        <v>348</v>
      </c>
      <c r="P333" s="1" t="str">
        <f>CONCATENATE(Table_Query_from_AMULTIQRY45[[#This Row],[WWHS]],"-",Table_Query_from_AMULTIQRY45[[#This Row],[LLOC]])</f>
        <v>E1-FG</v>
      </c>
      <c r="Q333" s="10">
        <f t="shared" ca="1" si="11"/>
        <v>45775</v>
      </c>
      <c r="R333" s="10"/>
      <c r="S333" s="28">
        <v>190</v>
      </c>
      <c r="T333" s="1" t="s">
        <v>2</v>
      </c>
      <c r="U333" s="1" t="s">
        <v>375</v>
      </c>
      <c r="V333" s="1">
        <v>20250213</v>
      </c>
      <c r="W333" s="8" t="s">
        <v>8442</v>
      </c>
      <c r="Z333" s="1"/>
      <c r="AA333" s="1"/>
      <c r="AC333" s="1"/>
      <c r="AD333" s="1"/>
      <c r="AE333" s="1"/>
      <c r="AF333" s="1"/>
    </row>
    <row r="334" spans="2:32" ht="12.75" x14ac:dyDescent="0.2">
      <c r="B334" s="1" t="s">
        <v>8840</v>
      </c>
      <c r="C334" s="10">
        <f t="shared" ca="1" si="10"/>
        <v>45560</v>
      </c>
      <c r="D334" s="4"/>
      <c r="E334" s="4" t="s">
        <v>8434</v>
      </c>
      <c r="F334" s="4" t="s">
        <v>1293</v>
      </c>
      <c r="G334" s="4"/>
      <c r="H334" s="4" t="str">
        <f>_xlfn.IFNA(VLOOKUP(Table_Query_from_AMULTIQRY45[[#This Row],[WPROD]],'Part# with New'!$A$1:$B$4347,2,0),Table_Query_from_AMULTIQRY45[[#This Row],[WPROD]])</f>
        <v>WFFH213157022D-PGX15W</v>
      </c>
      <c r="I334" s="4" t="s">
        <v>8436</v>
      </c>
      <c r="J334" s="1" t="s">
        <v>5</v>
      </c>
      <c r="L334" s="11">
        <v>0.43865999999999999</v>
      </c>
      <c r="M334" s="1"/>
      <c r="N334" s="1" t="s">
        <v>348</v>
      </c>
      <c r="P334" s="1" t="str">
        <f>CONCATENATE(Table_Query_from_AMULTIQRY45[[#This Row],[WWHS]],"-",Table_Query_from_AMULTIQRY45[[#This Row],[LLOC]])</f>
        <v>E1-FG</v>
      </c>
      <c r="Q334" s="10">
        <f t="shared" ca="1" si="11"/>
        <v>45775</v>
      </c>
      <c r="R334" s="10"/>
      <c r="S334" s="28">
        <v>660</v>
      </c>
      <c r="T334" s="1" t="s">
        <v>2</v>
      </c>
      <c r="U334" s="1" t="s">
        <v>376</v>
      </c>
      <c r="V334" s="1">
        <v>20240925</v>
      </c>
      <c r="W334" s="8" t="s">
        <v>8442</v>
      </c>
      <c r="Z334" s="1"/>
      <c r="AA334" s="1"/>
      <c r="AC334" s="1"/>
      <c r="AD334" s="1"/>
      <c r="AE334" s="1"/>
      <c r="AF334" s="1"/>
    </row>
    <row r="335" spans="2:32" ht="12.75" x14ac:dyDescent="0.2">
      <c r="B335" s="1" t="s">
        <v>8841</v>
      </c>
      <c r="C335" s="10">
        <f t="shared" ca="1" si="10"/>
        <v>44540</v>
      </c>
      <c r="D335" s="4"/>
      <c r="E335" s="4" t="s">
        <v>8434</v>
      </c>
      <c r="F335" s="4" t="s">
        <v>1293</v>
      </c>
      <c r="G335" s="4"/>
      <c r="H335" s="4" t="str">
        <f>_xlfn.IFNA(VLOOKUP(Table_Query_from_AMULTIQRY45[[#This Row],[WPROD]],'Part# with New'!$A$1:$B$4347,2,0),Table_Query_from_AMULTIQRY45[[#This Row],[WPROD]])</f>
        <v>WPSA075060002D-PGX25W</v>
      </c>
      <c r="I335" s="4" t="s">
        <v>8436</v>
      </c>
      <c r="J335" s="1" t="s">
        <v>5</v>
      </c>
      <c r="L335" s="11">
        <v>1.6570000000000001E-2</v>
      </c>
      <c r="M335" s="1"/>
      <c r="N335" s="1" t="s">
        <v>9</v>
      </c>
      <c r="P335" s="1" t="str">
        <f>CONCATENATE(Table_Query_from_AMULTIQRY45[[#This Row],[WWHS]],"-",Table_Query_from_AMULTIQRY45[[#This Row],[LLOC]])</f>
        <v>E1-FG</v>
      </c>
      <c r="Q335" s="10">
        <f t="shared" ca="1" si="11"/>
        <v>45775</v>
      </c>
      <c r="R335" s="10"/>
      <c r="S335" s="28">
        <v>6340</v>
      </c>
      <c r="T335" s="1" t="s">
        <v>2</v>
      </c>
      <c r="U335" s="1" t="s">
        <v>377</v>
      </c>
      <c r="V335" s="1">
        <v>20211210</v>
      </c>
      <c r="W335" s="8" t="s">
        <v>8442</v>
      </c>
      <c r="Z335" s="1"/>
      <c r="AA335" s="1"/>
      <c r="AC335" s="1"/>
      <c r="AD335" s="1"/>
      <c r="AE335" s="1"/>
      <c r="AF335" s="1"/>
    </row>
    <row r="336" spans="2:32" ht="12.75" x14ac:dyDescent="0.2">
      <c r="B336" s="1" t="s">
        <v>8842</v>
      </c>
      <c r="C336" s="10">
        <f t="shared" ca="1" si="10"/>
        <v>45771</v>
      </c>
      <c r="D336" s="4"/>
      <c r="E336" s="4" t="s">
        <v>8434</v>
      </c>
      <c r="F336" s="4" t="s">
        <v>1293</v>
      </c>
      <c r="G336" s="4"/>
      <c r="H336" s="4" t="str">
        <f>_xlfn.IFNA(VLOOKUP(Table_Query_from_AMULTIQRY45[[#This Row],[WPROD]],'Part# with New'!$A$1:$B$4347,2,0),Table_Query_from_AMULTIQRY45[[#This Row],[WPROD]])</f>
        <v>WFFL080059023D-PXX00W</v>
      </c>
      <c r="I336" s="4" t="s">
        <v>8436</v>
      </c>
      <c r="J336" s="1" t="s">
        <v>5</v>
      </c>
      <c r="L336" s="11">
        <v>8.9209999999999998E-2</v>
      </c>
      <c r="M336" s="1"/>
      <c r="N336" s="1" t="s">
        <v>346</v>
      </c>
      <c r="P336" s="1" t="str">
        <f>CONCATENATE(Table_Query_from_AMULTIQRY45[[#This Row],[WWHS]],"-",Table_Query_from_AMULTIQRY45[[#This Row],[LLOC]])</f>
        <v>E1-FG</v>
      </c>
      <c r="Q336" s="10">
        <f t="shared" ca="1" si="11"/>
        <v>45775</v>
      </c>
      <c r="R336" s="10"/>
      <c r="S336" s="28">
        <v>2876</v>
      </c>
      <c r="T336" s="1" t="s">
        <v>2</v>
      </c>
      <c r="U336" s="1" t="s">
        <v>378</v>
      </c>
      <c r="V336" s="1">
        <v>20250424</v>
      </c>
      <c r="W336" s="8" t="s">
        <v>8442</v>
      </c>
      <c r="Z336" s="1"/>
      <c r="AA336" s="1"/>
      <c r="AC336" s="1"/>
      <c r="AD336" s="1"/>
      <c r="AE336" s="1"/>
      <c r="AF336" s="1"/>
    </row>
    <row r="337" spans="2:32" ht="12.75" x14ac:dyDescent="0.2">
      <c r="B337" s="1" t="s">
        <v>8843</v>
      </c>
      <c r="C337" s="10">
        <f t="shared" ca="1" si="10"/>
        <v>45768</v>
      </c>
      <c r="D337" s="4"/>
      <c r="E337" s="4" t="s">
        <v>8434</v>
      </c>
      <c r="F337" s="4" t="s">
        <v>1293</v>
      </c>
      <c r="G337" s="4"/>
      <c r="H337" s="4" t="str">
        <f>_xlfn.IFNA(VLOOKUP(Table_Query_from_AMULTIQRY45[[#This Row],[WPROD]],'Part# with New'!$A$1:$B$4347,2,0),Table_Query_from_AMULTIQRY45[[#This Row],[WPROD]])</f>
        <v>WPST050043001D-PXX00W</v>
      </c>
      <c r="I337" s="4" t="s">
        <v>8436</v>
      </c>
      <c r="J337" s="1" t="s">
        <v>5</v>
      </c>
      <c r="L337" s="11">
        <v>2.512E-2</v>
      </c>
      <c r="M337" s="1"/>
      <c r="N337" s="1" t="s">
        <v>379</v>
      </c>
      <c r="P337" s="1" t="str">
        <f>CONCATENATE(Table_Query_from_AMULTIQRY45[[#This Row],[WWHS]],"-",Table_Query_from_AMULTIQRY45[[#This Row],[LLOC]])</f>
        <v>E1-FG</v>
      </c>
      <c r="Q337" s="10">
        <f t="shared" ca="1" si="11"/>
        <v>45775</v>
      </c>
      <c r="R337" s="10"/>
      <c r="S337" s="28">
        <v>11456</v>
      </c>
      <c r="T337" s="1" t="s">
        <v>2</v>
      </c>
      <c r="U337" s="1" t="s">
        <v>380</v>
      </c>
      <c r="V337" s="1">
        <v>20250421</v>
      </c>
      <c r="W337" s="8" t="s">
        <v>8442</v>
      </c>
      <c r="Z337" s="1"/>
      <c r="AA337" s="1"/>
      <c r="AC337" s="1"/>
      <c r="AD337" s="1"/>
      <c r="AE337" s="1"/>
      <c r="AF337" s="1"/>
    </row>
    <row r="338" spans="2:32" ht="12.75" x14ac:dyDescent="0.2">
      <c r="B338" s="1" t="s">
        <v>8844</v>
      </c>
      <c r="C338" s="10">
        <f t="shared" ca="1" si="10"/>
        <v>45758</v>
      </c>
      <c r="D338" s="4"/>
      <c r="E338" s="4" t="s">
        <v>8434</v>
      </c>
      <c r="F338" s="4" t="s">
        <v>1293</v>
      </c>
      <c r="G338" s="4"/>
      <c r="H338" s="4" t="str">
        <f>_xlfn.IFNA(VLOOKUP(Table_Query_from_AMULTIQRY45[[#This Row],[WPROD]],'Part# with New'!$A$1:$B$4347,2,0),Table_Query_from_AMULTIQRY45[[#This Row],[WPROD]])</f>
        <v>WPSA050036010D-PGX20A</v>
      </c>
      <c r="I338" s="4" t="s">
        <v>8436</v>
      </c>
      <c r="J338" s="1" t="s">
        <v>5</v>
      </c>
      <c r="L338" s="11">
        <v>5.2359999999999997E-2</v>
      </c>
      <c r="M338" s="1"/>
      <c r="N338" s="1" t="s">
        <v>9</v>
      </c>
      <c r="P338" s="1" t="str">
        <f>CONCATENATE(Table_Query_from_AMULTIQRY45[[#This Row],[WWHS]],"-",Table_Query_from_AMULTIQRY45[[#This Row],[LLOC]])</f>
        <v>E1-FG</v>
      </c>
      <c r="Q338" s="10">
        <f t="shared" ca="1" si="11"/>
        <v>45775</v>
      </c>
      <c r="R338" s="10"/>
      <c r="S338" s="28">
        <v>2257</v>
      </c>
      <c r="T338" s="1" t="s">
        <v>2</v>
      </c>
      <c r="U338" s="1" t="s">
        <v>381</v>
      </c>
      <c r="V338" s="1">
        <v>20250411</v>
      </c>
      <c r="W338" s="8" t="s">
        <v>8442</v>
      </c>
      <c r="Z338" s="1"/>
      <c r="AA338" s="1"/>
      <c r="AC338" s="1"/>
      <c r="AD338" s="1"/>
      <c r="AE338" s="1"/>
      <c r="AF338" s="1"/>
    </row>
    <row r="339" spans="2:32" ht="12.75" x14ac:dyDescent="0.2">
      <c r="B339" s="1" t="s">
        <v>8845</v>
      </c>
      <c r="C339" s="10">
        <f t="shared" ca="1" si="10"/>
        <v>45737</v>
      </c>
      <c r="D339" s="4"/>
      <c r="E339" s="4" t="s">
        <v>8434</v>
      </c>
      <c r="F339" s="4" t="s">
        <v>1293</v>
      </c>
      <c r="G339" s="4"/>
      <c r="H339" s="4" t="str">
        <f>_xlfn.IFNA(VLOOKUP(Table_Query_from_AMULTIQRY45[[#This Row],[WPROD]],'Part# with New'!$A$1:$B$4347,2,0),Table_Query_from_AMULTIQRY45[[#This Row],[WPROD]])</f>
        <v>WPSA063050006Q-PXX00W</v>
      </c>
      <c r="I339" s="4" t="s">
        <v>8436</v>
      </c>
      <c r="J339" s="1" t="s">
        <v>5</v>
      </c>
      <c r="L339" s="11">
        <v>3.9989999999999998E-2</v>
      </c>
      <c r="M339" s="1"/>
      <c r="N339" s="1" t="s">
        <v>9</v>
      </c>
      <c r="P339" s="1" t="str">
        <f>CONCATENATE(Table_Query_from_AMULTIQRY45[[#This Row],[WWHS]],"-",Table_Query_from_AMULTIQRY45[[#This Row],[LLOC]])</f>
        <v>E1-FG</v>
      </c>
      <c r="Q339" s="10">
        <f t="shared" ca="1" si="11"/>
        <v>45775</v>
      </c>
      <c r="R339" s="10"/>
      <c r="S339" s="28">
        <v>10373</v>
      </c>
      <c r="T339" s="1" t="s">
        <v>2</v>
      </c>
      <c r="U339" s="1" t="s">
        <v>382</v>
      </c>
      <c r="V339" s="1">
        <v>20250321</v>
      </c>
      <c r="W339" s="8" t="s">
        <v>8442</v>
      </c>
      <c r="Z339" s="1"/>
      <c r="AA339" s="1"/>
      <c r="AC339" s="1"/>
      <c r="AD339" s="1"/>
      <c r="AE339" s="1"/>
      <c r="AF339" s="1"/>
    </row>
    <row r="340" spans="2:32" ht="12.75" x14ac:dyDescent="0.2">
      <c r="B340" s="1" t="s">
        <v>8846</v>
      </c>
      <c r="C340" s="10">
        <f t="shared" ca="1" si="10"/>
        <v>44295</v>
      </c>
      <c r="D340" s="4"/>
      <c r="E340" s="4" t="s">
        <v>8434</v>
      </c>
      <c r="F340" s="4" t="s">
        <v>1293</v>
      </c>
      <c r="G340" s="4"/>
      <c r="H340" s="4" t="str">
        <f>_xlfn.IFNA(VLOOKUP(Table_Query_from_AMULTIQRY45[[#This Row],[WPROD]],'Part# with New'!$A$1:$B$4347,2,0),Table_Query_from_AMULTIQRY45[[#This Row],[WPROD]])</f>
        <v>WFFB114079015D-PXX00W</v>
      </c>
      <c r="I340" s="4" t="s">
        <v>8436</v>
      </c>
      <c r="J340" s="1" t="s">
        <v>5</v>
      </c>
      <c r="L340" s="11">
        <v>0.14604</v>
      </c>
      <c r="M340" s="1"/>
      <c r="N340" s="1" t="s">
        <v>346</v>
      </c>
      <c r="P340" s="1" t="str">
        <f>CONCATENATE(Table_Query_from_AMULTIQRY45[[#This Row],[WWHS]],"-",Table_Query_from_AMULTIQRY45[[#This Row],[LLOC]])</f>
        <v>E1-FG</v>
      </c>
      <c r="Q340" s="10">
        <f t="shared" ca="1" si="11"/>
        <v>45775</v>
      </c>
      <c r="R340" s="10"/>
      <c r="S340" s="28">
        <v>3225</v>
      </c>
      <c r="T340" s="1" t="s">
        <v>2</v>
      </c>
      <c r="U340" s="1" t="s">
        <v>383</v>
      </c>
      <c r="V340" s="1">
        <v>20210409</v>
      </c>
      <c r="W340" s="8" t="s">
        <v>8442</v>
      </c>
      <c r="Z340" s="1"/>
      <c r="AA340" s="1"/>
      <c r="AC340" s="1"/>
      <c r="AD340" s="1"/>
      <c r="AE340" s="1"/>
      <c r="AF340" s="1"/>
    </row>
    <row r="341" spans="2:32" ht="12.75" x14ac:dyDescent="0.2">
      <c r="B341" s="1" t="s">
        <v>8847</v>
      </c>
      <c r="C341" s="10">
        <f t="shared" ca="1" si="10"/>
        <v>45685</v>
      </c>
      <c r="D341" s="4"/>
      <c r="E341" s="4" t="s">
        <v>8434</v>
      </c>
      <c r="F341" s="4" t="s">
        <v>1293</v>
      </c>
      <c r="G341" s="4"/>
      <c r="H341" s="4" t="str">
        <f>_xlfn.IFNA(VLOOKUP(Table_Query_from_AMULTIQRY45[[#This Row],[WPROD]],'Part# with New'!$A$1:$B$4347,2,0),Table_Query_from_AMULTIQRY45[[#This Row],[WPROD]])</f>
        <v>WPST043038001Q-PGX15W</v>
      </c>
      <c r="I341" s="4" t="s">
        <v>8436</v>
      </c>
      <c r="J341" s="1" t="s">
        <v>5</v>
      </c>
      <c r="L341" s="11">
        <v>1.7999999999999999E-2</v>
      </c>
      <c r="M341" s="1"/>
      <c r="N341" s="1" t="s">
        <v>379</v>
      </c>
      <c r="P341" s="1" t="str">
        <f>CONCATENATE(Table_Query_from_AMULTIQRY45[[#This Row],[WWHS]],"-",Table_Query_from_AMULTIQRY45[[#This Row],[LLOC]])</f>
        <v>E1-FG</v>
      </c>
      <c r="Q341" s="10">
        <f t="shared" ca="1" si="11"/>
        <v>45775</v>
      </c>
      <c r="R341" s="10"/>
      <c r="S341" s="28">
        <v>804</v>
      </c>
      <c r="T341" s="1" t="s">
        <v>2</v>
      </c>
      <c r="U341" s="1" t="s">
        <v>384</v>
      </c>
      <c r="V341" s="1">
        <v>20250128</v>
      </c>
      <c r="W341" s="8" t="s">
        <v>8442</v>
      </c>
      <c r="Z341" s="1"/>
      <c r="AA341" s="1"/>
      <c r="AC341" s="1"/>
      <c r="AD341" s="1"/>
      <c r="AE341" s="1"/>
      <c r="AF341" s="1"/>
    </row>
    <row r="342" spans="2:32" ht="12.75" x14ac:dyDescent="0.2">
      <c r="B342" s="1" t="s">
        <v>8848</v>
      </c>
      <c r="C342" s="10">
        <f t="shared" ca="1" si="10"/>
        <v>45744</v>
      </c>
      <c r="D342" s="4"/>
      <c r="E342" s="4" t="s">
        <v>8434</v>
      </c>
      <c r="F342" s="4" t="s">
        <v>1293</v>
      </c>
      <c r="G342" s="4"/>
      <c r="H342" s="4" t="str">
        <f>_xlfn.IFNA(VLOOKUP(Table_Query_from_AMULTIQRY45[[#This Row],[WPROD]],'Part# with New'!$A$1:$B$4347,2,0),Table_Query_from_AMULTIQRY45[[#This Row],[WPROD]])</f>
        <v>WPST056046009Q-PGX15W</v>
      </c>
      <c r="I342" s="4" t="s">
        <v>8436</v>
      </c>
      <c r="J342" s="1" t="s">
        <v>5</v>
      </c>
      <c r="L342" s="11">
        <v>8.7359999999999993E-2</v>
      </c>
      <c r="M342" s="1"/>
      <c r="N342" s="1" t="s">
        <v>379</v>
      </c>
      <c r="P342" s="1" t="str">
        <f>CONCATENATE(Table_Query_from_AMULTIQRY45[[#This Row],[WWHS]],"-",Table_Query_from_AMULTIQRY45[[#This Row],[LLOC]])</f>
        <v>E1-FG</v>
      </c>
      <c r="Q342" s="10">
        <f t="shared" ca="1" si="11"/>
        <v>45775</v>
      </c>
      <c r="R342" s="10"/>
      <c r="S342" s="28">
        <v>741</v>
      </c>
      <c r="T342" s="1" t="s">
        <v>2</v>
      </c>
      <c r="U342" s="1" t="s">
        <v>385</v>
      </c>
      <c r="V342" s="1">
        <v>20250328</v>
      </c>
      <c r="W342" s="8" t="s">
        <v>8442</v>
      </c>
      <c r="Z342" s="1"/>
      <c r="AA342" s="1"/>
      <c r="AC342" s="1"/>
      <c r="AD342" s="1"/>
      <c r="AE342" s="1"/>
      <c r="AF342" s="1"/>
    </row>
    <row r="343" spans="2:32" ht="12.75" x14ac:dyDescent="0.2">
      <c r="B343" s="1" t="s">
        <v>8849</v>
      </c>
      <c r="C343" s="10">
        <f t="shared" ca="1" si="10"/>
        <v>45751</v>
      </c>
      <c r="D343" s="4"/>
      <c r="E343" s="4" t="s">
        <v>8434</v>
      </c>
      <c r="F343" s="4" t="s">
        <v>1293</v>
      </c>
      <c r="G343" s="4"/>
      <c r="H343" s="4" t="str">
        <f>_xlfn.IFNA(VLOOKUP(Table_Query_from_AMULTIQRY45[[#This Row],[WPROD]],'Part# with New'!$A$1:$B$4347,2,0),Table_Query_from_AMULTIQRY45[[#This Row],[WPROD]])</f>
        <v>WPSM134110008Q-PXX00W</v>
      </c>
      <c r="I343" s="4" t="s">
        <v>8436</v>
      </c>
      <c r="J343" s="1" t="s">
        <v>5</v>
      </c>
      <c r="L343" s="11">
        <v>7.0400000000000004E-2</v>
      </c>
      <c r="M343" s="1"/>
      <c r="N343" s="1" t="s">
        <v>326</v>
      </c>
      <c r="P343" s="1" t="str">
        <f>CONCATENATE(Table_Query_from_AMULTIQRY45[[#This Row],[WWHS]],"-",Table_Query_from_AMULTIQRY45[[#This Row],[LLOC]])</f>
        <v>E1-FG</v>
      </c>
      <c r="Q343" s="10">
        <f t="shared" ca="1" si="11"/>
        <v>45775</v>
      </c>
      <c r="R343" s="10"/>
      <c r="S343" s="28">
        <v>458</v>
      </c>
      <c r="T343" s="1" t="s">
        <v>2</v>
      </c>
      <c r="U343" s="1" t="s">
        <v>386</v>
      </c>
      <c r="V343" s="1">
        <v>20250404</v>
      </c>
      <c r="W343" s="8" t="s">
        <v>8442</v>
      </c>
      <c r="Z343" s="1"/>
      <c r="AA343" s="1"/>
      <c r="AC343" s="1"/>
      <c r="AD343" s="1"/>
      <c r="AE343" s="1"/>
      <c r="AF343" s="1"/>
    </row>
    <row r="344" spans="2:32" ht="12.75" x14ac:dyDescent="0.2">
      <c r="B344" s="1" t="s">
        <v>8850</v>
      </c>
      <c r="C344" s="10">
        <f t="shared" ca="1" si="10"/>
        <v>45769</v>
      </c>
      <c r="D344" s="4"/>
      <c r="E344" s="4" t="s">
        <v>8434</v>
      </c>
      <c r="F344" s="4" t="s">
        <v>1293</v>
      </c>
      <c r="G344" s="4"/>
      <c r="H344" s="4" t="str">
        <f>_xlfn.IFNA(VLOOKUP(Table_Query_from_AMULTIQRY45[[#This Row],[WPROD]],'Part# with New'!$A$1:$B$4347,2,0),Table_Query_from_AMULTIQRY45[[#This Row],[WPROD]])</f>
        <v>WPBR106105009Q-TGX15W</v>
      </c>
      <c r="I344" s="4" t="s">
        <v>8436</v>
      </c>
      <c r="J344" s="1" t="s">
        <v>5</v>
      </c>
      <c r="L344" s="11">
        <v>1.1046499999999999</v>
      </c>
      <c r="M344" s="1"/>
      <c r="N344" s="1" t="s">
        <v>315</v>
      </c>
      <c r="P344" s="1" t="str">
        <f>CONCATENATE(Table_Query_from_AMULTIQRY45[[#This Row],[WWHS]],"-",Table_Query_from_AMULTIQRY45[[#This Row],[LLOC]])</f>
        <v>E1-FG</v>
      </c>
      <c r="Q344" s="10">
        <f t="shared" ca="1" si="11"/>
        <v>45775</v>
      </c>
      <c r="R344" s="10"/>
      <c r="S344" s="28">
        <v>10</v>
      </c>
      <c r="T344" s="1" t="s">
        <v>2</v>
      </c>
      <c r="U344" s="1" t="s">
        <v>387</v>
      </c>
      <c r="V344" s="1">
        <v>20250422</v>
      </c>
      <c r="W344" s="8" t="s">
        <v>8442</v>
      </c>
      <c r="Z344" s="1"/>
      <c r="AA344" s="1"/>
      <c r="AC344" s="1"/>
      <c r="AD344" s="1"/>
      <c r="AE344" s="1"/>
      <c r="AF344" s="1"/>
    </row>
    <row r="345" spans="2:32" ht="12.75" x14ac:dyDescent="0.2">
      <c r="B345" s="1" t="s">
        <v>8851</v>
      </c>
      <c r="C345" s="10">
        <f t="shared" ca="1" si="10"/>
        <v>45761</v>
      </c>
      <c r="D345" s="4"/>
      <c r="E345" s="4" t="s">
        <v>8434</v>
      </c>
      <c r="F345" s="4" t="s">
        <v>1293</v>
      </c>
      <c r="G345" s="4"/>
      <c r="H345" s="4" t="str">
        <f>_xlfn.IFNA(VLOOKUP(Table_Query_from_AMULTIQRY45[[#This Row],[WPROD]],'Part# with New'!$A$1:$B$4347,2,0),Table_Query_from_AMULTIQRY45[[#This Row],[WPROD]])</f>
        <v>WPBR113112009Q-TGX15W</v>
      </c>
      <c r="I345" s="4" t="s">
        <v>8436</v>
      </c>
      <c r="J345" s="1" t="s">
        <v>5</v>
      </c>
      <c r="L345" s="11">
        <v>1.1322700000000001</v>
      </c>
      <c r="M345" s="1"/>
      <c r="N345" s="1" t="s">
        <v>315</v>
      </c>
      <c r="P345" s="1" t="str">
        <f>CONCATENATE(Table_Query_from_AMULTIQRY45[[#This Row],[WWHS]],"-",Table_Query_from_AMULTIQRY45[[#This Row],[LLOC]])</f>
        <v>E1-FG</v>
      </c>
      <c r="Q345" s="10">
        <f t="shared" ca="1" si="11"/>
        <v>45775</v>
      </c>
      <c r="R345" s="10"/>
      <c r="S345" s="28">
        <v>17</v>
      </c>
      <c r="T345" s="1" t="s">
        <v>2</v>
      </c>
      <c r="U345" s="1" t="s">
        <v>388</v>
      </c>
      <c r="V345" s="1">
        <v>20250414</v>
      </c>
      <c r="W345" s="8" t="s">
        <v>8442</v>
      </c>
      <c r="Z345" s="1"/>
      <c r="AA345" s="1"/>
      <c r="AC345" s="1"/>
      <c r="AD345" s="1"/>
      <c r="AE345" s="1"/>
      <c r="AF345" s="1"/>
    </row>
    <row r="346" spans="2:32" ht="12.75" x14ac:dyDescent="0.2">
      <c r="B346" s="1" t="s">
        <v>8852</v>
      </c>
      <c r="C346" s="10">
        <f t="shared" ca="1" si="10"/>
        <v>45407</v>
      </c>
      <c r="D346" s="4"/>
      <c r="E346" s="4" t="s">
        <v>8434</v>
      </c>
      <c r="F346" s="4" t="s">
        <v>1293</v>
      </c>
      <c r="G346" s="4"/>
      <c r="H346" s="4" t="str">
        <f>_xlfn.IFNA(VLOOKUP(Table_Query_from_AMULTIQRY45[[#This Row],[WPROD]],'Part# with New'!$A$1:$B$4347,2,0),Table_Query_from_AMULTIQRY45[[#This Row],[WPROD]])</f>
        <v>WPOS031021050S-PGX15W</v>
      </c>
      <c r="I346" s="4" t="s">
        <v>8436</v>
      </c>
      <c r="J346" s="1" t="s">
        <v>5</v>
      </c>
      <c r="L346" s="11">
        <v>0.16839000000000001</v>
      </c>
      <c r="M346" s="1"/>
      <c r="N346" s="1" t="s">
        <v>389</v>
      </c>
      <c r="P346" s="1" t="str">
        <f>CONCATENATE(Table_Query_from_AMULTIQRY45[[#This Row],[WWHS]],"-",Table_Query_from_AMULTIQRY45[[#This Row],[LLOC]])</f>
        <v>E1-FG</v>
      </c>
      <c r="Q346" s="10">
        <f t="shared" ca="1" si="11"/>
        <v>45775</v>
      </c>
      <c r="R346" s="10"/>
      <c r="S346" s="28">
        <v>1093</v>
      </c>
      <c r="T346" s="1" t="s">
        <v>2</v>
      </c>
      <c r="U346" s="1" t="s">
        <v>390</v>
      </c>
      <c r="V346" s="1">
        <v>20240425</v>
      </c>
      <c r="W346" s="8" t="s">
        <v>8442</v>
      </c>
      <c r="Z346" s="1"/>
      <c r="AA346" s="1"/>
      <c r="AC346" s="1"/>
      <c r="AD346" s="1"/>
      <c r="AE346" s="1"/>
      <c r="AF346" s="1"/>
    </row>
    <row r="347" spans="2:32" ht="12.75" x14ac:dyDescent="0.2">
      <c r="B347" s="1" t="s">
        <v>8853</v>
      </c>
      <c r="C347" s="10">
        <f t="shared" ca="1" si="10"/>
        <v>45595</v>
      </c>
      <c r="D347" s="4"/>
      <c r="E347" s="4" t="s">
        <v>8434</v>
      </c>
      <c r="F347" s="4" t="s">
        <v>1293</v>
      </c>
      <c r="G347" s="4"/>
      <c r="H347" s="4" t="str">
        <f>_xlfn.IFNA(VLOOKUP(Table_Query_from_AMULTIQRY45[[#This Row],[WPROD]],'Part# with New'!$A$1:$B$4347,2,0),Table_Query_from_AMULTIQRY45[[#This Row],[WPROD]])</f>
        <v>WPBR118117009Q-TGX15W</v>
      </c>
      <c r="I347" s="4" t="s">
        <v>8436</v>
      </c>
      <c r="J347" s="1" t="s">
        <v>5</v>
      </c>
      <c r="L347" s="11">
        <v>1.1523600000000001</v>
      </c>
      <c r="M347" s="1"/>
      <c r="N347" s="1" t="s">
        <v>315</v>
      </c>
      <c r="P347" s="1" t="str">
        <f>CONCATENATE(Table_Query_from_AMULTIQRY45[[#This Row],[WWHS]],"-",Table_Query_from_AMULTIQRY45[[#This Row],[LLOC]])</f>
        <v>E1-FG</v>
      </c>
      <c r="Q347" s="10">
        <f t="shared" ca="1" si="11"/>
        <v>45775</v>
      </c>
      <c r="R347" s="10"/>
      <c r="S347" s="28">
        <v>25</v>
      </c>
      <c r="T347" s="1" t="s">
        <v>2</v>
      </c>
      <c r="U347" s="1" t="s">
        <v>391</v>
      </c>
      <c r="V347" s="1">
        <v>20241030</v>
      </c>
      <c r="W347" s="8" t="s">
        <v>8442</v>
      </c>
      <c r="Z347" s="1"/>
      <c r="AA347" s="1"/>
      <c r="AC347" s="1"/>
      <c r="AD347" s="1"/>
      <c r="AE347" s="1"/>
      <c r="AF347" s="1"/>
    </row>
    <row r="348" spans="2:32" ht="12.75" x14ac:dyDescent="0.2">
      <c r="B348" s="1" t="s">
        <v>8854</v>
      </c>
      <c r="C348" s="10">
        <f t="shared" ca="1" si="10"/>
        <v>45611</v>
      </c>
      <c r="D348" s="4"/>
      <c r="E348" s="4" t="s">
        <v>8434</v>
      </c>
      <c r="F348" s="4" t="s">
        <v>1293</v>
      </c>
      <c r="G348" s="4"/>
      <c r="H348" s="4" t="str">
        <f>_xlfn.IFNA(VLOOKUP(Table_Query_from_AMULTIQRY45[[#This Row],[WPROD]],'Part# with New'!$A$1:$B$4347,2,0),Table_Query_from_AMULTIQRY45[[#This Row],[WPROD]])</f>
        <v>WSMP566538018Q-PGX15W</v>
      </c>
      <c r="I348" s="4" t="s">
        <v>8436</v>
      </c>
      <c r="J348" s="1" t="s">
        <v>5</v>
      </c>
      <c r="L348" s="11">
        <v>1.7790999999999999</v>
      </c>
      <c r="M348" s="1"/>
      <c r="N348" s="1" t="s">
        <v>18</v>
      </c>
      <c r="P348" s="1" t="str">
        <f>CONCATENATE(Table_Query_from_AMULTIQRY45[[#This Row],[WWHS]],"-",Table_Query_from_AMULTIQRY45[[#This Row],[LLOC]])</f>
        <v>E1-FG</v>
      </c>
      <c r="Q348" s="10">
        <f t="shared" ca="1" si="11"/>
        <v>45775</v>
      </c>
      <c r="R348" s="10"/>
      <c r="S348" s="28">
        <v>34</v>
      </c>
      <c r="T348" s="1" t="s">
        <v>2</v>
      </c>
      <c r="U348" s="1" t="s">
        <v>392</v>
      </c>
      <c r="V348" s="1">
        <v>20241115</v>
      </c>
      <c r="W348" s="8" t="s">
        <v>8442</v>
      </c>
      <c r="Z348" s="1"/>
      <c r="AA348" s="1"/>
      <c r="AC348" s="1"/>
      <c r="AD348" s="1"/>
      <c r="AE348" s="1"/>
      <c r="AF348" s="1"/>
    </row>
    <row r="349" spans="2:32" ht="12.75" x14ac:dyDescent="0.2">
      <c r="B349" s="1" t="s">
        <v>8855</v>
      </c>
      <c r="C349" s="10">
        <f t="shared" ca="1" si="10"/>
        <v>45554</v>
      </c>
      <c r="D349" s="4"/>
      <c r="E349" s="4" t="s">
        <v>8434</v>
      </c>
      <c r="F349" s="4" t="s">
        <v>1293</v>
      </c>
      <c r="G349" s="4"/>
      <c r="H349" s="4" t="str">
        <f>_xlfn.IFNA(VLOOKUP(Table_Query_from_AMULTIQRY45[[#This Row],[WPROD]],'Part# with New'!$A$1:$B$4347,2,0),Table_Query_from_AMULTIQRY45[[#This Row],[WPROD]])</f>
        <v>WPOT226203018Q-PGX25K</v>
      </c>
      <c r="I349" s="4" t="s">
        <v>8436</v>
      </c>
      <c r="J349" s="1" t="s">
        <v>5</v>
      </c>
      <c r="L349" s="11">
        <v>0.55076000000000003</v>
      </c>
      <c r="M349" s="1"/>
      <c r="N349" s="1" t="s">
        <v>326</v>
      </c>
      <c r="P349" s="1" t="str">
        <f>CONCATENATE(Table_Query_from_AMULTIQRY45[[#This Row],[WWHS]],"-",Table_Query_from_AMULTIQRY45[[#This Row],[LLOC]])</f>
        <v>E1-FG</v>
      </c>
      <c r="Q349" s="10">
        <f t="shared" ca="1" si="11"/>
        <v>45775</v>
      </c>
      <c r="R349" s="10"/>
      <c r="S349" s="28">
        <v>100</v>
      </c>
      <c r="T349" s="1" t="s">
        <v>2</v>
      </c>
      <c r="U349" s="1" t="s">
        <v>393</v>
      </c>
      <c r="V349" s="1">
        <v>20240919</v>
      </c>
      <c r="W349" s="8" t="s">
        <v>8442</v>
      </c>
      <c r="Z349" s="1"/>
      <c r="AA349" s="1"/>
      <c r="AC349" s="1"/>
      <c r="AD349" s="1"/>
      <c r="AE349" s="1"/>
      <c r="AF349" s="1"/>
    </row>
    <row r="350" spans="2:32" ht="12.75" x14ac:dyDescent="0.2">
      <c r="B350" s="1" t="s">
        <v>8856</v>
      </c>
      <c r="C350" s="10">
        <f t="shared" ca="1" si="10"/>
        <v>45758</v>
      </c>
      <c r="D350" s="4"/>
      <c r="E350" s="4" t="s">
        <v>8434</v>
      </c>
      <c r="F350" s="4" t="s">
        <v>1293</v>
      </c>
      <c r="G350" s="4"/>
      <c r="H350" s="4" t="str">
        <f>_xlfn.IFNA(VLOOKUP(Table_Query_from_AMULTIQRY45[[#This Row],[WPROD]],'Part# with New'!$A$1:$B$4347,2,0),Table_Query_from_AMULTIQRY45[[#This Row],[WPROD]])</f>
        <v>WPOT326303017Q-PGX25K</v>
      </c>
      <c r="I350" s="4" t="s">
        <v>8436</v>
      </c>
      <c r="J350" s="1" t="s">
        <v>5</v>
      </c>
      <c r="L350" s="11">
        <v>0.62446000000000002</v>
      </c>
      <c r="M350" s="1"/>
      <c r="N350" s="1" t="s">
        <v>6</v>
      </c>
      <c r="P350" s="1" t="str">
        <f>CONCATENATE(Table_Query_from_AMULTIQRY45[[#This Row],[WWHS]],"-",Table_Query_from_AMULTIQRY45[[#This Row],[LLOC]])</f>
        <v>E1-FG</v>
      </c>
      <c r="Q350" s="10">
        <f t="shared" ca="1" si="11"/>
        <v>45775</v>
      </c>
      <c r="R350" s="10"/>
      <c r="S350" s="28">
        <v>14</v>
      </c>
      <c r="T350" s="1" t="s">
        <v>2</v>
      </c>
      <c r="U350" s="1" t="s">
        <v>394</v>
      </c>
      <c r="V350" s="1">
        <v>20250411</v>
      </c>
      <c r="W350" s="8" t="s">
        <v>8442</v>
      </c>
      <c r="Z350" s="1"/>
      <c r="AA350" s="1"/>
      <c r="AC350" s="1"/>
      <c r="AD350" s="1"/>
      <c r="AE350" s="1"/>
      <c r="AF350" s="1"/>
    </row>
    <row r="351" spans="2:32" ht="12.75" x14ac:dyDescent="0.2">
      <c r="B351" s="1" t="s">
        <v>8857</v>
      </c>
      <c r="C351" s="10">
        <f t="shared" ca="1" si="10"/>
        <v>45721</v>
      </c>
      <c r="D351" s="4"/>
      <c r="E351" s="4" t="s">
        <v>8434</v>
      </c>
      <c r="F351" s="4" t="s">
        <v>1293</v>
      </c>
      <c r="G351" s="4"/>
      <c r="H351" s="4" t="str">
        <f>_xlfn.IFNA(VLOOKUP(Table_Query_from_AMULTIQRY45[[#This Row],[WPROD]],'Part# with New'!$A$1:$B$4347,2,0),Table_Query_from_AMULTIQRY45[[#This Row],[WPROD]])</f>
        <v>WPBR079078009Q-TGX15W</v>
      </c>
      <c r="I351" s="4" t="s">
        <v>8436</v>
      </c>
      <c r="J351" s="1" t="s">
        <v>5</v>
      </c>
      <c r="L351" s="11">
        <v>0.95445000000000002</v>
      </c>
      <c r="M351" s="1"/>
      <c r="N351" s="1" t="s">
        <v>315</v>
      </c>
      <c r="P351" s="1" t="str">
        <f>CONCATENATE(Table_Query_from_AMULTIQRY45[[#This Row],[WWHS]],"-",Table_Query_from_AMULTIQRY45[[#This Row],[LLOC]])</f>
        <v>E1-FG</v>
      </c>
      <c r="Q351" s="10">
        <f t="shared" ca="1" si="11"/>
        <v>45775</v>
      </c>
      <c r="R351" s="10"/>
      <c r="S351" s="28">
        <v>63</v>
      </c>
      <c r="T351" s="1" t="s">
        <v>2</v>
      </c>
      <c r="U351" s="1" t="s">
        <v>395</v>
      </c>
      <c r="V351" s="1">
        <v>20250305</v>
      </c>
      <c r="W351" s="8" t="s">
        <v>8442</v>
      </c>
      <c r="Z351" s="1"/>
      <c r="AA351" s="1"/>
      <c r="AC351" s="1"/>
      <c r="AD351" s="1"/>
      <c r="AE351" s="1"/>
      <c r="AF351" s="1"/>
    </row>
    <row r="352" spans="2:32" ht="12.75" x14ac:dyDescent="0.2">
      <c r="B352" s="1" t="s">
        <v>8858</v>
      </c>
      <c r="C352" s="10">
        <f t="shared" ca="1" si="10"/>
        <v>45587</v>
      </c>
      <c r="D352" s="4"/>
      <c r="E352" s="4" t="s">
        <v>8434</v>
      </c>
      <c r="F352" s="4" t="s">
        <v>1293</v>
      </c>
      <c r="G352" s="4"/>
      <c r="H352" s="4" t="str">
        <f>_xlfn.IFNA(VLOOKUP(Table_Query_from_AMULTIQRY45[[#This Row],[WPROD]],'Part# with New'!$A$1:$B$4347,2,0),Table_Query_from_AMULTIQRY45[[#This Row],[WPROD]])</f>
        <v>WPBR141139090Q-TGX15W</v>
      </c>
      <c r="I352" s="4" t="s">
        <v>8436</v>
      </c>
      <c r="J352" s="1" t="s">
        <v>5</v>
      </c>
      <c r="L352" s="11">
        <v>10.368320000000001</v>
      </c>
      <c r="M352" s="1"/>
      <c r="N352" s="1" t="s">
        <v>315</v>
      </c>
      <c r="P352" s="1" t="str">
        <f>CONCATENATE(Table_Query_from_AMULTIQRY45[[#This Row],[WWHS]],"-",Table_Query_from_AMULTIQRY45[[#This Row],[LLOC]])</f>
        <v>E1-FG</v>
      </c>
      <c r="Q352" s="10">
        <f t="shared" ca="1" si="11"/>
        <v>45775</v>
      </c>
      <c r="R352" s="10"/>
      <c r="S352" s="28">
        <v>23</v>
      </c>
      <c r="T352" s="1" t="s">
        <v>2</v>
      </c>
      <c r="U352" s="1" t="s">
        <v>396</v>
      </c>
      <c r="V352" s="1">
        <v>20241022</v>
      </c>
      <c r="W352" s="8" t="s">
        <v>8442</v>
      </c>
      <c r="Z352" s="1"/>
      <c r="AA352" s="1"/>
      <c r="AC352" s="1"/>
      <c r="AD352" s="1"/>
      <c r="AE352" s="1"/>
      <c r="AF352" s="1"/>
    </row>
    <row r="353" spans="2:32" ht="12.75" x14ac:dyDescent="0.2">
      <c r="B353" s="1" t="s">
        <v>8859</v>
      </c>
      <c r="C353" s="10">
        <f t="shared" ca="1" si="10"/>
        <v>45707</v>
      </c>
      <c r="D353" s="4"/>
      <c r="E353" s="4" t="s">
        <v>8434</v>
      </c>
      <c r="F353" s="4" t="s">
        <v>1293</v>
      </c>
      <c r="G353" s="4"/>
      <c r="H353" s="4" t="str">
        <f>_xlfn.IFNA(VLOOKUP(Table_Query_from_AMULTIQRY45[[#This Row],[WPROD]],'Part# with New'!$A$1:$B$4347,2,0),Table_Query_from_AMULTIQRY45[[#This Row],[WPROD]])</f>
        <v>WPBR081080009Q-TGX15W</v>
      </c>
      <c r="I353" s="4" t="s">
        <v>8436</v>
      </c>
      <c r="J353" s="1" t="s">
        <v>5</v>
      </c>
      <c r="L353" s="11">
        <v>0.96552000000000004</v>
      </c>
      <c r="M353" s="1"/>
      <c r="N353" s="1" t="s">
        <v>315</v>
      </c>
      <c r="P353" s="1" t="str">
        <f>CONCATENATE(Table_Query_from_AMULTIQRY45[[#This Row],[WWHS]],"-",Table_Query_from_AMULTIQRY45[[#This Row],[LLOC]])</f>
        <v>E1-FG</v>
      </c>
      <c r="Q353" s="10">
        <f t="shared" ca="1" si="11"/>
        <v>45775</v>
      </c>
      <c r="R353" s="10"/>
      <c r="S353" s="28">
        <v>45</v>
      </c>
      <c r="T353" s="1" t="s">
        <v>2</v>
      </c>
      <c r="U353" s="1" t="s">
        <v>397</v>
      </c>
      <c r="V353" s="1">
        <v>20250219</v>
      </c>
      <c r="W353" s="8" t="s">
        <v>8442</v>
      </c>
      <c r="Z353" s="1"/>
      <c r="AA353" s="1"/>
      <c r="AC353" s="1"/>
      <c r="AD353" s="1"/>
      <c r="AE353" s="1"/>
      <c r="AF353" s="1"/>
    </row>
    <row r="354" spans="2:32" ht="12.75" x14ac:dyDescent="0.2">
      <c r="B354" s="1" t="s">
        <v>8860</v>
      </c>
      <c r="C354" s="10">
        <f t="shared" ca="1" si="10"/>
        <v>44560</v>
      </c>
      <c r="D354" s="4"/>
      <c r="E354" s="4" t="s">
        <v>8434</v>
      </c>
      <c r="F354" s="4" t="s">
        <v>1293</v>
      </c>
      <c r="G354" s="4"/>
      <c r="H354" s="4" t="str">
        <f>_xlfn.IFNA(VLOOKUP(Table_Query_from_AMULTIQRY45[[#This Row],[WPROD]],'Part# with New'!$A$1:$B$4347,2,0),Table_Query_from_AMULTIQRY45[[#This Row],[WPROD]])</f>
        <v>WPST040031004D-PGX25W</v>
      </c>
      <c r="I354" s="4" t="s">
        <v>8436</v>
      </c>
      <c r="J354" s="1" t="s">
        <v>5</v>
      </c>
      <c r="L354" s="11">
        <v>2.81E-2</v>
      </c>
      <c r="M354" s="1"/>
      <c r="N354" s="1" t="s">
        <v>379</v>
      </c>
      <c r="P354" s="1" t="str">
        <f>CONCATENATE(Table_Query_from_AMULTIQRY45[[#This Row],[WWHS]],"-",Table_Query_from_AMULTIQRY45[[#This Row],[LLOC]])</f>
        <v>E1-FG</v>
      </c>
      <c r="Q354" s="10">
        <f t="shared" ca="1" si="11"/>
        <v>45775</v>
      </c>
      <c r="R354" s="10"/>
      <c r="S354" s="28">
        <v>9100</v>
      </c>
      <c r="T354" s="1" t="s">
        <v>2</v>
      </c>
      <c r="U354" s="1" t="s">
        <v>398</v>
      </c>
      <c r="V354" s="1">
        <v>20211230</v>
      </c>
      <c r="W354" s="8" t="s">
        <v>8442</v>
      </c>
      <c r="Z354" s="1"/>
      <c r="AA354" s="1"/>
      <c r="AC354" s="1"/>
      <c r="AD354" s="1"/>
      <c r="AE354" s="1"/>
      <c r="AF354" s="1"/>
    </row>
    <row r="355" spans="2:32" ht="12.75" x14ac:dyDescent="0.2">
      <c r="B355" s="1" t="s">
        <v>8861</v>
      </c>
      <c r="C355" s="10">
        <f t="shared" ca="1" si="10"/>
        <v>44538</v>
      </c>
      <c r="D355" s="4"/>
      <c r="E355" s="4" t="s">
        <v>8434</v>
      </c>
      <c r="F355" s="4" t="s">
        <v>1293</v>
      </c>
      <c r="G355" s="4"/>
      <c r="H355" s="4" t="str">
        <f>_xlfn.IFNA(VLOOKUP(Table_Query_from_AMULTIQRY45[[#This Row],[WPROD]],'Part# with New'!$A$1:$B$4347,2,0),Table_Query_from_AMULTIQRY45[[#This Row],[WPROD]])</f>
        <v>WPSA054039004D-PGX25W</v>
      </c>
      <c r="I355" s="4" t="s">
        <v>8436</v>
      </c>
      <c r="J355" s="1" t="s">
        <v>5</v>
      </c>
      <c r="L355" s="11">
        <v>3.2039999999999999E-2</v>
      </c>
      <c r="M355" s="1"/>
      <c r="N355" s="1" t="s">
        <v>9</v>
      </c>
      <c r="P355" s="1" t="str">
        <f>CONCATENATE(Table_Query_from_AMULTIQRY45[[#This Row],[WWHS]],"-",Table_Query_from_AMULTIQRY45[[#This Row],[LLOC]])</f>
        <v>E1-FG</v>
      </c>
      <c r="Q355" s="10">
        <f t="shared" ca="1" si="11"/>
        <v>45775</v>
      </c>
      <c r="R355" s="10"/>
      <c r="S355" s="28">
        <v>7220</v>
      </c>
      <c r="T355" s="1" t="s">
        <v>2</v>
      </c>
      <c r="U355" s="1" t="s">
        <v>399</v>
      </c>
      <c r="V355" s="1">
        <v>20211208</v>
      </c>
      <c r="W355" s="8" t="s">
        <v>8442</v>
      </c>
      <c r="Z355" s="1"/>
      <c r="AA355" s="1"/>
      <c r="AC355" s="1"/>
      <c r="AD355" s="1"/>
      <c r="AE355" s="1"/>
      <c r="AF355" s="1"/>
    </row>
    <row r="356" spans="2:32" ht="12.75" x14ac:dyDescent="0.2">
      <c r="B356" s="1" t="s">
        <v>8862</v>
      </c>
      <c r="C356" s="10">
        <f t="shared" ca="1" si="10"/>
        <v>45105</v>
      </c>
      <c r="D356" s="4"/>
      <c r="E356" s="4" t="s">
        <v>8434</v>
      </c>
      <c r="F356" s="4" t="s">
        <v>1293</v>
      </c>
      <c r="G356" s="4"/>
      <c r="H356" s="4" t="str">
        <f>_xlfn.IFNA(VLOOKUP(Table_Query_from_AMULTIQRY45[[#This Row],[WPROD]],'Part# with New'!$A$1:$B$4347,2,0),Table_Query_from_AMULTIQRY45[[#This Row],[WPROD]])</f>
        <v>WFFB068042026D-PXX00W</v>
      </c>
      <c r="I356" s="4" t="s">
        <v>8436</v>
      </c>
      <c r="J356" s="1" t="s">
        <v>5</v>
      </c>
      <c r="L356" s="11">
        <v>0.13023999999999999</v>
      </c>
      <c r="M356" s="1"/>
      <c r="N356" s="1" t="s">
        <v>348</v>
      </c>
      <c r="P356" s="1" t="str">
        <f>CONCATENATE(Table_Query_from_AMULTIQRY45[[#This Row],[WWHS]],"-",Table_Query_from_AMULTIQRY45[[#This Row],[LLOC]])</f>
        <v>E1-FG</v>
      </c>
      <c r="Q356" s="10">
        <f t="shared" ca="1" si="11"/>
        <v>45775</v>
      </c>
      <c r="R356" s="10"/>
      <c r="S356" s="28">
        <v>7230</v>
      </c>
      <c r="T356" s="1" t="s">
        <v>2</v>
      </c>
      <c r="U356" s="1" t="s">
        <v>400</v>
      </c>
      <c r="V356" s="1">
        <v>20230628</v>
      </c>
      <c r="W356" s="8" t="s">
        <v>8442</v>
      </c>
      <c r="Z356" s="1"/>
      <c r="AA356" s="1"/>
      <c r="AC356" s="1"/>
      <c r="AD356" s="1"/>
      <c r="AE356" s="1"/>
      <c r="AF356" s="1"/>
    </row>
    <row r="357" spans="2:32" ht="12.75" x14ac:dyDescent="0.2">
      <c r="B357" s="1" t="s">
        <v>8863</v>
      </c>
      <c r="C357" s="10">
        <f t="shared" ca="1" si="10"/>
        <v>45435</v>
      </c>
      <c r="D357" s="4"/>
      <c r="E357" s="4" t="s">
        <v>8434</v>
      </c>
      <c r="F357" s="4" t="s">
        <v>1293</v>
      </c>
      <c r="G357" s="4"/>
      <c r="H357" s="4" t="str">
        <f>_xlfn.IFNA(VLOOKUP(Table_Query_from_AMULTIQRY45[[#This Row],[WPROD]],'Part# with New'!$A$1:$B$4347,2,0),Table_Query_from_AMULTIQRY45[[#This Row],[WPROD]])</f>
        <v>WFFB068031026D-PXX00W</v>
      </c>
      <c r="I357" s="4" t="s">
        <v>8436</v>
      </c>
      <c r="J357" s="1" t="s">
        <v>5</v>
      </c>
      <c r="L357" s="11">
        <v>0.11783</v>
      </c>
      <c r="M357" s="1"/>
      <c r="N357" s="1" t="s">
        <v>15</v>
      </c>
      <c r="P357" s="1" t="str">
        <f>CONCATENATE(Table_Query_from_AMULTIQRY45[[#This Row],[WWHS]],"-",Table_Query_from_AMULTIQRY45[[#This Row],[LLOC]])</f>
        <v>E1-FG</v>
      </c>
      <c r="Q357" s="10">
        <f t="shared" ca="1" si="11"/>
        <v>45775</v>
      </c>
      <c r="R357" s="10"/>
      <c r="S357" s="28">
        <v>441</v>
      </c>
      <c r="T357" s="1" t="s">
        <v>2</v>
      </c>
      <c r="U357" s="1" t="s">
        <v>401</v>
      </c>
      <c r="V357" s="1">
        <v>20240523</v>
      </c>
      <c r="W357" s="8" t="s">
        <v>8442</v>
      </c>
      <c r="Z357" s="1"/>
      <c r="AA357" s="1"/>
      <c r="AC357" s="1"/>
      <c r="AD357" s="1"/>
      <c r="AE357" s="1"/>
      <c r="AF357" s="1"/>
    </row>
    <row r="358" spans="2:32" ht="12.75" x14ac:dyDescent="0.2">
      <c r="B358" s="1" t="s">
        <v>8864</v>
      </c>
      <c r="C358" s="10">
        <f t="shared" ca="1" si="10"/>
        <v>45734</v>
      </c>
      <c r="D358" s="4"/>
      <c r="E358" s="4" t="s">
        <v>8434</v>
      </c>
      <c r="F358" s="4" t="s">
        <v>1293</v>
      </c>
      <c r="G358" s="4"/>
      <c r="H358" s="4" t="str">
        <f>_xlfn.IFNA(VLOOKUP(Table_Query_from_AMULTIQRY45[[#This Row],[WPROD]],'Part# with New'!$A$1:$B$4347,2,0),Table_Query_from_AMULTIQRY45[[#This Row],[WPROD]])</f>
        <v>WPSM309297009Q-PGX15W</v>
      </c>
      <c r="I358" s="4" t="s">
        <v>8436</v>
      </c>
      <c r="J358" s="1" t="s">
        <v>5</v>
      </c>
      <c r="L358" s="11">
        <v>0.12350999999999999</v>
      </c>
      <c r="M358" s="1"/>
      <c r="N358" s="1" t="s">
        <v>326</v>
      </c>
      <c r="P358" s="1" t="str">
        <f>CONCATENATE(Table_Query_from_AMULTIQRY45[[#This Row],[WWHS]],"-",Table_Query_from_AMULTIQRY45[[#This Row],[LLOC]])</f>
        <v>E1-FG</v>
      </c>
      <c r="Q358" s="10">
        <f t="shared" ca="1" si="11"/>
        <v>45775</v>
      </c>
      <c r="R358" s="10"/>
      <c r="S358" s="28">
        <v>155</v>
      </c>
      <c r="T358" s="1" t="s">
        <v>2</v>
      </c>
      <c r="U358" s="1" t="s">
        <v>402</v>
      </c>
      <c r="V358" s="1">
        <v>20250318</v>
      </c>
      <c r="W358" s="8" t="s">
        <v>8442</v>
      </c>
      <c r="Z358" s="1"/>
      <c r="AA358" s="1"/>
      <c r="AC358" s="1"/>
      <c r="AD358" s="1"/>
      <c r="AE358" s="1"/>
      <c r="AF358" s="1"/>
    </row>
    <row r="359" spans="2:32" ht="12.75" x14ac:dyDescent="0.2">
      <c r="B359" s="1" t="s">
        <v>8865</v>
      </c>
      <c r="C359" s="10">
        <f t="shared" ca="1" si="10"/>
        <v>45422</v>
      </c>
      <c r="D359" s="4"/>
      <c r="E359" s="4" t="s">
        <v>8434</v>
      </c>
      <c r="F359" s="4" t="s">
        <v>1293</v>
      </c>
      <c r="G359" s="4"/>
      <c r="H359" s="4" t="str">
        <f>_xlfn.IFNA(VLOOKUP(Table_Query_from_AMULTIQRY45[[#This Row],[WPROD]],'Part# with New'!$A$1:$B$4347,2,0),Table_Query_from_AMULTIQRY45[[#This Row],[WPROD]])</f>
        <v>WSMP031024200D-BP03AN</v>
      </c>
      <c r="I359" s="4" t="s">
        <v>8436</v>
      </c>
      <c r="J359" s="1" t="s">
        <v>5</v>
      </c>
      <c r="L359" s="11">
        <v>0.70347999999999999</v>
      </c>
      <c r="M359" s="1"/>
      <c r="N359" s="1" t="s">
        <v>34</v>
      </c>
      <c r="P359" s="1" t="str">
        <f>CONCATENATE(Table_Query_from_AMULTIQRY45[[#This Row],[WWHS]],"-",Table_Query_from_AMULTIQRY45[[#This Row],[LLOC]])</f>
        <v>E1-FG</v>
      </c>
      <c r="Q359" s="10">
        <f t="shared" ca="1" si="11"/>
        <v>45775</v>
      </c>
      <c r="R359" s="10"/>
      <c r="S359" s="28">
        <v>1759</v>
      </c>
      <c r="T359" s="1" t="s">
        <v>2</v>
      </c>
      <c r="U359" s="1" t="s">
        <v>403</v>
      </c>
      <c r="V359" s="1">
        <v>20240510</v>
      </c>
      <c r="W359" s="8" t="s">
        <v>8442</v>
      </c>
      <c r="Z359" s="1"/>
      <c r="AA359" s="1"/>
      <c r="AC359" s="1"/>
      <c r="AD359" s="1"/>
      <c r="AE359" s="1"/>
      <c r="AF359" s="1"/>
    </row>
    <row r="360" spans="2:32" ht="12.75" x14ac:dyDescent="0.2">
      <c r="B360" s="1" t="s">
        <v>8866</v>
      </c>
      <c r="C360" s="10">
        <f t="shared" ca="1" si="10"/>
        <v>43985</v>
      </c>
      <c r="D360" s="4"/>
      <c r="E360" s="4" t="s">
        <v>8434</v>
      </c>
      <c r="F360" s="4" t="s">
        <v>1293</v>
      </c>
      <c r="G360" s="4"/>
      <c r="H360" s="4" t="str">
        <f>_xlfn.IFNA(VLOOKUP(Table_Query_from_AMULTIQRY45[[#This Row],[WPROD]],'Part# with New'!$A$1:$B$4347,2,0),Table_Query_from_AMULTIQRY45[[#This Row],[WPROD]])</f>
        <v>WFFL093053014D-PCG10K</v>
      </c>
      <c r="I360" s="4" t="s">
        <v>8436</v>
      </c>
      <c r="J360" s="1" t="s">
        <v>5</v>
      </c>
      <c r="L360" s="11">
        <v>9.9779999999999994E-2</v>
      </c>
      <c r="M360" s="1"/>
      <c r="N360" s="1" t="s">
        <v>346</v>
      </c>
      <c r="P360" s="1" t="str">
        <f>CONCATENATE(Table_Query_from_AMULTIQRY45[[#This Row],[WWHS]],"-",Table_Query_from_AMULTIQRY45[[#This Row],[LLOC]])</f>
        <v>E1-FG</v>
      </c>
      <c r="Q360" s="10">
        <f t="shared" ca="1" si="11"/>
        <v>45775</v>
      </c>
      <c r="R360" s="10"/>
      <c r="S360" s="28">
        <v>800</v>
      </c>
      <c r="T360" s="1" t="s">
        <v>2</v>
      </c>
      <c r="U360" s="1" t="s">
        <v>404</v>
      </c>
      <c r="V360" s="1">
        <v>20200603</v>
      </c>
      <c r="W360" s="8" t="s">
        <v>8442</v>
      </c>
      <c r="Z360" s="1"/>
      <c r="AA360" s="1"/>
      <c r="AC360" s="1"/>
      <c r="AD360" s="1"/>
      <c r="AE360" s="1"/>
      <c r="AF360" s="1"/>
    </row>
    <row r="361" spans="2:32" ht="12.75" x14ac:dyDescent="0.2">
      <c r="B361" s="1" t="s">
        <v>8867</v>
      </c>
      <c r="C361" s="10">
        <f t="shared" ca="1" si="10"/>
        <v>45456</v>
      </c>
      <c r="D361" s="4"/>
      <c r="E361" s="4" t="s">
        <v>8434</v>
      </c>
      <c r="F361" s="4" t="s">
        <v>1293</v>
      </c>
      <c r="G361" s="4"/>
      <c r="H361" s="4" t="str">
        <f>_xlfn.IFNA(VLOOKUP(Table_Query_from_AMULTIQRY45[[#This Row],[WPROD]],'Part# with New'!$A$1:$B$4347,2,0),Table_Query_from_AMULTIQRY45[[#This Row],[WPROD]])</f>
        <v>WFFB116069023D-PCG10K</v>
      </c>
      <c r="I361" s="4" t="s">
        <v>8436</v>
      </c>
      <c r="J361" s="1" t="s">
        <v>5</v>
      </c>
      <c r="L361" s="11">
        <v>0.14965000000000001</v>
      </c>
      <c r="M361" s="1"/>
      <c r="N361" s="1" t="s">
        <v>348</v>
      </c>
      <c r="P361" s="1" t="str">
        <f>CONCATENATE(Table_Query_from_AMULTIQRY45[[#This Row],[WWHS]],"-",Table_Query_from_AMULTIQRY45[[#This Row],[LLOC]])</f>
        <v>E1-FG</v>
      </c>
      <c r="Q361" s="10">
        <f t="shared" ca="1" si="11"/>
        <v>45775</v>
      </c>
      <c r="R361" s="10"/>
      <c r="S361" s="28">
        <v>190</v>
      </c>
      <c r="T361" s="1" t="s">
        <v>2</v>
      </c>
      <c r="U361" s="1" t="s">
        <v>405</v>
      </c>
      <c r="V361" s="1">
        <v>20240613</v>
      </c>
      <c r="W361" s="8" t="s">
        <v>8442</v>
      </c>
      <c r="Z361" s="1"/>
      <c r="AA361" s="1"/>
      <c r="AC361" s="1"/>
      <c r="AD361" s="1"/>
      <c r="AE361" s="1"/>
      <c r="AF361" s="1"/>
    </row>
    <row r="362" spans="2:32" ht="12.75" x14ac:dyDescent="0.2">
      <c r="B362" s="1" t="s">
        <v>8868</v>
      </c>
      <c r="C362" s="10">
        <f t="shared" ca="1" si="10"/>
        <v>45432</v>
      </c>
      <c r="D362" s="4"/>
      <c r="E362" s="4" t="s">
        <v>8434</v>
      </c>
      <c r="F362" s="4" t="s">
        <v>1293</v>
      </c>
      <c r="G362" s="4"/>
      <c r="H362" s="4" t="str">
        <f>_xlfn.IFNA(VLOOKUP(Table_Query_from_AMULTIQRY45[[#This Row],[WPROD]],'Part# with New'!$A$1:$B$4347,2,0),Table_Query_from_AMULTIQRY45[[#This Row],[WPROD]])</f>
        <v>WFFL044031014Q-PGX15W</v>
      </c>
      <c r="I362" s="4" t="s">
        <v>8436</v>
      </c>
      <c r="J362" s="1" t="s">
        <v>5</v>
      </c>
      <c r="L362" s="11">
        <v>4.99E-2</v>
      </c>
      <c r="M362" s="1"/>
      <c r="N362" s="1" t="s">
        <v>346</v>
      </c>
      <c r="P362" s="1" t="str">
        <f>CONCATENATE(Table_Query_from_AMULTIQRY45[[#This Row],[WWHS]],"-",Table_Query_from_AMULTIQRY45[[#This Row],[LLOC]])</f>
        <v>E1-FG</v>
      </c>
      <c r="Q362" s="10">
        <f t="shared" ca="1" si="11"/>
        <v>45775</v>
      </c>
      <c r="R362" s="10"/>
      <c r="S362" s="28">
        <v>580</v>
      </c>
      <c r="T362" s="1" t="s">
        <v>2</v>
      </c>
      <c r="U362" s="1" t="s">
        <v>406</v>
      </c>
      <c r="V362" s="1">
        <v>20240520</v>
      </c>
      <c r="W362" s="8" t="s">
        <v>8442</v>
      </c>
      <c r="Z362" s="1"/>
      <c r="AA362" s="1"/>
      <c r="AC362" s="1"/>
      <c r="AD362" s="1"/>
      <c r="AE362" s="1"/>
      <c r="AF362" s="1"/>
    </row>
    <row r="363" spans="2:32" ht="12.75" x14ac:dyDescent="0.2">
      <c r="B363" s="1" t="s">
        <v>8869</v>
      </c>
      <c r="C363" s="10">
        <f t="shared" ca="1" si="10"/>
        <v>45632</v>
      </c>
      <c r="D363" s="4"/>
      <c r="E363" s="4" t="s">
        <v>8434</v>
      </c>
      <c r="F363" s="4" t="s">
        <v>1293</v>
      </c>
      <c r="G363" s="4"/>
      <c r="H363" s="4" t="str">
        <f>_xlfn.IFNA(VLOOKUP(Table_Query_from_AMULTIQRY45[[#This Row],[WPROD]],'Part# with New'!$A$1:$B$4347,2,0),Table_Query_from_AMULTIQRY45[[#This Row],[WPROD]])</f>
        <v>WFFL080050018D-PGX15W</v>
      </c>
      <c r="I363" s="4" t="s">
        <v>8436</v>
      </c>
      <c r="J363" s="1" t="s">
        <v>5</v>
      </c>
      <c r="L363" s="11">
        <v>0.10995000000000001</v>
      </c>
      <c r="M363" s="1"/>
      <c r="N363" s="1" t="s">
        <v>348</v>
      </c>
      <c r="P363" s="1" t="str">
        <f>CONCATENATE(Table_Query_from_AMULTIQRY45[[#This Row],[WWHS]],"-",Table_Query_from_AMULTIQRY45[[#This Row],[LLOC]])</f>
        <v>E1-FG</v>
      </c>
      <c r="Q363" s="10">
        <f t="shared" ca="1" si="11"/>
        <v>45775</v>
      </c>
      <c r="R363" s="10"/>
      <c r="S363" s="28">
        <v>824</v>
      </c>
      <c r="T363" s="1" t="s">
        <v>2</v>
      </c>
      <c r="U363" s="1" t="s">
        <v>407</v>
      </c>
      <c r="V363" s="1">
        <v>20241206</v>
      </c>
      <c r="W363" s="8" t="s">
        <v>8442</v>
      </c>
      <c r="Z363" s="1"/>
      <c r="AA363" s="1"/>
      <c r="AC363" s="1"/>
      <c r="AD363" s="1"/>
      <c r="AE363" s="1"/>
      <c r="AF363" s="1"/>
    </row>
    <row r="364" spans="2:32" ht="12.75" x14ac:dyDescent="0.2">
      <c r="B364" s="1" t="s">
        <v>8870</v>
      </c>
      <c r="C364" s="10">
        <f t="shared" ca="1" si="10"/>
        <v>45699</v>
      </c>
      <c r="D364" s="4"/>
      <c r="E364" s="4" t="s">
        <v>8434</v>
      </c>
      <c r="F364" s="4" t="s">
        <v>1293</v>
      </c>
      <c r="G364" s="4"/>
      <c r="H364" s="4" t="str">
        <f>_xlfn.IFNA(VLOOKUP(Table_Query_from_AMULTIQRY45[[#This Row],[WPROD]],'Part# with New'!$A$1:$B$4347,2,0),Table_Query_from_AMULTIQRY45[[#This Row],[WPROD]])</f>
        <v>WFFH213125034D-PCG10K</v>
      </c>
      <c r="I364" s="4" t="s">
        <v>8436</v>
      </c>
      <c r="J364" s="1" t="s">
        <v>5</v>
      </c>
      <c r="L364" s="11">
        <v>0.78456000000000004</v>
      </c>
      <c r="M364" s="1"/>
      <c r="N364" s="1" t="s">
        <v>15</v>
      </c>
      <c r="P364" s="1" t="str">
        <f>CONCATENATE(Table_Query_from_AMULTIQRY45[[#This Row],[WWHS]],"-",Table_Query_from_AMULTIQRY45[[#This Row],[LLOC]])</f>
        <v>E1-FG</v>
      </c>
      <c r="Q364" s="10">
        <f t="shared" ca="1" si="11"/>
        <v>45775</v>
      </c>
      <c r="R364" s="10"/>
      <c r="S364" s="28">
        <v>30</v>
      </c>
      <c r="T364" s="1" t="s">
        <v>2</v>
      </c>
      <c r="U364" s="1" t="s">
        <v>408</v>
      </c>
      <c r="V364" s="1">
        <v>20250211</v>
      </c>
      <c r="W364" s="8" t="s">
        <v>8442</v>
      </c>
      <c r="Z364" s="1"/>
      <c r="AA364" s="1"/>
      <c r="AC364" s="1"/>
      <c r="AD364" s="1"/>
      <c r="AE364" s="1"/>
      <c r="AF364" s="1"/>
    </row>
    <row r="365" spans="2:32" ht="12.75" x14ac:dyDescent="0.2">
      <c r="B365" s="1" t="s">
        <v>8871</v>
      </c>
      <c r="C365" s="10">
        <f t="shared" ca="1" si="10"/>
        <v>45771</v>
      </c>
      <c r="D365" s="4"/>
      <c r="E365" s="4" t="s">
        <v>8434</v>
      </c>
      <c r="F365" s="4" t="s">
        <v>1293</v>
      </c>
      <c r="G365" s="4"/>
      <c r="H365" s="4" t="str">
        <f>_xlfn.IFNA(VLOOKUP(Table_Query_from_AMULTIQRY45[[#This Row],[WPROD]],'Part# with New'!$A$1:$B$4347,2,0),Table_Query_from_AMULTIQRY45[[#This Row],[WPROD]])</f>
        <v>WFFH250149031D-PGC10K</v>
      </c>
      <c r="I365" s="4" t="s">
        <v>8436</v>
      </c>
      <c r="J365" s="1" t="s">
        <v>5</v>
      </c>
      <c r="L365" s="11">
        <v>1.0899700000000001</v>
      </c>
      <c r="M365" s="1"/>
      <c r="N365" s="1" t="s">
        <v>15</v>
      </c>
      <c r="P365" s="1" t="str">
        <f>CONCATENATE(Table_Query_from_AMULTIQRY45[[#This Row],[WWHS]],"-",Table_Query_from_AMULTIQRY45[[#This Row],[LLOC]])</f>
        <v>E1-FG</v>
      </c>
      <c r="Q365" s="10">
        <f t="shared" ca="1" si="11"/>
        <v>45775</v>
      </c>
      <c r="R365" s="10"/>
      <c r="S365" s="28">
        <v>650</v>
      </c>
      <c r="T365" s="1" t="s">
        <v>2</v>
      </c>
      <c r="U365" s="1" t="s">
        <v>409</v>
      </c>
      <c r="V365" s="1">
        <v>20250424</v>
      </c>
      <c r="W365" s="8" t="s">
        <v>8442</v>
      </c>
      <c r="Z365" s="1"/>
      <c r="AA365" s="1"/>
      <c r="AC365" s="1"/>
      <c r="AD365" s="1"/>
      <c r="AE365" s="1"/>
      <c r="AF365" s="1"/>
    </row>
    <row r="366" spans="2:32" ht="12.75" x14ac:dyDescent="0.2">
      <c r="B366" s="1" t="s">
        <v>8872</v>
      </c>
      <c r="C366" s="10">
        <f t="shared" ca="1" si="10"/>
        <v>43893</v>
      </c>
      <c r="D366" s="4"/>
      <c r="E366" s="4" t="s">
        <v>8434</v>
      </c>
      <c r="F366" s="4" t="s">
        <v>1293</v>
      </c>
      <c r="G366" s="4"/>
      <c r="H366" s="4" t="str">
        <f>_xlfn.IFNA(VLOOKUP(Table_Query_from_AMULTIQRY45[[#This Row],[WPROD]],'Part# with New'!$A$1:$B$4347,2,0),Table_Query_from_AMULTIQRY45[[#This Row],[WPROD]])</f>
        <v>WFFL080050023D-PCX20K</v>
      </c>
      <c r="I366" s="4" t="s">
        <v>8436</v>
      </c>
      <c r="J366" s="1" t="s">
        <v>5</v>
      </c>
      <c r="L366" s="11">
        <v>0.11504</v>
      </c>
      <c r="M366" s="1"/>
      <c r="N366" s="1" t="s">
        <v>346</v>
      </c>
      <c r="P366" s="1" t="str">
        <f>CONCATENATE(Table_Query_from_AMULTIQRY45[[#This Row],[WWHS]],"-",Table_Query_from_AMULTIQRY45[[#This Row],[LLOC]])</f>
        <v>E1-FG</v>
      </c>
      <c r="Q366" s="10">
        <f t="shared" ca="1" si="11"/>
        <v>45775</v>
      </c>
      <c r="R366" s="10"/>
      <c r="S366" s="28">
        <v>98</v>
      </c>
      <c r="T366" s="1" t="s">
        <v>2</v>
      </c>
      <c r="U366" s="1" t="s">
        <v>410</v>
      </c>
      <c r="V366" s="1">
        <v>20200303</v>
      </c>
      <c r="W366" s="8" t="s">
        <v>8442</v>
      </c>
      <c r="Z366" s="1"/>
      <c r="AA366" s="1"/>
      <c r="AC366" s="1"/>
      <c r="AD366" s="1"/>
      <c r="AE366" s="1"/>
      <c r="AF366" s="1"/>
    </row>
    <row r="367" spans="2:32" ht="12.75" x14ac:dyDescent="0.2">
      <c r="B367" s="1" t="s">
        <v>8873</v>
      </c>
      <c r="C367" s="10">
        <f t="shared" ca="1" si="10"/>
        <v>44113</v>
      </c>
      <c r="D367" s="4"/>
      <c r="E367" s="4" t="s">
        <v>8434</v>
      </c>
      <c r="F367" s="4" t="s">
        <v>1293</v>
      </c>
      <c r="G367" s="4"/>
      <c r="H367" s="4" t="str">
        <f>_xlfn.IFNA(VLOOKUP(Table_Query_from_AMULTIQRY45[[#This Row],[WPROD]],'Part# with New'!$A$1:$B$4347,2,0),Table_Query_from_AMULTIQRY45[[#This Row],[WPROD]])</f>
        <v>WSST037031003Q-PXX00W</v>
      </c>
      <c r="I367" s="4" t="s">
        <v>8436</v>
      </c>
      <c r="J367" s="1" t="s">
        <v>5</v>
      </c>
      <c r="L367" s="11">
        <v>1.745E-2</v>
      </c>
      <c r="M367" s="1"/>
      <c r="N367" s="1" t="s">
        <v>379</v>
      </c>
      <c r="P367" s="1" t="str">
        <f>CONCATENATE(Table_Query_from_AMULTIQRY45[[#This Row],[WWHS]],"-",Table_Query_from_AMULTIQRY45[[#This Row],[LLOC]])</f>
        <v>E1-FG</v>
      </c>
      <c r="Q367" s="10">
        <f t="shared" ca="1" si="11"/>
        <v>45775</v>
      </c>
      <c r="R367" s="10"/>
      <c r="S367" s="28">
        <v>2125</v>
      </c>
      <c r="T367" s="1" t="s">
        <v>2</v>
      </c>
      <c r="U367" s="1" t="s">
        <v>412</v>
      </c>
      <c r="V367" s="1">
        <v>20201009</v>
      </c>
      <c r="W367" s="8" t="s">
        <v>8442</v>
      </c>
      <c r="Z367" s="1"/>
      <c r="AA367" s="1"/>
      <c r="AC367" s="1"/>
      <c r="AD367" s="1"/>
      <c r="AE367" s="1"/>
      <c r="AF367" s="1"/>
    </row>
    <row r="368" spans="2:32" ht="12.75" x14ac:dyDescent="0.2">
      <c r="B368" s="1" t="s">
        <v>8874</v>
      </c>
      <c r="C368" s="10">
        <f t="shared" ca="1" si="10"/>
        <v>43973</v>
      </c>
      <c r="D368" s="4"/>
      <c r="E368" s="4" t="s">
        <v>8434</v>
      </c>
      <c r="F368" s="4" t="s">
        <v>1293</v>
      </c>
      <c r="G368" s="4"/>
      <c r="H368" s="4" t="str">
        <f>_xlfn.IFNA(VLOOKUP(Table_Query_from_AMULTIQRY45[[#This Row],[WPROD]],'Part# with New'!$A$1:$B$4347,2,0),Table_Query_from_AMULTIQRY45[[#This Row],[WPROD]])</f>
        <v>WPSA044031007D-PGX15W</v>
      </c>
      <c r="I368" s="4" t="s">
        <v>8436</v>
      </c>
      <c r="J368" s="1" t="s">
        <v>5</v>
      </c>
      <c r="L368" s="11">
        <v>3.1350000000000003E-2</v>
      </c>
      <c r="M368" s="1"/>
      <c r="N368" s="1" t="s">
        <v>9</v>
      </c>
      <c r="P368" s="1" t="str">
        <f>CONCATENATE(Table_Query_from_AMULTIQRY45[[#This Row],[WWHS]],"-",Table_Query_from_AMULTIQRY45[[#This Row],[LLOC]])</f>
        <v>E1-FG</v>
      </c>
      <c r="Q368" s="10">
        <f t="shared" ca="1" si="11"/>
        <v>45775</v>
      </c>
      <c r="R368" s="10"/>
      <c r="S368" s="28">
        <v>1770</v>
      </c>
      <c r="T368" s="1" t="s">
        <v>2</v>
      </c>
      <c r="U368" s="1" t="s">
        <v>413</v>
      </c>
      <c r="V368" s="1">
        <v>20200522</v>
      </c>
      <c r="W368" s="8" t="s">
        <v>8442</v>
      </c>
      <c r="Z368" s="1"/>
      <c r="AA368" s="1"/>
      <c r="AC368" s="1"/>
      <c r="AD368" s="1"/>
      <c r="AE368" s="1"/>
      <c r="AF368" s="1"/>
    </row>
    <row r="369" spans="2:32" ht="12.75" x14ac:dyDescent="0.2">
      <c r="B369" s="1" t="s">
        <v>8875</v>
      </c>
      <c r="C369" s="10">
        <f t="shared" ca="1" si="10"/>
        <v>45329</v>
      </c>
      <c r="D369" s="4"/>
      <c r="E369" s="4" t="s">
        <v>8434</v>
      </c>
      <c r="F369" s="4" t="s">
        <v>1293</v>
      </c>
      <c r="G369" s="4"/>
      <c r="H369" s="4" t="str">
        <f>_xlfn.IFNA(VLOOKUP(Table_Query_from_AMULTIQRY45[[#This Row],[WPROD]],'Part# with New'!$A$1:$B$4347,2,0),Table_Query_from_AMULTIQRY45[[#This Row],[WPROD]])</f>
        <v>WPSM309297009D-PGX15W</v>
      </c>
      <c r="I369" s="4" t="s">
        <v>8436</v>
      </c>
      <c r="J369" s="1" t="s">
        <v>5</v>
      </c>
      <c r="L369" s="11">
        <v>0.12039999999999999</v>
      </c>
      <c r="M369" s="1"/>
      <c r="N369" s="1" t="s">
        <v>326</v>
      </c>
      <c r="P369" s="1" t="str">
        <f>CONCATENATE(Table_Query_from_AMULTIQRY45[[#This Row],[WWHS]],"-",Table_Query_from_AMULTIQRY45[[#This Row],[LLOC]])</f>
        <v>E1-FG</v>
      </c>
      <c r="Q369" s="10">
        <f t="shared" ca="1" si="11"/>
        <v>45775</v>
      </c>
      <c r="R369" s="10"/>
      <c r="S369" s="28">
        <v>720</v>
      </c>
      <c r="T369" s="1" t="s">
        <v>2</v>
      </c>
      <c r="U369" s="1" t="s">
        <v>414</v>
      </c>
      <c r="V369" s="1">
        <v>20240207</v>
      </c>
      <c r="W369" s="8" t="s">
        <v>8442</v>
      </c>
      <c r="Z369" s="1"/>
      <c r="AA369" s="1"/>
      <c r="AC369" s="1"/>
      <c r="AD369" s="1"/>
      <c r="AE369" s="1"/>
      <c r="AF369" s="1"/>
    </row>
    <row r="370" spans="2:32" ht="12.75" x14ac:dyDescent="0.2">
      <c r="B370" s="1" t="s">
        <v>8876</v>
      </c>
      <c r="C370" s="10">
        <f t="shared" ca="1" si="10"/>
        <v>45413</v>
      </c>
      <c r="D370" s="4"/>
      <c r="E370" s="4" t="s">
        <v>8434</v>
      </c>
      <c r="F370" s="4" t="s">
        <v>1293</v>
      </c>
      <c r="G370" s="4"/>
      <c r="H370" s="4" t="str">
        <f>_xlfn.IFNA(VLOOKUP(Table_Query_from_AMULTIQRY45[[#This Row],[WPROD]],'Part# with New'!$A$1:$B$4347,2,0),Table_Query_from_AMULTIQRY45[[#This Row],[WPROD]])</f>
        <v>WPBR128127009Q-TGX15W</v>
      </c>
      <c r="I370" s="4" t="s">
        <v>8436</v>
      </c>
      <c r="J370" s="1" t="s">
        <v>5</v>
      </c>
      <c r="L370" s="11">
        <v>1.2170799999999999</v>
      </c>
      <c r="M370" s="1"/>
      <c r="N370" s="1" t="s">
        <v>315</v>
      </c>
      <c r="P370" s="1" t="str">
        <f>CONCATENATE(Table_Query_from_AMULTIQRY45[[#This Row],[WWHS]],"-",Table_Query_from_AMULTIQRY45[[#This Row],[LLOC]])</f>
        <v>E1-FG</v>
      </c>
      <c r="Q370" s="10">
        <f t="shared" ca="1" si="11"/>
        <v>45775</v>
      </c>
      <c r="R370" s="10"/>
      <c r="S370" s="28">
        <v>80</v>
      </c>
      <c r="T370" s="1" t="s">
        <v>2</v>
      </c>
      <c r="U370" s="1" t="s">
        <v>415</v>
      </c>
      <c r="V370" s="1">
        <v>20240501</v>
      </c>
      <c r="W370" s="8" t="s">
        <v>8442</v>
      </c>
      <c r="Z370" s="1"/>
      <c r="AA370" s="1"/>
      <c r="AC370" s="1"/>
      <c r="AD370" s="1"/>
      <c r="AE370" s="1"/>
      <c r="AF370" s="1"/>
    </row>
    <row r="371" spans="2:32" ht="12.75" x14ac:dyDescent="0.2">
      <c r="B371" s="1" t="s">
        <v>8877</v>
      </c>
      <c r="C371" s="10">
        <f t="shared" ca="1" si="10"/>
        <v>43525</v>
      </c>
      <c r="D371" s="4"/>
      <c r="E371" s="4" t="s">
        <v>8434</v>
      </c>
      <c r="F371" s="4" t="s">
        <v>1293</v>
      </c>
      <c r="G371" s="4"/>
      <c r="H371" s="4" t="str">
        <f>_xlfn.IFNA(VLOOKUP(Table_Query_from_AMULTIQRY45[[#This Row],[WPROD]],'Part# with New'!$A$1:$B$4347,2,0),Table_Query_from_AMULTIQRY45[[#This Row],[WPROD]])</f>
        <v>WPBR130129009Q-TGX15W</v>
      </c>
      <c r="I371" s="4" t="s">
        <v>8436</v>
      </c>
      <c r="J371" s="1" t="s">
        <v>5</v>
      </c>
      <c r="L371" s="11">
        <v>0.56676000000000004</v>
      </c>
      <c r="M371" s="1"/>
      <c r="N371" s="1" t="s">
        <v>315</v>
      </c>
      <c r="P371" s="1" t="str">
        <f>CONCATENATE(Table_Query_from_AMULTIQRY45[[#This Row],[WWHS]],"-",Table_Query_from_AMULTIQRY45[[#This Row],[LLOC]])</f>
        <v>E1-FG</v>
      </c>
      <c r="Q371" s="10">
        <f t="shared" ca="1" si="11"/>
        <v>45775</v>
      </c>
      <c r="R371" s="10"/>
      <c r="S371" s="28">
        <v>22</v>
      </c>
      <c r="T371" s="1" t="s">
        <v>2</v>
      </c>
      <c r="U371" s="1" t="s">
        <v>416</v>
      </c>
      <c r="V371" s="1">
        <v>20190301</v>
      </c>
      <c r="W371" s="8" t="s">
        <v>8442</v>
      </c>
      <c r="Z371" s="1"/>
      <c r="AA371" s="1"/>
      <c r="AC371" s="1"/>
      <c r="AD371" s="1"/>
      <c r="AE371" s="1"/>
      <c r="AF371" s="1"/>
    </row>
    <row r="372" spans="2:32" ht="12.75" x14ac:dyDescent="0.2">
      <c r="B372" s="1" t="s">
        <v>8878</v>
      </c>
      <c r="C372" s="10">
        <f t="shared" ca="1" si="10"/>
        <v>45772</v>
      </c>
      <c r="D372" s="4"/>
      <c r="E372" s="4" t="s">
        <v>8434</v>
      </c>
      <c r="F372" s="4" t="s">
        <v>1293</v>
      </c>
      <c r="G372" s="4"/>
      <c r="H372" s="4" t="str">
        <f>_xlfn.IFNA(VLOOKUP(Table_Query_from_AMULTIQRY45[[#This Row],[WPROD]],'Part# with New'!$A$1:$B$4347,2,0),Table_Query_from_AMULTIQRY45[[#This Row],[WPROD]])</f>
        <v>WFFL086051016Q-PGX20A</v>
      </c>
      <c r="I372" s="4" t="s">
        <v>8436</v>
      </c>
      <c r="J372" s="1" t="s">
        <v>5</v>
      </c>
      <c r="L372" s="11">
        <v>0.12408</v>
      </c>
      <c r="M372" s="1"/>
      <c r="N372" s="1" t="s">
        <v>15</v>
      </c>
      <c r="P372" s="1" t="str">
        <f>CONCATENATE(Table_Query_from_AMULTIQRY45[[#This Row],[WWHS]],"-",Table_Query_from_AMULTIQRY45[[#This Row],[LLOC]])</f>
        <v>E1-FG</v>
      </c>
      <c r="Q372" s="10">
        <f t="shared" ca="1" si="11"/>
        <v>45775</v>
      </c>
      <c r="R372" s="10"/>
      <c r="S372" s="28">
        <v>4427</v>
      </c>
      <c r="T372" s="1" t="s">
        <v>2</v>
      </c>
      <c r="U372" s="1" t="s">
        <v>417</v>
      </c>
      <c r="V372" s="1">
        <v>20250425</v>
      </c>
      <c r="W372" s="8" t="s">
        <v>8442</v>
      </c>
      <c r="Z372" s="1"/>
      <c r="AA372" s="1"/>
      <c r="AC372" s="1"/>
      <c r="AD372" s="1"/>
      <c r="AE372" s="1"/>
      <c r="AF372" s="1"/>
    </row>
    <row r="373" spans="2:32" ht="12.75" x14ac:dyDescent="0.2">
      <c r="B373" s="1" t="s">
        <v>8879</v>
      </c>
      <c r="C373" s="10">
        <f t="shared" ca="1" si="10"/>
        <v>45030</v>
      </c>
      <c r="D373" s="4"/>
      <c r="E373" s="4" t="s">
        <v>8434</v>
      </c>
      <c r="F373" s="4" t="s">
        <v>1293</v>
      </c>
      <c r="G373" s="4"/>
      <c r="H373" s="4" t="str">
        <f>_xlfn.IFNA(VLOOKUP(Table_Query_from_AMULTIQRY45[[#This Row],[WPROD]],'Part# with New'!$A$1:$B$4347,2,0),Table_Query_from_AMULTIQRY45[[#This Row],[WPROD]])</f>
        <v>WFFH154090023D-PXX00W</v>
      </c>
      <c r="I373" s="4" t="s">
        <v>8436</v>
      </c>
      <c r="J373" s="1" t="s">
        <v>5</v>
      </c>
      <c r="L373" s="11">
        <v>0.30145</v>
      </c>
      <c r="M373" s="1"/>
      <c r="N373" s="1" t="s">
        <v>15</v>
      </c>
      <c r="P373" s="1" t="str">
        <f>CONCATENATE(Table_Query_from_AMULTIQRY45[[#This Row],[WWHS]],"-",Table_Query_from_AMULTIQRY45[[#This Row],[LLOC]])</f>
        <v>E1-FG</v>
      </c>
      <c r="Q373" s="10">
        <f t="shared" ca="1" si="11"/>
        <v>45775</v>
      </c>
      <c r="R373" s="10"/>
      <c r="S373" s="28">
        <v>215</v>
      </c>
      <c r="T373" s="1" t="s">
        <v>2</v>
      </c>
      <c r="U373" s="1" t="s">
        <v>418</v>
      </c>
      <c r="V373" s="1">
        <v>20230414</v>
      </c>
      <c r="W373" s="8" t="s">
        <v>8442</v>
      </c>
      <c r="Z373" s="1"/>
      <c r="AA373" s="1"/>
      <c r="AC373" s="1"/>
      <c r="AD373" s="1"/>
      <c r="AE373" s="1"/>
      <c r="AF373" s="1"/>
    </row>
    <row r="374" spans="2:32" ht="12.75" x14ac:dyDescent="0.2">
      <c r="B374" s="1" t="s">
        <v>8880</v>
      </c>
      <c r="C374" s="10">
        <f t="shared" ca="1" si="10"/>
        <v>45750</v>
      </c>
      <c r="D374" s="4"/>
      <c r="E374" s="4" t="s">
        <v>8434</v>
      </c>
      <c r="F374" s="4" t="s">
        <v>1293</v>
      </c>
      <c r="G374" s="4"/>
      <c r="H374" s="4" t="str">
        <f>_xlfn.IFNA(VLOOKUP(Table_Query_from_AMULTIQRY45[[#This Row],[WPROD]],'Part# with New'!$A$1:$B$4347,2,0),Table_Query_from_AMULTIQRY45[[#This Row],[WPROD]])</f>
        <v>WSNC118092012D-PXX00W</v>
      </c>
      <c r="I374" s="4" t="s">
        <v>8436</v>
      </c>
      <c r="J374" s="1" t="s">
        <v>5</v>
      </c>
      <c r="L374" s="11">
        <v>0.19502</v>
      </c>
      <c r="M374" s="1"/>
      <c r="N374" s="1" t="s">
        <v>6</v>
      </c>
      <c r="P374" s="1" t="str">
        <f>CONCATENATE(Table_Query_from_AMULTIQRY45[[#This Row],[WWHS]],"-",Table_Query_from_AMULTIQRY45[[#This Row],[LLOC]])</f>
        <v>E1-FG</v>
      </c>
      <c r="Q374" s="10">
        <f t="shared" ca="1" si="11"/>
        <v>45775</v>
      </c>
      <c r="R374" s="10"/>
      <c r="S374" s="28">
        <v>8500</v>
      </c>
      <c r="T374" s="1" t="s">
        <v>2</v>
      </c>
      <c r="U374" s="1" t="s">
        <v>419</v>
      </c>
      <c r="V374" s="1">
        <v>20250403</v>
      </c>
      <c r="W374" s="8" t="s">
        <v>8442</v>
      </c>
      <c r="Z374" s="1"/>
      <c r="AA374" s="1"/>
      <c r="AC374" s="1"/>
      <c r="AD374" s="1"/>
      <c r="AE374" s="1"/>
      <c r="AF374" s="1"/>
    </row>
    <row r="375" spans="2:32" ht="12.75" x14ac:dyDescent="0.2">
      <c r="B375" s="1" t="s">
        <v>8881</v>
      </c>
      <c r="C375" s="10">
        <f t="shared" ca="1" si="10"/>
        <v>45763</v>
      </c>
      <c r="D375" s="4"/>
      <c r="E375" s="4" t="s">
        <v>8434</v>
      </c>
      <c r="F375" s="4" t="s">
        <v>1293</v>
      </c>
      <c r="G375" s="4"/>
      <c r="H375" s="4" t="str">
        <f>_xlfn.IFNA(VLOOKUP(Table_Query_from_AMULTIQRY45[[#This Row],[WPROD]],'Part# with New'!$A$1:$B$4347,2,0),Table_Query_from_AMULTIQRY45[[#This Row],[WPROD]])</f>
        <v>WFFB150102014D-PXX00W</v>
      </c>
      <c r="I375" s="4" t="s">
        <v>8436</v>
      </c>
      <c r="J375" s="1" t="s">
        <v>5</v>
      </c>
      <c r="L375" s="11">
        <v>0.17985000000000001</v>
      </c>
      <c r="M375" s="1"/>
      <c r="N375" s="1" t="s">
        <v>348</v>
      </c>
      <c r="P375" s="1" t="str">
        <f>CONCATENATE(Table_Query_from_AMULTIQRY45[[#This Row],[WWHS]],"-",Table_Query_from_AMULTIQRY45[[#This Row],[LLOC]])</f>
        <v>E1-FG</v>
      </c>
      <c r="Q375" s="10">
        <f t="shared" ca="1" si="11"/>
        <v>45775</v>
      </c>
      <c r="R375" s="10"/>
      <c r="S375" s="28">
        <v>3496</v>
      </c>
      <c r="T375" s="1" t="s">
        <v>2</v>
      </c>
      <c r="U375" s="1" t="s">
        <v>421</v>
      </c>
      <c r="V375" s="1">
        <v>20250416</v>
      </c>
      <c r="W375" s="8" t="s">
        <v>8442</v>
      </c>
      <c r="Z375" s="1"/>
      <c r="AA375" s="1"/>
      <c r="AC375" s="1"/>
      <c r="AD375" s="1"/>
      <c r="AE375" s="1"/>
      <c r="AF375" s="1"/>
    </row>
    <row r="376" spans="2:32" ht="12.75" x14ac:dyDescent="0.2">
      <c r="B376" s="1" t="s">
        <v>8882</v>
      </c>
      <c r="C376" s="10">
        <f t="shared" ca="1" si="10"/>
        <v>45757</v>
      </c>
      <c r="D376" s="4"/>
      <c r="E376" s="4" t="s">
        <v>8434</v>
      </c>
      <c r="F376" s="4" t="s">
        <v>1293</v>
      </c>
      <c r="G376" s="4"/>
      <c r="H376" s="4" t="str">
        <f>_xlfn.IFNA(VLOOKUP(Table_Query_from_AMULTIQRY45[[#This Row],[WPROD]],'Part# with New'!$A$1:$B$4347,2,0),Table_Query_from_AMULTIQRY45[[#This Row],[WPROD]])</f>
        <v>WFFB120076016D-PXX00W</v>
      </c>
      <c r="I376" s="4" t="s">
        <v>8436</v>
      </c>
      <c r="J376" s="1" t="s">
        <v>5</v>
      </c>
      <c r="L376" s="11">
        <v>0.15751999999999999</v>
      </c>
      <c r="M376" s="1"/>
      <c r="N376" s="1" t="s">
        <v>346</v>
      </c>
      <c r="P376" s="1" t="str">
        <f>CONCATENATE(Table_Query_from_AMULTIQRY45[[#This Row],[WWHS]],"-",Table_Query_from_AMULTIQRY45[[#This Row],[LLOC]])</f>
        <v>E1-FG</v>
      </c>
      <c r="Q376" s="10">
        <f t="shared" ca="1" si="11"/>
        <v>45775</v>
      </c>
      <c r="R376" s="10"/>
      <c r="S376" s="28">
        <v>1425</v>
      </c>
      <c r="T376" s="1" t="s">
        <v>2</v>
      </c>
      <c r="U376" s="1" t="s">
        <v>422</v>
      </c>
      <c r="V376" s="1">
        <v>20250410</v>
      </c>
      <c r="W376" s="8" t="s">
        <v>8442</v>
      </c>
      <c r="Z376" s="1"/>
      <c r="AA376" s="1"/>
      <c r="AC376" s="1"/>
      <c r="AD376" s="1"/>
      <c r="AE376" s="1"/>
      <c r="AF376" s="1"/>
    </row>
    <row r="377" spans="2:32" ht="12.75" x14ac:dyDescent="0.2">
      <c r="B377" s="1" t="s">
        <v>8883</v>
      </c>
      <c r="C377" s="10">
        <f t="shared" ca="1" si="10"/>
        <v>44313</v>
      </c>
      <c r="D377" s="4"/>
      <c r="E377" s="4" t="s">
        <v>8434</v>
      </c>
      <c r="F377" s="4" t="s">
        <v>1293</v>
      </c>
      <c r="G377" s="4"/>
      <c r="H377" s="4" t="str">
        <f>_xlfn.IFNA(VLOOKUP(Table_Query_from_AMULTIQRY45[[#This Row],[WPROD]],'Part# with New'!$A$1:$B$4347,2,0),Table_Query_from_AMULTIQRY45[[#This Row],[WPROD]])</f>
        <v>WFFH255205023A-PXX00W</v>
      </c>
      <c r="I377" s="4" t="s">
        <v>8436</v>
      </c>
      <c r="J377" s="1" t="s">
        <v>5</v>
      </c>
      <c r="L377" s="11">
        <v>0.32045000000000001</v>
      </c>
      <c r="M377" s="1"/>
      <c r="N377" s="1" t="s">
        <v>348</v>
      </c>
      <c r="P377" s="1" t="str">
        <f>CONCATENATE(Table_Query_from_AMULTIQRY45[[#This Row],[WWHS]],"-",Table_Query_from_AMULTIQRY45[[#This Row],[LLOC]])</f>
        <v>E1-FG</v>
      </c>
      <c r="Q377" s="10">
        <f t="shared" ca="1" si="11"/>
        <v>45775</v>
      </c>
      <c r="R377" s="10"/>
      <c r="S377" s="28">
        <v>1119</v>
      </c>
      <c r="T377" s="1" t="s">
        <v>2</v>
      </c>
      <c r="U377" s="1" t="s">
        <v>423</v>
      </c>
      <c r="V377" s="1">
        <v>20210427</v>
      </c>
      <c r="W377" s="8" t="s">
        <v>8442</v>
      </c>
      <c r="Z377" s="1"/>
      <c r="AA377" s="1"/>
      <c r="AC377" s="1"/>
      <c r="AD377" s="1"/>
      <c r="AE377" s="1"/>
      <c r="AF377" s="1"/>
    </row>
    <row r="378" spans="2:32" ht="12.75" x14ac:dyDescent="0.2">
      <c r="B378" s="1" t="s">
        <v>8884</v>
      </c>
      <c r="C378" s="10">
        <f t="shared" ca="1" si="10"/>
        <v>45446</v>
      </c>
      <c r="D378" s="4"/>
      <c r="E378" s="4" t="s">
        <v>8434</v>
      </c>
      <c r="F378" s="4" t="s">
        <v>1293</v>
      </c>
      <c r="G378" s="4"/>
      <c r="H378" s="4" t="str">
        <f>_xlfn.IFNA(VLOOKUP(Table_Query_from_AMULTIQRY45[[#This Row],[WPROD]],'Part# with New'!$A$1:$B$4347,2,0),Table_Query_from_AMULTIQRY45[[#This Row],[WPROD]])</f>
        <v>WFFL105075015D-PCX20K</v>
      </c>
      <c r="I378" s="4" t="s">
        <v>8436</v>
      </c>
      <c r="J378" s="1" t="s">
        <v>5</v>
      </c>
      <c r="L378" s="11">
        <v>0.14124999999999999</v>
      </c>
      <c r="M378" s="1"/>
      <c r="N378" s="1" t="s">
        <v>346</v>
      </c>
      <c r="P378" s="1" t="str">
        <f>CONCATENATE(Table_Query_from_AMULTIQRY45[[#This Row],[WWHS]],"-",Table_Query_from_AMULTIQRY45[[#This Row],[LLOC]])</f>
        <v>E1-FG</v>
      </c>
      <c r="Q378" s="10">
        <f t="shared" ca="1" si="11"/>
        <v>45775</v>
      </c>
      <c r="R378" s="10"/>
      <c r="S378" s="28">
        <v>186</v>
      </c>
      <c r="T378" s="1" t="s">
        <v>2</v>
      </c>
      <c r="U378" s="1" t="s">
        <v>424</v>
      </c>
      <c r="V378" s="1">
        <v>20240603</v>
      </c>
      <c r="W378" s="8" t="s">
        <v>8442</v>
      </c>
      <c r="Z378" s="1"/>
      <c r="AA378" s="1"/>
      <c r="AC378" s="1"/>
      <c r="AD378" s="1"/>
      <c r="AE378" s="1"/>
      <c r="AF378" s="1"/>
    </row>
    <row r="379" spans="2:32" ht="12.75" x14ac:dyDescent="0.2">
      <c r="B379" s="1" t="s">
        <v>8885</v>
      </c>
      <c r="C379" s="10">
        <f t="shared" ca="1" si="10"/>
        <v>43944</v>
      </c>
      <c r="D379" s="4"/>
      <c r="E379" s="4" t="s">
        <v>8434</v>
      </c>
      <c r="F379" s="4" t="s">
        <v>1293</v>
      </c>
      <c r="G379" s="4"/>
      <c r="H379" s="4" t="str">
        <f>_xlfn.IFNA(VLOOKUP(Table_Query_from_AMULTIQRY45[[#This Row],[WPROD]],'Part# with New'!$A$1:$B$4347,2,0),Table_Query_from_AMULTIQRY45[[#This Row],[WPROD]])</f>
        <v>WFFL080057013D-PCX20K</v>
      </c>
      <c r="I379" s="4" t="s">
        <v>8436</v>
      </c>
      <c r="J379" s="1" t="s">
        <v>5</v>
      </c>
      <c r="L379" s="11">
        <v>0.12548999999999999</v>
      </c>
      <c r="M379" s="1"/>
      <c r="N379" s="1" t="s">
        <v>346</v>
      </c>
      <c r="P379" s="1" t="str">
        <f>CONCATENATE(Table_Query_from_AMULTIQRY45[[#This Row],[WWHS]],"-",Table_Query_from_AMULTIQRY45[[#This Row],[LLOC]])</f>
        <v>E1-FG</v>
      </c>
      <c r="Q379" s="10">
        <f t="shared" ca="1" si="11"/>
        <v>45775</v>
      </c>
      <c r="R379" s="10"/>
      <c r="S379" s="28">
        <v>84</v>
      </c>
      <c r="T379" s="1" t="s">
        <v>2</v>
      </c>
      <c r="U379" s="1" t="s">
        <v>425</v>
      </c>
      <c r="V379" s="1">
        <v>20200423</v>
      </c>
      <c r="W379" s="8" t="s">
        <v>8442</v>
      </c>
      <c r="Z379" s="1"/>
      <c r="AA379" s="1"/>
      <c r="AC379" s="1"/>
      <c r="AD379" s="1"/>
      <c r="AE379" s="1"/>
      <c r="AF379" s="1"/>
    </row>
    <row r="380" spans="2:32" ht="12.75" x14ac:dyDescent="0.2">
      <c r="B380" s="1" t="s">
        <v>8886</v>
      </c>
      <c r="C380" s="10">
        <f t="shared" ca="1" si="10"/>
        <v>45716</v>
      </c>
      <c r="D380" s="4"/>
      <c r="E380" s="4" t="s">
        <v>8434</v>
      </c>
      <c r="F380" s="4" t="s">
        <v>1293</v>
      </c>
      <c r="G380" s="4"/>
      <c r="H380" s="4" t="str">
        <f>_xlfn.IFNA(VLOOKUP(Table_Query_from_AMULTIQRY45[[#This Row],[WPROD]],'Part# with New'!$A$1:$B$4347,2,0),Table_Query_from_AMULTIQRY45[[#This Row],[WPROD]])</f>
        <v>WPSA068051004D-PXX00W</v>
      </c>
      <c r="I380" s="4" t="s">
        <v>8436</v>
      </c>
      <c r="J380" s="1" t="s">
        <v>5</v>
      </c>
      <c r="L380" s="11">
        <v>2.5139999999999999E-2</v>
      </c>
      <c r="M380" s="1"/>
      <c r="N380" s="1" t="s">
        <v>9</v>
      </c>
      <c r="P380" s="1" t="str">
        <f>CONCATENATE(Table_Query_from_AMULTIQRY45[[#This Row],[WWHS]],"-",Table_Query_from_AMULTIQRY45[[#This Row],[LLOC]])</f>
        <v>E1-FG</v>
      </c>
      <c r="Q380" s="10">
        <f t="shared" ca="1" si="11"/>
        <v>45775</v>
      </c>
      <c r="R380" s="10"/>
      <c r="S380" s="28">
        <v>977</v>
      </c>
      <c r="T380" s="1" t="s">
        <v>2</v>
      </c>
      <c r="U380" s="1" t="s">
        <v>426</v>
      </c>
      <c r="V380" s="1">
        <v>20250228</v>
      </c>
      <c r="W380" s="8" t="s">
        <v>8442</v>
      </c>
      <c r="Z380" s="1"/>
      <c r="AA380" s="1"/>
      <c r="AC380" s="1"/>
      <c r="AD380" s="1"/>
      <c r="AE380" s="1"/>
      <c r="AF380" s="1"/>
    </row>
    <row r="381" spans="2:32" ht="12.75" x14ac:dyDescent="0.2">
      <c r="B381" s="1" t="s">
        <v>8887</v>
      </c>
      <c r="C381" s="10">
        <f t="shared" ca="1" si="10"/>
        <v>45747</v>
      </c>
      <c r="D381" s="4"/>
      <c r="E381" s="4" t="s">
        <v>8434</v>
      </c>
      <c r="F381" s="4" t="s">
        <v>1293</v>
      </c>
      <c r="G381" s="4"/>
      <c r="H381" s="4" t="str">
        <f>_xlfn.IFNA(VLOOKUP(Table_Query_from_AMULTIQRY45[[#This Row],[WPROD]],'Part# with New'!$A$1:$B$4347,2,0),Table_Query_from_AMULTIQRY45[[#This Row],[WPROD]])</f>
        <v>WPSA075056004D-PXX00W</v>
      </c>
      <c r="I381" s="4" t="s">
        <v>8436</v>
      </c>
      <c r="J381" s="1" t="s">
        <v>5</v>
      </c>
      <c r="L381" s="11">
        <v>2.4199999999999999E-2</v>
      </c>
      <c r="M381" s="1"/>
      <c r="N381" s="1" t="s">
        <v>9</v>
      </c>
      <c r="P381" s="1" t="str">
        <f>CONCATENATE(Table_Query_from_AMULTIQRY45[[#This Row],[WWHS]],"-",Table_Query_from_AMULTIQRY45[[#This Row],[LLOC]])</f>
        <v>E1-FG</v>
      </c>
      <c r="Q381" s="10">
        <f t="shared" ca="1" si="11"/>
        <v>45775</v>
      </c>
      <c r="R381" s="10"/>
      <c r="S381" s="28">
        <v>1802</v>
      </c>
      <c r="T381" s="1" t="s">
        <v>2</v>
      </c>
      <c r="U381" s="1" t="s">
        <v>427</v>
      </c>
      <c r="V381" s="1">
        <v>20250331</v>
      </c>
      <c r="W381" s="8" t="s">
        <v>8442</v>
      </c>
      <c r="Z381" s="1"/>
      <c r="AA381" s="1"/>
      <c r="AC381" s="1"/>
      <c r="AD381" s="1"/>
      <c r="AE381" s="1"/>
      <c r="AF381" s="1"/>
    </row>
    <row r="382" spans="2:32" ht="12.75" x14ac:dyDescent="0.2">
      <c r="B382" s="1" t="s">
        <v>8888</v>
      </c>
      <c r="C382" s="10">
        <f t="shared" ca="1" si="10"/>
        <v>45772</v>
      </c>
      <c r="D382" s="4"/>
      <c r="E382" s="4" t="s">
        <v>8434</v>
      </c>
      <c r="F382" s="4" t="s">
        <v>1293</v>
      </c>
      <c r="G382" s="4"/>
      <c r="H382" s="4" t="str">
        <f>_xlfn.IFNA(VLOOKUP(Table_Query_from_AMULTIQRY45[[#This Row],[WPROD]],'Part# with New'!$A$1:$B$4347,2,0),Table_Query_from_AMULTIQRY45[[#This Row],[WPROD]])</f>
        <v>WPSM125100004D-PXX00W</v>
      </c>
      <c r="I382" s="4" t="s">
        <v>8436</v>
      </c>
      <c r="J382" s="1" t="s">
        <v>5</v>
      </c>
      <c r="L382" s="11">
        <v>4.0550000000000003E-2</v>
      </c>
      <c r="M382" s="1"/>
      <c r="N382" s="1" t="s">
        <v>326</v>
      </c>
      <c r="P382" s="1" t="str">
        <f>CONCATENATE(Table_Query_from_AMULTIQRY45[[#This Row],[WWHS]],"-",Table_Query_from_AMULTIQRY45[[#This Row],[LLOC]])</f>
        <v>E1-FG</v>
      </c>
      <c r="Q382" s="10">
        <f t="shared" ca="1" si="11"/>
        <v>45775</v>
      </c>
      <c r="R382" s="10"/>
      <c r="S382" s="28">
        <v>1884</v>
      </c>
      <c r="T382" s="1" t="s">
        <v>2</v>
      </c>
      <c r="U382" s="1" t="s">
        <v>428</v>
      </c>
      <c r="V382" s="1">
        <v>20250425</v>
      </c>
      <c r="W382" s="8" t="s">
        <v>8442</v>
      </c>
      <c r="Z382" s="1"/>
      <c r="AA382" s="1"/>
      <c r="AC382" s="1"/>
      <c r="AD382" s="1"/>
      <c r="AE382" s="1"/>
      <c r="AF382" s="1"/>
    </row>
    <row r="383" spans="2:32" ht="12.75" x14ac:dyDescent="0.2">
      <c r="B383" s="1" t="s">
        <v>8889</v>
      </c>
      <c r="C383" s="10">
        <f t="shared" ca="1" si="10"/>
        <v>43327</v>
      </c>
      <c r="D383" s="4"/>
      <c r="E383" s="4" t="s">
        <v>8434</v>
      </c>
      <c r="F383" s="4" t="s">
        <v>1293</v>
      </c>
      <c r="G383" s="4"/>
      <c r="H383" s="4" t="str">
        <f>_xlfn.IFNA(VLOOKUP(Table_Query_from_AMULTIQRY45[[#This Row],[WPROD]],'Part# with New'!$A$1:$B$4347,2,0),Table_Query_from_AMULTIQRY45[[#This Row],[WPROD]])</f>
        <v>WSMP436402007S-PGM15K</v>
      </c>
      <c r="I383" s="4" t="s">
        <v>8436</v>
      </c>
      <c r="J383" s="1" t="s">
        <v>5</v>
      </c>
      <c r="L383" s="11">
        <v>0.84384000000000003</v>
      </c>
      <c r="M383" s="1"/>
      <c r="N383" s="1" t="s">
        <v>18</v>
      </c>
      <c r="P383" s="1" t="str">
        <f>CONCATENATE(Table_Query_from_AMULTIQRY45[[#This Row],[WWHS]],"-",Table_Query_from_AMULTIQRY45[[#This Row],[LLOC]])</f>
        <v>E1-FG</v>
      </c>
      <c r="Q383" s="10">
        <f t="shared" ca="1" si="11"/>
        <v>45775</v>
      </c>
      <c r="R383" s="10"/>
      <c r="S383" s="28">
        <v>77</v>
      </c>
      <c r="T383" s="1" t="s">
        <v>2</v>
      </c>
      <c r="U383" s="1" t="s">
        <v>429</v>
      </c>
      <c r="V383" s="1">
        <v>20180815</v>
      </c>
      <c r="W383" s="8" t="s">
        <v>8442</v>
      </c>
      <c r="Z383" s="1"/>
      <c r="AA383" s="1"/>
      <c r="AC383" s="1"/>
      <c r="AD383" s="1"/>
      <c r="AE383" s="1"/>
      <c r="AF383" s="1"/>
    </row>
    <row r="384" spans="2:32" ht="12.75" x14ac:dyDescent="0.2">
      <c r="B384" s="1" t="s">
        <v>8890</v>
      </c>
      <c r="C384" s="10">
        <f t="shared" ca="1" si="10"/>
        <v>45565</v>
      </c>
      <c r="D384" s="4"/>
      <c r="E384" s="4" t="s">
        <v>8434</v>
      </c>
      <c r="F384" s="4" t="s">
        <v>1293</v>
      </c>
      <c r="G384" s="4"/>
      <c r="H384" s="4" t="str">
        <f>_xlfn.IFNA(VLOOKUP(Table_Query_from_AMULTIQRY45[[#This Row],[WPROD]],'Part# with New'!$A$1:$B$4347,2,0),Table_Query_from_AMULTIQRY45[[#This Row],[WPROD]])</f>
        <v>WFFL076052009D-PCG10K</v>
      </c>
      <c r="I384" s="4" t="s">
        <v>8436</v>
      </c>
      <c r="J384" s="1" t="s">
        <v>5</v>
      </c>
      <c r="L384" s="11">
        <v>7.5520000000000004E-2</v>
      </c>
      <c r="M384" s="1"/>
      <c r="N384" s="1" t="s">
        <v>346</v>
      </c>
      <c r="P384" s="1" t="str">
        <f>CONCATENATE(Table_Query_from_AMULTIQRY45[[#This Row],[WWHS]],"-",Table_Query_from_AMULTIQRY45[[#This Row],[LLOC]])</f>
        <v>E1-FG</v>
      </c>
      <c r="Q384" s="10">
        <f t="shared" ca="1" si="11"/>
        <v>45775</v>
      </c>
      <c r="R384" s="10"/>
      <c r="S384" s="28">
        <v>275</v>
      </c>
      <c r="T384" s="1" t="s">
        <v>2</v>
      </c>
      <c r="U384" s="1" t="s">
        <v>430</v>
      </c>
      <c r="V384" s="1">
        <v>20240930</v>
      </c>
      <c r="W384" s="8" t="s">
        <v>8442</v>
      </c>
      <c r="Z384" s="1"/>
      <c r="AA384" s="1"/>
      <c r="AC384" s="1"/>
      <c r="AD384" s="1"/>
      <c r="AE384" s="1"/>
      <c r="AF384" s="1"/>
    </row>
    <row r="385" spans="2:32" ht="12.75" x14ac:dyDescent="0.2">
      <c r="B385" s="1" t="s">
        <v>8891</v>
      </c>
      <c r="C385" s="10">
        <f t="shared" ca="1" si="10"/>
        <v>45415</v>
      </c>
      <c r="D385" s="4"/>
      <c r="E385" s="4" t="s">
        <v>8434</v>
      </c>
      <c r="F385" s="4" t="s">
        <v>1293</v>
      </c>
      <c r="G385" s="4"/>
      <c r="H385" s="4" t="str">
        <f>_xlfn.IFNA(VLOOKUP(Table_Query_from_AMULTIQRY45[[#This Row],[WPROD]],'Part# with New'!$A$1:$B$4347,2,0),Table_Query_from_AMULTIQRY45[[#This Row],[WPROD]])</f>
        <v>WFFL076052009D-PXX00W</v>
      </c>
      <c r="I385" s="4" t="s">
        <v>8436</v>
      </c>
      <c r="J385" s="1" t="s">
        <v>5</v>
      </c>
      <c r="L385" s="11">
        <v>7.2080000000000005E-2</v>
      </c>
      <c r="M385" s="1"/>
      <c r="N385" s="1" t="s">
        <v>346</v>
      </c>
      <c r="P385" s="1" t="str">
        <f>CONCATENATE(Table_Query_from_AMULTIQRY45[[#This Row],[WWHS]],"-",Table_Query_from_AMULTIQRY45[[#This Row],[LLOC]])</f>
        <v>E1-FG</v>
      </c>
      <c r="Q385" s="10">
        <f t="shared" ca="1" si="11"/>
        <v>45775</v>
      </c>
      <c r="R385" s="10"/>
      <c r="S385" s="28">
        <v>1780</v>
      </c>
      <c r="T385" s="1" t="s">
        <v>2</v>
      </c>
      <c r="U385" s="1" t="s">
        <v>431</v>
      </c>
      <c r="V385" s="1">
        <v>20240503</v>
      </c>
      <c r="W385" s="8" t="s">
        <v>8442</v>
      </c>
      <c r="Z385" s="1"/>
      <c r="AA385" s="1"/>
      <c r="AC385" s="1"/>
      <c r="AD385" s="1"/>
      <c r="AE385" s="1"/>
      <c r="AF385" s="1"/>
    </row>
    <row r="386" spans="2:32" ht="12.75" x14ac:dyDescent="0.2">
      <c r="B386" s="1" t="s">
        <v>8892</v>
      </c>
      <c r="C386" s="10">
        <f t="shared" ca="1" si="10"/>
        <v>45678</v>
      </c>
      <c r="D386" s="4"/>
      <c r="E386" s="4" t="s">
        <v>8434</v>
      </c>
      <c r="F386" s="4" t="s">
        <v>1293</v>
      </c>
      <c r="G386" s="4"/>
      <c r="H386" s="4" t="str">
        <f>_xlfn.IFNA(VLOOKUP(Table_Query_from_AMULTIQRY45[[#This Row],[WPROD]],'Part# with New'!$A$1:$B$4347,2,0),Table_Query_from_AMULTIQRY45[[#This Row],[WPROD]])</f>
        <v>WFFL130075022D-PCG10K</v>
      </c>
      <c r="I386" s="4" t="s">
        <v>8436</v>
      </c>
      <c r="J386" s="1" t="s">
        <v>5</v>
      </c>
      <c r="L386" s="11">
        <v>0.27816000000000002</v>
      </c>
      <c r="M386" s="1"/>
      <c r="N386" s="1" t="s">
        <v>346</v>
      </c>
      <c r="P386" s="1" t="str">
        <f>CONCATENATE(Table_Query_from_AMULTIQRY45[[#This Row],[WWHS]],"-",Table_Query_from_AMULTIQRY45[[#This Row],[LLOC]])</f>
        <v>E1-FG</v>
      </c>
      <c r="Q386" s="10">
        <f t="shared" ca="1" si="11"/>
        <v>45775</v>
      </c>
      <c r="R386" s="10"/>
      <c r="S386" s="28">
        <v>140</v>
      </c>
      <c r="T386" s="1" t="s">
        <v>2</v>
      </c>
      <c r="U386" s="1" t="s">
        <v>432</v>
      </c>
      <c r="V386" s="1">
        <v>20250121</v>
      </c>
      <c r="W386" s="8" t="s">
        <v>8442</v>
      </c>
      <c r="Z386" s="1"/>
      <c r="AA386" s="1"/>
      <c r="AC386" s="1"/>
      <c r="AD386" s="1"/>
      <c r="AE386" s="1"/>
      <c r="AF386" s="1"/>
    </row>
    <row r="387" spans="2:32" ht="12.75" x14ac:dyDescent="0.2">
      <c r="B387" s="1" t="s">
        <v>8893</v>
      </c>
      <c r="C387" s="10">
        <f t="shared" ca="1" si="10"/>
        <v>45758</v>
      </c>
      <c r="D387" s="4"/>
      <c r="E387" s="4" t="s">
        <v>8434</v>
      </c>
      <c r="F387" s="4" t="s">
        <v>1293</v>
      </c>
      <c r="G387" s="4"/>
      <c r="H387" s="4" t="str">
        <f>_xlfn.IFNA(VLOOKUP(Table_Query_from_AMULTIQRY45[[#This Row],[WPROD]],'Part# with New'!$A$1:$B$4347,2,0),Table_Query_from_AMULTIQRY45[[#This Row],[WPROD]])</f>
        <v>WSMP128084018D-PXX00W</v>
      </c>
      <c r="I387" s="4" t="s">
        <v>8436</v>
      </c>
      <c r="J387" s="1" t="s">
        <v>5</v>
      </c>
      <c r="L387" s="11">
        <v>0.67720000000000002</v>
      </c>
      <c r="M387" s="1"/>
      <c r="N387" s="1" t="s">
        <v>18</v>
      </c>
      <c r="P387" s="1" t="str">
        <f>CONCATENATE(Table_Query_from_AMULTIQRY45[[#This Row],[WWHS]],"-",Table_Query_from_AMULTIQRY45[[#This Row],[LLOC]])</f>
        <v>E1-FG</v>
      </c>
      <c r="Q387" s="10">
        <f t="shared" ca="1" si="11"/>
        <v>45775</v>
      </c>
      <c r="R387" s="10"/>
      <c r="S387" s="28">
        <v>41</v>
      </c>
      <c r="T387" s="1" t="s">
        <v>2</v>
      </c>
      <c r="U387" s="1" t="s">
        <v>433</v>
      </c>
      <c r="V387" s="1">
        <v>20250411</v>
      </c>
      <c r="W387" s="8" t="s">
        <v>8442</v>
      </c>
      <c r="Z387" s="1"/>
      <c r="AA387" s="1"/>
      <c r="AC387" s="1"/>
      <c r="AD387" s="1"/>
      <c r="AE387" s="1"/>
      <c r="AF387" s="1"/>
    </row>
    <row r="388" spans="2:32" ht="12.75" x14ac:dyDescent="0.2">
      <c r="B388" s="1" t="s">
        <v>8894</v>
      </c>
      <c r="C388" s="10">
        <f t="shared" ca="1" si="10"/>
        <v>45443</v>
      </c>
      <c r="D388" s="4"/>
      <c r="E388" s="4" t="s">
        <v>8434</v>
      </c>
      <c r="F388" s="4" t="s">
        <v>1293</v>
      </c>
      <c r="G388" s="4"/>
      <c r="H388" s="4" t="str">
        <f>_xlfn.IFNA(VLOOKUP(Table_Query_from_AMULTIQRY45[[#This Row],[WPROD]],'Part# with New'!$A$1:$B$4347,2,0),Table_Query_from_AMULTIQRY45[[#This Row],[WPROD]])</f>
        <v>WPST037031003Q-PGX15W</v>
      </c>
      <c r="I388" s="4" t="s">
        <v>8436</v>
      </c>
      <c r="J388" s="1" t="s">
        <v>5</v>
      </c>
      <c r="L388" s="11">
        <v>1.6570000000000001E-2</v>
      </c>
      <c r="M388" s="1"/>
      <c r="N388" s="1" t="s">
        <v>379</v>
      </c>
      <c r="P388" s="1" t="str">
        <f>CONCATENATE(Table_Query_from_AMULTIQRY45[[#This Row],[WWHS]],"-",Table_Query_from_AMULTIQRY45[[#This Row],[LLOC]])</f>
        <v>E1-FG</v>
      </c>
      <c r="Q388" s="10">
        <f t="shared" ca="1" si="11"/>
        <v>45775</v>
      </c>
      <c r="R388" s="10"/>
      <c r="S388" s="28">
        <v>3137</v>
      </c>
      <c r="T388" s="1" t="s">
        <v>2</v>
      </c>
      <c r="U388" s="1" t="s">
        <v>434</v>
      </c>
      <c r="V388" s="1">
        <v>20240531</v>
      </c>
      <c r="W388" s="8" t="s">
        <v>8442</v>
      </c>
      <c r="Z388" s="1"/>
      <c r="AA388" s="1"/>
      <c r="AC388" s="1"/>
      <c r="AD388" s="1"/>
      <c r="AE388" s="1"/>
      <c r="AF388" s="1"/>
    </row>
    <row r="389" spans="2:32" ht="12.75" x14ac:dyDescent="0.2">
      <c r="B389" s="1" t="s">
        <v>8895</v>
      </c>
      <c r="C389" s="10">
        <f t="shared" ca="1" si="10"/>
        <v>43595</v>
      </c>
      <c r="D389" s="4"/>
      <c r="E389" s="4" t="s">
        <v>8434</v>
      </c>
      <c r="F389" s="4" t="s">
        <v>1293</v>
      </c>
      <c r="G389" s="4"/>
      <c r="H389" s="4" t="str">
        <f>_xlfn.IFNA(VLOOKUP(Table_Query_from_AMULTIQRY45[[#This Row],[WPROD]],'Part# with New'!$A$1:$B$4347,2,0),Table_Query_from_AMULTIQRY45[[#This Row],[WPROD]])</f>
        <v>21114</v>
      </c>
      <c r="I389" s="4" t="s">
        <v>8436</v>
      </c>
      <c r="J389" s="1" t="s">
        <v>5</v>
      </c>
      <c r="L389" s="11">
        <v>0.1313</v>
      </c>
      <c r="M389" s="1"/>
      <c r="N389" s="1" t="s">
        <v>326</v>
      </c>
      <c r="P389" s="1" t="str">
        <f>CONCATENATE(Table_Query_from_AMULTIQRY45[[#This Row],[WWHS]],"-",Table_Query_from_AMULTIQRY45[[#This Row],[LLOC]])</f>
        <v>E1-FG</v>
      </c>
      <c r="Q389" s="10">
        <f t="shared" ca="1" si="11"/>
        <v>45775</v>
      </c>
      <c r="R389" s="10"/>
      <c r="S389" s="28">
        <v>260</v>
      </c>
      <c r="T389" s="1" t="s">
        <v>2</v>
      </c>
      <c r="U389" s="1" t="s">
        <v>435</v>
      </c>
      <c r="V389" s="1">
        <v>20190510</v>
      </c>
      <c r="W389" s="8" t="s">
        <v>8442</v>
      </c>
      <c r="Z389" s="1"/>
      <c r="AA389" s="1"/>
      <c r="AC389" s="1"/>
      <c r="AD389" s="1"/>
      <c r="AE389" s="1"/>
      <c r="AF389" s="1"/>
    </row>
    <row r="390" spans="2:32" ht="12.75" x14ac:dyDescent="0.2">
      <c r="B390" s="1" t="s">
        <v>8896</v>
      </c>
      <c r="C390" s="10">
        <f t="shared" ca="1" si="10"/>
        <v>45272</v>
      </c>
      <c r="D390" s="4"/>
      <c r="E390" s="4" t="s">
        <v>8434</v>
      </c>
      <c r="F390" s="4" t="s">
        <v>1293</v>
      </c>
      <c r="G390" s="4"/>
      <c r="H390" s="4" t="str">
        <f>_xlfn.IFNA(VLOOKUP(Table_Query_from_AMULTIQRY45[[#This Row],[WPROD]],'Part# with New'!$A$1:$B$4347,2,0),Table_Query_from_AMULTIQRY45[[#This Row],[WPROD]])</f>
        <v>WSOT379361027D-PGM15K</v>
      </c>
      <c r="I390" s="4" t="s">
        <v>8436</v>
      </c>
      <c r="J390" s="1" t="s">
        <v>5</v>
      </c>
      <c r="L390" s="11">
        <v>1.0362199999999999</v>
      </c>
      <c r="M390" s="1"/>
      <c r="N390" s="1" t="s">
        <v>3</v>
      </c>
      <c r="P390" s="1" t="str">
        <f>CONCATENATE(Table_Query_from_AMULTIQRY45[[#This Row],[WWHS]],"-",Table_Query_from_AMULTIQRY45[[#This Row],[LLOC]])</f>
        <v>E1-FG</v>
      </c>
      <c r="Q390" s="10">
        <f t="shared" ca="1" si="11"/>
        <v>45775</v>
      </c>
      <c r="R390" s="10"/>
      <c r="S390" s="28">
        <v>1121</v>
      </c>
      <c r="T390" s="1" t="s">
        <v>2</v>
      </c>
      <c r="U390" s="1" t="s">
        <v>436</v>
      </c>
      <c r="V390" s="1">
        <v>20231212</v>
      </c>
      <c r="W390" s="8" t="s">
        <v>8442</v>
      </c>
      <c r="Z390" s="1"/>
      <c r="AA390" s="1"/>
      <c r="AC390" s="1"/>
      <c r="AD390" s="1"/>
      <c r="AE390" s="1"/>
      <c r="AF390" s="1"/>
    </row>
    <row r="391" spans="2:32" ht="12.75" x14ac:dyDescent="0.2">
      <c r="B391" s="1" t="s">
        <v>8897</v>
      </c>
      <c r="C391" s="10">
        <f t="shared" ref="C391:C454" ca="1" si="12">IFERROR(DATE(LEFT($V391,4),MID($V391,5,2),RIGHT($V391,2)),TODAY())</f>
        <v>45755</v>
      </c>
      <c r="D391" s="4"/>
      <c r="E391" s="4" t="s">
        <v>8434</v>
      </c>
      <c r="F391" s="4" t="s">
        <v>1293</v>
      </c>
      <c r="G391" s="4"/>
      <c r="H391" s="4" t="str">
        <f>_xlfn.IFNA(VLOOKUP(Table_Query_from_AMULTIQRY45[[#This Row],[WPROD]],'Part# with New'!$A$1:$B$4347,2,0),Table_Query_from_AMULTIQRY45[[#This Row],[WPROD]])</f>
        <v>WFFB111068016D-PGX25A</v>
      </c>
      <c r="I391" s="4" t="s">
        <v>8436</v>
      </c>
      <c r="J391" s="1" t="s">
        <v>5</v>
      </c>
      <c r="L391" s="11">
        <v>0.17916000000000001</v>
      </c>
      <c r="M391" s="1"/>
      <c r="N391" s="1" t="s">
        <v>15</v>
      </c>
      <c r="P391" s="1" t="str">
        <f>CONCATENATE(Table_Query_from_AMULTIQRY45[[#This Row],[WWHS]],"-",Table_Query_from_AMULTIQRY45[[#This Row],[LLOC]])</f>
        <v>E1-FG</v>
      </c>
      <c r="Q391" s="10">
        <f t="shared" ref="Q391:Q454" ca="1" si="13">+TODAY()</f>
        <v>45775</v>
      </c>
      <c r="R391" s="10"/>
      <c r="S391" s="28">
        <v>1632</v>
      </c>
      <c r="T391" s="1" t="s">
        <v>2</v>
      </c>
      <c r="U391" s="1" t="s">
        <v>437</v>
      </c>
      <c r="V391" s="1">
        <v>20250408</v>
      </c>
      <c r="W391" s="8" t="s">
        <v>8442</v>
      </c>
      <c r="Z391" s="1"/>
      <c r="AA391" s="1"/>
      <c r="AC391" s="1"/>
      <c r="AD391" s="1"/>
      <c r="AE391" s="1"/>
      <c r="AF391" s="1"/>
    </row>
    <row r="392" spans="2:32" ht="12.75" x14ac:dyDescent="0.2">
      <c r="B392" s="1" t="s">
        <v>8898</v>
      </c>
      <c r="C392" s="10">
        <f t="shared" ca="1" si="12"/>
        <v>45757</v>
      </c>
      <c r="D392" s="4"/>
      <c r="E392" s="4" t="s">
        <v>8434</v>
      </c>
      <c r="F392" s="4" t="s">
        <v>1293</v>
      </c>
      <c r="G392" s="4"/>
      <c r="H392" s="4" t="str">
        <f>_xlfn.IFNA(VLOOKUP(Table_Query_from_AMULTIQRY45[[#This Row],[WPROD]],'Part# with New'!$A$1:$B$4347,2,0),Table_Query_from_AMULTIQRY45[[#This Row],[WPROD]])</f>
        <v>WFFB137087016D-PGX20A</v>
      </c>
      <c r="I392" s="4" t="s">
        <v>8436</v>
      </c>
      <c r="J392" s="1" t="s">
        <v>5</v>
      </c>
      <c r="L392" s="11">
        <v>0.25287999999999999</v>
      </c>
      <c r="M392" s="1"/>
      <c r="N392" s="1" t="s">
        <v>15</v>
      </c>
      <c r="P392" s="1" t="str">
        <f>CONCATENATE(Table_Query_from_AMULTIQRY45[[#This Row],[WWHS]],"-",Table_Query_from_AMULTIQRY45[[#This Row],[LLOC]])</f>
        <v>E1-FG</v>
      </c>
      <c r="Q392" s="10">
        <f t="shared" ca="1" si="13"/>
        <v>45775</v>
      </c>
      <c r="R392" s="10"/>
      <c r="S392" s="28">
        <v>370</v>
      </c>
      <c r="T392" s="1" t="s">
        <v>2</v>
      </c>
      <c r="U392" s="1" t="s">
        <v>438</v>
      </c>
      <c r="V392" s="1">
        <v>20250410</v>
      </c>
      <c r="W392" s="8" t="s">
        <v>8442</v>
      </c>
      <c r="Z392" s="1"/>
      <c r="AA392" s="1"/>
      <c r="AC392" s="1"/>
      <c r="AD392" s="1"/>
      <c r="AE392" s="1"/>
      <c r="AF392" s="1"/>
    </row>
    <row r="393" spans="2:32" ht="12.75" x14ac:dyDescent="0.2">
      <c r="B393" s="1" t="s">
        <v>8899</v>
      </c>
      <c r="C393" s="10">
        <f t="shared" ca="1" si="12"/>
        <v>43706</v>
      </c>
      <c r="D393" s="4"/>
      <c r="E393" s="4" t="s">
        <v>8434</v>
      </c>
      <c r="F393" s="4" t="s">
        <v>1293</v>
      </c>
      <c r="G393" s="4"/>
      <c r="H393" s="4" t="str">
        <f>_xlfn.IFNA(VLOOKUP(Table_Query_from_AMULTIQRY45[[#This Row],[WPROD]],'Part# with New'!$A$1:$B$4347,2,0),Table_Query_from_AMULTIQRY45[[#This Row],[WPROD]])</f>
        <v>WSNC142100031D-MXX00W</v>
      </c>
      <c r="I393" s="4" t="s">
        <v>8436</v>
      </c>
      <c r="J393" s="1" t="s">
        <v>5</v>
      </c>
      <c r="L393" s="11">
        <v>1.06298</v>
      </c>
      <c r="M393" s="1"/>
      <c r="N393" s="1" t="s">
        <v>6</v>
      </c>
      <c r="P393" s="1" t="str">
        <f>CONCATENATE(Table_Query_from_AMULTIQRY45[[#This Row],[WWHS]],"-",Table_Query_from_AMULTIQRY45[[#This Row],[LLOC]])</f>
        <v>E1-FG</v>
      </c>
      <c r="Q393" s="10">
        <f t="shared" ca="1" si="13"/>
        <v>45775</v>
      </c>
      <c r="R393" s="10"/>
      <c r="S393" s="28">
        <v>83</v>
      </c>
      <c r="T393" s="1" t="s">
        <v>2</v>
      </c>
      <c r="U393" s="1" t="s">
        <v>439</v>
      </c>
      <c r="V393" s="1">
        <v>20190829</v>
      </c>
      <c r="W393" s="8" t="s">
        <v>8442</v>
      </c>
      <c r="Z393" s="1"/>
      <c r="AA393" s="1"/>
      <c r="AC393" s="1"/>
      <c r="AD393" s="1"/>
      <c r="AE393" s="1"/>
      <c r="AF393" s="1"/>
    </row>
    <row r="394" spans="2:32" ht="12.75" x14ac:dyDescent="0.2">
      <c r="B394" s="1" t="s">
        <v>8900</v>
      </c>
      <c r="C394" s="10">
        <f t="shared" ca="1" si="12"/>
        <v>45772</v>
      </c>
      <c r="D394" s="4"/>
      <c r="E394" s="4" t="s">
        <v>8434</v>
      </c>
      <c r="F394" s="4" t="s">
        <v>1293</v>
      </c>
      <c r="G394" s="4"/>
      <c r="H394" s="4" t="str">
        <f>_xlfn.IFNA(VLOOKUP(Table_Query_from_AMULTIQRY45[[#This Row],[WPROD]],'Part# with New'!$A$1:$B$4347,2,0),Table_Query_from_AMULTIQRY45[[#This Row],[WPROD]])</f>
        <v>WPSM315295004D-PXX00W</v>
      </c>
      <c r="I394" s="4" t="s">
        <v>8436</v>
      </c>
      <c r="J394" s="1" t="s">
        <v>5</v>
      </c>
      <c r="L394" s="11">
        <v>6.037E-2</v>
      </c>
      <c r="M394" s="1"/>
      <c r="N394" s="1" t="s">
        <v>326</v>
      </c>
      <c r="P394" s="1" t="str">
        <f>CONCATENATE(Table_Query_from_AMULTIQRY45[[#This Row],[WWHS]],"-",Table_Query_from_AMULTIQRY45[[#This Row],[LLOC]])</f>
        <v>E1-FG</v>
      </c>
      <c r="Q394" s="10">
        <f t="shared" ca="1" si="13"/>
        <v>45775</v>
      </c>
      <c r="R394" s="10"/>
      <c r="S394" s="28">
        <v>1141</v>
      </c>
      <c r="T394" s="1" t="s">
        <v>2</v>
      </c>
      <c r="U394" s="1" t="s">
        <v>3110</v>
      </c>
      <c r="V394" s="1">
        <v>20250425</v>
      </c>
      <c r="W394" s="8" t="s">
        <v>8442</v>
      </c>
      <c r="Z394" s="1"/>
      <c r="AA394" s="1"/>
      <c r="AC394" s="1"/>
      <c r="AD394" s="1"/>
      <c r="AE394" s="1"/>
      <c r="AF394" s="1"/>
    </row>
    <row r="395" spans="2:32" ht="12.75" x14ac:dyDescent="0.2">
      <c r="B395" s="1" t="s">
        <v>8901</v>
      </c>
      <c r="C395" s="10">
        <f t="shared" ca="1" si="12"/>
        <v>45695</v>
      </c>
      <c r="D395" s="4"/>
      <c r="E395" s="4" t="s">
        <v>8434</v>
      </c>
      <c r="F395" s="4" t="s">
        <v>1293</v>
      </c>
      <c r="G395" s="4"/>
      <c r="H395" s="4" t="str">
        <f>_xlfn.IFNA(VLOOKUP(Table_Query_from_AMULTIQRY45[[#This Row],[WPROD]],'Part# with New'!$A$1:$B$4347,2,0),Table_Query_from_AMULTIQRY45[[#This Row],[WPROD]])</f>
        <v>WFFB142078015D-PXX00W</v>
      </c>
      <c r="I395" s="4" t="s">
        <v>8436</v>
      </c>
      <c r="J395" s="1" t="s">
        <v>5</v>
      </c>
      <c r="L395" s="11">
        <v>0.22694</v>
      </c>
      <c r="M395" s="1"/>
      <c r="N395" s="1" t="s">
        <v>346</v>
      </c>
      <c r="P395" s="1" t="str">
        <f>CONCATENATE(Table_Query_from_AMULTIQRY45[[#This Row],[WWHS]],"-",Table_Query_from_AMULTIQRY45[[#This Row],[LLOC]])</f>
        <v>E1-FG</v>
      </c>
      <c r="Q395" s="10">
        <f t="shared" ca="1" si="13"/>
        <v>45775</v>
      </c>
      <c r="R395" s="10"/>
      <c r="S395" s="28">
        <v>257</v>
      </c>
      <c r="T395" s="1" t="s">
        <v>2</v>
      </c>
      <c r="U395" s="1" t="s">
        <v>440</v>
      </c>
      <c r="V395" s="1">
        <v>20250207</v>
      </c>
      <c r="W395" s="8" t="s">
        <v>8442</v>
      </c>
      <c r="Z395" s="1"/>
      <c r="AA395" s="1"/>
      <c r="AC395" s="1"/>
      <c r="AD395" s="1"/>
      <c r="AE395" s="1"/>
      <c r="AF395" s="1"/>
    </row>
    <row r="396" spans="2:32" ht="12.75" x14ac:dyDescent="0.2">
      <c r="B396" s="1" t="s">
        <v>8902</v>
      </c>
      <c r="C396" s="10">
        <f t="shared" ca="1" si="12"/>
        <v>45131</v>
      </c>
      <c r="D396" s="4"/>
      <c r="E396" s="4" t="s">
        <v>8434</v>
      </c>
      <c r="F396" s="4" t="s">
        <v>1293</v>
      </c>
      <c r="G396" s="4"/>
      <c r="H396" s="4" t="str">
        <f>_xlfn.IFNA(VLOOKUP(Table_Query_from_AMULTIQRY45[[#This Row],[WPROD]],'Part# with New'!$A$1:$B$4347,2,0),Table_Query_from_AMULTIQRY45[[#This Row],[WPROD]])</f>
        <v>WPOT132104013D-PXX00W</v>
      </c>
      <c r="I396" s="4" t="s">
        <v>8436</v>
      </c>
      <c r="J396" s="1" t="s">
        <v>5</v>
      </c>
      <c r="L396" s="11">
        <v>0.1938</v>
      </c>
      <c r="M396" s="1"/>
      <c r="N396" s="1" t="s">
        <v>3</v>
      </c>
      <c r="P396" s="1" t="str">
        <f>CONCATENATE(Table_Query_from_AMULTIQRY45[[#This Row],[WWHS]],"-",Table_Query_from_AMULTIQRY45[[#This Row],[LLOC]])</f>
        <v>E1-FG</v>
      </c>
      <c r="Q396" s="10">
        <f t="shared" ca="1" si="13"/>
        <v>45775</v>
      </c>
      <c r="R396" s="10"/>
      <c r="S396" s="28">
        <v>66</v>
      </c>
      <c r="T396" s="1" t="s">
        <v>2</v>
      </c>
      <c r="U396" s="1" t="s">
        <v>441</v>
      </c>
      <c r="V396" s="1">
        <v>20230724</v>
      </c>
      <c r="W396" s="8" t="s">
        <v>8442</v>
      </c>
      <c r="Z396" s="1"/>
      <c r="AA396" s="1"/>
      <c r="AC396" s="1"/>
      <c r="AD396" s="1"/>
      <c r="AE396" s="1"/>
      <c r="AF396" s="1"/>
    </row>
    <row r="397" spans="2:32" ht="12.75" x14ac:dyDescent="0.2">
      <c r="B397" s="1" t="s">
        <v>8903</v>
      </c>
      <c r="C397" s="10">
        <f t="shared" ca="1" si="12"/>
        <v>45734</v>
      </c>
      <c r="D397" s="4"/>
      <c r="E397" s="4" t="s">
        <v>8434</v>
      </c>
      <c r="F397" s="4" t="s">
        <v>1293</v>
      </c>
      <c r="G397" s="4"/>
      <c r="H397" s="4" t="str">
        <f>_xlfn.IFNA(VLOOKUP(Table_Query_from_AMULTIQRY45[[#This Row],[WPROD]],'Part# with New'!$A$1:$B$4347,2,0),Table_Query_from_AMULTIQRY45[[#This Row],[WPROD]])</f>
        <v>WFFL124089022D-PXX00W</v>
      </c>
      <c r="I397" s="4" t="s">
        <v>8436</v>
      </c>
      <c r="J397" s="1" t="s">
        <v>5</v>
      </c>
      <c r="L397" s="11">
        <v>0.19694999999999999</v>
      </c>
      <c r="M397" s="1"/>
      <c r="N397" s="1" t="s">
        <v>346</v>
      </c>
      <c r="P397" s="1" t="str">
        <f>CONCATENATE(Table_Query_from_AMULTIQRY45[[#This Row],[WWHS]],"-",Table_Query_from_AMULTIQRY45[[#This Row],[LLOC]])</f>
        <v>E1-FG</v>
      </c>
      <c r="Q397" s="10">
        <f t="shared" ca="1" si="13"/>
        <v>45775</v>
      </c>
      <c r="R397" s="10"/>
      <c r="S397" s="28">
        <v>383</v>
      </c>
      <c r="T397" s="1" t="s">
        <v>2</v>
      </c>
      <c r="U397" s="1" t="s">
        <v>443</v>
      </c>
      <c r="V397" s="1">
        <v>20250318</v>
      </c>
      <c r="W397" s="8" t="s">
        <v>8442</v>
      </c>
      <c r="Z397" s="1"/>
      <c r="AA397" s="1"/>
      <c r="AC397" s="1"/>
      <c r="AD397" s="1"/>
      <c r="AE397" s="1"/>
      <c r="AF397" s="1"/>
    </row>
    <row r="398" spans="2:32" ht="12.75" x14ac:dyDescent="0.2">
      <c r="B398" s="1" t="s">
        <v>8904</v>
      </c>
      <c r="C398" s="10">
        <f t="shared" ca="1" si="12"/>
        <v>45734</v>
      </c>
      <c r="D398" s="4"/>
      <c r="E398" s="4" t="s">
        <v>8434</v>
      </c>
      <c r="F398" s="4" t="s">
        <v>1293</v>
      </c>
      <c r="G398" s="4"/>
      <c r="H398" s="4" t="str">
        <f>_xlfn.IFNA(VLOOKUP(Table_Query_from_AMULTIQRY45[[#This Row],[WPROD]],'Part# with New'!$A$1:$B$4347,2,0),Table_Query_from_AMULTIQRY45[[#This Row],[WPROD]])</f>
        <v>WFFL124089032D-PXX00W</v>
      </c>
      <c r="I398" s="4" t="s">
        <v>8436</v>
      </c>
      <c r="J398" s="1" t="s">
        <v>5</v>
      </c>
      <c r="L398" s="11">
        <v>0.23494999999999999</v>
      </c>
      <c r="M398" s="1"/>
      <c r="N398" s="1" t="s">
        <v>346</v>
      </c>
      <c r="P398" s="1" t="str">
        <f>CONCATENATE(Table_Query_from_AMULTIQRY45[[#This Row],[WWHS]],"-",Table_Query_from_AMULTIQRY45[[#This Row],[LLOC]])</f>
        <v>E1-FG</v>
      </c>
      <c r="Q398" s="10">
        <f t="shared" ca="1" si="13"/>
        <v>45775</v>
      </c>
      <c r="R398" s="10"/>
      <c r="S398" s="28">
        <v>607</v>
      </c>
      <c r="T398" s="1" t="s">
        <v>2</v>
      </c>
      <c r="U398" s="1" t="s">
        <v>444</v>
      </c>
      <c r="V398" s="1">
        <v>20250318</v>
      </c>
      <c r="W398" s="8" t="s">
        <v>8442</v>
      </c>
      <c r="Z398" s="1"/>
      <c r="AA398" s="1"/>
      <c r="AC398" s="1"/>
      <c r="AD398" s="1"/>
      <c r="AE398" s="1"/>
      <c r="AF398" s="1"/>
    </row>
    <row r="399" spans="2:32" ht="12.75" x14ac:dyDescent="0.2">
      <c r="B399" s="1" t="s">
        <v>8905</v>
      </c>
      <c r="C399" s="10">
        <f t="shared" ca="1" si="12"/>
        <v>44692</v>
      </c>
      <c r="D399" s="4"/>
      <c r="E399" s="4" t="s">
        <v>8434</v>
      </c>
      <c r="F399" s="4" t="s">
        <v>1293</v>
      </c>
      <c r="G399" s="4"/>
      <c r="H399" s="4" t="str">
        <f>_xlfn.IFNA(VLOOKUP(Table_Query_from_AMULTIQRY45[[#This Row],[WPROD]],'Part# with New'!$A$1:$B$4347,2,0),Table_Query_from_AMULTIQRY45[[#This Row],[WPROD]])</f>
        <v>WFFB187139026D-PXX00W</v>
      </c>
      <c r="I399" s="4" t="s">
        <v>8436</v>
      </c>
      <c r="J399" s="1" t="s">
        <v>5</v>
      </c>
      <c r="L399" s="11">
        <v>0.27466000000000002</v>
      </c>
      <c r="M399" s="1"/>
      <c r="N399" s="1" t="s">
        <v>348</v>
      </c>
      <c r="P399" s="1" t="str">
        <f>CONCATENATE(Table_Query_from_AMULTIQRY45[[#This Row],[WWHS]],"-",Table_Query_from_AMULTIQRY45[[#This Row],[LLOC]])</f>
        <v>E1-FG</v>
      </c>
      <c r="Q399" s="10">
        <f t="shared" ca="1" si="13"/>
        <v>45775</v>
      </c>
      <c r="R399" s="10"/>
      <c r="S399" s="28">
        <v>400</v>
      </c>
      <c r="T399" s="1" t="s">
        <v>2</v>
      </c>
      <c r="U399" s="1" t="s">
        <v>445</v>
      </c>
      <c r="V399" s="1">
        <v>20220511</v>
      </c>
      <c r="W399" s="8" t="s">
        <v>8442</v>
      </c>
      <c r="Z399" s="1"/>
      <c r="AA399" s="1"/>
      <c r="AC399" s="1"/>
      <c r="AD399" s="1"/>
      <c r="AE399" s="1"/>
      <c r="AF399" s="1"/>
    </row>
    <row r="400" spans="2:32" ht="12.75" x14ac:dyDescent="0.2">
      <c r="B400" s="1" t="s">
        <v>8906</v>
      </c>
      <c r="C400" s="10">
        <f t="shared" ca="1" si="12"/>
        <v>45408</v>
      </c>
      <c r="D400" s="4"/>
      <c r="E400" s="4" t="s">
        <v>8434</v>
      </c>
      <c r="F400" s="4" t="s">
        <v>1293</v>
      </c>
      <c r="G400" s="4"/>
      <c r="H400" s="4" t="str">
        <f>_xlfn.IFNA(VLOOKUP(Table_Query_from_AMULTIQRY45[[#This Row],[WPROD]],'Part# with New'!$A$1:$B$4347,2,0),Table_Query_from_AMULTIQRY45[[#This Row],[WPROD]])</f>
        <v>WPSA043038003D-PXX00W</v>
      </c>
      <c r="I400" s="4" t="s">
        <v>8436</v>
      </c>
      <c r="J400" s="1" t="s">
        <v>5</v>
      </c>
      <c r="L400" s="11">
        <v>2.2169999999999999E-2</v>
      </c>
      <c r="M400" s="1"/>
      <c r="N400" s="1" t="s">
        <v>9</v>
      </c>
      <c r="P400" s="1" t="str">
        <f>CONCATENATE(Table_Query_from_AMULTIQRY45[[#This Row],[WWHS]],"-",Table_Query_from_AMULTIQRY45[[#This Row],[LLOC]])</f>
        <v>E1-FG</v>
      </c>
      <c r="Q400" s="10">
        <f t="shared" ca="1" si="13"/>
        <v>45775</v>
      </c>
      <c r="R400" s="10"/>
      <c r="S400" s="28">
        <v>1520</v>
      </c>
      <c r="T400" s="1" t="s">
        <v>2</v>
      </c>
      <c r="U400" s="1" t="s">
        <v>446</v>
      </c>
      <c r="V400" s="1">
        <v>20240426</v>
      </c>
      <c r="W400" s="8" t="s">
        <v>8442</v>
      </c>
      <c r="Z400" s="1"/>
      <c r="AA400" s="1"/>
      <c r="AC400" s="1"/>
      <c r="AD400" s="1"/>
      <c r="AE400" s="1"/>
      <c r="AF400" s="1"/>
    </row>
    <row r="401" spans="2:32" ht="12.75" x14ac:dyDescent="0.2">
      <c r="B401" s="1" t="s">
        <v>8907</v>
      </c>
      <c r="C401" s="10">
        <f t="shared" ca="1" si="12"/>
        <v>45708</v>
      </c>
      <c r="D401" s="4"/>
      <c r="E401" s="4" t="s">
        <v>8434</v>
      </c>
      <c r="F401" s="4" t="s">
        <v>1293</v>
      </c>
      <c r="G401" s="4"/>
      <c r="H401" s="4" t="str">
        <f>_xlfn.IFNA(VLOOKUP(Table_Query_from_AMULTIQRY45[[#This Row],[WPROD]],'Part# with New'!$A$1:$B$4347,2,0),Table_Query_from_AMULTIQRY45[[#This Row],[WPROD]])</f>
        <v>WPOT132126009D-PXX00W</v>
      </c>
      <c r="I401" s="4" t="s">
        <v>8436</v>
      </c>
      <c r="J401" s="1" t="s">
        <v>5</v>
      </c>
      <c r="L401" s="11">
        <v>0.11573</v>
      </c>
      <c r="M401" s="1"/>
      <c r="N401" s="1" t="s">
        <v>3</v>
      </c>
      <c r="P401" s="1" t="str">
        <f>CONCATENATE(Table_Query_from_AMULTIQRY45[[#This Row],[WWHS]],"-",Table_Query_from_AMULTIQRY45[[#This Row],[LLOC]])</f>
        <v>E1-FG</v>
      </c>
      <c r="Q401" s="10">
        <f t="shared" ca="1" si="13"/>
        <v>45775</v>
      </c>
      <c r="R401" s="10"/>
      <c r="S401" s="28">
        <v>8180</v>
      </c>
      <c r="T401" s="1" t="s">
        <v>2</v>
      </c>
      <c r="U401" s="1" t="s">
        <v>447</v>
      </c>
      <c r="V401" s="1">
        <v>20250220</v>
      </c>
      <c r="W401" s="8" t="s">
        <v>8442</v>
      </c>
      <c r="Z401" s="1"/>
      <c r="AA401" s="1"/>
      <c r="AC401" s="1"/>
      <c r="AD401" s="1"/>
      <c r="AE401" s="1"/>
      <c r="AF401" s="1"/>
    </row>
    <row r="402" spans="2:32" ht="12.75" x14ac:dyDescent="0.2">
      <c r="B402" s="1" t="s">
        <v>8908</v>
      </c>
      <c r="C402" s="10">
        <f t="shared" ca="1" si="12"/>
        <v>45380</v>
      </c>
      <c r="D402" s="4"/>
      <c r="E402" s="4" t="s">
        <v>8434</v>
      </c>
      <c r="F402" s="4" t="s">
        <v>1293</v>
      </c>
      <c r="G402" s="4"/>
      <c r="H402" s="4" t="str">
        <f>_xlfn.IFNA(VLOOKUP(Table_Query_from_AMULTIQRY45[[#This Row],[WPROD]],'Part# with New'!$A$1:$B$4347,2,0),Table_Query_from_AMULTIQRY45[[#This Row],[WPROD]])</f>
        <v>WFFL066037009D-PCG10K</v>
      </c>
      <c r="I402" s="4" t="s">
        <v>8436</v>
      </c>
      <c r="J402" s="1" t="s">
        <v>5</v>
      </c>
      <c r="L402" s="11">
        <v>0.11192000000000001</v>
      </c>
      <c r="M402" s="1"/>
      <c r="N402" s="1" t="s">
        <v>346</v>
      </c>
      <c r="P402" s="1" t="str">
        <f>CONCATENATE(Table_Query_from_AMULTIQRY45[[#This Row],[WWHS]],"-",Table_Query_from_AMULTIQRY45[[#This Row],[LLOC]])</f>
        <v>E1-FG</v>
      </c>
      <c r="Q402" s="10">
        <f t="shared" ca="1" si="13"/>
        <v>45775</v>
      </c>
      <c r="R402" s="10"/>
      <c r="S402" s="28">
        <v>348</v>
      </c>
      <c r="T402" s="1" t="s">
        <v>2</v>
      </c>
      <c r="U402" s="1" t="s">
        <v>448</v>
      </c>
      <c r="V402" s="1">
        <v>20240329</v>
      </c>
      <c r="W402" s="8" t="s">
        <v>8442</v>
      </c>
      <c r="Z402" s="1"/>
      <c r="AA402" s="1"/>
      <c r="AC402" s="1"/>
      <c r="AD402" s="1"/>
      <c r="AE402" s="1"/>
      <c r="AF402" s="1"/>
    </row>
    <row r="403" spans="2:32" ht="12.75" x14ac:dyDescent="0.2">
      <c r="B403" s="1" t="s">
        <v>8909</v>
      </c>
      <c r="C403" s="10">
        <f t="shared" ca="1" si="12"/>
        <v>44768</v>
      </c>
      <c r="D403" s="4"/>
      <c r="E403" s="4" t="s">
        <v>8434</v>
      </c>
      <c r="F403" s="4" t="s">
        <v>1293</v>
      </c>
      <c r="G403" s="4"/>
      <c r="H403" s="4" t="str">
        <f>_xlfn.IFNA(VLOOKUP(Table_Query_from_AMULTIQRY45[[#This Row],[WPROD]],'Part# with New'!$A$1:$B$4347,2,0),Table_Query_from_AMULTIQRY45[[#This Row],[WPROD]])</f>
        <v>WFFL090063012D-PCG10K</v>
      </c>
      <c r="I403" s="4" t="s">
        <v>8436</v>
      </c>
      <c r="J403" s="1" t="s">
        <v>5</v>
      </c>
      <c r="L403" s="11">
        <v>0.12895999999999999</v>
      </c>
      <c r="M403" s="1"/>
      <c r="N403" s="1" t="s">
        <v>346</v>
      </c>
      <c r="P403" s="1" t="str">
        <f>CONCATENATE(Table_Query_from_AMULTIQRY45[[#This Row],[WWHS]],"-",Table_Query_from_AMULTIQRY45[[#This Row],[LLOC]])</f>
        <v>E1-FG</v>
      </c>
      <c r="Q403" s="10">
        <f t="shared" ca="1" si="13"/>
        <v>45775</v>
      </c>
      <c r="R403" s="10"/>
      <c r="S403" s="28">
        <v>350</v>
      </c>
      <c r="T403" s="1" t="s">
        <v>2</v>
      </c>
      <c r="U403" s="1" t="s">
        <v>449</v>
      </c>
      <c r="V403" s="1">
        <v>20220726</v>
      </c>
      <c r="W403" s="8" t="s">
        <v>8442</v>
      </c>
      <c r="Z403" s="1"/>
      <c r="AA403" s="1"/>
      <c r="AC403" s="1"/>
      <c r="AD403" s="1"/>
      <c r="AE403" s="1"/>
      <c r="AF403" s="1"/>
    </row>
    <row r="404" spans="2:32" ht="12.75" x14ac:dyDescent="0.2">
      <c r="B404" s="1" t="s">
        <v>8910</v>
      </c>
      <c r="C404" s="10">
        <f t="shared" ca="1" si="12"/>
        <v>45558</v>
      </c>
      <c r="D404" s="4"/>
      <c r="E404" s="4" t="s">
        <v>8434</v>
      </c>
      <c r="F404" s="4" t="s">
        <v>1293</v>
      </c>
      <c r="G404" s="4"/>
      <c r="H404" s="4" t="str">
        <f>_xlfn.IFNA(VLOOKUP(Table_Query_from_AMULTIQRY45[[#This Row],[WPROD]],'Part# with New'!$A$1:$B$4347,2,0),Table_Query_from_AMULTIQRY45[[#This Row],[WPROD]])</f>
        <v>WFFL061044035D-PXX00W</v>
      </c>
      <c r="I404" s="4" t="s">
        <v>8436</v>
      </c>
      <c r="J404" s="1" t="s">
        <v>5</v>
      </c>
      <c r="L404" s="11">
        <v>0.16830999999999999</v>
      </c>
      <c r="M404" s="1"/>
      <c r="N404" s="1" t="s">
        <v>346</v>
      </c>
      <c r="P404" s="1" t="str">
        <f>CONCATENATE(Table_Query_from_AMULTIQRY45[[#This Row],[WWHS]],"-",Table_Query_from_AMULTIQRY45[[#This Row],[LLOC]])</f>
        <v>E1-FG</v>
      </c>
      <c r="Q404" s="10">
        <f t="shared" ca="1" si="13"/>
        <v>45775</v>
      </c>
      <c r="R404" s="10"/>
      <c r="S404" s="28">
        <v>309</v>
      </c>
      <c r="T404" s="1" t="s">
        <v>2</v>
      </c>
      <c r="U404" s="1" t="s">
        <v>450</v>
      </c>
      <c r="V404" s="1">
        <v>20240923</v>
      </c>
      <c r="W404" s="8" t="s">
        <v>8442</v>
      </c>
      <c r="Z404" s="1"/>
      <c r="AA404" s="1"/>
      <c r="AC404" s="1"/>
      <c r="AD404" s="1"/>
      <c r="AE404" s="1"/>
      <c r="AF404" s="1"/>
    </row>
    <row r="405" spans="2:32" ht="12.75" x14ac:dyDescent="0.2">
      <c r="B405" s="1" t="s">
        <v>8911</v>
      </c>
      <c r="C405" s="10">
        <f t="shared" ca="1" si="12"/>
        <v>43376</v>
      </c>
      <c r="D405" s="4"/>
      <c r="E405" s="4" t="s">
        <v>8434</v>
      </c>
      <c r="F405" s="4" t="s">
        <v>1293</v>
      </c>
      <c r="G405" s="4"/>
      <c r="H405" s="4" t="str">
        <f>_xlfn.IFNA(VLOOKUP(Table_Query_from_AMULTIQRY45[[#This Row],[WPROD]],'Part# with New'!$A$1:$B$4347,2,0),Table_Query_from_AMULTIQRY45[[#This Row],[WPROD]])</f>
        <v>WSMP111075031D-DK125N</v>
      </c>
      <c r="I405" s="4" t="s">
        <v>8436</v>
      </c>
      <c r="J405" s="1" t="s">
        <v>5</v>
      </c>
      <c r="L405" s="11">
        <v>0.62580000000000002</v>
      </c>
      <c r="M405" s="1"/>
      <c r="N405" s="1" t="s">
        <v>6</v>
      </c>
      <c r="P405" s="1" t="str">
        <f>CONCATENATE(Table_Query_from_AMULTIQRY45[[#This Row],[WWHS]],"-",Table_Query_from_AMULTIQRY45[[#This Row],[LLOC]])</f>
        <v>E1-FG</v>
      </c>
      <c r="Q405" s="10">
        <f t="shared" ca="1" si="13"/>
        <v>45775</v>
      </c>
      <c r="R405" s="10"/>
      <c r="S405" s="28">
        <v>46</v>
      </c>
      <c r="T405" s="1" t="s">
        <v>2</v>
      </c>
      <c r="U405" s="1" t="s">
        <v>451</v>
      </c>
      <c r="V405" s="1">
        <v>20181003</v>
      </c>
      <c r="W405" s="8" t="s">
        <v>8442</v>
      </c>
      <c r="Z405" s="1"/>
      <c r="AA405" s="1"/>
      <c r="AC405" s="1"/>
      <c r="AD405" s="1"/>
      <c r="AE405" s="1"/>
      <c r="AF405" s="1"/>
    </row>
    <row r="406" spans="2:32" ht="12.75" x14ac:dyDescent="0.2">
      <c r="B406" s="1" t="s">
        <v>8912</v>
      </c>
      <c r="C406" s="10">
        <f t="shared" ca="1" si="12"/>
        <v>45769</v>
      </c>
      <c r="D406" s="4"/>
      <c r="E406" s="4" t="s">
        <v>8434</v>
      </c>
      <c r="F406" s="4" t="s">
        <v>1293</v>
      </c>
      <c r="G406" s="4"/>
      <c r="H406" s="4" t="str">
        <f>_xlfn.IFNA(VLOOKUP(Table_Query_from_AMULTIQRY45[[#This Row],[WPROD]],'Part# with New'!$A$1:$B$4347,2,0),Table_Query_from_AMULTIQRY45[[#This Row],[WPROD]])</f>
        <v>WSSL422373037D-PXX00W</v>
      </c>
      <c r="I406" s="4" t="s">
        <v>8436</v>
      </c>
      <c r="J406" s="1" t="s">
        <v>5</v>
      </c>
      <c r="L406" s="11">
        <v>1.16117</v>
      </c>
      <c r="M406" s="1"/>
      <c r="N406" s="1" t="s">
        <v>13</v>
      </c>
      <c r="P406" s="1" t="str">
        <f>CONCATENATE(Table_Query_from_AMULTIQRY45[[#This Row],[WWHS]],"-",Table_Query_from_AMULTIQRY45[[#This Row],[LLOC]])</f>
        <v>E1-FG</v>
      </c>
      <c r="Q406" s="10">
        <f t="shared" ca="1" si="13"/>
        <v>45775</v>
      </c>
      <c r="R406" s="10"/>
      <c r="S406" s="28">
        <v>78</v>
      </c>
      <c r="T406" s="1" t="s">
        <v>2</v>
      </c>
      <c r="U406" s="1" t="s">
        <v>452</v>
      </c>
      <c r="V406" s="1">
        <v>20250422</v>
      </c>
      <c r="W406" s="8" t="s">
        <v>8442</v>
      </c>
      <c r="Z406" s="1"/>
      <c r="AA406" s="1"/>
      <c r="AC406" s="1"/>
      <c r="AD406" s="1"/>
      <c r="AE406" s="1"/>
      <c r="AF406" s="1"/>
    </row>
    <row r="407" spans="2:32" ht="12.75" x14ac:dyDescent="0.2">
      <c r="B407" s="1" t="s">
        <v>8913</v>
      </c>
      <c r="C407" s="10">
        <f t="shared" ca="1" si="12"/>
        <v>43970</v>
      </c>
      <c r="D407" s="4"/>
      <c r="E407" s="4" t="s">
        <v>8434</v>
      </c>
      <c r="F407" s="4" t="s">
        <v>1293</v>
      </c>
      <c r="G407" s="4"/>
      <c r="H407" s="4" t="str">
        <f>_xlfn.IFNA(VLOOKUP(Table_Query_from_AMULTIQRY45[[#This Row],[WPROD]],'Part# with New'!$A$1:$B$4347,2,0),Table_Query_from_AMULTIQRY45[[#This Row],[WPROD]])</f>
        <v>WSMP392317034D-MXX00W</v>
      </c>
      <c r="I407" s="4" t="s">
        <v>8436</v>
      </c>
      <c r="J407" s="1" t="s">
        <v>5</v>
      </c>
      <c r="L407" s="11">
        <v>3.4545699999999999</v>
      </c>
      <c r="M407" s="1"/>
      <c r="N407" s="1" t="s">
        <v>18</v>
      </c>
      <c r="P407" s="1" t="str">
        <f>CONCATENATE(Table_Query_from_AMULTIQRY45[[#This Row],[WWHS]],"-",Table_Query_from_AMULTIQRY45[[#This Row],[LLOC]])</f>
        <v>E1-FG</v>
      </c>
      <c r="Q407" s="10">
        <f t="shared" ca="1" si="13"/>
        <v>45775</v>
      </c>
      <c r="R407" s="10"/>
      <c r="S407" s="28">
        <v>85</v>
      </c>
      <c r="T407" s="1" t="s">
        <v>2</v>
      </c>
      <c r="U407" s="1" t="s">
        <v>453</v>
      </c>
      <c r="V407" s="1">
        <v>20200519</v>
      </c>
      <c r="W407" s="8" t="s">
        <v>8442</v>
      </c>
      <c r="Z407" s="1"/>
      <c r="AA407" s="1"/>
      <c r="AC407" s="1"/>
      <c r="AD407" s="1"/>
      <c r="AE407" s="1"/>
      <c r="AF407" s="1"/>
    </row>
    <row r="408" spans="2:32" ht="12.75" x14ac:dyDescent="0.2">
      <c r="B408" s="1" t="s">
        <v>8914</v>
      </c>
      <c r="C408" s="10">
        <f t="shared" ca="1" si="12"/>
        <v>45623</v>
      </c>
      <c r="D408" s="4"/>
      <c r="E408" s="4" t="s">
        <v>8434</v>
      </c>
      <c r="F408" s="4" t="s">
        <v>1293</v>
      </c>
      <c r="G408" s="4"/>
      <c r="H408" s="4" t="str">
        <f>_xlfn.IFNA(VLOOKUP(Table_Query_from_AMULTIQRY45[[#This Row],[WPROD]],'Part# with New'!$A$1:$B$4347,2,0),Table_Query_from_AMULTIQRY45[[#This Row],[WPROD]])</f>
        <v>WPFS102081115D-PXX00W</v>
      </c>
      <c r="I408" s="4" t="s">
        <v>8436</v>
      </c>
      <c r="J408" s="1" t="s">
        <v>5</v>
      </c>
      <c r="L408" s="11">
        <v>0.55137000000000003</v>
      </c>
      <c r="M408" s="1"/>
      <c r="N408" s="1" t="s">
        <v>357</v>
      </c>
      <c r="P408" s="1" t="str">
        <f>CONCATENATE(Table_Query_from_AMULTIQRY45[[#This Row],[WWHS]],"-",Table_Query_from_AMULTIQRY45[[#This Row],[LLOC]])</f>
        <v>E1-FG</v>
      </c>
      <c r="Q408" s="10">
        <f t="shared" ca="1" si="13"/>
        <v>45775</v>
      </c>
      <c r="R408" s="10"/>
      <c r="S408" s="28">
        <v>2</v>
      </c>
      <c r="T408" s="1" t="s">
        <v>2</v>
      </c>
      <c r="U408" s="1" t="s">
        <v>454</v>
      </c>
      <c r="V408" s="1">
        <v>20241127</v>
      </c>
      <c r="W408" s="8" t="s">
        <v>8442</v>
      </c>
      <c r="Z408" s="1"/>
      <c r="AA408" s="1"/>
      <c r="AC408" s="1"/>
      <c r="AD408" s="1"/>
      <c r="AE408" s="1"/>
      <c r="AF408" s="1"/>
    </row>
    <row r="409" spans="2:32" ht="12.75" x14ac:dyDescent="0.2">
      <c r="B409" s="1" t="s">
        <v>8915</v>
      </c>
      <c r="C409" s="10">
        <f t="shared" ca="1" si="12"/>
        <v>43943</v>
      </c>
      <c r="D409" s="4"/>
      <c r="E409" s="4" t="s">
        <v>8434</v>
      </c>
      <c r="F409" s="4" t="s">
        <v>1293</v>
      </c>
      <c r="G409" s="4"/>
      <c r="H409" s="4" t="str">
        <f>_xlfn.IFNA(VLOOKUP(Table_Query_from_AMULTIQRY45[[#This Row],[WPROD]],'Part# with New'!$A$1:$B$4347,2,0),Table_Query_from_AMULTIQRY45[[#This Row],[WPROD]])</f>
        <v>WSMP510432050D-MXX00W</v>
      </c>
      <c r="I409" s="4" t="s">
        <v>8436</v>
      </c>
      <c r="J409" s="1" t="s">
        <v>5</v>
      </c>
      <c r="L409" s="11">
        <v>7.6103800000000001</v>
      </c>
      <c r="M409" s="1"/>
      <c r="N409" s="1" t="s">
        <v>18</v>
      </c>
      <c r="P409" s="1" t="str">
        <f>CONCATENATE(Table_Query_from_AMULTIQRY45[[#This Row],[WWHS]],"-",Table_Query_from_AMULTIQRY45[[#This Row],[LLOC]])</f>
        <v>E1-FG</v>
      </c>
      <c r="Q409" s="10">
        <f t="shared" ca="1" si="13"/>
        <v>45775</v>
      </c>
      <c r="R409" s="10"/>
      <c r="S409" s="28">
        <v>34</v>
      </c>
      <c r="T409" s="1" t="s">
        <v>2</v>
      </c>
      <c r="U409" s="1" t="s">
        <v>455</v>
      </c>
      <c r="V409" s="1">
        <v>20200422</v>
      </c>
      <c r="W409" s="8" t="s">
        <v>8442</v>
      </c>
      <c r="Z409" s="1"/>
      <c r="AA409" s="1"/>
      <c r="AC409" s="1"/>
      <c r="AD409" s="1"/>
      <c r="AE409" s="1"/>
      <c r="AF409" s="1"/>
    </row>
    <row r="410" spans="2:32" ht="12.75" x14ac:dyDescent="0.2">
      <c r="B410" s="1" t="s">
        <v>8916</v>
      </c>
      <c r="C410" s="10">
        <f t="shared" ca="1" si="12"/>
        <v>37714</v>
      </c>
      <c r="D410" s="4"/>
      <c r="E410" s="4" t="s">
        <v>8434</v>
      </c>
      <c r="F410" s="4" t="s">
        <v>1293</v>
      </c>
      <c r="G410" s="4"/>
      <c r="H410" s="4" t="str">
        <f>_xlfn.IFNA(VLOOKUP(Table_Query_from_AMULTIQRY45[[#This Row],[WPROD]],'Part# with New'!$A$1:$B$4347,2,0),Table_Query_from_AMULTIQRY45[[#This Row],[WPROD]])</f>
        <v>WSNC203150029D-PXX00W</v>
      </c>
      <c r="I410" s="4" t="s">
        <v>8436</v>
      </c>
      <c r="J410" s="1" t="s">
        <v>5</v>
      </c>
      <c r="L410" s="11">
        <v>0.49969000000000002</v>
      </c>
      <c r="M410" s="1"/>
      <c r="N410" s="1" t="s">
        <v>6</v>
      </c>
      <c r="P410" s="1" t="str">
        <f>CONCATENATE(Table_Query_from_AMULTIQRY45[[#This Row],[WWHS]],"-",Table_Query_from_AMULTIQRY45[[#This Row],[LLOC]])</f>
        <v>E1-FG</v>
      </c>
      <c r="Q410" s="10">
        <f t="shared" ca="1" si="13"/>
        <v>45775</v>
      </c>
      <c r="R410" s="10"/>
      <c r="S410" s="28">
        <v>120</v>
      </c>
      <c r="T410" s="1" t="s">
        <v>2</v>
      </c>
      <c r="U410" s="1" t="s">
        <v>456</v>
      </c>
      <c r="V410" s="1">
        <v>20030403</v>
      </c>
      <c r="W410" s="8" t="s">
        <v>8442</v>
      </c>
      <c r="Z410" s="1"/>
      <c r="AA410" s="1"/>
      <c r="AC410" s="1"/>
      <c r="AD410" s="1"/>
      <c r="AE410" s="1"/>
      <c r="AF410" s="1"/>
    </row>
    <row r="411" spans="2:32" ht="12.75" x14ac:dyDescent="0.2">
      <c r="B411" s="1" t="s">
        <v>8917</v>
      </c>
      <c r="C411" s="10">
        <f t="shared" ca="1" si="12"/>
        <v>45758</v>
      </c>
      <c r="D411" s="4"/>
      <c r="E411" s="4" t="s">
        <v>8434</v>
      </c>
      <c r="F411" s="4" t="s">
        <v>1293</v>
      </c>
      <c r="G411" s="4"/>
      <c r="H411" s="4" t="str">
        <f>_xlfn.IFNA(VLOOKUP(Table_Query_from_AMULTIQRY45[[#This Row],[WPROD]],'Part# with New'!$A$1:$B$4347,2,0),Table_Query_from_AMULTIQRY45[[#This Row],[WPROD]])</f>
        <v>WSMP069047031X-PXX00W</v>
      </c>
      <c r="I411" s="4" t="s">
        <v>8436</v>
      </c>
      <c r="J411" s="1" t="s">
        <v>5</v>
      </c>
      <c r="L411" s="11">
        <v>0.18215000000000001</v>
      </c>
      <c r="M411" s="1"/>
      <c r="N411" s="1" t="s">
        <v>13</v>
      </c>
      <c r="P411" s="1" t="str">
        <f>CONCATENATE(Table_Query_from_AMULTIQRY45[[#This Row],[WWHS]],"-",Table_Query_from_AMULTIQRY45[[#This Row],[LLOC]])</f>
        <v>E1-FG</v>
      </c>
      <c r="Q411" s="10">
        <f t="shared" ca="1" si="13"/>
        <v>45775</v>
      </c>
      <c r="R411" s="10"/>
      <c r="S411" s="28">
        <v>5</v>
      </c>
      <c r="T411" s="1" t="s">
        <v>2</v>
      </c>
      <c r="U411" s="1" t="s">
        <v>457</v>
      </c>
      <c r="V411" s="1">
        <v>20250411</v>
      </c>
      <c r="W411" s="8" t="s">
        <v>8442</v>
      </c>
      <c r="Z411" s="1"/>
      <c r="AA411" s="1"/>
      <c r="AC411" s="1"/>
      <c r="AD411" s="1"/>
      <c r="AE411" s="1"/>
      <c r="AF411" s="1"/>
    </row>
    <row r="412" spans="2:32" ht="12.75" x14ac:dyDescent="0.2">
      <c r="B412" s="1" t="s">
        <v>8918</v>
      </c>
      <c r="C412" s="10">
        <f t="shared" ca="1" si="12"/>
        <v>43844</v>
      </c>
      <c r="D412" s="4"/>
      <c r="E412" s="4" t="s">
        <v>8434</v>
      </c>
      <c r="F412" s="4" t="s">
        <v>1293</v>
      </c>
      <c r="G412" s="4"/>
      <c r="H412" s="4" t="str">
        <f>_xlfn.IFNA(VLOOKUP(Table_Query_from_AMULTIQRY45[[#This Row],[WPROD]],'Part# with New'!$A$1:$B$4347,2,0),Table_Query_from_AMULTIQRY45[[#This Row],[WPROD]])</f>
        <v>WSNC112074010A-MXX00W</v>
      </c>
      <c r="I412" s="4" t="s">
        <v>8436</v>
      </c>
      <c r="J412" s="1" t="s">
        <v>5</v>
      </c>
      <c r="L412" s="11">
        <v>0.29011999999999999</v>
      </c>
      <c r="M412" s="1"/>
      <c r="N412" s="1" t="s">
        <v>6</v>
      </c>
      <c r="P412" s="1" t="str">
        <f>CONCATENATE(Table_Query_from_AMULTIQRY45[[#This Row],[WWHS]],"-",Table_Query_from_AMULTIQRY45[[#This Row],[LLOC]])</f>
        <v>E1-FG</v>
      </c>
      <c r="Q412" s="10">
        <f t="shared" ca="1" si="13"/>
        <v>45775</v>
      </c>
      <c r="R412" s="10"/>
      <c r="S412" s="28">
        <v>165</v>
      </c>
      <c r="T412" s="1" t="s">
        <v>2</v>
      </c>
      <c r="U412" s="1" t="s">
        <v>458</v>
      </c>
      <c r="V412" s="1">
        <v>20200114</v>
      </c>
      <c r="W412" s="8" t="s">
        <v>8442</v>
      </c>
      <c r="Z412" s="1"/>
      <c r="AA412" s="1"/>
      <c r="AC412" s="1"/>
      <c r="AD412" s="1"/>
      <c r="AE412" s="1"/>
      <c r="AF412" s="1"/>
    </row>
    <row r="413" spans="2:32" ht="12.75" x14ac:dyDescent="0.2">
      <c r="B413" s="1" t="s">
        <v>8919</v>
      </c>
      <c r="C413" s="10">
        <f t="shared" ca="1" si="12"/>
        <v>43735</v>
      </c>
      <c r="D413" s="4"/>
      <c r="E413" s="4" t="s">
        <v>8434</v>
      </c>
      <c r="F413" s="4" t="s">
        <v>1293</v>
      </c>
      <c r="G413" s="4"/>
      <c r="H413" s="4" t="str">
        <f>_xlfn.IFNA(VLOOKUP(Table_Query_from_AMULTIQRY45[[#This Row],[WPROD]],'Part# with New'!$A$1:$B$4347,2,0),Table_Query_from_AMULTIQRY45[[#This Row],[WPROD]])</f>
        <v>WSMP329259038D-MXX00W</v>
      </c>
      <c r="I413" s="4" t="s">
        <v>8436</v>
      </c>
      <c r="J413" s="1" t="s">
        <v>5</v>
      </c>
      <c r="L413" s="11">
        <v>2.88931</v>
      </c>
      <c r="M413" s="1"/>
      <c r="N413" s="1" t="s">
        <v>18</v>
      </c>
      <c r="P413" s="1" t="str">
        <f>CONCATENATE(Table_Query_from_AMULTIQRY45[[#This Row],[WWHS]],"-",Table_Query_from_AMULTIQRY45[[#This Row],[LLOC]])</f>
        <v>E1-FG</v>
      </c>
      <c r="Q413" s="10">
        <f t="shared" ca="1" si="13"/>
        <v>45775</v>
      </c>
      <c r="R413" s="10"/>
      <c r="S413" s="28">
        <v>22</v>
      </c>
      <c r="T413" s="1" t="s">
        <v>2</v>
      </c>
      <c r="U413" s="1" t="s">
        <v>459</v>
      </c>
      <c r="V413" s="1">
        <v>20190927</v>
      </c>
      <c r="W413" s="8" t="s">
        <v>8442</v>
      </c>
      <c r="Z413" s="1"/>
      <c r="AA413" s="1"/>
      <c r="AC413" s="1"/>
      <c r="AD413" s="1"/>
      <c r="AE413" s="1"/>
      <c r="AF413" s="1"/>
    </row>
    <row r="414" spans="2:32" ht="12.75" x14ac:dyDescent="0.2">
      <c r="B414" s="1" t="s">
        <v>8920</v>
      </c>
      <c r="C414" s="10">
        <f t="shared" ca="1" si="12"/>
        <v>45737</v>
      </c>
      <c r="D414" s="4"/>
      <c r="E414" s="4" t="s">
        <v>8434</v>
      </c>
      <c r="F414" s="4" t="s">
        <v>1293</v>
      </c>
      <c r="G414" s="4"/>
      <c r="H414" s="4" t="str">
        <f>_xlfn.IFNA(VLOOKUP(Table_Query_from_AMULTIQRY45[[#This Row],[WPROD]],'Part# with New'!$A$1:$B$4347,2,0),Table_Query_from_AMULTIQRY45[[#This Row],[WPROD]])</f>
        <v>WSMP256150101D-PXX00W</v>
      </c>
      <c r="I414" s="4" t="s">
        <v>8436</v>
      </c>
      <c r="J414" s="1" t="s">
        <v>5</v>
      </c>
      <c r="L414" s="11">
        <v>3.3633299999999999</v>
      </c>
      <c r="M414" s="1"/>
      <c r="N414" s="1" t="s">
        <v>18</v>
      </c>
      <c r="P414" s="1" t="str">
        <f>CONCATENATE(Table_Query_from_AMULTIQRY45[[#This Row],[WWHS]],"-",Table_Query_from_AMULTIQRY45[[#This Row],[LLOC]])</f>
        <v>E1-FG</v>
      </c>
      <c r="Q414" s="10">
        <f t="shared" ca="1" si="13"/>
        <v>45775</v>
      </c>
      <c r="R414" s="10"/>
      <c r="S414" s="28">
        <v>220</v>
      </c>
      <c r="T414" s="1" t="s">
        <v>2</v>
      </c>
      <c r="U414" s="1" t="s">
        <v>460</v>
      </c>
      <c r="V414" s="1">
        <v>20250321</v>
      </c>
      <c r="W414" s="8" t="s">
        <v>8442</v>
      </c>
      <c r="Z414" s="1"/>
      <c r="AA414" s="1"/>
      <c r="AC414" s="1"/>
      <c r="AD414" s="1"/>
      <c r="AE414" s="1"/>
      <c r="AF414" s="1"/>
    </row>
    <row r="415" spans="2:32" ht="12.75" x14ac:dyDescent="0.2">
      <c r="B415" s="1" t="s">
        <v>8921</v>
      </c>
      <c r="C415" s="10">
        <f t="shared" ca="1" si="12"/>
        <v>45582</v>
      </c>
      <c r="D415" s="4"/>
      <c r="E415" s="4" t="s">
        <v>8434</v>
      </c>
      <c r="F415" s="4" t="s">
        <v>1293</v>
      </c>
      <c r="G415" s="4"/>
      <c r="H415" s="4" t="str">
        <f>_xlfn.IFNA(VLOOKUP(Table_Query_from_AMULTIQRY45[[#This Row],[WPROD]],'Part# with New'!$A$1:$B$4347,2,0),Table_Query_from_AMULTIQRY45[[#This Row],[WPROD]])</f>
        <v>WPOS099087009S-PGX25W</v>
      </c>
      <c r="I415" s="4" t="s">
        <v>8436</v>
      </c>
      <c r="J415" s="1" t="s">
        <v>5</v>
      </c>
      <c r="L415" s="11">
        <v>0.14935999999999999</v>
      </c>
      <c r="M415" s="1"/>
      <c r="N415" s="1" t="s">
        <v>389</v>
      </c>
      <c r="P415" s="1" t="str">
        <f>CONCATENATE(Table_Query_from_AMULTIQRY45[[#This Row],[WWHS]],"-",Table_Query_from_AMULTIQRY45[[#This Row],[LLOC]])</f>
        <v>E1-FG</v>
      </c>
      <c r="Q415" s="10">
        <f t="shared" ca="1" si="13"/>
        <v>45775</v>
      </c>
      <c r="R415" s="10"/>
      <c r="S415" s="28">
        <v>1070</v>
      </c>
      <c r="T415" s="1" t="s">
        <v>2</v>
      </c>
      <c r="U415" s="1" t="s">
        <v>461</v>
      </c>
      <c r="V415" s="1">
        <v>20241017</v>
      </c>
      <c r="W415" s="8" t="s">
        <v>8442</v>
      </c>
      <c r="Z415" s="1"/>
      <c r="AA415" s="1"/>
      <c r="AC415" s="1"/>
      <c r="AD415" s="1"/>
      <c r="AE415" s="1"/>
      <c r="AF415" s="1"/>
    </row>
    <row r="416" spans="2:32" ht="12.75" x14ac:dyDescent="0.2">
      <c r="B416" s="1" t="s">
        <v>8922</v>
      </c>
      <c r="C416" s="10">
        <f t="shared" ca="1" si="12"/>
        <v>45740</v>
      </c>
      <c r="D416" s="4"/>
      <c r="E416" s="4" t="s">
        <v>8434</v>
      </c>
      <c r="F416" s="4" t="s">
        <v>1293</v>
      </c>
      <c r="G416" s="4"/>
      <c r="H416" s="4" t="str">
        <f>_xlfn.IFNA(VLOOKUP(Table_Query_from_AMULTIQRY45[[#This Row],[WPROD]],'Part# with New'!$A$1:$B$4347,2,0),Table_Query_from_AMULTIQRY45[[#This Row],[WPROD]])</f>
        <v>WPOT293275006D-PXX00W</v>
      </c>
      <c r="I416" s="4" t="s">
        <v>8436</v>
      </c>
      <c r="J416" s="1" t="s">
        <v>5</v>
      </c>
      <c r="L416" s="11">
        <v>0.20648</v>
      </c>
      <c r="M416" s="1"/>
      <c r="N416" s="1" t="s">
        <v>3</v>
      </c>
      <c r="P416" s="1" t="str">
        <f>CONCATENATE(Table_Query_from_AMULTIQRY45[[#This Row],[WWHS]],"-",Table_Query_from_AMULTIQRY45[[#This Row],[LLOC]])</f>
        <v>E1-FG</v>
      </c>
      <c r="Q416" s="10">
        <f t="shared" ca="1" si="13"/>
        <v>45775</v>
      </c>
      <c r="R416" s="10"/>
      <c r="S416" s="28">
        <v>730</v>
      </c>
      <c r="T416" s="1" t="s">
        <v>2</v>
      </c>
      <c r="U416" s="1" t="s">
        <v>462</v>
      </c>
      <c r="V416" s="1">
        <v>20250324</v>
      </c>
      <c r="W416" s="8" t="s">
        <v>8442</v>
      </c>
      <c r="Z416" s="1"/>
      <c r="AA416" s="1"/>
      <c r="AC416" s="1"/>
      <c r="AD416" s="1"/>
      <c r="AE416" s="1"/>
      <c r="AF416" s="1"/>
    </row>
    <row r="417" spans="2:32" ht="12.75" x14ac:dyDescent="0.2">
      <c r="B417" s="1" t="s">
        <v>8923</v>
      </c>
      <c r="C417" s="10">
        <f t="shared" ca="1" si="12"/>
        <v>45595</v>
      </c>
      <c r="D417" s="4"/>
      <c r="E417" s="4" t="s">
        <v>8434</v>
      </c>
      <c r="F417" s="4" t="s">
        <v>1293</v>
      </c>
      <c r="G417" s="4"/>
      <c r="H417" s="4" t="str">
        <f>_xlfn.IFNA(VLOOKUP(Table_Query_from_AMULTIQRY45[[#This Row],[WPROD]],'Part# with New'!$A$1:$B$4347,2,0),Table_Query_from_AMULTIQRY45[[#This Row],[WPROD]])</f>
        <v>WPOT058043002D-PXX00W</v>
      </c>
      <c r="I417" s="4" t="s">
        <v>8436</v>
      </c>
      <c r="J417" s="1" t="s">
        <v>5</v>
      </c>
      <c r="L417" s="11">
        <v>2.1170000000000001E-2</v>
      </c>
      <c r="M417" s="1"/>
      <c r="N417" s="1" t="s">
        <v>6</v>
      </c>
      <c r="P417" s="1" t="str">
        <f>CONCATENATE(Table_Query_from_AMULTIQRY45[[#This Row],[WWHS]],"-",Table_Query_from_AMULTIQRY45[[#This Row],[LLOC]])</f>
        <v>E1-FG</v>
      </c>
      <c r="Q417" s="10">
        <f t="shared" ca="1" si="13"/>
        <v>45775</v>
      </c>
      <c r="R417" s="10"/>
      <c r="S417" s="28">
        <v>1880</v>
      </c>
      <c r="T417" s="1" t="s">
        <v>2</v>
      </c>
      <c r="U417" s="1" t="s">
        <v>464</v>
      </c>
      <c r="V417" s="1">
        <v>20241030</v>
      </c>
      <c r="W417" s="8" t="s">
        <v>8442</v>
      </c>
      <c r="Z417" s="1"/>
      <c r="AA417" s="1"/>
      <c r="AC417" s="1"/>
      <c r="AD417" s="1"/>
      <c r="AE417" s="1"/>
      <c r="AF417" s="1"/>
    </row>
    <row r="418" spans="2:32" ht="12.75" x14ac:dyDescent="0.2">
      <c r="B418" s="1" t="s">
        <v>8924</v>
      </c>
      <c r="C418" s="10">
        <f t="shared" ca="1" si="12"/>
        <v>45212</v>
      </c>
      <c r="D418" s="4"/>
      <c r="E418" s="4" t="s">
        <v>8434</v>
      </c>
      <c r="F418" s="4" t="s">
        <v>1293</v>
      </c>
      <c r="G418" s="4"/>
      <c r="H418" s="4" t="str">
        <f>_xlfn.IFNA(VLOOKUP(Table_Query_from_AMULTIQRY45[[#This Row],[WPROD]],'Part# with New'!$A$1:$B$4347,2,0),Table_Query_from_AMULTIQRY45[[#This Row],[WPROD]])</f>
        <v>WSOS172160009S-PGX25W</v>
      </c>
      <c r="I418" s="4" t="s">
        <v>8436</v>
      </c>
      <c r="J418" s="1" t="s">
        <v>5</v>
      </c>
      <c r="L418" s="11">
        <v>0.26235999999999998</v>
      </c>
      <c r="M418" s="1"/>
      <c r="N418" s="1" t="s">
        <v>389</v>
      </c>
      <c r="P418" s="1" t="str">
        <f>CONCATENATE(Table_Query_from_AMULTIQRY45[[#This Row],[WWHS]],"-",Table_Query_from_AMULTIQRY45[[#This Row],[LLOC]])</f>
        <v>E1-FG</v>
      </c>
      <c r="Q418" s="10">
        <f t="shared" ca="1" si="13"/>
        <v>45775</v>
      </c>
      <c r="R418" s="10"/>
      <c r="S418" s="28">
        <v>56</v>
      </c>
      <c r="T418" s="1" t="s">
        <v>2</v>
      </c>
      <c r="U418" s="1" t="s">
        <v>465</v>
      </c>
      <c r="V418" s="1">
        <v>20231013</v>
      </c>
      <c r="W418" s="8" t="s">
        <v>8442</v>
      </c>
      <c r="Z418" s="1"/>
      <c r="AA418" s="1"/>
      <c r="AC418" s="1"/>
      <c r="AD418" s="1"/>
      <c r="AE418" s="1"/>
      <c r="AF418" s="1"/>
    </row>
    <row r="419" spans="2:32" ht="12.75" x14ac:dyDescent="0.2">
      <c r="B419" s="1" t="s">
        <v>8925</v>
      </c>
      <c r="C419" s="10">
        <f t="shared" ca="1" si="12"/>
        <v>45756</v>
      </c>
      <c r="D419" s="4"/>
      <c r="E419" s="4" t="s">
        <v>8434</v>
      </c>
      <c r="F419" s="4" t="s">
        <v>1293</v>
      </c>
      <c r="G419" s="4"/>
      <c r="H419" s="4" t="str">
        <f>_xlfn.IFNA(VLOOKUP(Table_Query_from_AMULTIQRY45[[#This Row],[WPROD]],'Part# with New'!$A$1:$B$4347,2,0),Table_Query_from_AMULTIQRY45[[#This Row],[WPROD]])</f>
        <v>WPSA050036010D-MXX00W</v>
      </c>
      <c r="I419" s="4" t="s">
        <v>8436</v>
      </c>
      <c r="J419" s="1" t="s">
        <v>5</v>
      </c>
      <c r="L419" s="11">
        <v>4.9820000000000003E-2</v>
      </c>
      <c r="M419" s="1"/>
      <c r="N419" s="1" t="s">
        <v>9</v>
      </c>
      <c r="P419" s="1" t="str">
        <f>CONCATENATE(Table_Query_from_AMULTIQRY45[[#This Row],[WWHS]],"-",Table_Query_from_AMULTIQRY45[[#This Row],[LLOC]])</f>
        <v>E1-FG</v>
      </c>
      <c r="Q419" s="10">
        <f t="shared" ca="1" si="13"/>
        <v>45775</v>
      </c>
      <c r="R419" s="10"/>
      <c r="S419" s="28">
        <v>1790</v>
      </c>
      <c r="T419" s="1" t="s">
        <v>2</v>
      </c>
      <c r="U419" s="1" t="s">
        <v>466</v>
      </c>
      <c r="V419" s="1">
        <v>20250409</v>
      </c>
      <c r="W419" s="8" t="s">
        <v>8442</v>
      </c>
      <c r="Z419" s="1"/>
      <c r="AA419" s="1"/>
      <c r="AC419" s="1"/>
      <c r="AD419" s="1"/>
      <c r="AE419" s="1"/>
      <c r="AF419" s="1"/>
    </row>
    <row r="420" spans="2:32" ht="12.75" x14ac:dyDescent="0.2">
      <c r="B420" s="1" t="s">
        <v>8926</v>
      </c>
      <c r="C420" s="10">
        <f t="shared" ca="1" si="12"/>
        <v>44253</v>
      </c>
      <c r="D420" s="4"/>
      <c r="E420" s="4" t="s">
        <v>8434</v>
      </c>
      <c r="F420" s="4" t="s">
        <v>1293</v>
      </c>
      <c r="G420" s="4"/>
      <c r="H420" s="4" t="str">
        <f>_xlfn.IFNA(VLOOKUP(Table_Query_from_AMULTIQRY45[[#This Row],[WPROD]],'Part# with New'!$A$1:$B$4347,2,0),Table_Query_from_AMULTIQRY45[[#This Row],[WPROD]])</f>
        <v>WSMP203150027D-PCG18K</v>
      </c>
      <c r="I420" s="4" t="s">
        <v>8436</v>
      </c>
      <c r="J420" s="1" t="s">
        <v>5</v>
      </c>
      <c r="L420" s="11">
        <v>1.9376599999999999</v>
      </c>
      <c r="M420" s="1"/>
      <c r="N420" s="1" t="s">
        <v>18</v>
      </c>
      <c r="P420" s="1" t="str">
        <f>CONCATENATE(Table_Query_from_AMULTIQRY45[[#This Row],[WWHS]],"-",Table_Query_from_AMULTIQRY45[[#This Row],[LLOC]])</f>
        <v>E1-FG</v>
      </c>
      <c r="Q420" s="10">
        <f t="shared" ca="1" si="13"/>
        <v>45775</v>
      </c>
      <c r="R420" s="10"/>
      <c r="S420" s="28">
        <v>20</v>
      </c>
      <c r="T420" s="1" t="s">
        <v>2</v>
      </c>
      <c r="U420" s="1" t="s">
        <v>467</v>
      </c>
      <c r="V420" s="1">
        <v>20210226</v>
      </c>
      <c r="W420" s="8" t="s">
        <v>8442</v>
      </c>
      <c r="Z420" s="1"/>
      <c r="AA420" s="1"/>
      <c r="AC420" s="1"/>
      <c r="AD420" s="1"/>
      <c r="AE420" s="1"/>
      <c r="AF420" s="1"/>
    </row>
    <row r="421" spans="2:32" ht="12.75" x14ac:dyDescent="0.2">
      <c r="B421" s="1" t="s">
        <v>8927</v>
      </c>
      <c r="C421" s="10">
        <f t="shared" ca="1" si="12"/>
        <v>44316</v>
      </c>
      <c r="D421" s="4"/>
      <c r="E421" s="4" t="s">
        <v>8434</v>
      </c>
      <c r="F421" s="4" t="s">
        <v>1293</v>
      </c>
      <c r="G421" s="4"/>
      <c r="H421" s="4" t="str">
        <f>_xlfn.IFNA(VLOOKUP(Table_Query_from_AMULTIQRY45[[#This Row],[WPROD]],'Part# with New'!$A$1:$B$4347,2,0),Table_Query_from_AMULTIQRY45[[#This Row],[WPROD]])</f>
        <v>WSMP058038013D-PCG18K</v>
      </c>
      <c r="I421" s="4" t="s">
        <v>8436</v>
      </c>
      <c r="J421" s="1" t="s">
        <v>5</v>
      </c>
      <c r="L421" s="11">
        <v>0.52024999999999999</v>
      </c>
      <c r="M421" s="1"/>
      <c r="N421" s="1" t="s">
        <v>18</v>
      </c>
      <c r="P421" s="1" t="str">
        <f>CONCATENATE(Table_Query_from_AMULTIQRY45[[#This Row],[WWHS]],"-",Table_Query_from_AMULTIQRY45[[#This Row],[LLOC]])</f>
        <v>E1-FG</v>
      </c>
      <c r="Q421" s="10">
        <f t="shared" ca="1" si="13"/>
        <v>45775</v>
      </c>
      <c r="R421" s="10"/>
      <c r="S421" s="28">
        <v>39</v>
      </c>
      <c r="T421" s="1" t="s">
        <v>2</v>
      </c>
      <c r="U421" s="1" t="s">
        <v>468</v>
      </c>
      <c r="V421" s="1">
        <v>20210430</v>
      </c>
      <c r="W421" s="8" t="s">
        <v>8442</v>
      </c>
      <c r="Z421" s="1"/>
      <c r="AA421" s="1"/>
      <c r="AC421" s="1"/>
      <c r="AD421" s="1"/>
      <c r="AE421" s="1"/>
      <c r="AF421" s="1"/>
    </row>
    <row r="422" spans="2:32" ht="12.75" x14ac:dyDescent="0.2">
      <c r="B422" s="1" t="s">
        <v>8928</v>
      </c>
      <c r="C422" s="10">
        <f t="shared" ca="1" si="12"/>
        <v>45719</v>
      </c>
      <c r="D422" s="4"/>
      <c r="E422" s="4" t="s">
        <v>8434</v>
      </c>
      <c r="F422" s="4" t="s">
        <v>1293</v>
      </c>
      <c r="G422" s="4"/>
      <c r="H422" s="4" t="str">
        <f>_xlfn.IFNA(VLOOKUP(Table_Query_from_AMULTIQRY45[[#This Row],[WPROD]],'Part# with New'!$A$1:$B$4347,2,0),Table_Query_from_AMULTIQRY45[[#This Row],[WPROD]])</f>
        <v>WPOT192179010D-PGX15W</v>
      </c>
      <c r="I422" s="4" t="s">
        <v>8436</v>
      </c>
      <c r="J422" s="1" t="s">
        <v>5</v>
      </c>
      <c r="L422" s="11">
        <v>0.15204999999999999</v>
      </c>
      <c r="M422" s="1"/>
      <c r="N422" s="1" t="s">
        <v>3</v>
      </c>
      <c r="P422" s="1" t="str">
        <f>CONCATENATE(Table_Query_from_AMULTIQRY45[[#This Row],[WWHS]],"-",Table_Query_from_AMULTIQRY45[[#This Row],[LLOC]])</f>
        <v>E1-FG</v>
      </c>
      <c r="Q422" s="10">
        <f t="shared" ca="1" si="13"/>
        <v>45775</v>
      </c>
      <c r="R422" s="10"/>
      <c r="S422" s="28">
        <v>2702</v>
      </c>
      <c r="T422" s="1" t="s">
        <v>2</v>
      </c>
      <c r="U422" s="1" t="s">
        <v>3567</v>
      </c>
      <c r="V422" s="1">
        <v>20250303</v>
      </c>
      <c r="W422" s="8" t="s">
        <v>8442</v>
      </c>
      <c r="Z422" s="1"/>
      <c r="AA422" s="1"/>
      <c r="AC422" s="1"/>
      <c r="AD422" s="1"/>
      <c r="AE422" s="1"/>
      <c r="AF422" s="1"/>
    </row>
    <row r="423" spans="2:32" ht="12.75" x14ac:dyDescent="0.2">
      <c r="B423" s="1" t="s">
        <v>8929</v>
      </c>
      <c r="C423" s="10">
        <f t="shared" ca="1" si="12"/>
        <v>45587</v>
      </c>
      <c r="D423" s="4"/>
      <c r="E423" s="4" t="s">
        <v>8434</v>
      </c>
      <c r="F423" s="4" t="s">
        <v>1293</v>
      </c>
      <c r="G423" s="4"/>
      <c r="H423" s="4" t="str">
        <f>_xlfn.IFNA(VLOOKUP(Table_Query_from_AMULTIQRY45[[#This Row],[WPROD]],'Part# with New'!$A$1:$B$4347,2,0),Table_Query_from_AMULTIQRY45[[#This Row],[WPROD]])</f>
        <v>WPOT284276007Q-PGX15W</v>
      </c>
      <c r="I423" s="4" t="s">
        <v>8436</v>
      </c>
      <c r="J423" s="1" t="s">
        <v>5</v>
      </c>
      <c r="L423" s="11">
        <v>0.18828</v>
      </c>
      <c r="M423" s="1"/>
      <c r="N423" s="1" t="s">
        <v>3</v>
      </c>
      <c r="P423" s="1" t="str">
        <f>CONCATENATE(Table_Query_from_AMULTIQRY45[[#This Row],[WWHS]],"-",Table_Query_from_AMULTIQRY45[[#This Row],[LLOC]])</f>
        <v>E1-FG</v>
      </c>
      <c r="Q423" s="10">
        <f t="shared" ca="1" si="13"/>
        <v>45775</v>
      </c>
      <c r="R423" s="10"/>
      <c r="S423" s="28">
        <v>200</v>
      </c>
      <c r="T423" s="1" t="s">
        <v>2</v>
      </c>
      <c r="U423" s="1" t="s">
        <v>469</v>
      </c>
      <c r="V423" s="1">
        <v>20241022</v>
      </c>
      <c r="W423" s="8" t="s">
        <v>8442</v>
      </c>
      <c r="Z423" s="1"/>
      <c r="AA423" s="1"/>
      <c r="AC423" s="1"/>
      <c r="AD423" s="1"/>
      <c r="AE423" s="1"/>
      <c r="AF423" s="1"/>
    </row>
    <row r="424" spans="2:32" ht="12.75" x14ac:dyDescent="0.2">
      <c r="B424" s="1" t="s">
        <v>8930</v>
      </c>
      <c r="C424" s="10">
        <f t="shared" ca="1" si="12"/>
        <v>45744</v>
      </c>
      <c r="D424" s="4"/>
      <c r="E424" s="4" t="s">
        <v>8434</v>
      </c>
      <c r="F424" s="4" t="s">
        <v>1293</v>
      </c>
      <c r="G424" s="4"/>
      <c r="H424" s="4" t="str">
        <f>_xlfn.IFNA(VLOOKUP(Table_Query_from_AMULTIQRY45[[#This Row],[WPROD]],'Part# with New'!$A$1:$B$4347,2,0),Table_Query_from_AMULTIQRY45[[#This Row],[WPROD]])</f>
        <v>WSMP262188022L-PZM55N</v>
      </c>
      <c r="I424" s="4" t="s">
        <v>8436</v>
      </c>
      <c r="J424" s="1" t="s">
        <v>5</v>
      </c>
      <c r="L424" s="11">
        <v>3.81297</v>
      </c>
      <c r="M424" s="1"/>
      <c r="N424" s="1" t="s">
        <v>18</v>
      </c>
      <c r="P424" s="1" t="str">
        <f>CONCATENATE(Table_Query_from_AMULTIQRY45[[#This Row],[WWHS]],"-",Table_Query_from_AMULTIQRY45[[#This Row],[LLOC]])</f>
        <v>E1-FG</v>
      </c>
      <c r="Q424" s="10">
        <f t="shared" ca="1" si="13"/>
        <v>45775</v>
      </c>
      <c r="R424" s="10"/>
      <c r="S424" s="28">
        <v>100</v>
      </c>
      <c r="T424" s="1" t="s">
        <v>2</v>
      </c>
      <c r="U424" s="1" t="s">
        <v>470</v>
      </c>
      <c r="V424" s="1">
        <v>20250328</v>
      </c>
      <c r="W424" s="8" t="s">
        <v>8442</v>
      </c>
      <c r="Z424" s="1"/>
      <c r="AA424" s="1"/>
      <c r="AC424" s="1"/>
      <c r="AD424" s="1"/>
      <c r="AE424" s="1"/>
      <c r="AF424" s="1"/>
    </row>
    <row r="425" spans="2:32" ht="12.75" x14ac:dyDescent="0.2">
      <c r="B425" s="1" t="s">
        <v>8931</v>
      </c>
      <c r="C425" s="10">
        <f t="shared" ca="1" si="12"/>
        <v>45518</v>
      </c>
      <c r="D425" s="4"/>
      <c r="E425" s="4" t="s">
        <v>8434</v>
      </c>
      <c r="F425" s="4" t="s">
        <v>1293</v>
      </c>
      <c r="G425" s="4"/>
      <c r="H425" s="4" t="str">
        <f>_xlfn.IFNA(VLOOKUP(Table_Query_from_AMULTIQRY45[[#This Row],[WPROD]],'Part# with New'!$A$1:$B$4347,2,0),Table_Query_from_AMULTIQRY45[[#This Row],[WPROD]])</f>
        <v>WSMP346295011S-PZM55N</v>
      </c>
      <c r="I425" s="4" t="s">
        <v>8436</v>
      </c>
      <c r="J425" s="1" t="s">
        <v>5</v>
      </c>
      <c r="L425" s="11">
        <v>1.76454</v>
      </c>
      <c r="M425" s="1"/>
      <c r="N425" s="1" t="s">
        <v>18</v>
      </c>
      <c r="P425" s="1" t="str">
        <f>CONCATENATE(Table_Query_from_AMULTIQRY45[[#This Row],[WWHS]],"-",Table_Query_from_AMULTIQRY45[[#This Row],[LLOC]])</f>
        <v>E1-FG</v>
      </c>
      <c r="Q425" s="10">
        <f t="shared" ca="1" si="13"/>
        <v>45775</v>
      </c>
      <c r="R425" s="10"/>
      <c r="S425" s="28">
        <v>23</v>
      </c>
      <c r="T425" s="1" t="s">
        <v>2</v>
      </c>
      <c r="U425" s="1" t="s">
        <v>471</v>
      </c>
      <c r="V425" s="1">
        <v>20240814</v>
      </c>
      <c r="W425" s="8" t="s">
        <v>8442</v>
      </c>
      <c r="Z425" s="1"/>
      <c r="AA425" s="1"/>
      <c r="AC425" s="1"/>
      <c r="AD425" s="1"/>
      <c r="AE425" s="1"/>
      <c r="AF425" s="1"/>
    </row>
    <row r="426" spans="2:32" ht="12.75" x14ac:dyDescent="0.2">
      <c r="B426" s="1" t="s">
        <v>8932</v>
      </c>
      <c r="C426" s="10">
        <f t="shared" ca="1" si="12"/>
        <v>45771</v>
      </c>
      <c r="D426" s="4"/>
      <c r="E426" s="4" t="s">
        <v>8434</v>
      </c>
      <c r="F426" s="4" t="s">
        <v>1293</v>
      </c>
      <c r="G426" s="4"/>
      <c r="H426" s="4" t="str">
        <f>_xlfn.IFNA(VLOOKUP(Table_Query_from_AMULTIQRY45[[#This Row],[WPROD]],'Part# with New'!$A$1:$B$4347,2,0),Table_Query_from_AMULTIQRY45[[#This Row],[WPROD]])</f>
        <v>WFFB144105009D-PXX00W</v>
      </c>
      <c r="I426" s="4" t="s">
        <v>8436</v>
      </c>
      <c r="J426" s="1" t="s">
        <v>5</v>
      </c>
      <c r="L426" s="11">
        <v>9.9089999999999998E-2</v>
      </c>
      <c r="M426" s="1"/>
      <c r="N426" s="1" t="s">
        <v>348</v>
      </c>
      <c r="P426" s="1" t="str">
        <f>CONCATENATE(Table_Query_from_AMULTIQRY45[[#This Row],[WWHS]],"-",Table_Query_from_AMULTIQRY45[[#This Row],[LLOC]])</f>
        <v>E1-FG</v>
      </c>
      <c r="Q426" s="10">
        <f t="shared" ca="1" si="13"/>
        <v>45775</v>
      </c>
      <c r="R426" s="10"/>
      <c r="S426" s="28">
        <v>798</v>
      </c>
      <c r="T426" s="1" t="s">
        <v>2</v>
      </c>
      <c r="U426" s="1" t="s">
        <v>472</v>
      </c>
      <c r="V426" s="1">
        <v>20250424</v>
      </c>
      <c r="W426" s="8" t="s">
        <v>8442</v>
      </c>
      <c r="Z426" s="1"/>
      <c r="AA426" s="1"/>
      <c r="AC426" s="1"/>
      <c r="AD426" s="1"/>
      <c r="AE426" s="1"/>
      <c r="AF426" s="1"/>
    </row>
    <row r="427" spans="2:32" ht="12.75" x14ac:dyDescent="0.2">
      <c r="B427" s="1" t="s">
        <v>8933</v>
      </c>
      <c r="C427" s="10">
        <f t="shared" ca="1" si="12"/>
        <v>45140</v>
      </c>
      <c r="D427" s="4"/>
      <c r="E427" s="4" t="s">
        <v>8434</v>
      </c>
      <c r="F427" s="4" t="s">
        <v>1293</v>
      </c>
      <c r="G427" s="4"/>
      <c r="H427" s="4" t="str">
        <f>_xlfn.IFNA(VLOOKUP(Table_Query_from_AMULTIQRY45[[#This Row],[WPROD]],'Part# with New'!$A$1:$B$4347,2,0),Table_Query_from_AMULTIQRY45[[#This Row],[WPROD]])</f>
        <v>WPSA047037032Q-MXX00W</v>
      </c>
      <c r="I427" s="4" t="s">
        <v>8436</v>
      </c>
      <c r="J427" s="1" t="s">
        <v>5</v>
      </c>
      <c r="L427" s="11">
        <v>8.7980000000000003E-2</v>
      </c>
      <c r="M427" s="1"/>
      <c r="N427" s="1" t="s">
        <v>9</v>
      </c>
      <c r="P427" s="1" t="str">
        <f>CONCATENATE(Table_Query_from_AMULTIQRY45[[#This Row],[WWHS]],"-",Table_Query_from_AMULTIQRY45[[#This Row],[LLOC]])</f>
        <v>E1-FG</v>
      </c>
      <c r="Q427" s="10">
        <f t="shared" ca="1" si="13"/>
        <v>45775</v>
      </c>
      <c r="R427" s="10"/>
      <c r="S427" s="28">
        <v>623</v>
      </c>
      <c r="T427" s="1" t="s">
        <v>2</v>
      </c>
      <c r="U427" s="1" t="s">
        <v>473</v>
      </c>
      <c r="V427" s="1">
        <v>20230802</v>
      </c>
      <c r="W427" s="8" t="s">
        <v>8442</v>
      </c>
      <c r="Z427" s="1"/>
      <c r="AA427" s="1"/>
      <c r="AC427" s="1"/>
      <c r="AD427" s="1"/>
      <c r="AE427" s="1"/>
      <c r="AF427" s="1"/>
    </row>
    <row r="428" spans="2:32" ht="12.75" x14ac:dyDescent="0.2">
      <c r="B428" s="1" t="s">
        <v>8934</v>
      </c>
      <c r="C428" s="10">
        <f t="shared" ca="1" si="12"/>
        <v>45513</v>
      </c>
      <c r="D428" s="4"/>
      <c r="E428" s="4" t="s">
        <v>8434</v>
      </c>
      <c r="F428" s="4" t="s">
        <v>1293</v>
      </c>
      <c r="G428" s="4"/>
      <c r="H428" s="4" t="str">
        <f>_xlfn.IFNA(VLOOKUP(Table_Query_from_AMULTIQRY45[[#This Row],[WPROD]],'Part# with New'!$A$1:$B$4347,2,0),Table_Query_from_AMULTIQRY45[[#This Row],[WPROD]])</f>
        <v>WPOT060049010Q-MXX00W</v>
      </c>
      <c r="I428" s="4" t="s">
        <v>8436</v>
      </c>
      <c r="J428" s="1" t="s">
        <v>5</v>
      </c>
      <c r="L428" s="11">
        <v>0.10316</v>
      </c>
      <c r="M428" s="1"/>
      <c r="N428" s="1" t="s">
        <v>3</v>
      </c>
      <c r="P428" s="1" t="str">
        <f>CONCATENATE(Table_Query_from_AMULTIQRY45[[#This Row],[WWHS]],"-",Table_Query_from_AMULTIQRY45[[#This Row],[LLOC]])</f>
        <v>E1-FG</v>
      </c>
      <c r="Q428" s="10">
        <f t="shared" ca="1" si="13"/>
        <v>45775</v>
      </c>
      <c r="R428" s="10"/>
      <c r="S428" s="28">
        <v>405</v>
      </c>
      <c r="T428" s="1" t="s">
        <v>2</v>
      </c>
      <c r="U428" s="1" t="s">
        <v>474</v>
      </c>
      <c r="V428" s="1">
        <v>20240809</v>
      </c>
      <c r="W428" s="8" t="s">
        <v>8442</v>
      </c>
      <c r="Z428" s="1"/>
      <c r="AA428" s="1"/>
      <c r="AC428" s="1"/>
      <c r="AD428" s="1"/>
      <c r="AE428" s="1"/>
      <c r="AF428" s="1"/>
    </row>
    <row r="429" spans="2:32" ht="12.75" x14ac:dyDescent="0.2">
      <c r="B429" s="1" t="s">
        <v>8935</v>
      </c>
      <c r="C429" s="10">
        <f t="shared" ca="1" si="12"/>
        <v>45748</v>
      </c>
      <c r="D429" s="4"/>
      <c r="E429" s="4" t="s">
        <v>8434</v>
      </c>
      <c r="F429" s="4" t="s">
        <v>1293</v>
      </c>
      <c r="G429" s="4"/>
      <c r="H429" s="4" t="str">
        <f>_xlfn.IFNA(VLOOKUP(Table_Query_from_AMULTIQRY45[[#This Row],[WPROD]],'Part# with New'!$A$1:$B$4347,2,0),Table_Query_from_AMULTIQRY45[[#This Row],[WPROD]])</f>
        <v>WPOT260249007Q-PGX15W</v>
      </c>
      <c r="I429" s="4" t="s">
        <v>8436</v>
      </c>
      <c r="J429" s="1" t="s">
        <v>5</v>
      </c>
      <c r="L429" s="11">
        <v>0.14185</v>
      </c>
      <c r="M429" s="1"/>
      <c r="N429" s="1" t="s">
        <v>3</v>
      </c>
      <c r="P429" s="1" t="str">
        <f>CONCATENATE(Table_Query_from_AMULTIQRY45[[#This Row],[WWHS]],"-",Table_Query_from_AMULTIQRY45[[#This Row],[LLOC]])</f>
        <v>E1-FG</v>
      </c>
      <c r="Q429" s="10">
        <f t="shared" ca="1" si="13"/>
        <v>45775</v>
      </c>
      <c r="R429" s="10"/>
      <c r="S429" s="28">
        <v>975</v>
      </c>
      <c r="T429" s="1" t="s">
        <v>2</v>
      </c>
      <c r="U429" s="1" t="s">
        <v>475</v>
      </c>
      <c r="V429" s="1">
        <v>20250401</v>
      </c>
      <c r="W429" s="8" t="s">
        <v>8442</v>
      </c>
      <c r="Z429" s="1"/>
      <c r="AA429" s="1"/>
      <c r="AC429" s="1"/>
      <c r="AD429" s="1"/>
      <c r="AE429" s="1"/>
      <c r="AF429" s="1"/>
    </row>
    <row r="430" spans="2:32" ht="12.75" x14ac:dyDescent="0.2">
      <c r="B430" s="1" t="s">
        <v>8936</v>
      </c>
      <c r="C430" s="10">
        <f t="shared" ca="1" si="12"/>
        <v>45456</v>
      </c>
      <c r="D430" s="4"/>
      <c r="E430" s="4" t="s">
        <v>8434</v>
      </c>
      <c r="F430" s="4" t="s">
        <v>1293</v>
      </c>
      <c r="G430" s="4"/>
      <c r="H430" s="4" t="str">
        <f>_xlfn.IFNA(VLOOKUP(Table_Query_from_AMULTIQRY45[[#This Row],[WPROD]],'Part# with New'!$A$1:$B$4347,2,0),Table_Query_from_AMULTIQRY45[[#This Row],[WPROD]])</f>
        <v>WSNC095018006D-PXX00W</v>
      </c>
      <c r="I430" s="4" t="s">
        <v>8436</v>
      </c>
      <c r="J430" s="1" t="s">
        <v>5</v>
      </c>
      <c r="L430" s="11">
        <v>0.23660999999999999</v>
      </c>
      <c r="M430" s="1"/>
      <c r="N430" s="1" t="s">
        <v>6</v>
      </c>
      <c r="P430" s="1" t="str">
        <f>CONCATENATE(Table_Query_from_AMULTIQRY45[[#This Row],[WWHS]],"-",Table_Query_from_AMULTIQRY45[[#This Row],[LLOC]])</f>
        <v>E1-FG</v>
      </c>
      <c r="Q430" s="10">
        <f t="shared" ca="1" si="13"/>
        <v>45775</v>
      </c>
      <c r="R430" s="10"/>
      <c r="S430" s="28">
        <v>192</v>
      </c>
      <c r="T430" s="1" t="s">
        <v>2</v>
      </c>
      <c r="U430" s="1" t="s">
        <v>476</v>
      </c>
      <c r="V430" s="1">
        <v>20240613</v>
      </c>
      <c r="W430" s="8" t="s">
        <v>8442</v>
      </c>
      <c r="Z430" s="1"/>
      <c r="AA430" s="1"/>
      <c r="AC430" s="1"/>
      <c r="AD430" s="1"/>
      <c r="AE430" s="1"/>
      <c r="AF430" s="1"/>
    </row>
    <row r="431" spans="2:32" ht="12.75" x14ac:dyDescent="0.2">
      <c r="B431" s="1" t="s">
        <v>8937</v>
      </c>
      <c r="C431" s="10">
        <f t="shared" ca="1" si="12"/>
        <v>45771</v>
      </c>
      <c r="D431" s="4"/>
      <c r="E431" s="4" t="s">
        <v>8434</v>
      </c>
      <c r="F431" s="4" t="s">
        <v>1293</v>
      </c>
      <c r="G431" s="4"/>
      <c r="H431" s="4" t="str">
        <f>_xlfn.IFNA(VLOOKUP(Table_Query_from_AMULTIQRY45[[#This Row],[WPROD]],'Part# with New'!$A$1:$B$4347,2,0),Table_Query_from_AMULTIQRY45[[#This Row],[WPROD]])</f>
        <v>WPOS281257006S-PRX10K</v>
      </c>
      <c r="I431" s="4" t="s">
        <v>8436</v>
      </c>
      <c r="J431" s="1" t="s">
        <v>5</v>
      </c>
      <c r="L431" s="11">
        <v>0.21609</v>
      </c>
      <c r="M431" s="1"/>
      <c r="N431" s="1" t="s">
        <v>389</v>
      </c>
      <c r="P431" s="1" t="str">
        <f>CONCATENATE(Table_Query_from_AMULTIQRY45[[#This Row],[WWHS]],"-",Table_Query_from_AMULTIQRY45[[#This Row],[LLOC]])</f>
        <v>E1-FG</v>
      </c>
      <c r="Q431" s="10">
        <f t="shared" ca="1" si="13"/>
        <v>45775</v>
      </c>
      <c r="R431" s="10"/>
      <c r="S431" s="28">
        <v>1045</v>
      </c>
      <c r="T431" s="1" t="s">
        <v>2</v>
      </c>
      <c r="U431" s="1" t="s">
        <v>477</v>
      </c>
      <c r="V431" s="1">
        <v>20250424</v>
      </c>
      <c r="W431" s="8" t="s">
        <v>8442</v>
      </c>
      <c r="Z431" s="1"/>
      <c r="AA431" s="1"/>
      <c r="AC431" s="1"/>
      <c r="AD431" s="1"/>
      <c r="AE431" s="1"/>
      <c r="AF431" s="1"/>
    </row>
    <row r="432" spans="2:32" ht="12.75" x14ac:dyDescent="0.2">
      <c r="B432" s="1" t="s">
        <v>8938</v>
      </c>
      <c r="C432" s="10">
        <f t="shared" ca="1" si="12"/>
        <v>45749</v>
      </c>
      <c r="D432" s="4"/>
      <c r="E432" s="4" t="s">
        <v>8434</v>
      </c>
      <c r="F432" s="4" t="s">
        <v>1293</v>
      </c>
      <c r="G432" s="4"/>
      <c r="H432" s="4" t="str">
        <f>_xlfn.IFNA(VLOOKUP(Table_Query_from_AMULTIQRY45[[#This Row],[WPROD]],'Part# with New'!$A$1:$B$4347,2,0),Table_Query_from_AMULTIQRY45[[#This Row],[WPROD]])</f>
        <v>WPOT080069005D-PCR23K</v>
      </c>
      <c r="I432" s="4" t="s">
        <v>8436</v>
      </c>
      <c r="J432" s="1" t="s">
        <v>5</v>
      </c>
      <c r="L432" s="11">
        <v>4.82E-2</v>
      </c>
      <c r="M432" s="1"/>
      <c r="N432" s="1" t="s">
        <v>3</v>
      </c>
      <c r="P432" s="1" t="str">
        <f>CONCATENATE(Table_Query_from_AMULTIQRY45[[#This Row],[WWHS]],"-",Table_Query_from_AMULTIQRY45[[#This Row],[LLOC]])</f>
        <v>E1-FG</v>
      </c>
      <c r="Q432" s="10">
        <f t="shared" ca="1" si="13"/>
        <v>45775</v>
      </c>
      <c r="R432" s="10"/>
      <c r="S432" s="28">
        <v>4870</v>
      </c>
      <c r="T432" s="1" t="s">
        <v>2</v>
      </c>
      <c r="U432" s="1" t="s">
        <v>478</v>
      </c>
      <c r="V432" s="1">
        <v>20250402</v>
      </c>
      <c r="W432" s="8" t="s">
        <v>8442</v>
      </c>
      <c r="Z432" s="1"/>
      <c r="AA432" s="1"/>
      <c r="AC432" s="1"/>
      <c r="AD432" s="1"/>
      <c r="AE432" s="1"/>
      <c r="AF432" s="1"/>
    </row>
    <row r="433" spans="2:32" ht="12.75" x14ac:dyDescent="0.2">
      <c r="B433" s="1" t="s">
        <v>8939</v>
      </c>
      <c r="C433" s="10">
        <f t="shared" ca="1" si="12"/>
        <v>45741</v>
      </c>
      <c r="D433" s="4"/>
      <c r="E433" s="4" t="s">
        <v>8434</v>
      </c>
      <c r="F433" s="4" t="s">
        <v>1293</v>
      </c>
      <c r="G433" s="4"/>
      <c r="H433" s="4" t="str">
        <f>_xlfn.IFNA(VLOOKUP(Table_Query_from_AMULTIQRY45[[#This Row],[WPROD]],'Part# with New'!$A$1:$B$4347,2,0),Table_Query_from_AMULTIQRY45[[#This Row],[WPROD]])</f>
        <v>WPOT175138007D-PCR23K</v>
      </c>
      <c r="I433" s="4" t="s">
        <v>8436</v>
      </c>
      <c r="J433" s="1" t="s">
        <v>5</v>
      </c>
      <c r="L433" s="11">
        <v>0.13372999999999999</v>
      </c>
      <c r="M433" s="1"/>
      <c r="N433" s="1" t="s">
        <v>3</v>
      </c>
      <c r="P433" s="1" t="str">
        <f>CONCATENATE(Table_Query_from_AMULTIQRY45[[#This Row],[WWHS]],"-",Table_Query_from_AMULTIQRY45[[#This Row],[LLOC]])</f>
        <v>E1-FG</v>
      </c>
      <c r="Q433" s="10">
        <f t="shared" ca="1" si="13"/>
        <v>45775</v>
      </c>
      <c r="R433" s="10"/>
      <c r="S433" s="28">
        <v>10121</v>
      </c>
      <c r="T433" s="1" t="s">
        <v>2</v>
      </c>
      <c r="U433" s="1" t="s">
        <v>479</v>
      </c>
      <c r="V433" s="1">
        <v>20250325</v>
      </c>
      <c r="W433" s="8" t="s">
        <v>8442</v>
      </c>
      <c r="Z433" s="1"/>
      <c r="AA433" s="1"/>
      <c r="AC433" s="1"/>
      <c r="AD433" s="1"/>
      <c r="AE433" s="1"/>
      <c r="AF433" s="1"/>
    </row>
    <row r="434" spans="2:32" ht="12.75" x14ac:dyDescent="0.2">
      <c r="B434" s="1" t="s">
        <v>8940</v>
      </c>
      <c r="C434" s="10">
        <f t="shared" ca="1" si="12"/>
        <v>45002</v>
      </c>
      <c r="D434" s="4"/>
      <c r="E434" s="4" t="s">
        <v>8434</v>
      </c>
      <c r="F434" s="4" t="s">
        <v>1293</v>
      </c>
      <c r="G434" s="4"/>
      <c r="H434" s="4" t="str">
        <f>_xlfn.IFNA(VLOOKUP(Table_Query_from_AMULTIQRY45[[#This Row],[WPROD]],'Part# with New'!$A$1:$B$4347,2,0),Table_Query_from_AMULTIQRY45[[#This Row],[WPROD]])</f>
        <v>WSOR075061006D-DV100N</v>
      </c>
      <c r="I434" s="4" t="s">
        <v>8436</v>
      </c>
      <c r="J434" s="1" t="s">
        <v>5</v>
      </c>
      <c r="L434" s="11">
        <v>0.12622</v>
      </c>
      <c r="M434" s="1"/>
      <c r="N434" s="1" t="s">
        <v>480</v>
      </c>
      <c r="P434" s="1" t="str">
        <f>CONCATENATE(Table_Query_from_AMULTIQRY45[[#This Row],[WWHS]],"-",Table_Query_from_AMULTIQRY45[[#This Row],[LLOC]])</f>
        <v>E1-FG</v>
      </c>
      <c r="Q434" s="10">
        <f t="shared" ca="1" si="13"/>
        <v>45775</v>
      </c>
      <c r="R434" s="10"/>
      <c r="S434" s="28">
        <v>366</v>
      </c>
      <c r="T434" s="1" t="s">
        <v>2</v>
      </c>
      <c r="U434" s="1" t="s">
        <v>481</v>
      </c>
      <c r="V434" s="1">
        <v>20230317</v>
      </c>
      <c r="W434" s="8" t="s">
        <v>8442</v>
      </c>
      <c r="Z434" s="1"/>
      <c r="AA434" s="1"/>
      <c r="AC434" s="1"/>
      <c r="AD434" s="1"/>
      <c r="AE434" s="1"/>
      <c r="AF434" s="1"/>
    </row>
    <row r="435" spans="2:32" ht="12.75" x14ac:dyDescent="0.2">
      <c r="B435" s="1" t="s">
        <v>8941</v>
      </c>
      <c r="C435" s="10">
        <f t="shared" ca="1" si="12"/>
        <v>45407</v>
      </c>
      <c r="D435" s="4"/>
      <c r="E435" s="4" t="s">
        <v>8434</v>
      </c>
      <c r="F435" s="4" t="s">
        <v>1293</v>
      </c>
      <c r="G435" s="4"/>
      <c r="H435" s="4" t="str">
        <f>_xlfn.IFNA(VLOOKUP(Table_Query_from_AMULTIQRY45[[#This Row],[WPROD]],'Part# with New'!$A$1:$B$4347,2,0),Table_Query_from_AMULTIQRY45[[#This Row],[WPROD]])</f>
        <v>WSNC050032100D-PGX25R</v>
      </c>
      <c r="I435" s="4" t="s">
        <v>8436</v>
      </c>
      <c r="J435" s="1" t="s">
        <v>5</v>
      </c>
      <c r="L435" s="11">
        <v>0.62707999999999997</v>
      </c>
      <c r="M435" s="1"/>
      <c r="N435" s="1" t="s">
        <v>6</v>
      </c>
      <c r="P435" s="1" t="str">
        <f>CONCATENATE(Table_Query_from_AMULTIQRY45[[#This Row],[WWHS]],"-",Table_Query_from_AMULTIQRY45[[#This Row],[LLOC]])</f>
        <v>E1-FG</v>
      </c>
      <c r="Q435" s="10">
        <f t="shared" ca="1" si="13"/>
        <v>45775</v>
      </c>
      <c r="R435" s="10"/>
      <c r="S435" s="28">
        <v>251</v>
      </c>
      <c r="T435" s="1" t="s">
        <v>2</v>
      </c>
      <c r="U435" s="1" t="s">
        <v>482</v>
      </c>
      <c r="V435" s="1">
        <v>20240425</v>
      </c>
      <c r="W435" s="8" t="s">
        <v>8442</v>
      </c>
      <c r="Z435" s="1"/>
      <c r="AA435" s="1"/>
      <c r="AC435" s="1"/>
      <c r="AD435" s="1"/>
      <c r="AE435" s="1"/>
      <c r="AF435" s="1"/>
    </row>
    <row r="436" spans="2:32" ht="12.75" x14ac:dyDescent="0.2">
      <c r="B436" s="1" t="s">
        <v>8942</v>
      </c>
      <c r="C436" s="10">
        <f t="shared" ca="1" si="12"/>
        <v>45743</v>
      </c>
      <c r="D436" s="4"/>
      <c r="E436" s="4" t="s">
        <v>8434</v>
      </c>
      <c r="F436" s="4" t="s">
        <v>1293</v>
      </c>
      <c r="G436" s="4"/>
      <c r="H436" s="4" t="str">
        <f>_xlfn.IFNA(VLOOKUP(Table_Query_from_AMULTIQRY45[[#This Row],[WPROD]],'Part# with New'!$A$1:$B$4347,2,0),Table_Query_from_AMULTIQRY45[[#This Row],[WPROD]])</f>
        <v>WPOT224187007D-PCR23K</v>
      </c>
      <c r="I436" s="4" t="s">
        <v>8436</v>
      </c>
      <c r="J436" s="1" t="s">
        <v>5</v>
      </c>
      <c r="L436" s="11">
        <v>0.20086999999999999</v>
      </c>
      <c r="M436" s="1"/>
      <c r="N436" s="1" t="s">
        <v>3</v>
      </c>
      <c r="P436" s="1" t="str">
        <f>CONCATENATE(Table_Query_from_AMULTIQRY45[[#This Row],[WWHS]],"-",Table_Query_from_AMULTIQRY45[[#This Row],[LLOC]])</f>
        <v>E1-FG</v>
      </c>
      <c r="Q436" s="10">
        <f t="shared" ca="1" si="13"/>
        <v>45775</v>
      </c>
      <c r="R436" s="10"/>
      <c r="S436" s="28">
        <v>508</v>
      </c>
      <c r="T436" s="1" t="s">
        <v>2</v>
      </c>
      <c r="U436" s="1" t="s">
        <v>483</v>
      </c>
      <c r="V436" s="1">
        <v>20250327</v>
      </c>
      <c r="W436" s="8" t="s">
        <v>8442</v>
      </c>
      <c r="Z436" s="1"/>
      <c r="AA436" s="1"/>
      <c r="AC436" s="1"/>
      <c r="AD436" s="1"/>
      <c r="AE436" s="1"/>
      <c r="AF436" s="1"/>
    </row>
    <row r="437" spans="2:32" ht="12.75" x14ac:dyDescent="0.2">
      <c r="B437" s="1" t="s">
        <v>8943</v>
      </c>
      <c r="C437" s="10">
        <f t="shared" ca="1" si="12"/>
        <v>45664</v>
      </c>
      <c r="D437" s="4"/>
      <c r="E437" s="4" t="s">
        <v>8434</v>
      </c>
      <c r="F437" s="4" t="s">
        <v>1293</v>
      </c>
      <c r="G437" s="4"/>
      <c r="H437" s="4" t="str">
        <f>_xlfn.IFNA(VLOOKUP(Table_Query_from_AMULTIQRY45[[#This Row],[WPROD]],'Part# with New'!$A$1:$B$4347,2,0),Table_Query_from_AMULTIQRY45[[#This Row],[WPROD]])</f>
        <v>WSNC056032037D-PGX25R</v>
      </c>
      <c r="I437" s="4" t="s">
        <v>8436</v>
      </c>
      <c r="J437" s="1" t="s">
        <v>5</v>
      </c>
      <c r="L437" s="11">
        <v>0.32689000000000001</v>
      </c>
      <c r="M437" s="1"/>
      <c r="N437" s="1" t="s">
        <v>6</v>
      </c>
      <c r="P437" s="1" t="str">
        <f>CONCATENATE(Table_Query_from_AMULTIQRY45[[#This Row],[WWHS]],"-",Table_Query_from_AMULTIQRY45[[#This Row],[LLOC]])</f>
        <v>E1-FG</v>
      </c>
      <c r="Q437" s="10">
        <f t="shared" ca="1" si="13"/>
        <v>45775</v>
      </c>
      <c r="R437" s="10"/>
      <c r="S437" s="28">
        <v>226</v>
      </c>
      <c r="T437" s="1" t="s">
        <v>2</v>
      </c>
      <c r="U437" s="1" t="s">
        <v>484</v>
      </c>
      <c r="V437" s="1">
        <v>20250107</v>
      </c>
      <c r="W437" s="8" t="s">
        <v>8442</v>
      </c>
      <c r="Z437" s="1"/>
      <c r="AA437" s="1"/>
      <c r="AC437" s="1"/>
      <c r="AD437" s="1"/>
      <c r="AE437" s="1"/>
      <c r="AF437" s="1"/>
    </row>
    <row r="438" spans="2:32" ht="12.75" x14ac:dyDescent="0.2">
      <c r="B438" s="1" t="s">
        <v>8944</v>
      </c>
      <c r="C438" s="10">
        <f t="shared" ca="1" si="12"/>
        <v>45701</v>
      </c>
      <c r="D438" s="4"/>
      <c r="E438" s="4" t="s">
        <v>8434</v>
      </c>
      <c r="F438" s="4" t="s">
        <v>1293</v>
      </c>
      <c r="G438" s="4"/>
      <c r="H438" s="4" t="str">
        <f>_xlfn.IFNA(VLOOKUP(Table_Query_from_AMULTIQRY45[[#This Row],[WPROD]],'Part# with New'!$A$1:$B$4347,2,0),Table_Query_from_AMULTIQRY45[[#This Row],[WPROD]])</f>
        <v>WPOS274236007S-PZM55N</v>
      </c>
      <c r="I438" s="4" t="s">
        <v>8436</v>
      </c>
      <c r="J438" s="1" t="s">
        <v>5</v>
      </c>
      <c r="L438" s="11">
        <v>0.63097000000000003</v>
      </c>
      <c r="M438" s="1"/>
      <c r="N438" s="1" t="s">
        <v>389</v>
      </c>
      <c r="P438" s="1" t="str">
        <f>CONCATENATE(Table_Query_from_AMULTIQRY45[[#This Row],[WWHS]],"-",Table_Query_from_AMULTIQRY45[[#This Row],[LLOC]])</f>
        <v>E1-FG</v>
      </c>
      <c r="Q438" s="10">
        <f t="shared" ca="1" si="13"/>
        <v>45775</v>
      </c>
      <c r="R438" s="10"/>
      <c r="S438" s="28">
        <v>116</v>
      </c>
      <c r="T438" s="1" t="s">
        <v>2</v>
      </c>
      <c r="U438" s="1" t="s">
        <v>485</v>
      </c>
      <c r="V438" s="1">
        <v>20250213</v>
      </c>
      <c r="W438" s="8" t="s">
        <v>8442</v>
      </c>
      <c r="Z438" s="1"/>
      <c r="AA438" s="1"/>
      <c r="AC438" s="1"/>
      <c r="AD438" s="1"/>
      <c r="AE438" s="1"/>
      <c r="AF438" s="1"/>
    </row>
    <row r="439" spans="2:32" ht="12.75" x14ac:dyDescent="0.2">
      <c r="B439" s="1" t="s">
        <v>8945</v>
      </c>
      <c r="C439" s="10">
        <f t="shared" ca="1" si="12"/>
        <v>45555</v>
      </c>
      <c r="D439" s="4"/>
      <c r="E439" s="4" t="s">
        <v>8434</v>
      </c>
      <c r="F439" s="4" t="s">
        <v>1293</v>
      </c>
      <c r="G439" s="4"/>
      <c r="H439" s="4" t="str">
        <f>_xlfn.IFNA(VLOOKUP(Table_Query_from_AMULTIQRY45[[#This Row],[WPROD]],'Part# with New'!$A$1:$B$4347,2,0),Table_Query_from_AMULTIQRY45[[#This Row],[WPROD]])</f>
        <v>WPOS314275007S-PZM55N</v>
      </c>
      <c r="I439" s="4" t="s">
        <v>8436</v>
      </c>
      <c r="J439" s="1" t="s">
        <v>5</v>
      </c>
      <c r="L439" s="11">
        <v>0.80861000000000005</v>
      </c>
      <c r="M439" s="1"/>
      <c r="N439" s="1" t="s">
        <v>389</v>
      </c>
      <c r="P439" s="1" t="str">
        <f>CONCATENATE(Table_Query_from_AMULTIQRY45[[#This Row],[WWHS]],"-",Table_Query_from_AMULTIQRY45[[#This Row],[LLOC]])</f>
        <v>E1-FG</v>
      </c>
      <c r="Q439" s="10">
        <f t="shared" ca="1" si="13"/>
        <v>45775</v>
      </c>
      <c r="R439" s="10"/>
      <c r="S439" s="28">
        <v>14</v>
      </c>
      <c r="T439" s="1" t="s">
        <v>2</v>
      </c>
      <c r="U439" s="1" t="s">
        <v>486</v>
      </c>
      <c r="V439" s="1">
        <v>20240920</v>
      </c>
      <c r="W439" s="8" t="s">
        <v>8442</v>
      </c>
      <c r="Z439" s="1"/>
      <c r="AA439" s="1"/>
      <c r="AC439" s="1"/>
      <c r="AD439" s="1"/>
      <c r="AE439" s="1"/>
      <c r="AF439" s="1"/>
    </row>
    <row r="440" spans="2:32" ht="12.75" x14ac:dyDescent="0.2">
      <c r="B440" s="1" t="s">
        <v>8946</v>
      </c>
      <c r="C440" s="10">
        <f t="shared" ca="1" si="12"/>
        <v>45749</v>
      </c>
      <c r="D440" s="4"/>
      <c r="E440" s="4" t="s">
        <v>8434</v>
      </c>
      <c r="F440" s="4" t="s">
        <v>1293</v>
      </c>
      <c r="G440" s="4"/>
      <c r="H440" s="4" t="str">
        <f>_xlfn.IFNA(VLOOKUP(Table_Query_from_AMULTIQRY45[[#This Row],[WPROD]],'Part# with New'!$A$1:$B$4347,2,0),Table_Query_from_AMULTIQRY45[[#This Row],[WPROD]])</f>
        <v>WPOT095075004D-PXX00W</v>
      </c>
      <c r="I440" s="4" t="s">
        <v>8436</v>
      </c>
      <c r="J440" s="1" t="s">
        <v>5</v>
      </c>
      <c r="L440" s="11">
        <v>4.147E-2</v>
      </c>
      <c r="M440" s="1"/>
      <c r="N440" s="1" t="s">
        <v>3</v>
      </c>
      <c r="P440" s="1" t="str">
        <f>CONCATENATE(Table_Query_from_AMULTIQRY45[[#This Row],[WWHS]],"-",Table_Query_from_AMULTIQRY45[[#This Row],[LLOC]])</f>
        <v>E1-FG</v>
      </c>
      <c r="Q440" s="10">
        <f t="shared" ca="1" si="13"/>
        <v>45775</v>
      </c>
      <c r="R440" s="10"/>
      <c r="S440" s="28">
        <v>3865</v>
      </c>
      <c r="T440" s="1" t="s">
        <v>2</v>
      </c>
      <c r="U440" s="1" t="s">
        <v>487</v>
      </c>
      <c r="V440" s="1">
        <v>20250402</v>
      </c>
      <c r="W440" s="8" t="s">
        <v>8442</v>
      </c>
      <c r="Z440" s="1"/>
      <c r="AA440" s="1"/>
      <c r="AC440" s="1"/>
      <c r="AD440" s="1"/>
      <c r="AE440" s="1"/>
      <c r="AF440" s="1"/>
    </row>
    <row r="441" spans="2:32" ht="12.75" x14ac:dyDescent="0.2">
      <c r="B441" s="1" t="s">
        <v>8947</v>
      </c>
      <c r="C441" s="10">
        <f t="shared" ca="1" si="12"/>
        <v>45618</v>
      </c>
      <c r="D441" s="4"/>
      <c r="E441" s="4" t="s">
        <v>8434</v>
      </c>
      <c r="F441" s="4" t="s">
        <v>1293</v>
      </c>
      <c r="G441" s="4"/>
      <c r="H441" s="4" t="str">
        <f>_xlfn.IFNA(VLOOKUP(Table_Query_from_AMULTIQRY45[[#This Row],[WPROD]],'Part# with New'!$A$1:$B$4347,2,0),Table_Query_from_AMULTIQRY45[[#This Row],[WPROD]])</f>
        <v>WSOR018000006D-DA025N</v>
      </c>
      <c r="I441" s="4" t="s">
        <v>8436</v>
      </c>
      <c r="J441" s="1" t="s">
        <v>5</v>
      </c>
      <c r="L441" s="11">
        <v>6.0630000000000003E-2</v>
      </c>
      <c r="M441" s="1"/>
      <c r="N441" s="1" t="s">
        <v>480</v>
      </c>
      <c r="P441" s="1" t="str">
        <f>CONCATENATE(Table_Query_from_AMULTIQRY45[[#This Row],[WWHS]],"-",Table_Query_from_AMULTIQRY45[[#This Row],[LLOC]])</f>
        <v>E1-FG</v>
      </c>
      <c r="Q441" s="10">
        <f t="shared" ca="1" si="13"/>
        <v>45775</v>
      </c>
      <c r="R441" s="10"/>
      <c r="S441" s="28">
        <v>242</v>
      </c>
      <c r="T441" s="1" t="s">
        <v>2</v>
      </c>
      <c r="U441" s="1" t="s">
        <v>488</v>
      </c>
      <c r="V441" s="1">
        <v>20241122</v>
      </c>
      <c r="W441" s="8" t="s">
        <v>8442</v>
      </c>
      <c r="Z441" s="1"/>
      <c r="AA441" s="1"/>
      <c r="AC441" s="1"/>
      <c r="AD441" s="1"/>
      <c r="AE441" s="1"/>
      <c r="AF441" s="1"/>
    </row>
    <row r="442" spans="2:32" ht="12.75" x14ac:dyDescent="0.2">
      <c r="B442" s="1" t="s">
        <v>8948</v>
      </c>
      <c r="C442" s="10">
        <f t="shared" ca="1" si="12"/>
        <v>45735</v>
      </c>
      <c r="D442" s="4"/>
      <c r="E442" s="4" t="s">
        <v>8434</v>
      </c>
      <c r="F442" s="4" t="s">
        <v>1293</v>
      </c>
      <c r="G442" s="4"/>
      <c r="H442" s="4" t="str">
        <f>_xlfn.IFNA(VLOOKUP(Table_Query_from_AMULTIQRY45[[#This Row],[WPROD]],'Part# with New'!$A$1:$B$4347,2,0),Table_Query_from_AMULTIQRY45[[#This Row],[WPROD]])</f>
        <v>WSNC062032100D-PGX25R</v>
      </c>
      <c r="I442" s="4" t="s">
        <v>8436</v>
      </c>
      <c r="J442" s="1" t="s">
        <v>5</v>
      </c>
      <c r="L442" s="11">
        <v>0.98826999999999998</v>
      </c>
      <c r="M442" s="1"/>
      <c r="N442" s="1" t="s">
        <v>6</v>
      </c>
      <c r="P442" s="1" t="str">
        <f>CONCATENATE(Table_Query_from_AMULTIQRY45[[#This Row],[WWHS]],"-",Table_Query_from_AMULTIQRY45[[#This Row],[LLOC]])</f>
        <v>E1-FG</v>
      </c>
      <c r="Q442" s="10">
        <f t="shared" ca="1" si="13"/>
        <v>45775</v>
      </c>
      <c r="R442" s="10"/>
      <c r="S442" s="28">
        <v>48</v>
      </c>
      <c r="T442" s="1" t="s">
        <v>2</v>
      </c>
      <c r="U442" s="1" t="s">
        <v>489</v>
      </c>
      <c r="V442" s="1">
        <v>20250319</v>
      </c>
      <c r="W442" s="8" t="s">
        <v>8442</v>
      </c>
      <c r="Z442" s="1"/>
      <c r="AA442" s="1"/>
      <c r="AC442" s="1"/>
      <c r="AD442" s="1"/>
      <c r="AE442" s="1"/>
      <c r="AF442" s="1"/>
    </row>
    <row r="443" spans="2:32" ht="12.75" x14ac:dyDescent="0.2">
      <c r="B443" s="1" t="s">
        <v>8949</v>
      </c>
      <c r="C443" s="10">
        <f t="shared" ca="1" si="12"/>
        <v>45728</v>
      </c>
      <c r="D443" s="4"/>
      <c r="E443" s="4" t="s">
        <v>8434</v>
      </c>
      <c r="F443" s="4" t="s">
        <v>1293</v>
      </c>
      <c r="G443" s="4"/>
      <c r="H443" s="4" t="str">
        <f>_xlfn.IFNA(VLOOKUP(Table_Query_from_AMULTIQRY45[[#This Row],[WPROD]],'Part# with New'!$A$1:$B$4347,2,0),Table_Query_from_AMULTIQRY45[[#This Row],[WPROD]])</f>
        <v>WSMPV7MFC13PGM</v>
      </c>
      <c r="I443" s="4" t="s">
        <v>8436</v>
      </c>
      <c r="J443" s="1" t="s">
        <v>5</v>
      </c>
      <c r="L443" s="11">
        <v>2.80287</v>
      </c>
      <c r="M443" s="1"/>
      <c r="N443" s="1" t="s">
        <v>18</v>
      </c>
      <c r="P443" s="1" t="str">
        <f>CONCATENATE(Table_Query_from_AMULTIQRY45[[#This Row],[WWHS]],"-",Table_Query_from_AMULTIQRY45[[#This Row],[LLOC]])</f>
        <v>E1-FG</v>
      </c>
      <c r="Q443" s="10">
        <f t="shared" ca="1" si="13"/>
        <v>45775</v>
      </c>
      <c r="R443" s="10"/>
      <c r="S443" s="28">
        <v>16</v>
      </c>
      <c r="T443" s="1" t="s">
        <v>2</v>
      </c>
      <c r="U443" s="1" t="s">
        <v>490</v>
      </c>
      <c r="V443" s="1">
        <v>20250312</v>
      </c>
      <c r="W443" s="8" t="s">
        <v>8442</v>
      </c>
      <c r="Z443" s="1"/>
      <c r="AA443" s="1"/>
      <c r="AC443" s="1"/>
      <c r="AD443" s="1"/>
      <c r="AE443" s="1"/>
      <c r="AF443" s="1"/>
    </row>
    <row r="444" spans="2:32" ht="12.75" x14ac:dyDescent="0.2">
      <c r="B444" s="1" t="s">
        <v>8950</v>
      </c>
      <c r="C444" s="10">
        <f t="shared" ca="1" si="12"/>
        <v>45462</v>
      </c>
      <c r="D444" s="4"/>
      <c r="E444" s="4" t="s">
        <v>8434</v>
      </c>
      <c r="F444" s="4" t="s">
        <v>1293</v>
      </c>
      <c r="G444" s="4"/>
      <c r="H444" s="4" t="str">
        <f>_xlfn.IFNA(VLOOKUP(Table_Query_from_AMULTIQRY45[[#This Row],[WPROD]],'Part# with New'!$A$1:$B$4347,2,0),Table_Query_from_AMULTIQRY45[[#This Row],[WPROD]])</f>
        <v>WFFH675062006Q-PMX25B</v>
      </c>
      <c r="I444" s="4" t="s">
        <v>8436</v>
      </c>
      <c r="J444" s="1" t="s">
        <v>5</v>
      </c>
      <c r="L444" s="11">
        <v>0.14524000000000001</v>
      </c>
      <c r="M444" s="1"/>
      <c r="N444" s="1" t="s">
        <v>15</v>
      </c>
      <c r="P444" s="1" t="str">
        <f>CONCATENATE(Table_Query_from_AMULTIQRY45[[#This Row],[WWHS]],"-",Table_Query_from_AMULTIQRY45[[#This Row],[LLOC]])</f>
        <v>E1-FG</v>
      </c>
      <c r="Q444" s="10">
        <f t="shared" ca="1" si="13"/>
        <v>45775</v>
      </c>
      <c r="R444" s="10"/>
      <c r="S444" s="28">
        <v>494</v>
      </c>
      <c r="T444" s="1" t="s">
        <v>2</v>
      </c>
      <c r="U444" s="1" t="s">
        <v>491</v>
      </c>
      <c r="V444" s="1">
        <v>20240619</v>
      </c>
      <c r="W444" s="8" t="s">
        <v>8442</v>
      </c>
      <c r="Z444" s="1"/>
      <c r="AA444" s="1"/>
      <c r="AC444" s="1"/>
      <c r="AD444" s="1"/>
      <c r="AE444" s="1"/>
      <c r="AF444" s="1"/>
    </row>
    <row r="445" spans="2:32" ht="12.75" x14ac:dyDescent="0.2">
      <c r="B445" s="1" t="s">
        <v>8951</v>
      </c>
      <c r="C445" s="10">
        <f t="shared" ca="1" si="12"/>
        <v>45041</v>
      </c>
      <c r="D445" s="4"/>
      <c r="E445" s="4" t="s">
        <v>8434</v>
      </c>
      <c r="F445" s="4" t="s">
        <v>1293</v>
      </c>
      <c r="G445" s="4"/>
      <c r="H445" s="4" t="str">
        <f>_xlfn.IFNA(VLOOKUP(Table_Query_from_AMULTIQRY45[[#This Row],[WPROD]],'Part# with New'!$A$1:$B$4347,2,0),Table_Query_from_AMULTIQRY45[[#This Row],[WPROD]])</f>
        <v>WFFH575062006Q-PMX25B</v>
      </c>
      <c r="I445" s="4" t="s">
        <v>8436</v>
      </c>
      <c r="J445" s="1" t="s">
        <v>5</v>
      </c>
      <c r="L445" s="11">
        <v>8.7330000000000005E-2</v>
      </c>
      <c r="M445" s="1"/>
      <c r="N445" s="1" t="s">
        <v>15</v>
      </c>
      <c r="P445" s="1" t="str">
        <f>CONCATENATE(Table_Query_from_AMULTIQRY45[[#This Row],[WWHS]],"-",Table_Query_from_AMULTIQRY45[[#This Row],[LLOC]])</f>
        <v>E1-FG</v>
      </c>
      <c r="Q445" s="10">
        <f t="shared" ca="1" si="13"/>
        <v>45775</v>
      </c>
      <c r="R445" s="10"/>
      <c r="S445" s="28">
        <v>68</v>
      </c>
      <c r="T445" s="1" t="s">
        <v>2</v>
      </c>
      <c r="U445" s="1" t="s">
        <v>492</v>
      </c>
      <c r="V445" s="1">
        <v>20230425</v>
      </c>
      <c r="W445" s="8" t="s">
        <v>8442</v>
      </c>
      <c r="Z445" s="1"/>
      <c r="AA445" s="1"/>
      <c r="AC445" s="1"/>
      <c r="AD445" s="1"/>
      <c r="AE445" s="1"/>
      <c r="AF445" s="1"/>
    </row>
    <row r="446" spans="2:32" ht="12.75" x14ac:dyDescent="0.2">
      <c r="B446" s="1" t="s">
        <v>8952</v>
      </c>
      <c r="C446" s="10">
        <f t="shared" ca="1" si="12"/>
        <v>45751</v>
      </c>
      <c r="D446" s="4"/>
      <c r="E446" s="4" t="s">
        <v>8434</v>
      </c>
      <c r="F446" s="4" t="s">
        <v>1293</v>
      </c>
      <c r="G446" s="4"/>
      <c r="H446" s="4" t="str">
        <f>_xlfn.IFNA(VLOOKUP(Table_Query_from_AMULTIQRY45[[#This Row],[WPROD]],'Part# with New'!$A$1:$B$4347,2,0),Table_Query_from_AMULTIQRY45[[#This Row],[WPROD]])</f>
        <v>WPOT100087006D-PXX00W</v>
      </c>
      <c r="I446" s="4" t="s">
        <v>8436</v>
      </c>
      <c r="J446" s="1" t="s">
        <v>5</v>
      </c>
      <c r="L446" s="11">
        <v>6.0440000000000001E-2</v>
      </c>
      <c r="M446" s="1"/>
      <c r="N446" s="1" t="s">
        <v>3</v>
      </c>
      <c r="P446" s="1" t="str">
        <f>CONCATENATE(Table_Query_from_AMULTIQRY45[[#This Row],[WWHS]],"-",Table_Query_from_AMULTIQRY45[[#This Row],[LLOC]])</f>
        <v>E1-FG</v>
      </c>
      <c r="Q446" s="10">
        <f t="shared" ca="1" si="13"/>
        <v>45775</v>
      </c>
      <c r="R446" s="10"/>
      <c r="S446" s="28">
        <v>153</v>
      </c>
      <c r="T446" s="1" t="s">
        <v>2</v>
      </c>
      <c r="U446" s="1" t="s">
        <v>493</v>
      </c>
      <c r="V446" s="1">
        <v>20250404</v>
      </c>
      <c r="W446" s="8" t="s">
        <v>8442</v>
      </c>
      <c r="Z446" s="1"/>
      <c r="AA446" s="1"/>
      <c r="AC446" s="1"/>
      <c r="AD446" s="1"/>
      <c r="AE446" s="1"/>
      <c r="AF446" s="1"/>
    </row>
    <row r="447" spans="2:32" ht="12.75" x14ac:dyDescent="0.2">
      <c r="B447" s="1" t="s">
        <v>8953</v>
      </c>
      <c r="C447" s="10">
        <f t="shared" ca="1" si="12"/>
        <v>43773</v>
      </c>
      <c r="D447" s="4"/>
      <c r="E447" s="4" t="s">
        <v>8434</v>
      </c>
      <c r="F447" s="4" t="s">
        <v>1293</v>
      </c>
      <c r="G447" s="4"/>
      <c r="H447" s="4" t="str">
        <f>_xlfn.IFNA(VLOOKUP(Table_Query_from_AMULTIQRY45[[#This Row],[WPROD]],'Part# with New'!$A$1:$B$4347,2,0),Table_Query_from_AMULTIQRY45[[#This Row],[WPROD]])</f>
        <v>21868</v>
      </c>
      <c r="I447" s="4" t="s">
        <v>8436</v>
      </c>
      <c r="J447" s="1" t="s">
        <v>5</v>
      </c>
      <c r="L447" s="11">
        <v>1.26799</v>
      </c>
      <c r="M447" s="1"/>
      <c r="N447" s="1" t="s">
        <v>6</v>
      </c>
      <c r="P447" s="1" t="str">
        <f>CONCATENATE(Table_Query_from_AMULTIQRY45[[#This Row],[WWHS]],"-",Table_Query_from_AMULTIQRY45[[#This Row],[LLOC]])</f>
        <v>E1-FG</v>
      </c>
      <c r="Q447" s="10">
        <f t="shared" ca="1" si="13"/>
        <v>45775</v>
      </c>
      <c r="R447" s="10"/>
      <c r="S447" s="28">
        <v>96</v>
      </c>
      <c r="T447" s="1" t="s">
        <v>2</v>
      </c>
      <c r="U447" s="1" t="s">
        <v>494</v>
      </c>
      <c r="V447" s="1">
        <v>20191104</v>
      </c>
      <c r="W447" s="8" t="s">
        <v>8442</v>
      </c>
      <c r="Z447" s="1"/>
      <c r="AA447" s="1"/>
      <c r="AC447" s="1"/>
      <c r="AD447" s="1"/>
      <c r="AE447" s="1"/>
      <c r="AF447" s="1"/>
    </row>
    <row r="448" spans="2:32" ht="12.75" x14ac:dyDescent="0.2">
      <c r="B448" s="1" t="s">
        <v>8954</v>
      </c>
      <c r="C448" s="10">
        <f t="shared" ca="1" si="12"/>
        <v>43769</v>
      </c>
      <c r="D448" s="4"/>
      <c r="E448" s="4" t="s">
        <v>8434</v>
      </c>
      <c r="F448" s="4" t="s">
        <v>1293</v>
      </c>
      <c r="G448" s="4"/>
      <c r="H448" s="4" t="str">
        <f>_xlfn.IFNA(VLOOKUP(Table_Query_from_AMULTIQRY45[[#This Row],[WPROD]],'Part# with New'!$A$1:$B$4347,2,0),Table_Query_from_AMULTIQRY45[[#This Row],[WPROD]])</f>
        <v>21872</v>
      </c>
      <c r="I448" s="4" t="s">
        <v>8436</v>
      </c>
      <c r="J448" s="1" t="s">
        <v>5</v>
      </c>
      <c r="L448" s="11">
        <v>7.1879999999999999E-2</v>
      </c>
      <c r="M448" s="1"/>
      <c r="N448" s="1" t="s">
        <v>346</v>
      </c>
      <c r="P448" s="1" t="str">
        <f>CONCATENATE(Table_Query_from_AMULTIQRY45[[#This Row],[WWHS]],"-",Table_Query_from_AMULTIQRY45[[#This Row],[LLOC]])</f>
        <v>E1-FG</v>
      </c>
      <c r="Q448" s="10">
        <f t="shared" ca="1" si="13"/>
        <v>45775</v>
      </c>
      <c r="R448" s="10"/>
      <c r="S448" s="28">
        <v>455</v>
      </c>
      <c r="T448" s="1" t="s">
        <v>2</v>
      </c>
      <c r="U448" s="1" t="s">
        <v>495</v>
      </c>
      <c r="V448" s="1">
        <v>20191031</v>
      </c>
      <c r="W448" s="8" t="s">
        <v>8442</v>
      </c>
      <c r="Z448" s="1"/>
      <c r="AA448" s="1"/>
      <c r="AC448" s="1"/>
      <c r="AD448" s="1"/>
      <c r="AE448" s="1"/>
      <c r="AF448" s="1"/>
    </row>
    <row r="449" spans="2:32" ht="12.75" x14ac:dyDescent="0.2">
      <c r="B449" s="1" t="s">
        <v>8955</v>
      </c>
      <c r="C449" s="10">
        <f t="shared" ca="1" si="12"/>
        <v>43843</v>
      </c>
      <c r="D449" s="4"/>
      <c r="E449" s="4" t="s">
        <v>8434</v>
      </c>
      <c r="F449" s="4" t="s">
        <v>1293</v>
      </c>
      <c r="G449" s="4"/>
      <c r="H449" s="4" t="str">
        <f>_xlfn.IFNA(VLOOKUP(Table_Query_from_AMULTIQRY45[[#This Row],[WPROD]],'Part# with New'!$A$1:$B$4347,2,0),Table_Query_from_AMULTIQRY45[[#This Row],[WPROD]])</f>
        <v>WSMP548463040D-MXX00W</v>
      </c>
      <c r="I449" s="4" t="s">
        <v>8436</v>
      </c>
      <c r="J449" s="1" t="s">
        <v>5</v>
      </c>
      <c r="L449" s="11">
        <v>7.0698999999999996</v>
      </c>
      <c r="M449" s="1"/>
      <c r="N449" s="1" t="s">
        <v>18</v>
      </c>
      <c r="P449" s="1" t="str">
        <f>CONCATENATE(Table_Query_from_AMULTIQRY45[[#This Row],[WWHS]],"-",Table_Query_from_AMULTIQRY45[[#This Row],[LLOC]])</f>
        <v>E1-FG</v>
      </c>
      <c r="Q449" s="10">
        <f t="shared" ca="1" si="13"/>
        <v>45775</v>
      </c>
      <c r="R449" s="10"/>
      <c r="S449" s="28">
        <v>22</v>
      </c>
      <c r="T449" s="1" t="s">
        <v>2</v>
      </c>
      <c r="U449" s="1" t="s">
        <v>496</v>
      </c>
      <c r="V449" s="1">
        <v>20200113</v>
      </c>
      <c r="W449" s="8" t="s">
        <v>8442</v>
      </c>
      <c r="Z449" s="1"/>
      <c r="AA449" s="1"/>
      <c r="AC449" s="1"/>
      <c r="AD449" s="1"/>
      <c r="AE449" s="1"/>
      <c r="AF449" s="1"/>
    </row>
    <row r="450" spans="2:32" ht="12.75" x14ac:dyDescent="0.2">
      <c r="B450" s="1" t="s">
        <v>8956</v>
      </c>
      <c r="C450" s="10">
        <f t="shared" ca="1" si="12"/>
        <v>44785</v>
      </c>
      <c r="D450" s="4"/>
      <c r="E450" s="4" t="s">
        <v>8434</v>
      </c>
      <c r="F450" s="4" t="s">
        <v>1293</v>
      </c>
      <c r="G450" s="4"/>
      <c r="H450" s="4" t="str">
        <f>_xlfn.IFNA(VLOOKUP(Table_Query_from_AMULTIQRY45[[#This Row],[WPROD]],'Part# with New'!$A$1:$B$4347,2,0),Table_Query_from_AMULTIQRY45[[#This Row],[WPROD]])</f>
        <v>WFFB111077020D-PGX15W</v>
      </c>
      <c r="I450" s="4" t="s">
        <v>8436</v>
      </c>
      <c r="J450" s="1" t="s">
        <v>5</v>
      </c>
      <c r="L450" s="11">
        <v>0.12908</v>
      </c>
      <c r="M450" s="1"/>
      <c r="N450" s="1" t="s">
        <v>348</v>
      </c>
      <c r="P450" s="1" t="str">
        <f>CONCATENATE(Table_Query_from_AMULTIQRY45[[#This Row],[WWHS]],"-",Table_Query_from_AMULTIQRY45[[#This Row],[LLOC]])</f>
        <v>E1-FG</v>
      </c>
      <c r="Q450" s="10">
        <f t="shared" ca="1" si="13"/>
        <v>45775</v>
      </c>
      <c r="R450" s="10"/>
      <c r="S450" s="28">
        <v>897</v>
      </c>
      <c r="T450" s="1" t="s">
        <v>2</v>
      </c>
      <c r="U450" s="1" t="s">
        <v>497</v>
      </c>
      <c r="V450" s="1">
        <v>20220812</v>
      </c>
      <c r="W450" s="8" t="s">
        <v>8442</v>
      </c>
      <c r="Z450" s="1"/>
      <c r="AA450" s="1"/>
      <c r="AC450" s="1"/>
      <c r="AD450" s="1"/>
      <c r="AE450" s="1"/>
      <c r="AF450" s="1"/>
    </row>
    <row r="451" spans="2:32" ht="12.75" x14ac:dyDescent="0.2">
      <c r="B451" s="1" t="s">
        <v>8957</v>
      </c>
      <c r="C451" s="10">
        <f t="shared" ca="1" si="12"/>
        <v>44831</v>
      </c>
      <c r="D451" s="4"/>
      <c r="E451" s="4" t="s">
        <v>8434</v>
      </c>
      <c r="F451" s="4" t="s">
        <v>1293</v>
      </c>
      <c r="G451" s="4"/>
      <c r="H451" s="4" t="str">
        <f>_xlfn.IFNA(VLOOKUP(Table_Query_from_AMULTIQRY45[[#This Row],[WPROD]],'Part# with New'!$A$1:$B$4347,2,0),Table_Query_from_AMULTIQRY45[[#This Row],[WPROD]])</f>
        <v>WPOT114100007D-PGX25W</v>
      </c>
      <c r="I451" s="4" t="s">
        <v>8436</v>
      </c>
      <c r="J451" s="1" t="s">
        <v>5</v>
      </c>
      <c r="L451" s="11">
        <v>0.10797</v>
      </c>
      <c r="M451" s="1"/>
      <c r="N451" s="1" t="s">
        <v>3</v>
      </c>
      <c r="P451" s="1" t="str">
        <f>CONCATENATE(Table_Query_from_AMULTIQRY45[[#This Row],[WWHS]],"-",Table_Query_from_AMULTIQRY45[[#This Row],[LLOC]])</f>
        <v>E1-FG</v>
      </c>
      <c r="Q451" s="10">
        <f t="shared" ca="1" si="13"/>
        <v>45775</v>
      </c>
      <c r="R451" s="10"/>
      <c r="S451" s="28">
        <v>75</v>
      </c>
      <c r="T451" s="1" t="s">
        <v>2</v>
      </c>
      <c r="U451" s="1" t="s">
        <v>498</v>
      </c>
      <c r="V451" s="1">
        <v>20220927</v>
      </c>
      <c r="W451" s="8" t="s">
        <v>8442</v>
      </c>
      <c r="Z451" s="1"/>
      <c r="AA451" s="1"/>
      <c r="AC451" s="1"/>
      <c r="AD451" s="1"/>
      <c r="AE451" s="1"/>
      <c r="AF451" s="1"/>
    </row>
    <row r="452" spans="2:32" ht="12.75" x14ac:dyDescent="0.2">
      <c r="B452" s="1" t="s">
        <v>8958</v>
      </c>
      <c r="C452" s="10">
        <f t="shared" ca="1" si="12"/>
        <v>44882</v>
      </c>
      <c r="D452" s="4"/>
      <c r="E452" s="4" t="s">
        <v>8434</v>
      </c>
      <c r="F452" s="4" t="s">
        <v>1293</v>
      </c>
      <c r="G452" s="4"/>
      <c r="H452" s="4" t="str">
        <f>_xlfn.IFNA(VLOOKUP(Table_Query_from_AMULTIQRY45[[#This Row],[WPROD]],'Part# with New'!$A$1:$B$4347,2,0),Table_Query_from_AMULTIQRY45[[#This Row],[WPROD]])</f>
        <v>22005</v>
      </c>
      <c r="I452" s="4" t="s">
        <v>8436</v>
      </c>
      <c r="J452" s="1" t="s">
        <v>5</v>
      </c>
      <c r="L452" s="11">
        <v>6.794E-2</v>
      </c>
      <c r="M452" s="1"/>
      <c r="N452" s="1" t="s">
        <v>3</v>
      </c>
      <c r="P452" s="1" t="str">
        <f>CONCATENATE(Table_Query_from_AMULTIQRY45[[#This Row],[WWHS]],"-",Table_Query_from_AMULTIQRY45[[#This Row],[LLOC]])</f>
        <v>E1-FG</v>
      </c>
      <c r="Q452" s="10">
        <f t="shared" ca="1" si="13"/>
        <v>45775</v>
      </c>
      <c r="R452" s="10"/>
      <c r="S452" s="28">
        <v>265</v>
      </c>
      <c r="T452" s="1" t="s">
        <v>2</v>
      </c>
      <c r="U452" s="1" t="s">
        <v>499</v>
      </c>
      <c r="V452" s="1">
        <v>20221117</v>
      </c>
      <c r="W452" s="8" t="s">
        <v>8442</v>
      </c>
      <c r="Z452" s="1"/>
      <c r="AA452" s="1"/>
      <c r="AC452" s="1"/>
      <c r="AD452" s="1"/>
      <c r="AE452" s="1"/>
      <c r="AF452" s="1"/>
    </row>
    <row r="453" spans="2:32" ht="12.75" x14ac:dyDescent="0.2">
      <c r="B453" s="1" t="s">
        <v>8959</v>
      </c>
      <c r="C453" s="10">
        <f t="shared" ca="1" si="12"/>
        <v>45726</v>
      </c>
      <c r="D453" s="4"/>
      <c r="E453" s="4" t="s">
        <v>8434</v>
      </c>
      <c r="F453" s="4" t="s">
        <v>1293</v>
      </c>
      <c r="G453" s="4"/>
      <c r="H453" s="4" t="str">
        <f>_xlfn.IFNA(VLOOKUP(Table_Query_from_AMULTIQRY45[[#This Row],[WPROD]],'Part# with New'!$A$1:$B$4347,2,0),Table_Query_from_AMULTIQRY45[[#This Row],[WPROD]])</f>
        <v>WPSM120062003Q-PFX15K</v>
      </c>
      <c r="I453" s="4" t="s">
        <v>8436</v>
      </c>
      <c r="J453" s="1" t="s">
        <v>5</v>
      </c>
      <c r="L453" s="11">
        <v>4.8230000000000002E-2</v>
      </c>
      <c r="M453" s="1"/>
      <c r="N453" s="1" t="s">
        <v>326</v>
      </c>
      <c r="P453" s="1" t="str">
        <f>CONCATENATE(Table_Query_from_AMULTIQRY45[[#This Row],[WWHS]],"-",Table_Query_from_AMULTIQRY45[[#This Row],[LLOC]])</f>
        <v>E1-FG</v>
      </c>
      <c r="Q453" s="10">
        <f t="shared" ca="1" si="13"/>
        <v>45775</v>
      </c>
      <c r="R453" s="10"/>
      <c r="S453" s="28">
        <v>407</v>
      </c>
      <c r="T453" s="1" t="s">
        <v>2</v>
      </c>
      <c r="U453" s="1" t="s">
        <v>500</v>
      </c>
      <c r="V453" s="1">
        <v>20250310</v>
      </c>
      <c r="W453" s="8" t="s">
        <v>8442</v>
      </c>
      <c r="Z453" s="1"/>
      <c r="AA453" s="1"/>
      <c r="AC453" s="1"/>
      <c r="AD453" s="1"/>
      <c r="AE453" s="1"/>
      <c r="AF453" s="1"/>
    </row>
    <row r="454" spans="2:32" ht="12.75" x14ac:dyDescent="0.2">
      <c r="B454" s="1" t="s">
        <v>8960</v>
      </c>
      <c r="C454" s="10">
        <f t="shared" ca="1" si="12"/>
        <v>45749</v>
      </c>
      <c r="D454" s="4"/>
      <c r="E454" s="4" t="s">
        <v>8434</v>
      </c>
      <c r="F454" s="4" t="s">
        <v>1293</v>
      </c>
      <c r="G454" s="4"/>
      <c r="H454" s="4" t="str">
        <f>_xlfn.IFNA(VLOOKUP(Table_Query_from_AMULTIQRY45[[#This Row],[WPROD]],'Part# with New'!$A$1:$B$4347,2,0),Table_Query_from_AMULTIQRY45[[#This Row],[WPROD]])</f>
        <v>WSNC225181018D-PXX00W</v>
      </c>
      <c r="I454" s="4" t="s">
        <v>8436</v>
      </c>
      <c r="J454" s="1" t="s">
        <v>5</v>
      </c>
      <c r="L454" s="11">
        <v>0.55552000000000001</v>
      </c>
      <c r="M454" s="1"/>
      <c r="N454" s="1" t="s">
        <v>6</v>
      </c>
      <c r="P454" s="1" t="str">
        <f>CONCATENATE(Table_Query_from_AMULTIQRY45[[#This Row],[WWHS]],"-",Table_Query_from_AMULTIQRY45[[#This Row],[LLOC]])</f>
        <v>E1-FG</v>
      </c>
      <c r="Q454" s="10">
        <f t="shared" ca="1" si="13"/>
        <v>45775</v>
      </c>
      <c r="R454" s="10"/>
      <c r="S454" s="28">
        <v>36</v>
      </c>
      <c r="T454" s="1" t="s">
        <v>2</v>
      </c>
      <c r="U454" s="1" t="s">
        <v>501</v>
      </c>
      <c r="V454" s="1">
        <v>20250402</v>
      </c>
      <c r="W454" s="8" t="s">
        <v>8442</v>
      </c>
      <c r="Z454" s="1"/>
      <c r="AA454" s="1"/>
      <c r="AC454" s="1"/>
      <c r="AD454" s="1"/>
      <c r="AE454" s="1"/>
      <c r="AF454" s="1"/>
    </row>
    <row r="455" spans="2:32" ht="12.75" x14ac:dyDescent="0.2">
      <c r="B455" s="1" t="s">
        <v>8961</v>
      </c>
      <c r="C455" s="10">
        <f t="shared" ref="C455:C518" ca="1" si="14">IFERROR(DATE(LEFT($V455,4),MID($V455,5,2),RIGHT($V455,2)),TODAY())</f>
        <v>44582</v>
      </c>
      <c r="D455" s="4"/>
      <c r="E455" s="4" t="s">
        <v>8434</v>
      </c>
      <c r="F455" s="4" t="s">
        <v>1293</v>
      </c>
      <c r="G455" s="4"/>
      <c r="H455" s="4" t="str">
        <f>_xlfn.IFNA(VLOOKUP(Table_Query_from_AMULTIQRY45[[#This Row],[WPROD]],'Part# with New'!$A$1:$B$4347,2,0),Table_Query_from_AMULTIQRY45[[#This Row],[WPROD]])</f>
        <v>WSSL115084025O-MXX00W</v>
      </c>
      <c r="I455" s="4" t="s">
        <v>8436</v>
      </c>
      <c r="J455" s="1" t="s">
        <v>5</v>
      </c>
      <c r="L455" s="11">
        <v>0.26526</v>
      </c>
      <c r="M455" s="1"/>
      <c r="N455" s="1" t="s">
        <v>13</v>
      </c>
      <c r="P455" s="1" t="str">
        <f>CONCATENATE(Table_Query_from_AMULTIQRY45[[#This Row],[WWHS]],"-",Table_Query_from_AMULTIQRY45[[#This Row],[LLOC]])</f>
        <v>E1-FG</v>
      </c>
      <c r="Q455" s="10">
        <f t="shared" ref="Q455:Q518" ca="1" si="15">+TODAY()</f>
        <v>45775</v>
      </c>
      <c r="R455" s="10"/>
      <c r="S455" s="28">
        <v>48</v>
      </c>
      <c r="T455" s="1" t="s">
        <v>2</v>
      </c>
      <c r="U455" s="1" t="s">
        <v>502</v>
      </c>
      <c r="V455" s="1">
        <v>20220121</v>
      </c>
      <c r="W455" s="8" t="s">
        <v>8442</v>
      </c>
      <c r="Z455" s="1"/>
      <c r="AA455" s="1"/>
      <c r="AC455" s="1"/>
      <c r="AD455" s="1"/>
      <c r="AE455" s="1"/>
      <c r="AF455" s="1"/>
    </row>
    <row r="456" spans="2:32" ht="12.75" x14ac:dyDescent="0.2">
      <c r="B456" s="1" t="s">
        <v>8962</v>
      </c>
      <c r="C456" s="10">
        <f t="shared" ca="1" si="14"/>
        <v>43672</v>
      </c>
      <c r="D456" s="4"/>
      <c r="E456" s="4" t="s">
        <v>8434</v>
      </c>
      <c r="F456" s="4" t="s">
        <v>1293</v>
      </c>
      <c r="G456" s="4"/>
      <c r="H456" s="4" t="str">
        <f>_xlfn.IFNA(VLOOKUP(Table_Query_from_AMULTIQRY45[[#This Row],[WPROD]],'Part# with New'!$A$1:$B$4347,2,0),Table_Query_from_AMULTIQRY45[[#This Row],[WPROD]])</f>
        <v>WSSL086059018D-MXX00W</v>
      </c>
      <c r="I456" s="4" t="s">
        <v>8436</v>
      </c>
      <c r="J456" s="1" t="s">
        <v>5</v>
      </c>
      <c r="L456" s="11">
        <v>0.19753999999999999</v>
      </c>
      <c r="M456" s="1"/>
      <c r="N456" s="1" t="s">
        <v>13</v>
      </c>
      <c r="P456" s="1" t="str">
        <f>CONCATENATE(Table_Query_from_AMULTIQRY45[[#This Row],[WWHS]],"-",Table_Query_from_AMULTIQRY45[[#This Row],[LLOC]])</f>
        <v>E1-FG</v>
      </c>
      <c r="Q456" s="10">
        <f t="shared" ca="1" si="15"/>
        <v>45775</v>
      </c>
      <c r="R456" s="10"/>
      <c r="S456" s="28">
        <v>15</v>
      </c>
      <c r="T456" s="1" t="s">
        <v>2</v>
      </c>
      <c r="U456" s="1" t="s">
        <v>504</v>
      </c>
      <c r="V456" s="1">
        <v>20190726</v>
      </c>
      <c r="W456" s="8" t="s">
        <v>8442</v>
      </c>
      <c r="Z456" s="1"/>
      <c r="AA456" s="1"/>
      <c r="AC456" s="1"/>
      <c r="AD456" s="1"/>
      <c r="AE456" s="1"/>
      <c r="AF456" s="1"/>
    </row>
    <row r="457" spans="2:32" ht="12.75" x14ac:dyDescent="0.2">
      <c r="B457" s="1" t="s">
        <v>8963</v>
      </c>
      <c r="C457" s="10">
        <f t="shared" ca="1" si="14"/>
        <v>45765</v>
      </c>
      <c r="D457" s="4"/>
      <c r="E457" s="4" t="s">
        <v>8434</v>
      </c>
      <c r="F457" s="4" t="s">
        <v>1293</v>
      </c>
      <c r="G457" s="4"/>
      <c r="H457" s="4" t="str">
        <f>_xlfn.IFNA(VLOOKUP(Table_Query_from_AMULTIQRY45[[#This Row],[WPROD]],'Part# with New'!$A$1:$B$4347,2,0),Table_Query_from_AMULTIQRY45[[#This Row],[WPROD]])</f>
        <v>WSNC031020007D-PGX20W</v>
      </c>
      <c r="I457" s="4" t="s">
        <v>8436</v>
      </c>
      <c r="J457" s="1" t="s">
        <v>5</v>
      </c>
      <c r="L457" s="11">
        <v>0.20571</v>
      </c>
      <c r="M457" s="1"/>
      <c r="N457" s="1" t="s">
        <v>6</v>
      </c>
      <c r="P457" s="1" t="str">
        <f>CONCATENATE(Table_Query_from_AMULTIQRY45[[#This Row],[WWHS]],"-",Table_Query_from_AMULTIQRY45[[#This Row],[LLOC]])</f>
        <v>E1-FG</v>
      </c>
      <c r="Q457" s="10">
        <f t="shared" ca="1" si="15"/>
        <v>45775</v>
      </c>
      <c r="R457" s="10"/>
      <c r="S457" s="28">
        <v>89</v>
      </c>
      <c r="T457" s="1" t="s">
        <v>2</v>
      </c>
      <c r="U457" s="1" t="s">
        <v>506</v>
      </c>
      <c r="V457" s="1">
        <v>20250418</v>
      </c>
      <c r="W457" s="8" t="s">
        <v>8442</v>
      </c>
      <c r="Z457" s="1"/>
      <c r="AA457" s="1"/>
      <c r="AC457" s="1"/>
      <c r="AD457" s="1"/>
      <c r="AE457" s="1"/>
      <c r="AF457" s="1"/>
    </row>
    <row r="458" spans="2:32" ht="12.75" x14ac:dyDescent="0.2">
      <c r="B458" s="1" t="s">
        <v>8964</v>
      </c>
      <c r="C458" s="10">
        <f t="shared" ca="1" si="14"/>
        <v>45747</v>
      </c>
      <c r="D458" s="4"/>
      <c r="E458" s="4" t="s">
        <v>8434</v>
      </c>
      <c r="F458" s="4" t="s">
        <v>1293</v>
      </c>
      <c r="G458" s="4"/>
      <c r="H458" s="4" t="str">
        <f>_xlfn.IFNA(VLOOKUP(Table_Query_from_AMULTIQRY45[[#This Row],[WPROD]],'Part# with New'!$A$1:$B$4347,2,0),Table_Query_from_AMULTIQRY45[[#This Row],[WPROD]])</f>
        <v>WPOT207195010D-PPC15K</v>
      </c>
      <c r="I458" s="4" t="s">
        <v>8436</v>
      </c>
      <c r="J458" s="1" t="s">
        <v>5</v>
      </c>
      <c r="L458" s="11">
        <v>0.21339</v>
      </c>
      <c r="M458" s="1"/>
      <c r="N458" s="1" t="s">
        <v>3</v>
      </c>
      <c r="P458" s="1" t="str">
        <f>CONCATENATE(Table_Query_from_AMULTIQRY45[[#This Row],[WWHS]],"-",Table_Query_from_AMULTIQRY45[[#This Row],[LLOC]])</f>
        <v>E1-FG</v>
      </c>
      <c r="Q458" s="10">
        <f t="shared" ca="1" si="15"/>
        <v>45775</v>
      </c>
      <c r="R458" s="10"/>
      <c r="S458" s="28">
        <v>4617</v>
      </c>
      <c r="T458" s="1" t="s">
        <v>2</v>
      </c>
      <c r="U458" s="1" t="s">
        <v>507</v>
      </c>
      <c r="V458" s="1">
        <v>20250331</v>
      </c>
      <c r="W458" s="8" t="s">
        <v>8442</v>
      </c>
      <c r="Z458" s="1"/>
      <c r="AA458" s="1"/>
      <c r="AC458" s="1"/>
      <c r="AD458" s="1"/>
      <c r="AE458" s="1"/>
      <c r="AF458" s="1"/>
    </row>
    <row r="459" spans="2:32" ht="12.75" x14ac:dyDescent="0.2">
      <c r="B459" s="1" t="s">
        <v>8965</v>
      </c>
      <c r="C459" s="10">
        <f t="shared" ca="1" si="14"/>
        <v>45517</v>
      </c>
      <c r="D459" s="4"/>
      <c r="E459" s="4" t="s">
        <v>8434</v>
      </c>
      <c r="F459" s="4" t="s">
        <v>1293</v>
      </c>
      <c r="G459" s="4"/>
      <c r="H459" s="4" t="str">
        <f>_xlfn.IFNA(VLOOKUP(Table_Query_from_AMULTIQRY45[[#This Row],[WPROD]],'Part# with New'!$A$1:$B$4347,2,0),Table_Query_from_AMULTIQRY45[[#This Row],[WPROD]])</f>
        <v>WFFB051036011D-PCG18K</v>
      </c>
      <c r="I459" s="4" t="s">
        <v>8436</v>
      </c>
      <c r="J459" s="1" t="s">
        <v>5</v>
      </c>
      <c r="L459" s="11">
        <v>6.5430000000000002E-2</v>
      </c>
      <c r="M459" s="1"/>
      <c r="N459" s="1" t="s">
        <v>348</v>
      </c>
      <c r="P459" s="1" t="str">
        <f>CONCATENATE(Table_Query_from_AMULTIQRY45[[#This Row],[WWHS]],"-",Table_Query_from_AMULTIQRY45[[#This Row],[LLOC]])</f>
        <v>E1-FG</v>
      </c>
      <c r="Q459" s="10">
        <f t="shared" ca="1" si="15"/>
        <v>45775</v>
      </c>
      <c r="R459" s="10"/>
      <c r="S459" s="28">
        <v>673</v>
      </c>
      <c r="T459" s="1" t="s">
        <v>2</v>
      </c>
      <c r="U459" s="1" t="s">
        <v>508</v>
      </c>
      <c r="V459" s="1">
        <v>20240813</v>
      </c>
      <c r="W459" s="8" t="s">
        <v>8442</v>
      </c>
      <c r="Z459" s="1"/>
      <c r="AA459" s="1"/>
      <c r="AC459" s="1"/>
      <c r="AD459" s="1"/>
      <c r="AE459" s="1"/>
      <c r="AF459" s="1"/>
    </row>
    <row r="460" spans="2:32" ht="12.75" x14ac:dyDescent="0.2">
      <c r="B460" s="1" t="s">
        <v>8966</v>
      </c>
      <c r="C460" s="10">
        <f t="shared" ca="1" si="14"/>
        <v>44249</v>
      </c>
      <c r="D460" s="4"/>
      <c r="E460" s="4" t="s">
        <v>8434</v>
      </c>
      <c r="F460" s="4" t="s">
        <v>1293</v>
      </c>
      <c r="G460" s="4"/>
      <c r="H460" s="4" t="str">
        <f>_xlfn.IFNA(VLOOKUP(Table_Query_from_AMULTIQRY45[[#This Row],[WPROD]],'Part# with New'!$A$1:$B$4347,2,0),Table_Query_from_AMULTIQRY45[[#This Row],[WPROD]])</f>
        <v>WFFL068047015D-PCG18K</v>
      </c>
      <c r="I460" s="4" t="s">
        <v>8436</v>
      </c>
      <c r="J460" s="1" t="s">
        <v>5</v>
      </c>
      <c r="L460" s="11">
        <v>9.7809999999999994E-2</v>
      </c>
      <c r="M460" s="1"/>
      <c r="N460" s="1" t="s">
        <v>346</v>
      </c>
      <c r="P460" s="1" t="str">
        <f>CONCATENATE(Table_Query_from_AMULTIQRY45[[#This Row],[WWHS]],"-",Table_Query_from_AMULTIQRY45[[#This Row],[LLOC]])</f>
        <v>E1-FG</v>
      </c>
      <c r="Q460" s="10">
        <f t="shared" ca="1" si="15"/>
        <v>45775</v>
      </c>
      <c r="R460" s="10"/>
      <c r="S460" s="28">
        <v>220</v>
      </c>
      <c r="T460" s="1" t="s">
        <v>2</v>
      </c>
      <c r="U460" s="1" t="s">
        <v>509</v>
      </c>
      <c r="V460" s="1">
        <v>20210222</v>
      </c>
      <c r="W460" s="8" t="s">
        <v>8442</v>
      </c>
      <c r="Z460" s="1"/>
      <c r="AA460" s="1"/>
      <c r="AC460" s="1"/>
      <c r="AD460" s="1"/>
      <c r="AE460" s="1"/>
      <c r="AF460" s="1"/>
    </row>
    <row r="461" spans="2:32" ht="12.75" x14ac:dyDescent="0.2">
      <c r="B461" s="1" t="s">
        <v>8967</v>
      </c>
      <c r="C461" s="10">
        <f t="shared" ca="1" si="14"/>
        <v>45163</v>
      </c>
      <c r="D461" s="4"/>
      <c r="E461" s="4" t="s">
        <v>8434</v>
      </c>
      <c r="F461" s="4" t="s">
        <v>1293</v>
      </c>
      <c r="G461" s="4"/>
      <c r="H461" s="4" t="str">
        <f>_xlfn.IFNA(VLOOKUP(Table_Query_from_AMULTIQRY45[[#This Row],[WPROD]],'Part# with New'!$A$1:$B$4347,2,0),Table_Query_from_AMULTIQRY45[[#This Row],[WPROD]])</f>
        <v>WFFL081059019D-PCG18K</v>
      </c>
      <c r="I461" s="4" t="s">
        <v>8436</v>
      </c>
      <c r="J461" s="1" t="s">
        <v>5</v>
      </c>
      <c r="L461" s="11">
        <v>0.14205999999999999</v>
      </c>
      <c r="M461" s="1"/>
      <c r="N461" s="1" t="s">
        <v>346</v>
      </c>
      <c r="P461" s="1" t="str">
        <f>CONCATENATE(Table_Query_from_AMULTIQRY45[[#This Row],[WWHS]],"-",Table_Query_from_AMULTIQRY45[[#This Row],[LLOC]])</f>
        <v>E1-FG</v>
      </c>
      <c r="Q461" s="10">
        <f t="shared" ca="1" si="15"/>
        <v>45775</v>
      </c>
      <c r="R461" s="10"/>
      <c r="S461" s="28">
        <v>110</v>
      </c>
      <c r="T461" s="1" t="s">
        <v>2</v>
      </c>
      <c r="U461" s="1" t="s">
        <v>510</v>
      </c>
      <c r="V461" s="1">
        <v>20230825</v>
      </c>
      <c r="W461" s="8" t="s">
        <v>8442</v>
      </c>
      <c r="Z461" s="1"/>
      <c r="AA461" s="1"/>
      <c r="AC461" s="1"/>
      <c r="AD461" s="1"/>
      <c r="AE461" s="1"/>
      <c r="AF461" s="1"/>
    </row>
    <row r="462" spans="2:32" ht="12.75" x14ac:dyDescent="0.2">
      <c r="B462" s="1" t="s">
        <v>8968</v>
      </c>
      <c r="C462" s="10">
        <f t="shared" ca="1" si="14"/>
        <v>45628</v>
      </c>
      <c r="D462" s="4"/>
      <c r="E462" s="4" t="s">
        <v>8434</v>
      </c>
      <c r="F462" s="4" t="s">
        <v>1293</v>
      </c>
      <c r="G462" s="4"/>
      <c r="H462" s="4" t="str">
        <f>_xlfn.IFNA(VLOOKUP(Table_Query_from_AMULTIQRY45[[#This Row],[WPROD]],'Part# with New'!$A$1:$B$4347,2,0),Table_Query_from_AMULTIQRY45[[#This Row],[WPROD]])</f>
        <v>WPSA062049008Q-PXX00W</v>
      </c>
      <c r="I462" s="4" t="s">
        <v>8436</v>
      </c>
      <c r="J462" s="1" t="s">
        <v>5</v>
      </c>
      <c r="L462" s="11">
        <v>3.7560000000000003E-2</v>
      </c>
      <c r="M462" s="1"/>
      <c r="N462" s="1" t="s">
        <v>9</v>
      </c>
      <c r="P462" s="1" t="str">
        <f>CONCATENATE(Table_Query_from_AMULTIQRY45[[#This Row],[WWHS]],"-",Table_Query_from_AMULTIQRY45[[#This Row],[LLOC]])</f>
        <v>E1-FG</v>
      </c>
      <c r="Q462" s="10">
        <f t="shared" ca="1" si="15"/>
        <v>45775</v>
      </c>
      <c r="R462" s="10"/>
      <c r="S462" s="28">
        <v>550</v>
      </c>
      <c r="T462" s="1" t="s">
        <v>2</v>
      </c>
      <c r="U462" s="1" t="s">
        <v>511</v>
      </c>
      <c r="V462" s="1">
        <v>20241202</v>
      </c>
      <c r="W462" s="8" t="s">
        <v>8442</v>
      </c>
      <c r="Z462" s="1"/>
      <c r="AA462" s="1"/>
      <c r="AC462" s="1"/>
      <c r="AD462" s="1"/>
      <c r="AE462" s="1"/>
      <c r="AF462" s="1"/>
    </row>
    <row r="463" spans="2:32" ht="12.75" x14ac:dyDescent="0.2">
      <c r="B463" s="1" t="s">
        <v>8969</v>
      </c>
      <c r="C463" s="10">
        <f t="shared" ca="1" si="14"/>
        <v>45279</v>
      </c>
      <c r="D463" s="4"/>
      <c r="E463" s="4" t="s">
        <v>8434</v>
      </c>
      <c r="F463" s="4" t="s">
        <v>1293</v>
      </c>
      <c r="G463" s="4"/>
      <c r="H463" s="4" t="str">
        <f>_xlfn.IFNA(VLOOKUP(Table_Query_from_AMULTIQRY45[[#This Row],[WPROD]],'Part# with New'!$A$1:$B$4347,2,0),Table_Query_from_AMULTIQRY45[[#This Row],[WPROD]])</f>
        <v>WPOT149135007D-PGX25W</v>
      </c>
      <c r="I463" s="4" t="s">
        <v>8436</v>
      </c>
      <c r="J463" s="1" t="s">
        <v>5</v>
      </c>
      <c r="L463" s="11">
        <v>0.14656</v>
      </c>
      <c r="M463" s="1"/>
      <c r="N463" s="1" t="s">
        <v>3</v>
      </c>
      <c r="P463" s="1" t="str">
        <f>CONCATENATE(Table_Query_from_AMULTIQRY45[[#This Row],[WWHS]],"-",Table_Query_from_AMULTIQRY45[[#This Row],[LLOC]])</f>
        <v>E1-FG</v>
      </c>
      <c r="Q463" s="10">
        <f t="shared" ca="1" si="15"/>
        <v>45775</v>
      </c>
      <c r="R463" s="10"/>
      <c r="S463" s="28">
        <v>1132</v>
      </c>
      <c r="T463" s="1" t="s">
        <v>2</v>
      </c>
      <c r="U463" s="1" t="s">
        <v>512</v>
      </c>
      <c r="V463" s="1">
        <v>20231219</v>
      </c>
      <c r="W463" s="8" t="s">
        <v>8442</v>
      </c>
      <c r="Z463" s="1"/>
      <c r="AA463" s="1"/>
      <c r="AC463" s="1"/>
      <c r="AD463" s="1"/>
      <c r="AE463" s="1"/>
      <c r="AF463" s="1"/>
    </row>
    <row r="464" spans="2:32" ht="12.75" x14ac:dyDescent="0.2">
      <c r="B464" s="1" t="s">
        <v>8970</v>
      </c>
      <c r="C464" s="10">
        <f t="shared" ca="1" si="14"/>
        <v>45771</v>
      </c>
      <c r="D464" s="4"/>
      <c r="E464" s="4" t="s">
        <v>8434</v>
      </c>
      <c r="F464" s="4" t="s">
        <v>1293</v>
      </c>
      <c r="G464" s="4"/>
      <c r="H464" s="4" t="str">
        <f>_xlfn.IFNA(VLOOKUP(Table_Query_from_AMULTIQRY45[[#This Row],[WPROD]],'Part# with New'!$A$1:$B$4347,2,0),Table_Query_from_AMULTIQRY45[[#This Row],[WPROD]])</f>
        <v>WPSM152137007D-PGX15B</v>
      </c>
      <c r="I464" s="4" t="s">
        <v>8436</v>
      </c>
      <c r="J464" s="1" t="s">
        <v>5</v>
      </c>
      <c r="L464" s="11">
        <v>9.0590000000000004E-2</v>
      </c>
      <c r="M464" s="1"/>
      <c r="N464" s="1" t="s">
        <v>326</v>
      </c>
      <c r="P464" s="1" t="str">
        <f>CONCATENATE(Table_Query_from_AMULTIQRY45[[#This Row],[WWHS]],"-",Table_Query_from_AMULTIQRY45[[#This Row],[LLOC]])</f>
        <v>E1-FG</v>
      </c>
      <c r="Q464" s="10">
        <f t="shared" ca="1" si="15"/>
        <v>45775</v>
      </c>
      <c r="R464" s="10"/>
      <c r="S464" s="28">
        <v>387</v>
      </c>
      <c r="T464" s="1" t="s">
        <v>2</v>
      </c>
      <c r="U464" s="1" t="s">
        <v>4325</v>
      </c>
      <c r="V464" s="1">
        <v>20250424</v>
      </c>
      <c r="W464" s="8" t="s">
        <v>8442</v>
      </c>
      <c r="Z464" s="1"/>
      <c r="AA464" s="1"/>
      <c r="AC464" s="1"/>
      <c r="AD464" s="1"/>
      <c r="AE464" s="1"/>
      <c r="AF464" s="1"/>
    </row>
    <row r="465" spans="2:32" ht="12.75" x14ac:dyDescent="0.2">
      <c r="B465" s="1" t="s">
        <v>8971</v>
      </c>
      <c r="C465" s="10">
        <f t="shared" ca="1" si="14"/>
        <v>45735</v>
      </c>
      <c r="D465" s="4"/>
      <c r="E465" s="4" t="s">
        <v>8434</v>
      </c>
      <c r="F465" s="4" t="s">
        <v>1293</v>
      </c>
      <c r="G465" s="4"/>
      <c r="H465" s="4" t="str">
        <f>_xlfn.IFNA(VLOOKUP(Table_Query_from_AMULTIQRY45[[#This Row],[WPROD]],'Part# with New'!$A$1:$B$4347,2,0),Table_Query_from_AMULTIQRY45[[#This Row],[WPROD]])</f>
        <v>WPOT183172007D-PGX15K</v>
      </c>
      <c r="I465" s="4" t="s">
        <v>8436</v>
      </c>
      <c r="J465" s="1" t="s">
        <v>5</v>
      </c>
      <c r="L465" s="11">
        <v>0.26375999999999999</v>
      </c>
      <c r="M465" s="1"/>
      <c r="N465" s="1" t="s">
        <v>3</v>
      </c>
      <c r="P465" s="1" t="str">
        <f>CONCATENATE(Table_Query_from_AMULTIQRY45[[#This Row],[WWHS]],"-",Table_Query_from_AMULTIQRY45[[#This Row],[LLOC]])</f>
        <v>E1-FG</v>
      </c>
      <c r="Q465" s="10">
        <f t="shared" ca="1" si="15"/>
        <v>45775</v>
      </c>
      <c r="R465" s="10"/>
      <c r="S465" s="28">
        <v>309</v>
      </c>
      <c r="T465" s="1" t="s">
        <v>2</v>
      </c>
      <c r="U465" s="1" t="s">
        <v>513</v>
      </c>
      <c r="V465" s="1">
        <v>20250319</v>
      </c>
      <c r="W465" s="8" t="s">
        <v>8442</v>
      </c>
      <c r="Z465" s="1"/>
      <c r="AA465" s="1"/>
      <c r="AC465" s="1"/>
      <c r="AD465" s="1"/>
      <c r="AE465" s="1"/>
      <c r="AF465" s="1"/>
    </row>
    <row r="466" spans="2:32" ht="12.75" x14ac:dyDescent="0.2">
      <c r="B466" s="1" t="s">
        <v>8972</v>
      </c>
      <c r="C466" s="10">
        <f t="shared" ca="1" si="14"/>
        <v>45175</v>
      </c>
      <c r="D466" s="4"/>
      <c r="E466" s="4" t="s">
        <v>8434</v>
      </c>
      <c r="F466" s="4" t="s">
        <v>1293</v>
      </c>
      <c r="G466" s="4"/>
      <c r="H466" s="4" t="str">
        <f>_xlfn.IFNA(VLOOKUP(Table_Query_from_AMULTIQRY45[[#This Row],[WPROD]],'Part# with New'!$A$1:$B$4347,2,0),Table_Query_from_AMULTIQRY45[[#This Row],[WPROD]])</f>
        <v>WPOT262225007D-PCR23K</v>
      </c>
      <c r="I466" s="4" t="s">
        <v>8436</v>
      </c>
      <c r="J466" s="1" t="s">
        <v>5</v>
      </c>
      <c r="L466" s="11">
        <v>0.32305</v>
      </c>
      <c r="M466" s="1"/>
      <c r="N466" s="1" t="s">
        <v>3</v>
      </c>
      <c r="P466" s="1" t="str">
        <f>CONCATENATE(Table_Query_from_AMULTIQRY45[[#This Row],[WWHS]],"-",Table_Query_from_AMULTIQRY45[[#This Row],[LLOC]])</f>
        <v>E1-FG</v>
      </c>
      <c r="Q466" s="10">
        <f t="shared" ca="1" si="15"/>
        <v>45775</v>
      </c>
      <c r="R466" s="10"/>
      <c r="S466" s="28">
        <v>410</v>
      </c>
      <c r="T466" s="1" t="s">
        <v>2</v>
      </c>
      <c r="U466" s="1" t="s">
        <v>514</v>
      </c>
      <c r="V466" s="1">
        <v>20230906</v>
      </c>
      <c r="W466" s="8" t="s">
        <v>8442</v>
      </c>
      <c r="Z466" s="1"/>
      <c r="AA466" s="1"/>
      <c r="AC466" s="1"/>
      <c r="AD466" s="1"/>
      <c r="AE466" s="1"/>
      <c r="AF466" s="1"/>
    </row>
    <row r="467" spans="2:32" ht="12.75" x14ac:dyDescent="0.2">
      <c r="B467" s="1" t="s">
        <v>8973</v>
      </c>
      <c r="C467" s="10">
        <f t="shared" ca="1" si="14"/>
        <v>45756</v>
      </c>
      <c r="D467" s="4"/>
      <c r="E467" s="4" t="s">
        <v>8434</v>
      </c>
      <c r="F467" s="4" t="s">
        <v>1293</v>
      </c>
      <c r="G467" s="4"/>
      <c r="H467" s="4" t="str">
        <f>_xlfn.IFNA(VLOOKUP(Table_Query_from_AMULTIQRY45[[#This Row],[WPROD]],'Part# with New'!$A$1:$B$4347,2,0),Table_Query_from_AMULTIQRY45[[#This Row],[WPROD]])</f>
        <v>WPSM204191008D-PGX15B</v>
      </c>
      <c r="I467" s="4" t="s">
        <v>8436</v>
      </c>
      <c r="J467" s="1" t="s">
        <v>5</v>
      </c>
      <c r="L467" s="11">
        <v>9.4799999999999995E-2</v>
      </c>
      <c r="M467" s="1"/>
      <c r="N467" s="1" t="s">
        <v>326</v>
      </c>
      <c r="P467" s="1" t="str">
        <f>CONCATENATE(Table_Query_from_AMULTIQRY45[[#This Row],[WWHS]],"-",Table_Query_from_AMULTIQRY45[[#This Row],[LLOC]])</f>
        <v>E1-FG</v>
      </c>
      <c r="Q467" s="10">
        <f t="shared" ca="1" si="15"/>
        <v>45775</v>
      </c>
      <c r="R467" s="10"/>
      <c r="S467" s="28">
        <v>560</v>
      </c>
      <c r="T467" s="1" t="s">
        <v>2</v>
      </c>
      <c r="U467" s="1" t="s">
        <v>515</v>
      </c>
      <c r="V467" s="1">
        <v>20250409</v>
      </c>
      <c r="W467" s="8" t="s">
        <v>8442</v>
      </c>
      <c r="Z467" s="1"/>
      <c r="AA467" s="1"/>
      <c r="AC467" s="1"/>
      <c r="AD467" s="1"/>
      <c r="AE467" s="1"/>
      <c r="AF467" s="1"/>
    </row>
    <row r="468" spans="2:32" ht="12.75" x14ac:dyDescent="0.2">
      <c r="B468" s="1" t="s">
        <v>8974</v>
      </c>
      <c r="C468" s="10">
        <f t="shared" ca="1" si="14"/>
        <v>45770</v>
      </c>
      <c r="D468" s="4"/>
      <c r="E468" s="4" t="s">
        <v>8434</v>
      </c>
      <c r="F468" s="4" t="s">
        <v>1293</v>
      </c>
      <c r="G468" s="4"/>
      <c r="H468" s="4" t="str">
        <f>_xlfn.IFNA(VLOOKUP(Table_Query_from_AMULTIQRY45[[#This Row],[WPROD]],'Part# with New'!$A$1:$B$4347,2,0),Table_Query_from_AMULTIQRY45[[#This Row],[WPROD]])</f>
        <v>WPSM150135008D-PGX15G</v>
      </c>
      <c r="I468" s="4" t="s">
        <v>8436</v>
      </c>
      <c r="J468" s="1" t="s">
        <v>5</v>
      </c>
      <c r="L468" s="11">
        <v>7.7909999999999993E-2</v>
      </c>
      <c r="M468" s="1"/>
      <c r="N468" s="1" t="s">
        <v>326</v>
      </c>
      <c r="P468" s="1" t="str">
        <f>CONCATENATE(Table_Query_from_AMULTIQRY45[[#This Row],[WWHS]],"-",Table_Query_from_AMULTIQRY45[[#This Row],[LLOC]])</f>
        <v>E1-FG</v>
      </c>
      <c r="Q468" s="10">
        <f t="shared" ca="1" si="15"/>
        <v>45775</v>
      </c>
      <c r="R468" s="10"/>
      <c r="S468" s="28">
        <v>1419</v>
      </c>
      <c r="T468" s="1" t="s">
        <v>2</v>
      </c>
      <c r="U468" s="1" t="s">
        <v>516</v>
      </c>
      <c r="V468" s="1">
        <v>20250423</v>
      </c>
      <c r="W468" s="8" t="s">
        <v>8442</v>
      </c>
      <c r="Z468" s="1"/>
      <c r="AA468" s="1"/>
      <c r="AC468" s="1"/>
      <c r="AD468" s="1"/>
      <c r="AE468" s="1"/>
      <c r="AF468" s="1"/>
    </row>
    <row r="469" spans="2:32" ht="12.75" x14ac:dyDescent="0.2">
      <c r="B469" s="1" t="s">
        <v>8975</v>
      </c>
      <c r="C469" s="10">
        <f t="shared" ca="1" si="14"/>
        <v>45596</v>
      </c>
      <c r="D469" s="4"/>
      <c r="E469" s="4" t="s">
        <v>8434</v>
      </c>
      <c r="F469" s="4" t="s">
        <v>1293</v>
      </c>
      <c r="G469" s="4"/>
      <c r="H469" s="4" t="str">
        <f>_xlfn.IFNA(VLOOKUP(Table_Query_from_AMULTIQRY45[[#This Row],[WPROD]],'Part# with New'!$A$1:$B$4347,2,0),Table_Query_from_AMULTIQRY45[[#This Row],[WPROD]])</f>
        <v>WPSM087075009D-PGX15W</v>
      </c>
      <c r="I469" s="4" t="s">
        <v>8436</v>
      </c>
      <c r="J469" s="1" t="s">
        <v>5</v>
      </c>
      <c r="L469" s="11">
        <v>7.3480000000000004E-2</v>
      </c>
      <c r="M469" s="1"/>
      <c r="N469" s="1" t="s">
        <v>326</v>
      </c>
      <c r="P469" s="1" t="str">
        <f>CONCATENATE(Table_Query_from_AMULTIQRY45[[#This Row],[WWHS]],"-",Table_Query_from_AMULTIQRY45[[#This Row],[LLOC]])</f>
        <v>E1-FG</v>
      </c>
      <c r="Q469" s="10">
        <f t="shared" ca="1" si="15"/>
        <v>45775</v>
      </c>
      <c r="R469" s="10"/>
      <c r="S469" s="28">
        <v>365</v>
      </c>
      <c r="T469" s="1" t="s">
        <v>2</v>
      </c>
      <c r="U469" s="1" t="s">
        <v>517</v>
      </c>
      <c r="V469" s="1">
        <v>20241031</v>
      </c>
      <c r="W469" s="8" t="s">
        <v>8442</v>
      </c>
      <c r="Z469" s="1"/>
      <c r="AA469" s="1"/>
      <c r="AC469" s="1"/>
      <c r="AD469" s="1"/>
      <c r="AE469" s="1"/>
      <c r="AF469" s="1"/>
    </row>
    <row r="470" spans="2:32" ht="12.75" x14ac:dyDescent="0.2">
      <c r="B470" s="1" t="s">
        <v>8976</v>
      </c>
      <c r="C470" s="10">
        <f t="shared" ca="1" si="14"/>
        <v>45611</v>
      </c>
      <c r="D470" s="4"/>
      <c r="E470" s="4" t="s">
        <v>8434</v>
      </c>
      <c r="F470" s="4" t="s">
        <v>1293</v>
      </c>
      <c r="G470" s="4"/>
      <c r="H470" s="4" t="str">
        <f>_xlfn.IFNA(VLOOKUP(Table_Query_from_AMULTIQRY45[[#This Row],[WPROD]],'Part# with New'!$A$1:$B$4347,2,0),Table_Query_from_AMULTIQRY45[[#This Row],[WPROD]])</f>
        <v>WFFB119068024Q-PGX20A</v>
      </c>
      <c r="I470" s="4" t="s">
        <v>8436</v>
      </c>
      <c r="J470" s="1" t="s">
        <v>5</v>
      </c>
      <c r="L470" s="11">
        <v>0.29193000000000002</v>
      </c>
      <c r="M470" s="1"/>
      <c r="N470" s="1" t="s">
        <v>15</v>
      </c>
      <c r="P470" s="1" t="str">
        <f>CONCATENATE(Table_Query_from_AMULTIQRY45[[#This Row],[WWHS]],"-",Table_Query_from_AMULTIQRY45[[#This Row],[LLOC]])</f>
        <v>E1-FG</v>
      </c>
      <c r="Q470" s="10">
        <f t="shared" ca="1" si="15"/>
        <v>45775</v>
      </c>
      <c r="R470" s="10"/>
      <c r="S470" s="28">
        <v>76</v>
      </c>
      <c r="T470" s="1" t="s">
        <v>2</v>
      </c>
      <c r="U470" s="1" t="s">
        <v>518</v>
      </c>
      <c r="V470" s="1">
        <v>20241115</v>
      </c>
      <c r="W470" s="8" t="s">
        <v>8442</v>
      </c>
      <c r="Z470" s="1"/>
      <c r="AA470" s="1"/>
      <c r="AC470" s="1"/>
      <c r="AD470" s="1"/>
      <c r="AE470" s="1"/>
      <c r="AF470" s="1"/>
    </row>
    <row r="471" spans="2:32" ht="12.75" x14ac:dyDescent="0.2">
      <c r="B471" s="1" t="s">
        <v>8977</v>
      </c>
      <c r="C471" s="10">
        <f t="shared" ca="1" si="14"/>
        <v>40917</v>
      </c>
      <c r="D471" s="4"/>
      <c r="E471" s="4" t="s">
        <v>8434</v>
      </c>
      <c r="F471" s="4" t="s">
        <v>1293</v>
      </c>
      <c r="G471" s="4"/>
      <c r="H471" s="4" t="str">
        <f>_xlfn.IFNA(VLOOKUP(Table_Query_from_AMULTIQRY45[[#This Row],[WPROD]],'Part# with New'!$A$1:$B$4347,2,0),Table_Query_from_AMULTIQRY45[[#This Row],[WPROD]])</f>
        <v>WPOT131100006D-PXX00W</v>
      </c>
      <c r="I471" s="4" t="s">
        <v>8436</v>
      </c>
      <c r="J471" s="1" t="s">
        <v>5</v>
      </c>
      <c r="L471" s="11">
        <v>0.10087</v>
      </c>
      <c r="M471" s="1"/>
      <c r="N471" s="1" t="s">
        <v>3</v>
      </c>
      <c r="P471" s="1" t="str">
        <f>CONCATENATE(Table_Query_from_AMULTIQRY45[[#This Row],[WWHS]],"-",Table_Query_from_AMULTIQRY45[[#This Row],[LLOC]])</f>
        <v>E1-FG</v>
      </c>
      <c r="Q471" s="10">
        <f t="shared" ca="1" si="15"/>
        <v>45775</v>
      </c>
      <c r="R471" s="10"/>
      <c r="S471" s="28">
        <v>36</v>
      </c>
      <c r="T471" s="1" t="s">
        <v>2</v>
      </c>
      <c r="U471" s="1" t="s">
        <v>519</v>
      </c>
      <c r="V471" s="1">
        <v>20120109</v>
      </c>
      <c r="W471" s="8" t="s">
        <v>8442</v>
      </c>
      <c r="Z471" s="1"/>
      <c r="AA471" s="1"/>
      <c r="AC471" s="1"/>
      <c r="AD471" s="1"/>
      <c r="AE471" s="1"/>
      <c r="AF471" s="1"/>
    </row>
    <row r="472" spans="2:32" ht="12.75" x14ac:dyDescent="0.2">
      <c r="B472" s="1" t="s">
        <v>8978</v>
      </c>
      <c r="C472" s="10">
        <f t="shared" ca="1" si="14"/>
        <v>44309</v>
      </c>
      <c r="D472" s="4"/>
      <c r="E472" s="4" t="s">
        <v>8434</v>
      </c>
      <c r="F472" s="4" t="s">
        <v>1293</v>
      </c>
      <c r="G472" s="4"/>
      <c r="H472" s="4" t="str">
        <f>_xlfn.IFNA(VLOOKUP(Table_Query_from_AMULTIQRY45[[#This Row],[WPROD]],'Part# with New'!$A$1:$B$4347,2,0),Table_Query_from_AMULTIQRY45[[#This Row],[WPROD]])</f>
        <v>WPSM278264011D-PGX15B</v>
      </c>
      <c r="I472" s="4" t="s">
        <v>8436</v>
      </c>
      <c r="J472" s="1" t="s">
        <v>5</v>
      </c>
      <c r="L472" s="11">
        <v>9.9309999999999996E-2</v>
      </c>
      <c r="M472" s="1"/>
      <c r="N472" s="1" t="s">
        <v>326</v>
      </c>
      <c r="P472" s="1" t="str">
        <f>CONCATENATE(Table_Query_from_AMULTIQRY45[[#This Row],[WWHS]],"-",Table_Query_from_AMULTIQRY45[[#This Row],[LLOC]])</f>
        <v>E1-FG</v>
      </c>
      <c r="Q472" s="10">
        <f t="shared" ca="1" si="15"/>
        <v>45775</v>
      </c>
      <c r="R472" s="10"/>
      <c r="S472" s="28">
        <v>2700</v>
      </c>
      <c r="T472" s="1" t="s">
        <v>2</v>
      </c>
      <c r="U472" s="1" t="s">
        <v>520</v>
      </c>
      <c r="V472" s="1">
        <v>20210423</v>
      </c>
      <c r="W472" s="8" t="s">
        <v>8442</v>
      </c>
      <c r="Z472" s="1"/>
      <c r="AA472" s="1"/>
      <c r="AC472" s="1"/>
      <c r="AD472" s="1"/>
      <c r="AE472" s="1"/>
      <c r="AF472" s="1"/>
    </row>
    <row r="473" spans="2:32" ht="12.75" x14ac:dyDescent="0.2">
      <c r="B473" s="1" t="s">
        <v>8979</v>
      </c>
      <c r="C473" s="10">
        <f t="shared" ca="1" si="14"/>
        <v>45757</v>
      </c>
      <c r="D473" s="4"/>
      <c r="E473" s="4" t="s">
        <v>8434</v>
      </c>
      <c r="F473" s="4" t="s">
        <v>1293</v>
      </c>
      <c r="G473" s="4"/>
      <c r="H473" s="4" t="str">
        <f>_xlfn.IFNA(VLOOKUP(Table_Query_from_AMULTIQRY45[[#This Row],[WPROD]],'Part# with New'!$A$1:$B$4347,2,0),Table_Query_from_AMULTIQRY45[[#This Row],[WPROD]])</f>
        <v>WPSM120106007D-PRX10K</v>
      </c>
      <c r="I473" s="4" t="s">
        <v>8436</v>
      </c>
      <c r="J473" s="1" t="s">
        <v>5</v>
      </c>
      <c r="L473" s="11">
        <v>4.7669999999999997E-2</v>
      </c>
      <c r="M473" s="1"/>
      <c r="N473" s="1" t="s">
        <v>326</v>
      </c>
      <c r="P473" s="1" t="str">
        <f>CONCATENATE(Table_Query_from_AMULTIQRY45[[#This Row],[WWHS]],"-",Table_Query_from_AMULTIQRY45[[#This Row],[LLOC]])</f>
        <v>E1-FG</v>
      </c>
      <c r="Q473" s="10">
        <f t="shared" ca="1" si="15"/>
        <v>45775</v>
      </c>
      <c r="R473" s="10"/>
      <c r="S473" s="28">
        <v>1407</v>
      </c>
      <c r="T473" s="1" t="s">
        <v>2</v>
      </c>
      <c r="U473" s="1" t="s">
        <v>521</v>
      </c>
      <c r="V473" s="1">
        <v>20250410</v>
      </c>
      <c r="W473" s="8" t="s">
        <v>8442</v>
      </c>
      <c r="Z473" s="1"/>
      <c r="AA473" s="1"/>
      <c r="AC473" s="1"/>
      <c r="AD473" s="1"/>
      <c r="AE473" s="1"/>
      <c r="AF473" s="1"/>
    </row>
    <row r="474" spans="2:32" ht="12.75" x14ac:dyDescent="0.2">
      <c r="B474" s="1" t="s">
        <v>8980</v>
      </c>
      <c r="C474" s="10">
        <f t="shared" ca="1" si="14"/>
        <v>45320</v>
      </c>
      <c r="D474" s="4"/>
      <c r="E474" s="4" t="s">
        <v>8434</v>
      </c>
      <c r="F474" s="4" t="s">
        <v>1293</v>
      </c>
      <c r="G474" s="4"/>
      <c r="H474" s="4" t="str">
        <f>_xlfn.IFNA(VLOOKUP(Table_Query_from_AMULTIQRY45[[#This Row],[WPROD]],'Part# with New'!$A$1:$B$4347,2,0),Table_Query_from_AMULTIQRY45[[#This Row],[WPROD]])</f>
        <v>WPSM336322009D-PGX15B</v>
      </c>
      <c r="I474" s="4" t="s">
        <v>8436</v>
      </c>
      <c r="J474" s="1" t="s">
        <v>5</v>
      </c>
      <c r="L474" s="11">
        <v>0.10549</v>
      </c>
      <c r="M474" s="1"/>
      <c r="N474" s="1" t="s">
        <v>326</v>
      </c>
      <c r="P474" s="1" t="str">
        <f>CONCATENATE(Table_Query_from_AMULTIQRY45[[#This Row],[WWHS]],"-",Table_Query_from_AMULTIQRY45[[#This Row],[LLOC]])</f>
        <v>E1-FG</v>
      </c>
      <c r="Q474" s="10">
        <f t="shared" ca="1" si="15"/>
        <v>45775</v>
      </c>
      <c r="R474" s="10"/>
      <c r="S474" s="28">
        <v>480</v>
      </c>
      <c r="T474" s="1" t="s">
        <v>2</v>
      </c>
      <c r="U474" s="1" t="s">
        <v>522</v>
      </c>
      <c r="V474" s="1">
        <v>20240129</v>
      </c>
      <c r="W474" s="8" t="s">
        <v>8442</v>
      </c>
      <c r="Z474" s="1"/>
      <c r="AA474" s="1"/>
      <c r="AC474" s="1"/>
      <c r="AD474" s="1"/>
      <c r="AE474" s="1"/>
      <c r="AF474" s="1"/>
    </row>
    <row r="475" spans="2:32" ht="12.75" x14ac:dyDescent="0.2">
      <c r="B475" s="1" t="s">
        <v>8981</v>
      </c>
      <c r="C475" s="10">
        <f t="shared" ca="1" si="14"/>
        <v>45772</v>
      </c>
      <c r="D475" s="4"/>
      <c r="E475" s="4" t="s">
        <v>8434</v>
      </c>
      <c r="F475" s="4" t="s">
        <v>1293</v>
      </c>
      <c r="G475" s="4"/>
      <c r="H475" s="4" t="str">
        <f>_xlfn.IFNA(VLOOKUP(Table_Query_from_AMULTIQRY45[[#This Row],[WPROD]],'Part# with New'!$A$1:$B$4347,2,0),Table_Query_from_AMULTIQRY45[[#This Row],[WPROD]])</f>
        <v>WFFB149087027Q-PGX20A</v>
      </c>
      <c r="I475" s="4" t="s">
        <v>8436</v>
      </c>
      <c r="J475" s="1" t="s">
        <v>5</v>
      </c>
      <c r="L475" s="11">
        <v>0.49415999999999999</v>
      </c>
      <c r="M475" s="1"/>
      <c r="N475" s="1" t="s">
        <v>15</v>
      </c>
      <c r="P475" s="1" t="str">
        <f>CONCATENATE(Table_Query_from_AMULTIQRY45[[#This Row],[WWHS]],"-",Table_Query_from_AMULTIQRY45[[#This Row],[LLOC]])</f>
        <v>E1-FG</v>
      </c>
      <c r="Q475" s="10">
        <f t="shared" ca="1" si="15"/>
        <v>45775</v>
      </c>
      <c r="R475" s="10"/>
      <c r="S475" s="28">
        <v>1</v>
      </c>
      <c r="T475" s="1" t="s">
        <v>2</v>
      </c>
      <c r="U475" s="1" t="s">
        <v>523</v>
      </c>
      <c r="V475" s="1">
        <v>20250425</v>
      </c>
      <c r="W475" s="8" t="s">
        <v>8442</v>
      </c>
      <c r="Z475" s="1"/>
      <c r="AA475" s="1"/>
      <c r="AC475" s="1"/>
      <c r="AD475" s="1"/>
      <c r="AE475" s="1"/>
      <c r="AF475" s="1"/>
    </row>
    <row r="476" spans="2:32" ht="12.75" x14ac:dyDescent="0.2">
      <c r="B476" s="1" t="s">
        <v>8982</v>
      </c>
      <c r="C476" s="10">
        <f t="shared" ca="1" si="14"/>
        <v>44641</v>
      </c>
      <c r="D476" s="4"/>
      <c r="E476" s="4" t="s">
        <v>8434</v>
      </c>
      <c r="F476" s="4" t="s">
        <v>1293</v>
      </c>
      <c r="G476" s="4"/>
      <c r="H476" s="4" t="str">
        <f>_xlfn.IFNA(VLOOKUP(Table_Query_from_AMULTIQRY45[[#This Row],[WPROD]],'Part# with New'!$A$1:$B$4347,2,0),Table_Query_from_AMULTIQRY45[[#This Row],[WPROD]])</f>
        <v>WFFH467381018D-PXX00W</v>
      </c>
      <c r="I476" s="4" t="s">
        <v>8436</v>
      </c>
      <c r="J476" s="1" t="s">
        <v>5</v>
      </c>
      <c r="L476" s="11">
        <v>0.50139999999999996</v>
      </c>
      <c r="M476" s="1"/>
      <c r="N476" s="1" t="s">
        <v>15</v>
      </c>
      <c r="P476" s="1" t="str">
        <f>CONCATENATE(Table_Query_from_AMULTIQRY45[[#This Row],[WWHS]],"-",Table_Query_from_AMULTIQRY45[[#This Row],[LLOC]])</f>
        <v>E1-FG</v>
      </c>
      <c r="Q476" s="10">
        <f t="shared" ca="1" si="15"/>
        <v>45775</v>
      </c>
      <c r="R476" s="10"/>
      <c r="S476" s="28">
        <v>1000</v>
      </c>
      <c r="T476" s="1" t="s">
        <v>2</v>
      </c>
      <c r="U476" s="1" t="s">
        <v>524</v>
      </c>
      <c r="V476" s="1">
        <v>20220321</v>
      </c>
      <c r="W476" s="8" t="s">
        <v>8442</v>
      </c>
      <c r="Z476" s="1"/>
      <c r="AA476" s="1"/>
      <c r="AC476" s="1"/>
      <c r="AD476" s="1"/>
      <c r="AE476" s="1"/>
      <c r="AF476" s="1"/>
    </row>
    <row r="477" spans="2:32" ht="12.75" x14ac:dyDescent="0.2">
      <c r="B477" s="1" t="s">
        <v>8983</v>
      </c>
      <c r="C477" s="10">
        <f t="shared" ca="1" si="14"/>
        <v>45772</v>
      </c>
      <c r="D477" s="4"/>
      <c r="E477" s="4" t="s">
        <v>8434</v>
      </c>
      <c r="F477" s="4" t="s">
        <v>1293</v>
      </c>
      <c r="G477" s="4"/>
      <c r="H477" s="4" t="str">
        <f>_xlfn.IFNA(VLOOKUP(Table_Query_from_AMULTIQRY45[[#This Row],[WPROD]],'Part# with New'!$A$1:$B$4347,2,0),Table_Query_from_AMULTIQRY45[[#This Row],[WPROD]])</f>
        <v>WFFL086051016Q-MXX00W</v>
      </c>
      <c r="I477" s="4" t="s">
        <v>8436</v>
      </c>
      <c r="J477" s="1" t="s">
        <v>5</v>
      </c>
      <c r="L477" s="11">
        <v>9.3649999999999997E-2</v>
      </c>
      <c r="M477" s="1"/>
      <c r="N477" s="1" t="s">
        <v>15</v>
      </c>
      <c r="P477" s="1" t="str">
        <f>CONCATENATE(Table_Query_from_AMULTIQRY45[[#This Row],[WWHS]],"-",Table_Query_from_AMULTIQRY45[[#This Row],[LLOC]])</f>
        <v>E1-FG</v>
      </c>
      <c r="Q477" s="10">
        <f t="shared" ca="1" si="15"/>
        <v>45775</v>
      </c>
      <c r="R477" s="10"/>
      <c r="S477" s="28">
        <v>390</v>
      </c>
      <c r="T477" s="1" t="s">
        <v>2</v>
      </c>
      <c r="U477" s="1" t="s">
        <v>525</v>
      </c>
      <c r="V477" s="1">
        <v>20250425</v>
      </c>
      <c r="W477" s="8" t="s">
        <v>8442</v>
      </c>
      <c r="Z477" s="1"/>
      <c r="AA477" s="1"/>
      <c r="AC477" s="1"/>
      <c r="AD477" s="1"/>
      <c r="AE477" s="1"/>
      <c r="AF477" s="1"/>
    </row>
    <row r="478" spans="2:32" ht="12.75" x14ac:dyDescent="0.2">
      <c r="B478" s="1" t="s">
        <v>8984</v>
      </c>
      <c r="C478" s="10">
        <f t="shared" ca="1" si="14"/>
        <v>45362</v>
      </c>
      <c r="D478" s="4"/>
      <c r="E478" s="4" t="s">
        <v>8434</v>
      </c>
      <c r="F478" s="4" t="s">
        <v>1293</v>
      </c>
      <c r="G478" s="4"/>
      <c r="H478" s="4" t="str">
        <f>_xlfn.IFNA(VLOOKUP(Table_Query_from_AMULTIQRY45[[#This Row],[WPROD]],'Part# with New'!$A$1:$B$4347,2,0),Table_Query_from_AMULTIQRY45[[#This Row],[WPROD]])</f>
        <v>WPOT094080012D-PGX15W</v>
      </c>
      <c r="I478" s="4" t="s">
        <v>8436</v>
      </c>
      <c r="J478" s="1" t="s">
        <v>5</v>
      </c>
      <c r="L478" s="11">
        <v>0.12095</v>
      </c>
      <c r="M478" s="1"/>
      <c r="N478" s="1" t="s">
        <v>3</v>
      </c>
      <c r="P478" s="1" t="str">
        <f>CONCATENATE(Table_Query_from_AMULTIQRY45[[#This Row],[WWHS]],"-",Table_Query_from_AMULTIQRY45[[#This Row],[LLOC]])</f>
        <v>E1-FG</v>
      </c>
      <c r="Q478" s="10">
        <f t="shared" ca="1" si="15"/>
        <v>45775</v>
      </c>
      <c r="R478" s="10"/>
      <c r="S478" s="28">
        <v>465</v>
      </c>
      <c r="T478" s="1" t="s">
        <v>2</v>
      </c>
      <c r="U478" s="1" t="s">
        <v>526</v>
      </c>
      <c r="V478" s="1">
        <v>20240311</v>
      </c>
      <c r="W478" s="8" t="s">
        <v>8442</v>
      </c>
      <c r="Z478" s="1"/>
      <c r="AA478" s="1"/>
      <c r="AC478" s="1"/>
      <c r="AD478" s="1"/>
      <c r="AE478" s="1"/>
      <c r="AF478" s="1"/>
    </row>
    <row r="479" spans="2:32" ht="12.75" x14ac:dyDescent="0.2">
      <c r="B479" s="1" t="s">
        <v>8985</v>
      </c>
      <c r="C479" s="10">
        <f t="shared" ca="1" si="14"/>
        <v>44956</v>
      </c>
      <c r="D479" s="4"/>
      <c r="E479" s="4" t="s">
        <v>8434</v>
      </c>
      <c r="F479" s="4" t="s">
        <v>1293</v>
      </c>
      <c r="G479" s="4"/>
      <c r="H479" s="4" t="str">
        <f>_xlfn.IFNA(VLOOKUP(Table_Query_from_AMULTIQRY45[[#This Row],[WPROD]],'Part# with New'!$A$1:$B$4347,2,0),Table_Query_from_AMULTIQRY45[[#This Row],[WPROD]])</f>
        <v>WSNC383370011D-PGX15W</v>
      </c>
      <c r="I479" s="4" t="s">
        <v>8436</v>
      </c>
      <c r="J479" s="1" t="s">
        <v>5</v>
      </c>
      <c r="L479" s="11">
        <v>0.45151000000000002</v>
      </c>
      <c r="M479" s="1"/>
      <c r="N479" s="1" t="s">
        <v>6</v>
      </c>
      <c r="P479" s="1" t="str">
        <f>CONCATENATE(Table_Query_from_AMULTIQRY45[[#This Row],[WWHS]],"-",Table_Query_from_AMULTIQRY45[[#This Row],[LLOC]])</f>
        <v>E1-FG</v>
      </c>
      <c r="Q479" s="10">
        <f t="shared" ca="1" si="15"/>
        <v>45775</v>
      </c>
      <c r="R479" s="10"/>
      <c r="S479" s="28">
        <v>74</v>
      </c>
      <c r="T479" s="1" t="s">
        <v>2</v>
      </c>
      <c r="U479" s="1" t="s">
        <v>527</v>
      </c>
      <c r="V479" s="1">
        <v>20230130</v>
      </c>
      <c r="W479" s="8" t="s">
        <v>8442</v>
      </c>
      <c r="Z479" s="1"/>
      <c r="AA479" s="1"/>
      <c r="AC479" s="1"/>
      <c r="AD479" s="1"/>
      <c r="AE479" s="1"/>
      <c r="AF479" s="1"/>
    </row>
    <row r="480" spans="2:32" ht="12.75" x14ac:dyDescent="0.2">
      <c r="B480" s="1" t="s">
        <v>8986</v>
      </c>
      <c r="C480" s="10">
        <f t="shared" ca="1" si="14"/>
        <v>45562</v>
      </c>
      <c r="D480" s="4"/>
      <c r="E480" s="4" t="s">
        <v>8434</v>
      </c>
      <c r="F480" s="4" t="s">
        <v>1293</v>
      </c>
      <c r="G480" s="4"/>
      <c r="H480" s="4" t="str">
        <f>_xlfn.IFNA(VLOOKUP(Table_Query_from_AMULTIQRY45[[#This Row],[WPROD]],'Part# with New'!$A$1:$B$4347,2,0),Table_Query_from_AMULTIQRY45[[#This Row],[WPROD]])</f>
        <v>WSNC183151021S-PRX15K</v>
      </c>
      <c r="I480" s="4" t="s">
        <v>8436</v>
      </c>
      <c r="J480" s="1" t="s">
        <v>5</v>
      </c>
      <c r="L480" s="11">
        <v>0.72623000000000004</v>
      </c>
      <c r="M480" s="1"/>
      <c r="N480" s="1" t="s">
        <v>6</v>
      </c>
      <c r="P480" s="1" t="str">
        <f>CONCATENATE(Table_Query_from_AMULTIQRY45[[#This Row],[WWHS]],"-",Table_Query_from_AMULTIQRY45[[#This Row],[LLOC]])</f>
        <v>E1-FG</v>
      </c>
      <c r="Q480" s="10">
        <f t="shared" ca="1" si="15"/>
        <v>45775</v>
      </c>
      <c r="R480" s="10"/>
      <c r="S480" s="28">
        <v>24</v>
      </c>
      <c r="T480" s="1" t="s">
        <v>2</v>
      </c>
      <c r="U480" s="1" t="s">
        <v>528</v>
      </c>
      <c r="V480" s="1">
        <v>20240927</v>
      </c>
      <c r="W480" s="8" t="s">
        <v>8442</v>
      </c>
      <c r="Z480" s="1"/>
      <c r="AA480" s="1"/>
      <c r="AC480" s="1"/>
      <c r="AD480" s="1"/>
      <c r="AE480" s="1"/>
      <c r="AF480" s="1"/>
    </row>
    <row r="481" spans="2:32" ht="12.75" x14ac:dyDescent="0.2">
      <c r="B481" s="1" t="s">
        <v>8987</v>
      </c>
      <c r="C481" s="10">
        <f t="shared" ca="1" si="14"/>
        <v>43349</v>
      </c>
      <c r="D481" s="4"/>
      <c r="E481" s="4" t="s">
        <v>8434</v>
      </c>
      <c r="F481" s="4" t="s">
        <v>1293</v>
      </c>
      <c r="G481" s="4"/>
      <c r="H481" s="4" t="str">
        <f>_xlfn.IFNA(VLOOKUP(Table_Query_from_AMULTIQRY45[[#This Row],[WPROD]],'Part# with New'!$A$1:$B$4347,2,0),Table_Query_from_AMULTIQRY45[[#This Row],[WPROD]])</f>
        <v>WSNC101068017D-PCG18K</v>
      </c>
      <c r="I481" s="4" t="s">
        <v>8436</v>
      </c>
      <c r="J481" s="1" t="s">
        <v>5</v>
      </c>
      <c r="L481" s="11">
        <v>0.85165999999999997</v>
      </c>
      <c r="M481" s="1"/>
      <c r="N481" s="1" t="s">
        <v>6</v>
      </c>
      <c r="P481" s="1" t="str">
        <f>CONCATENATE(Table_Query_from_AMULTIQRY45[[#This Row],[WWHS]],"-",Table_Query_from_AMULTIQRY45[[#This Row],[LLOC]])</f>
        <v>E1-FG</v>
      </c>
      <c r="Q481" s="10">
        <f t="shared" ca="1" si="15"/>
        <v>45775</v>
      </c>
      <c r="R481" s="10"/>
      <c r="S481" s="28">
        <v>13</v>
      </c>
      <c r="T481" s="1" t="s">
        <v>2</v>
      </c>
      <c r="U481" s="1" t="s">
        <v>529</v>
      </c>
      <c r="V481" s="1">
        <v>20180906</v>
      </c>
      <c r="W481" s="8" t="s">
        <v>8442</v>
      </c>
      <c r="Z481" s="1"/>
      <c r="AA481" s="1"/>
      <c r="AC481" s="1"/>
      <c r="AD481" s="1"/>
      <c r="AE481" s="1"/>
      <c r="AF481" s="1"/>
    </row>
    <row r="482" spans="2:32" ht="12.75" x14ac:dyDescent="0.2">
      <c r="B482" s="1" t="s">
        <v>8988</v>
      </c>
      <c r="C482" s="10">
        <f t="shared" ca="1" si="14"/>
        <v>45516</v>
      </c>
      <c r="D482" s="4"/>
      <c r="E482" s="4" t="s">
        <v>8434</v>
      </c>
      <c r="F482" s="4" t="s">
        <v>1293</v>
      </c>
      <c r="G482" s="4"/>
      <c r="H482" s="4" t="str">
        <f>_xlfn.IFNA(VLOOKUP(Table_Query_from_AMULTIQRY45[[#This Row],[WPROD]],'Part# with New'!$A$1:$B$4347,2,0),Table_Query_from_AMULTIQRY45[[#This Row],[WPROD]])</f>
        <v>22351</v>
      </c>
      <c r="I482" s="4" t="s">
        <v>8436</v>
      </c>
      <c r="J482" s="1" t="s">
        <v>5</v>
      </c>
      <c r="L482" s="11">
        <v>1.1866000000000001</v>
      </c>
      <c r="M482" s="1"/>
      <c r="N482" s="1" t="s">
        <v>18</v>
      </c>
      <c r="P482" s="1" t="str">
        <f>CONCATENATE(Table_Query_from_AMULTIQRY45[[#This Row],[WWHS]],"-",Table_Query_from_AMULTIQRY45[[#This Row],[LLOC]])</f>
        <v>E1-FG</v>
      </c>
      <c r="Q482" s="10">
        <f t="shared" ca="1" si="15"/>
        <v>45775</v>
      </c>
      <c r="R482" s="10"/>
      <c r="S482" s="28">
        <v>16</v>
      </c>
      <c r="T482" s="1" t="s">
        <v>2</v>
      </c>
      <c r="U482" s="1" t="s">
        <v>530</v>
      </c>
      <c r="V482" s="1">
        <v>20240812</v>
      </c>
      <c r="W482" s="8" t="s">
        <v>8442</v>
      </c>
      <c r="Z482" s="1"/>
      <c r="AA482" s="1"/>
      <c r="AC482" s="1"/>
      <c r="AD482" s="1"/>
      <c r="AE482" s="1"/>
      <c r="AF482" s="1"/>
    </row>
    <row r="483" spans="2:32" ht="12.75" x14ac:dyDescent="0.2">
      <c r="B483" s="1" t="s">
        <v>8989</v>
      </c>
      <c r="C483" s="10">
        <f t="shared" ca="1" si="14"/>
        <v>45714</v>
      </c>
      <c r="D483" s="4"/>
      <c r="E483" s="4" t="s">
        <v>8434</v>
      </c>
      <c r="F483" s="4" t="s">
        <v>1293</v>
      </c>
      <c r="G483" s="4"/>
      <c r="H483" s="4" t="str">
        <f>_xlfn.IFNA(VLOOKUP(Table_Query_from_AMULTIQRY45[[#This Row],[WPROD]],'Part# with New'!$A$1:$B$4347,2,0),Table_Query_from_AMULTIQRY45[[#This Row],[WPROD]])</f>
        <v>WSNC423341100D-PCG18K</v>
      </c>
      <c r="I483" s="4" t="s">
        <v>8436</v>
      </c>
      <c r="J483" s="1" t="s">
        <v>5</v>
      </c>
      <c r="L483" s="11">
        <v>12.89564</v>
      </c>
      <c r="M483" s="1"/>
      <c r="N483" s="1" t="s">
        <v>6</v>
      </c>
      <c r="P483" s="1" t="str">
        <f>CONCATENATE(Table_Query_from_AMULTIQRY45[[#This Row],[WWHS]],"-",Table_Query_from_AMULTIQRY45[[#This Row],[LLOC]])</f>
        <v>E1-FG</v>
      </c>
      <c r="Q483" s="10">
        <f t="shared" ca="1" si="15"/>
        <v>45775</v>
      </c>
      <c r="R483" s="10"/>
      <c r="S483" s="28">
        <v>10</v>
      </c>
      <c r="T483" s="1" t="s">
        <v>2</v>
      </c>
      <c r="U483" s="1" t="s">
        <v>531</v>
      </c>
      <c r="V483" s="1">
        <v>20250226</v>
      </c>
      <c r="W483" s="8" t="s">
        <v>8442</v>
      </c>
      <c r="Z483" s="1"/>
      <c r="AA483" s="1"/>
      <c r="AC483" s="1"/>
      <c r="AD483" s="1"/>
      <c r="AE483" s="1"/>
      <c r="AF483" s="1"/>
    </row>
    <row r="484" spans="2:32" ht="12.75" x14ac:dyDescent="0.2">
      <c r="B484" s="1" t="s">
        <v>8990</v>
      </c>
      <c r="C484" s="10">
        <f t="shared" ca="1" si="14"/>
        <v>45555</v>
      </c>
      <c r="D484" s="4"/>
      <c r="E484" s="4" t="s">
        <v>8434</v>
      </c>
      <c r="F484" s="4" t="s">
        <v>1293</v>
      </c>
      <c r="G484" s="4"/>
      <c r="H484" s="4" t="str">
        <f>_xlfn.IFNA(VLOOKUP(Table_Query_from_AMULTIQRY45[[#This Row],[WPROD]],'Part# with New'!$A$1:$B$4347,2,0),Table_Query_from_AMULTIQRY45[[#This Row],[WPROD]])</f>
        <v>WSOR044033009D-DL050N</v>
      </c>
      <c r="I484" s="4" t="s">
        <v>8436</v>
      </c>
      <c r="J484" s="1" t="s">
        <v>5</v>
      </c>
      <c r="L484" s="11">
        <v>7.5039999999999996E-2</v>
      </c>
      <c r="M484" s="1"/>
      <c r="N484" s="1" t="s">
        <v>480</v>
      </c>
      <c r="P484" s="1" t="str">
        <f>CONCATENATE(Table_Query_from_AMULTIQRY45[[#This Row],[WWHS]],"-",Table_Query_from_AMULTIQRY45[[#This Row],[LLOC]])</f>
        <v>E1-FG</v>
      </c>
      <c r="Q484" s="10">
        <f t="shared" ca="1" si="15"/>
        <v>45775</v>
      </c>
      <c r="R484" s="10"/>
      <c r="S484" s="28">
        <v>661</v>
      </c>
      <c r="T484" s="1" t="s">
        <v>2</v>
      </c>
      <c r="U484" s="1" t="s">
        <v>532</v>
      </c>
      <c r="V484" s="1">
        <v>20240920</v>
      </c>
      <c r="W484" s="8" t="s">
        <v>8442</v>
      </c>
      <c r="Z484" s="1"/>
      <c r="AA484" s="1"/>
      <c r="AC484" s="1"/>
      <c r="AD484" s="1"/>
      <c r="AE484" s="1"/>
      <c r="AF484" s="1"/>
    </row>
    <row r="485" spans="2:32" ht="12.75" x14ac:dyDescent="0.2">
      <c r="B485" s="1" t="s">
        <v>8991</v>
      </c>
      <c r="C485" s="10">
        <f t="shared" ca="1" si="14"/>
        <v>45552</v>
      </c>
      <c r="D485" s="4"/>
      <c r="E485" s="4" t="s">
        <v>8434</v>
      </c>
      <c r="F485" s="4" t="s">
        <v>1293</v>
      </c>
      <c r="G485" s="4"/>
      <c r="H485" s="4" t="str">
        <f>_xlfn.IFNA(VLOOKUP(Table_Query_from_AMULTIQRY45[[#This Row],[WPROD]],'Part# with New'!$A$1:$B$4347,2,0),Table_Query_from_AMULTIQRY45[[#This Row],[WPROD]])</f>
        <v>WFFL050026013D-MXX00W</v>
      </c>
      <c r="I485" s="4" t="s">
        <v>8436</v>
      </c>
      <c r="J485" s="1" t="s">
        <v>5</v>
      </c>
      <c r="L485" s="11">
        <v>0.11638999999999999</v>
      </c>
      <c r="M485" s="1"/>
      <c r="N485" s="1" t="s">
        <v>346</v>
      </c>
      <c r="P485" s="1" t="str">
        <f>CONCATENATE(Table_Query_from_AMULTIQRY45[[#This Row],[WWHS]],"-",Table_Query_from_AMULTIQRY45[[#This Row],[LLOC]])</f>
        <v>E1-FG</v>
      </c>
      <c r="Q485" s="10">
        <f t="shared" ca="1" si="15"/>
        <v>45775</v>
      </c>
      <c r="R485" s="10"/>
      <c r="S485" s="28">
        <v>351</v>
      </c>
      <c r="T485" s="1" t="s">
        <v>2</v>
      </c>
      <c r="U485" s="1" t="s">
        <v>533</v>
      </c>
      <c r="V485" s="1">
        <v>20240917</v>
      </c>
      <c r="W485" s="8" t="s">
        <v>8442</v>
      </c>
      <c r="Z485" s="1"/>
      <c r="AA485" s="1"/>
      <c r="AC485" s="1"/>
      <c r="AD485" s="1"/>
      <c r="AE485" s="1"/>
      <c r="AF485" s="1"/>
    </row>
    <row r="486" spans="2:32" ht="12.75" x14ac:dyDescent="0.2">
      <c r="B486" s="1" t="s">
        <v>8992</v>
      </c>
      <c r="C486" s="10">
        <f t="shared" ca="1" si="14"/>
        <v>45758</v>
      </c>
      <c r="D486" s="4"/>
      <c r="E486" s="4" t="s">
        <v>8434</v>
      </c>
      <c r="F486" s="4" t="s">
        <v>1293</v>
      </c>
      <c r="G486" s="4"/>
      <c r="H486" s="4" t="str">
        <f>_xlfn.IFNA(VLOOKUP(Table_Query_from_AMULTIQRY45[[#This Row],[WPROD]],'Part# with New'!$A$1:$B$4347,2,0),Table_Query_from_AMULTIQRY45[[#This Row],[WPROD]])</f>
        <v>WPOT087063002D-PGX25W</v>
      </c>
      <c r="I486" s="4" t="s">
        <v>8436</v>
      </c>
      <c r="J486" s="1" t="s">
        <v>5</v>
      </c>
      <c r="L486" s="11">
        <v>4.8140000000000002E-2</v>
      </c>
      <c r="M486" s="1"/>
      <c r="N486" s="1" t="s">
        <v>3</v>
      </c>
      <c r="P486" s="1" t="str">
        <f>CONCATENATE(Table_Query_from_AMULTIQRY45[[#This Row],[WWHS]],"-",Table_Query_from_AMULTIQRY45[[#This Row],[LLOC]])</f>
        <v>E1-FG</v>
      </c>
      <c r="Q486" s="10">
        <f t="shared" ca="1" si="15"/>
        <v>45775</v>
      </c>
      <c r="R486" s="10"/>
      <c r="S486" s="28">
        <v>1285</v>
      </c>
      <c r="T486" s="1" t="s">
        <v>2</v>
      </c>
      <c r="U486" s="1" t="s">
        <v>534</v>
      </c>
      <c r="V486" s="1">
        <v>20250411</v>
      </c>
      <c r="W486" s="8" t="s">
        <v>8442</v>
      </c>
      <c r="Z486" s="1"/>
      <c r="AA486" s="1"/>
      <c r="AC486" s="1"/>
      <c r="AD486" s="1"/>
      <c r="AE486" s="1"/>
      <c r="AF486" s="1"/>
    </row>
    <row r="487" spans="2:32" ht="12.75" x14ac:dyDescent="0.2">
      <c r="B487" s="1" t="s">
        <v>8993</v>
      </c>
      <c r="C487" s="10">
        <f t="shared" ca="1" si="14"/>
        <v>45699</v>
      </c>
      <c r="D487" s="4"/>
      <c r="E487" s="4" t="s">
        <v>8434</v>
      </c>
      <c r="F487" s="4" t="s">
        <v>1293</v>
      </c>
      <c r="G487" s="4"/>
      <c r="H487" s="4" t="str">
        <f>_xlfn.IFNA(VLOOKUP(Table_Query_from_AMULTIQRY45[[#This Row],[WPROD]],'Part# with New'!$A$1:$B$4347,2,0),Table_Query_from_AMULTIQRY45[[#This Row],[WPROD]])</f>
        <v>WSNC080062023D-PXX00W</v>
      </c>
      <c r="I487" s="4" t="s">
        <v>8436</v>
      </c>
      <c r="J487" s="1" t="s">
        <v>5</v>
      </c>
      <c r="L487" s="11">
        <v>0.2581</v>
      </c>
      <c r="M487" s="1"/>
      <c r="N487" s="1" t="s">
        <v>6</v>
      </c>
      <c r="P487" s="1" t="str">
        <f>CONCATENATE(Table_Query_from_AMULTIQRY45[[#This Row],[WWHS]],"-",Table_Query_from_AMULTIQRY45[[#This Row],[LLOC]])</f>
        <v>E1-FG</v>
      </c>
      <c r="Q487" s="10">
        <f t="shared" ca="1" si="15"/>
        <v>45775</v>
      </c>
      <c r="R487" s="10"/>
      <c r="S487" s="28">
        <v>407</v>
      </c>
      <c r="T487" s="1" t="s">
        <v>2</v>
      </c>
      <c r="U487" s="1" t="s">
        <v>535</v>
      </c>
      <c r="V487" s="1">
        <v>20250211</v>
      </c>
      <c r="W487" s="8" t="s">
        <v>8442</v>
      </c>
      <c r="Z487" s="1"/>
      <c r="AA487" s="1"/>
      <c r="AC487" s="1"/>
      <c r="AD487" s="1"/>
      <c r="AE487" s="1"/>
      <c r="AF487" s="1"/>
    </row>
    <row r="488" spans="2:32" ht="12.75" x14ac:dyDescent="0.2">
      <c r="B488" s="1" t="s">
        <v>8994</v>
      </c>
      <c r="C488" s="10">
        <f t="shared" ca="1" si="14"/>
        <v>45587</v>
      </c>
      <c r="D488" s="4"/>
      <c r="E488" s="4" t="s">
        <v>8434</v>
      </c>
      <c r="F488" s="4" t="s">
        <v>1293</v>
      </c>
      <c r="G488" s="4"/>
      <c r="H488" s="4" t="str">
        <f>_xlfn.IFNA(VLOOKUP(Table_Query_from_AMULTIQRY45[[#This Row],[WPROD]],'Part# with New'!$A$1:$B$4347,2,0),Table_Query_from_AMULTIQRY45[[#This Row],[WPROD]])</f>
        <v>WPOS049039002S-PXX00W</v>
      </c>
      <c r="I488" s="4" t="s">
        <v>8436</v>
      </c>
      <c r="J488" s="1" t="s">
        <v>5</v>
      </c>
      <c r="L488" s="11">
        <v>8.1670000000000006E-2</v>
      </c>
      <c r="M488" s="1"/>
      <c r="N488" s="1" t="s">
        <v>18</v>
      </c>
      <c r="P488" s="1" t="str">
        <f>CONCATENATE(Table_Query_from_AMULTIQRY45[[#This Row],[WWHS]],"-",Table_Query_from_AMULTIQRY45[[#This Row],[LLOC]])</f>
        <v>E1-FG</v>
      </c>
      <c r="Q488" s="10">
        <f t="shared" ca="1" si="15"/>
        <v>45775</v>
      </c>
      <c r="R488" s="10"/>
      <c r="S488" s="28">
        <v>246</v>
      </c>
      <c r="T488" s="1" t="s">
        <v>2</v>
      </c>
      <c r="U488" s="1" t="s">
        <v>536</v>
      </c>
      <c r="V488" s="1">
        <v>20241022</v>
      </c>
      <c r="W488" s="8" t="s">
        <v>8442</v>
      </c>
      <c r="Z488" s="1"/>
      <c r="AA488" s="1"/>
      <c r="AC488" s="1"/>
      <c r="AD488" s="1"/>
      <c r="AE488" s="1"/>
      <c r="AF488" s="1"/>
    </row>
    <row r="489" spans="2:32" ht="12.75" x14ac:dyDescent="0.2">
      <c r="B489" s="1" t="s">
        <v>8995</v>
      </c>
      <c r="C489" s="10">
        <f t="shared" ca="1" si="14"/>
        <v>43622</v>
      </c>
      <c r="D489" s="4"/>
      <c r="E489" s="4" t="s">
        <v>8434</v>
      </c>
      <c r="F489" s="4" t="s">
        <v>1293</v>
      </c>
      <c r="G489" s="4"/>
      <c r="H489" s="4" t="str">
        <f>_xlfn.IFNA(VLOOKUP(Table_Query_from_AMULTIQRY45[[#This Row],[WPROD]],'Part# with New'!$A$1:$B$4347,2,0),Table_Query_from_AMULTIQRY45[[#This Row],[WPROD]])</f>
        <v>WSMP112037003L-PRX15K</v>
      </c>
      <c r="I489" s="4" t="s">
        <v>8436</v>
      </c>
      <c r="J489" s="1" t="s">
        <v>5</v>
      </c>
      <c r="L489" s="11">
        <v>0.24385999999999999</v>
      </c>
      <c r="M489" s="1"/>
      <c r="N489" s="1" t="s">
        <v>18</v>
      </c>
      <c r="P489" s="1" t="str">
        <f>CONCATENATE(Table_Query_from_AMULTIQRY45[[#This Row],[WWHS]],"-",Table_Query_from_AMULTIQRY45[[#This Row],[LLOC]])</f>
        <v>E1-FG</v>
      </c>
      <c r="Q489" s="10">
        <f t="shared" ca="1" si="15"/>
        <v>45775</v>
      </c>
      <c r="R489" s="10"/>
      <c r="S489" s="28">
        <v>70</v>
      </c>
      <c r="T489" s="1" t="s">
        <v>2</v>
      </c>
      <c r="U489" s="1" t="s">
        <v>537</v>
      </c>
      <c r="V489" s="1">
        <v>20190606</v>
      </c>
      <c r="W489" s="8" t="s">
        <v>8442</v>
      </c>
      <c r="Z489" s="1"/>
      <c r="AA489" s="1"/>
      <c r="AC489" s="1"/>
      <c r="AD489" s="1"/>
      <c r="AE489" s="1"/>
      <c r="AF489" s="1"/>
    </row>
    <row r="490" spans="2:32" ht="12.75" x14ac:dyDescent="0.2">
      <c r="B490" s="1" t="s">
        <v>8996</v>
      </c>
      <c r="C490" s="10">
        <f t="shared" ca="1" si="14"/>
        <v>44742</v>
      </c>
      <c r="D490" s="4"/>
      <c r="E490" s="4" t="s">
        <v>8434</v>
      </c>
      <c r="F490" s="4" t="s">
        <v>1293</v>
      </c>
      <c r="G490" s="4"/>
      <c r="H490" s="4" t="str">
        <f>_xlfn.IFNA(VLOOKUP(Table_Query_from_AMULTIQRY45[[#This Row],[WPROD]],'Part# with New'!$A$1:$B$4347,2,0),Table_Query_from_AMULTIQRY45[[#This Row],[WPROD]])</f>
        <v>WPSM267251012D-PXX00W</v>
      </c>
      <c r="I490" s="4" t="s">
        <v>8436</v>
      </c>
      <c r="J490" s="1" t="s">
        <v>5</v>
      </c>
      <c r="L490" s="11">
        <v>0.15573000000000001</v>
      </c>
      <c r="M490" s="1"/>
      <c r="N490" s="1" t="s">
        <v>326</v>
      </c>
      <c r="P490" s="1" t="str">
        <f>CONCATENATE(Table_Query_from_AMULTIQRY45[[#This Row],[WWHS]],"-",Table_Query_from_AMULTIQRY45[[#This Row],[LLOC]])</f>
        <v>E1-FG</v>
      </c>
      <c r="Q490" s="10">
        <f t="shared" ca="1" si="15"/>
        <v>45775</v>
      </c>
      <c r="R490" s="10"/>
      <c r="S490" s="28">
        <v>949</v>
      </c>
      <c r="T490" s="1" t="s">
        <v>2</v>
      </c>
      <c r="U490" s="1" t="s">
        <v>538</v>
      </c>
      <c r="V490" s="1">
        <v>20220630</v>
      </c>
      <c r="W490" s="8" t="s">
        <v>8442</v>
      </c>
      <c r="Z490" s="1"/>
      <c r="AA490" s="1"/>
      <c r="AC490" s="1"/>
      <c r="AD490" s="1"/>
      <c r="AE490" s="1"/>
      <c r="AF490" s="1"/>
    </row>
    <row r="491" spans="2:32" ht="12.75" x14ac:dyDescent="0.2">
      <c r="B491" s="1" t="s">
        <v>8997</v>
      </c>
      <c r="C491" s="10">
        <f t="shared" ca="1" si="14"/>
        <v>44754</v>
      </c>
      <c r="D491" s="4"/>
      <c r="E491" s="4" t="s">
        <v>8434</v>
      </c>
      <c r="F491" s="4" t="s">
        <v>1293</v>
      </c>
      <c r="G491" s="4"/>
      <c r="H491" s="4" t="str">
        <f>_xlfn.IFNA(VLOOKUP(Table_Query_from_AMULTIQRY45[[#This Row],[WPROD]],'Part# with New'!$A$1:$B$4347,2,0),Table_Query_from_AMULTIQRY45[[#This Row],[WPROD]])</f>
        <v>WPSM366347011D-PXX00W</v>
      </c>
      <c r="I491" s="4" t="s">
        <v>8436</v>
      </c>
      <c r="J491" s="1" t="s">
        <v>5</v>
      </c>
      <c r="L491" s="11">
        <v>0.20250000000000001</v>
      </c>
      <c r="M491" s="1"/>
      <c r="N491" s="1" t="s">
        <v>326</v>
      </c>
      <c r="P491" s="1" t="str">
        <f>CONCATENATE(Table_Query_from_AMULTIQRY45[[#This Row],[WWHS]],"-",Table_Query_from_AMULTIQRY45[[#This Row],[LLOC]])</f>
        <v>E1-FG</v>
      </c>
      <c r="Q491" s="10">
        <f t="shared" ca="1" si="15"/>
        <v>45775</v>
      </c>
      <c r="R491" s="10"/>
      <c r="S491" s="28">
        <v>941</v>
      </c>
      <c r="T491" s="1" t="s">
        <v>2</v>
      </c>
      <c r="U491" s="1" t="s">
        <v>539</v>
      </c>
      <c r="V491" s="1">
        <v>20220712</v>
      </c>
      <c r="W491" s="8" t="s">
        <v>8442</v>
      </c>
      <c r="Z491" s="1"/>
      <c r="AA491" s="1"/>
      <c r="AC491" s="1"/>
      <c r="AD491" s="1"/>
      <c r="AE491" s="1"/>
      <c r="AF491" s="1"/>
    </row>
    <row r="492" spans="2:32" ht="12.75" x14ac:dyDescent="0.2">
      <c r="B492" s="1" t="s">
        <v>8998</v>
      </c>
      <c r="C492" s="10">
        <f t="shared" ca="1" si="14"/>
        <v>43598</v>
      </c>
      <c r="D492" s="4"/>
      <c r="E492" s="4" t="s">
        <v>8434</v>
      </c>
      <c r="F492" s="4" t="s">
        <v>1293</v>
      </c>
      <c r="G492" s="4"/>
      <c r="H492" s="4" t="str">
        <f>_xlfn.IFNA(VLOOKUP(Table_Query_from_AMULTIQRY45[[#This Row],[WPROD]],'Part# with New'!$A$1:$B$4347,2,0),Table_Query_from_AMULTIQRY45[[#This Row],[WPROD]])</f>
        <v>WPOT148135007D-PXX00W</v>
      </c>
      <c r="I492" s="4" t="s">
        <v>8436</v>
      </c>
      <c r="J492" s="1" t="s">
        <v>5</v>
      </c>
      <c r="L492" s="11">
        <v>9.0609999999999996E-2</v>
      </c>
      <c r="M492" s="1"/>
      <c r="N492" s="1" t="s">
        <v>3</v>
      </c>
      <c r="P492" s="1" t="str">
        <f>CONCATENATE(Table_Query_from_AMULTIQRY45[[#This Row],[WWHS]],"-",Table_Query_from_AMULTIQRY45[[#This Row],[LLOC]])</f>
        <v>E1-FG</v>
      </c>
      <c r="Q492" s="10">
        <f t="shared" ca="1" si="15"/>
        <v>45775</v>
      </c>
      <c r="R492" s="10"/>
      <c r="S492" s="28">
        <v>296</v>
      </c>
      <c r="T492" s="1" t="s">
        <v>2</v>
      </c>
      <c r="U492" s="1" t="s">
        <v>540</v>
      </c>
      <c r="V492" s="1">
        <v>20190513</v>
      </c>
      <c r="W492" s="8" t="s">
        <v>8442</v>
      </c>
      <c r="Z492" s="1"/>
      <c r="AA492" s="1"/>
      <c r="AC492" s="1"/>
      <c r="AD492" s="1"/>
      <c r="AE492" s="1"/>
      <c r="AF492" s="1"/>
    </row>
    <row r="493" spans="2:32" ht="12.75" x14ac:dyDescent="0.2">
      <c r="B493" s="1" t="s">
        <v>8999</v>
      </c>
      <c r="C493" s="10">
        <f t="shared" ca="1" si="14"/>
        <v>45559</v>
      </c>
      <c r="D493" s="4"/>
      <c r="E493" s="4" t="s">
        <v>8434</v>
      </c>
      <c r="F493" s="4" t="s">
        <v>1293</v>
      </c>
      <c r="G493" s="4"/>
      <c r="H493" s="4" t="str">
        <f>_xlfn.IFNA(VLOOKUP(Table_Query_from_AMULTIQRY45[[#This Row],[WPROD]],'Part# with New'!$A$1:$B$4347,2,0),Table_Query_from_AMULTIQRY45[[#This Row],[WPROD]])</f>
        <v>WPOT094081006D-PXX00W</v>
      </c>
      <c r="I493" s="4" t="s">
        <v>8436</v>
      </c>
      <c r="J493" s="1" t="s">
        <v>5</v>
      </c>
      <c r="L493" s="11">
        <v>6.4490000000000006E-2</v>
      </c>
      <c r="M493" s="1"/>
      <c r="N493" s="1" t="s">
        <v>3</v>
      </c>
      <c r="P493" s="1" t="str">
        <f>CONCATENATE(Table_Query_from_AMULTIQRY45[[#This Row],[WWHS]],"-",Table_Query_from_AMULTIQRY45[[#This Row],[LLOC]])</f>
        <v>E1-FG</v>
      </c>
      <c r="Q493" s="10">
        <f t="shared" ca="1" si="15"/>
        <v>45775</v>
      </c>
      <c r="R493" s="10"/>
      <c r="S493" s="28">
        <v>940</v>
      </c>
      <c r="T493" s="1" t="s">
        <v>2</v>
      </c>
      <c r="U493" s="1" t="s">
        <v>541</v>
      </c>
      <c r="V493" s="1">
        <v>20240924</v>
      </c>
      <c r="W493" s="8" t="s">
        <v>8442</v>
      </c>
      <c r="Z493" s="1"/>
      <c r="AA493" s="1"/>
      <c r="AC493" s="1"/>
      <c r="AD493" s="1"/>
      <c r="AE493" s="1"/>
      <c r="AF493" s="1"/>
    </row>
    <row r="494" spans="2:32" ht="12.75" x14ac:dyDescent="0.2">
      <c r="B494" s="1" t="s">
        <v>9000</v>
      </c>
      <c r="C494" s="10">
        <f t="shared" ca="1" si="14"/>
        <v>45457</v>
      </c>
      <c r="D494" s="4"/>
      <c r="E494" s="4" t="s">
        <v>8434</v>
      </c>
      <c r="F494" s="4" t="s">
        <v>1293</v>
      </c>
      <c r="G494" s="4"/>
      <c r="H494" s="4" t="str">
        <f>_xlfn.IFNA(VLOOKUP(Table_Query_from_AMULTIQRY45[[#This Row],[WPROD]],'Part# with New'!$A$1:$B$4347,2,0),Table_Query_from_AMULTIQRY45[[#This Row],[WPROD]])</f>
        <v>WSNC541522011D-PXX00W</v>
      </c>
      <c r="I494" s="4" t="s">
        <v>8436</v>
      </c>
      <c r="J494" s="1" t="s">
        <v>5</v>
      </c>
      <c r="L494" s="11">
        <v>0.6038</v>
      </c>
      <c r="M494" s="1"/>
      <c r="N494" s="1" t="s">
        <v>6</v>
      </c>
      <c r="P494" s="1" t="str">
        <f>CONCATENATE(Table_Query_from_AMULTIQRY45[[#This Row],[WWHS]],"-",Table_Query_from_AMULTIQRY45[[#This Row],[LLOC]])</f>
        <v>E1-FG</v>
      </c>
      <c r="Q494" s="10">
        <f t="shared" ca="1" si="15"/>
        <v>45775</v>
      </c>
      <c r="R494" s="10"/>
      <c r="S494" s="28">
        <v>127</v>
      </c>
      <c r="T494" s="1" t="s">
        <v>2</v>
      </c>
      <c r="U494" s="1" t="s">
        <v>542</v>
      </c>
      <c r="V494" s="1">
        <v>20240614</v>
      </c>
      <c r="W494" s="8" t="s">
        <v>8442</v>
      </c>
      <c r="Z494" s="1"/>
      <c r="AA494" s="1"/>
      <c r="AC494" s="1"/>
      <c r="AD494" s="1"/>
      <c r="AE494" s="1"/>
      <c r="AF494" s="1"/>
    </row>
    <row r="495" spans="2:32" ht="12.75" x14ac:dyDescent="0.2">
      <c r="B495" s="1" t="s">
        <v>9001</v>
      </c>
      <c r="C495" s="10">
        <f t="shared" ca="1" si="14"/>
        <v>45453</v>
      </c>
      <c r="D495" s="4"/>
      <c r="E495" s="4" t="s">
        <v>8434</v>
      </c>
      <c r="F495" s="4" t="s">
        <v>1293</v>
      </c>
      <c r="G495" s="4"/>
      <c r="H495" s="4" t="str">
        <f>_xlfn.IFNA(VLOOKUP(Table_Query_from_AMULTIQRY45[[#This Row],[WPROD]],'Part# with New'!$A$1:$B$4347,2,0),Table_Query_from_AMULTIQRY45[[#This Row],[WPROD]])</f>
        <v>WPSA050031005D-PGX25W</v>
      </c>
      <c r="I495" s="4" t="s">
        <v>8436</v>
      </c>
      <c r="J495" s="1" t="s">
        <v>5</v>
      </c>
      <c r="L495" s="11">
        <v>3.585E-2</v>
      </c>
      <c r="M495" s="1"/>
      <c r="N495" s="1" t="s">
        <v>9</v>
      </c>
      <c r="P495" s="1" t="str">
        <f>CONCATENATE(Table_Query_from_AMULTIQRY45[[#This Row],[WWHS]],"-",Table_Query_from_AMULTIQRY45[[#This Row],[LLOC]])</f>
        <v>E1-FG</v>
      </c>
      <c r="Q495" s="10">
        <f t="shared" ca="1" si="15"/>
        <v>45775</v>
      </c>
      <c r="R495" s="10"/>
      <c r="S495" s="28">
        <v>1897</v>
      </c>
      <c r="T495" s="1" t="s">
        <v>2</v>
      </c>
      <c r="U495" s="1" t="s">
        <v>543</v>
      </c>
      <c r="V495" s="1">
        <v>20240610</v>
      </c>
      <c r="W495" s="8" t="s">
        <v>8442</v>
      </c>
      <c r="Z495" s="1"/>
      <c r="AA495" s="1"/>
      <c r="AC495" s="1"/>
      <c r="AD495" s="1"/>
      <c r="AE495" s="1"/>
      <c r="AF495" s="1"/>
    </row>
    <row r="496" spans="2:32" ht="12.75" x14ac:dyDescent="0.2">
      <c r="B496" s="1" t="s">
        <v>9002</v>
      </c>
      <c r="C496" s="10">
        <f t="shared" ca="1" si="14"/>
        <v>45685</v>
      </c>
      <c r="D496" s="4"/>
      <c r="E496" s="4" t="s">
        <v>8434</v>
      </c>
      <c r="F496" s="4" t="s">
        <v>1293</v>
      </c>
      <c r="G496" s="4"/>
      <c r="H496" s="4" t="str">
        <f>_xlfn.IFNA(VLOOKUP(Table_Query_from_AMULTIQRY45[[#This Row],[WPROD]],'Part# with New'!$A$1:$B$4347,2,0),Table_Query_from_AMULTIQRY45[[#This Row],[WPROD]])</f>
        <v>WPSA066044005D-PGX25W</v>
      </c>
      <c r="I496" s="4" t="s">
        <v>8436</v>
      </c>
      <c r="J496" s="1" t="s">
        <v>5</v>
      </c>
      <c r="L496" s="11">
        <v>3.8640000000000001E-2</v>
      </c>
      <c r="M496" s="1"/>
      <c r="N496" s="1" t="s">
        <v>9</v>
      </c>
      <c r="P496" s="1" t="str">
        <f>CONCATENATE(Table_Query_from_AMULTIQRY45[[#This Row],[WWHS]],"-",Table_Query_from_AMULTIQRY45[[#This Row],[LLOC]])</f>
        <v>E1-FG</v>
      </c>
      <c r="Q496" s="10">
        <f t="shared" ca="1" si="15"/>
        <v>45775</v>
      </c>
      <c r="R496" s="10"/>
      <c r="S496" s="28">
        <v>5926</v>
      </c>
      <c r="T496" s="1" t="s">
        <v>2</v>
      </c>
      <c r="U496" s="1" t="s">
        <v>544</v>
      </c>
      <c r="V496" s="1">
        <v>20250128</v>
      </c>
      <c r="W496" s="8" t="s">
        <v>8442</v>
      </c>
      <c r="Z496" s="1"/>
      <c r="AA496" s="1"/>
      <c r="AC496" s="1"/>
      <c r="AD496" s="1"/>
      <c r="AE496" s="1"/>
      <c r="AF496" s="1"/>
    </row>
    <row r="497" spans="2:32" ht="12.75" x14ac:dyDescent="0.2">
      <c r="B497" s="1" t="s">
        <v>9003</v>
      </c>
      <c r="C497" s="10">
        <f t="shared" ca="1" si="14"/>
        <v>45747</v>
      </c>
      <c r="D497" s="4"/>
      <c r="E497" s="4" t="s">
        <v>8434</v>
      </c>
      <c r="F497" s="4" t="s">
        <v>1293</v>
      </c>
      <c r="G497" s="4"/>
      <c r="H497" s="4" t="str">
        <f>_xlfn.IFNA(VLOOKUP(Table_Query_from_AMULTIQRY45[[#This Row],[WPROD]],'Part# with New'!$A$1:$B$4347,2,0),Table_Query_from_AMULTIQRY45[[#This Row],[WPROD]])</f>
        <v>WPOT100062005D-PGX25W</v>
      </c>
      <c r="I497" s="4" t="s">
        <v>8436</v>
      </c>
      <c r="J497" s="1" t="s">
        <v>5</v>
      </c>
      <c r="L497" s="11">
        <v>0.11345</v>
      </c>
      <c r="M497" s="1"/>
      <c r="N497" s="1" t="s">
        <v>3</v>
      </c>
      <c r="P497" s="1" t="str">
        <f>CONCATENATE(Table_Query_from_AMULTIQRY45[[#This Row],[WWHS]],"-",Table_Query_from_AMULTIQRY45[[#This Row],[LLOC]])</f>
        <v>E1-FG</v>
      </c>
      <c r="Q497" s="10">
        <f t="shared" ca="1" si="15"/>
        <v>45775</v>
      </c>
      <c r="R497" s="10"/>
      <c r="S497" s="28">
        <v>946</v>
      </c>
      <c r="T497" s="1" t="s">
        <v>2</v>
      </c>
      <c r="U497" s="1" t="s">
        <v>545</v>
      </c>
      <c r="V497" s="1">
        <v>20250331</v>
      </c>
      <c r="W497" s="8" t="s">
        <v>8442</v>
      </c>
      <c r="Z497" s="1"/>
      <c r="AA497" s="1"/>
      <c r="AC497" s="1"/>
      <c r="AD497" s="1"/>
      <c r="AE497" s="1"/>
      <c r="AF497" s="1"/>
    </row>
    <row r="498" spans="2:32" ht="12.75" x14ac:dyDescent="0.2">
      <c r="B498" s="1" t="s">
        <v>9004</v>
      </c>
      <c r="C498" s="10">
        <f t="shared" ca="1" si="14"/>
        <v>43329</v>
      </c>
      <c r="D498" s="4"/>
      <c r="E498" s="4" t="s">
        <v>8434</v>
      </c>
      <c r="F498" s="4" t="s">
        <v>1293</v>
      </c>
      <c r="G498" s="4"/>
      <c r="H498" s="4" t="str">
        <f>_xlfn.IFNA(VLOOKUP(Table_Query_from_AMULTIQRY45[[#This Row],[WPROD]],'Part# with New'!$A$1:$B$4347,2,0),Table_Query_from_AMULTIQRY45[[#This Row],[WPROD]])</f>
        <v>WPOT173124008D-PGX25W</v>
      </c>
      <c r="I498" s="4" t="s">
        <v>8436</v>
      </c>
      <c r="J498" s="1" t="s">
        <v>5</v>
      </c>
      <c r="L498" s="11">
        <v>0.27468999999999999</v>
      </c>
      <c r="M498" s="1"/>
      <c r="N498" s="1" t="s">
        <v>3</v>
      </c>
      <c r="P498" s="1" t="str">
        <f>CONCATENATE(Table_Query_from_AMULTIQRY45[[#This Row],[WWHS]],"-",Table_Query_from_AMULTIQRY45[[#This Row],[LLOC]])</f>
        <v>E1-FG</v>
      </c>
      <c r="Q498" s="10">
        <f t="shared" ca="1" si="15"/>
        <v>45775</v>
      </c>
      <c r="R498" s="10"/>
      <c r="S498" s="28">
        <v>69</v>
      </c>
      <c r="T498" s="1" t="s">
        <v>2</v>
      </c>
      <c r="U498" s="1" t="s">
        <v>546</v>
      </c>
      <c r="V498" s="1">
        <v>20180817</v>
      </c>
      <c r="W498" s="8" t="s">
        <v>8442</v>
      </c>
      <c r="Z498" s="1"/>
      <c r="AA498" s="1"/>
      <c r="AC498" s="1"/>
      <c r="AD498" s="1"/>
      <c r="AE498" s="1"/>
      <c r="AF498" s="1"/>
    </row>
    <row r="499" spans="2:32" ht="12.75" x14ac:dyDescent="0.2">
      <c r="B499" s="1" t="s">
        <v>9005</v>
      </c>
      <c r="C499" s="10">
        <f t="shared" ca="1" si="14"/>
        <v>44781</v>
      </c>
      <c r="D499" s="4"/>
      <c r="E499" s="4" t="s">
        <v>8434</v>
      </c>
      <c r="F499" s="4" t="s">
        <v>1293</v>
      </c>
      <c r="G499" s="4"/>
      <c r="H499" s="4" t="str">
        <f>_xlfn.IFNA(VLOOKUP(Table_Query_from_AMULTIQRY45[[#This Row],[WPROD]],'Part# with New'!$A$1:$B$4347,2,0),Table_Query_from_AMULTIQRY45[[#This Row],[WPROD]])</f>
        <v>WPOT326312007D-PGX15W</v>
      </c>
      <c r="I499" s="4" t="s">
        <v>8436</v>
      </c>
      <c r="J499" s="1" t="s">
        <v>5</v>
      </c>
      <c r="L499" s="11">
        <v>0.24814</v>
      </c>
      <c r="M499" s="1"/>
      <c r="N499" s="1" t="s">
        <v>3</v>
      </c>
      <c r="P499" s="1" t="str">
        <f>CONCATENATE(Table_Query_from_AMULTIQRY45[[#This Row],[WWHS]],"-",Table_Query_from_AMULTIQRY45[[#This Row],[LLOC]])</f>
        <v>E1-FG</v>
      </c>
      <c r="Q499" s="10">
        <f t="shared" ca="1" si="15"/>
        <v>45775</v>
      </c>
      <c r="R499" s="10"/>
      <c r="S499" s="28">
        <v>190</v>
      </c>
      <c r="T499" s="1" t="s">
        <v>2</v>
      </c>
      <c r="U499" s="1" t="s">
        <v>547</v>
      </c>
      <c r="V499" s="1">
        <v>20220808</v>
      </c>
      <c r="W499" s="8" t="s">
        <v>8442</v>
      </c>
      <c r="Z499" s="1"/>
      <c r="AA499" s="1"/>
      <c r="AC499" s="1"/>
      <c r="AD499" s="1"/>
      <c r="AE499" s="1"/>
      <c r="AF499" s="1"/>
    </row>
    <row r="500" spans="2:32" ht="12.75" x14ac:dyDescent="0.2">
      <c r="B500" s="1" t="s">
        <v>9006</v>
      </c>
      <c r="C500" s="10">
        <f t="shared" ca="1" si="14"/>
        <v>45484</v>
      </c>
      <c r="D500" s="4"/>
      <c r="E500" s="4" t="s">
        <v>8434</v>
      </c>
      <c r="F500" s="4" t="s">
        <v>1293</v>
      </c>
      <c r="G500" s="4"/>
      <c r="H500" s="4" t="str">
        <f>_xlfn.IFNA(VLOOKUP(Table_Query_from_AMULTIQRY45[[#This Row],[WPROD]],'Part# with New'!$A$1:$B$4347,2,0),Table_Query_from_AMULTIQRY45[[#This Row],[WPROD]])</f>
        <v>WPOT078061012D-PXX00W</v>
      </c>
      <c r="I500" s="4" t="s">
        <v>8436</v>
      </c>
      <c r="J500" s="1" t="s">
        <v>5</v>
      </c>
      <c r="L500" s="11">
        <v>0.11274000000000001</v>
      </c>
      <c r="M500" s="1"/>
      <c r="N500" s="1" t="s">
        <v>3</v>
      </c>
      <c r="P500" s="1" t="str">
        <f>CONCATENATE(Table_Query_from_AMULTIQRY45[[#This Row],[WWHS]],"-",Table_Query_from_AMULTIQRY45[[#This Row],[LLOC]])</f>
        <v>E1-FG</v>
      </c>
      <c r="Q500" s="10">
        <f t="shared" ca="1" si="15"/>
        <v>45775</v>
      </c>
      <c r="R500" s="10"/>
      <c r="S500" s="28">
        <v>204</v>
      </c>
      <c r="T500" s="1" t="s">
        <v>2</v>
      </c>
      <c r="U500" s="1" t="s">
        <v>548</v>
      </c>
      <c r="V500" s="1">
        <v>20240711</v>
      </c>
      <c r="W500" s="8" t="s">
        <v>8442</v>
      </c>
      <c r="Z500" s="1"/>
      <c r="AA500" s="1"/>
      <c r="AC500" s="1"/>
      <c r="AD500" s="1"/>
      <c r="AE500" s="1"/>
      <c r="AF500" s="1"/>
    </row>
    <row r="501" spans="2:32" ht="12.75" x14ac:dyDescent="0.2">
      <c r="B501" s="1" t="s">
        <v>9007</v>
      </c>
      <c r="C501" s="10">
        <f t="shared" ca="1" si="14"/>
        <v>43712</v>
      </c>
      <c r="D501" s="4"/>
      <c r="E501" s="4" t="s">
        <v>8434</v>
      </c>
      <c r="F501" s="4" t="s">
        <v>1293</v>
      </c>
      <c r="G501" s="4"/>
      <c r="H501" s="4" t="str">
        <f>_xlfn.IFNA(VLOOKUP(Table_Query_from_AMULTIQRY45[[#This Row],[WPROD]],'Part# with New'!$A$1:$B$4347,2,0),Table_Query_from_AMULTIQRY45[[#This Row],[WPROD]])</f>
        <v>WPOT111086009D-PGX25W</v>
      </c>
      <c r="I501" s="4" t="s">
        <v>8436</v>
      </c>
      <c r="J501" s="1" t="s">
        <v>5</v>
      </c>
      <c r="L501" s="11">
        <v>0.14717</v>
      </c>
      <c r="M501" s="1"/>
      <c r="N501" s="1" t="s">
        <v>3</v>
      </c>
      <c r="P501" s="1" t="str">
        <f>CONCATENATE(Table_Query_from_AMULTIQRY45[[#This Row],[WWHS]],"-",Table_Query_from_AMULTIQRY45[[#This Row],[LLOC]])</f>
        <v>E1-FG</v>
      </c>
      <c r="Q501" s="10">
        <f t="shared" ca="1" si="15"/>
        <v>45775</v>
      </c>
      <c r="R501" s="10"/>
      <c r="S501" s="28">
        <v>145</v>
      </c>
      <c r="T501" s="1" t="s">
        <v>2</v>
      </c>
      <c r="U501" s="1" t="s">
        <v>549</v>
      </c>
      <c r="V501" s="1">
        <v>20190904</v>
      </c>
      <c r="W501" s="8" t="s">
        <v>8442</v>
      </c>
      <c r="Z501" s="1"/>
      <c r="AA501" s="1"/>
      <c r="AC501" s="1"/>
      <c r="AD501" s="1"/>
      <c r="AE501" s="1"/>
      <c r="AF501" s="1"/>
    </row>
    <row r="502" spans="2:32" ht="12.75" x14ac:dyDescent="0.2">
      <c r="B502" s="1" t="s">
        <v>9008</v>
      </c>
      <c r="C502" s="10">
        <f t="shared" ca="1" si="14"/>
        <v>45453</v>
      </c>
      <c r="D502" s="4"/>
      <c r="E502" s="4" t="s">
        <v>8434</v>
      </c>
      <c r="F502" s="4" t="s">
        <v>1293</v>
      </c>
      <c r="G502" s="4"/>
      <c r="H502" s="4" t="str">
        <f>_xlfn.IFNA(VLOOKUP(Table_Query_from_AMULTIQRY45[[#This Row],[WPROD]],'Part# with New'!$A$1:$B$4347,2,0),Table_Query_from_AMULTIQRY45[[#This Row],[WPROD]])</f>
        <v>WSNC061030012D-MRX10K</v>
      </c>
      <c r="I502" s="4" t="s">
        <v>8436</v>
      </c>
      <c r="J502" s="1" t="s">
        <v>5</v>
      </c>
      <c r="L502" s="11">
        <v>0.31208999999999998</v>
      </c>
      <c r="M502" s="1"/>
      <c r="N502" s="1" t="s">
        <v>6</v>
      </c>
      <c r="P502" s="1" t="str">
        <f>CONCATENATE(Table_Query_from_AMULTIQRY45[[#This Row],[WWHS]],"-",Table_Query_from_AMULTIQRY45[[#This Row],[LLOC]])</f>
        <v>E1-FG</v>
      </c>
      <c r="Q502" s="10">
        <f t="shared" ca="1" si="15"/>
        <v>45775</v>
      </c>
      <c r="R502" s="10"/>
      <c r="S502" s="28">
        <v>604</v>
      </c>
      <c r="T502" s="1" t="s">
        <v>2</v>
      </c>
      <c r="U502" s="1" t="s">
        <v>550</v>
      </c>
      <c r="V502" s="1">
        <v>20240610</v>
      </c>
      <c r="W502" s="8" t="s">
        <v>8442</v>
      </c>
      <c r="Z502" s="1"/>
      <c r="AA502" s="1"/>
      <c r="AC502" s="1"/>
      <c r="AD502" s="1"/>
      <c r="AE502" s="1"/>
      <c r="AF502" s="1"/>
    </row>
    <row r="503" spans="2:32" ht="12.75" x14ac:dyDescent="0.2">
      <c r="B503" s="1" t="s">
        <v>9009</v>
      </c>
      <c r="C503" s="10">
        <f t="shared" ca="1" si="14"/>
        <v>45358</v>
      </c>
      <c r="D503" s="4"/>
      <c r="E503" s="4" t="s">
        <v>8434</v>
      </c>
      <c r="F503" s="4" t="s">
        <v>1293</v>
      </c>
      <c r="G503" s="4"/>
      <c r="H503" s="4" t="str">
        <f>_xlfn.IFNA(VLOOKUP(Table_Query_from_AMULTIQRY45[[#This Row],[WPROD]],'Part# with New'!$A$1:$B$4347,2,0),Table_Query_from_AMULTIQRY45[[#This Row],[WPROD]])</f>
        <v>WPOT383370011D-PXX00W</v>
      </c>
      <c r="I503" s="4" t="s">
        <v>8436</v>
      </c>
      <c r="J503" s="1" t="s">
        <v>5</v>
      </c>
      <c r="L503" s="11">
        <v>0.63083999999999996</v>
      </c>
      <c r="M503" s="1"/>
      <c r="N503" s="1" t="s">
        <v>3</v>
      </c>
      <c r="P503" s="1" t="str">
        <f>CONCATENATE(Table_Query_from_AMULTIQRY45[[#This Row],[WWHS]],"-",Table_Query_from_AMULTIQRY45[[#This Row],[LLOC]])</f>
        <v>E1-FG</v>
      </c>
      <c r="Q503" s="10">
        <f t="shared" ca="1" si="15"/>
        <v>45775</v>
      </c>
      <c r="R503" s="10"/>
      <c r="S503" s="28">
        <v>537</v>
      </c>
      <c r="T503" s="1" t="s">
        <v>2</v>
      </c>
      <c r="U503" s="1" t="s">
        <v>551</v>
      </c>
      <c r="V503" s="1">
        <v>20240307</v>
      </c>
      <c r="W503" s="8" t="s">
        <v>8442</v>
      </c>
      <c r="Z503" s="1"/>
      <c r="AA503" s="1"/>
      <c r="AC503" s="1"/>
      <c r="AD503" s="1"/>
      <c r="AE503" s="1"/>
      <c r="AF503" s="1"/>
    </row>
    <row r="504" spans="2:32" ht="12.75" x14ac:dyDescent="0.2">
      <c r="B504" s="1" t="s">
        <v>9010</v>
      </c>
      <c r="C504" s="10">
        <f t="shared" ca="1" si="14"/>
        <v>45762</v>
      </c>
      <c r="D504" s="4"/>
      <c r="E504" s="4" t="s">
        <v>8434</v>
      </c>
      <c r="F504" s="4" t="s">
        <v>1293</v>
      </c>
      <c r="G504" s="4"/>
      <c r="H504" s="4" t="str">
        <f>_xlfn.IFNA(VLOOKUP(Table_Query_from_AMULTIQRY45[[#This Row],[WPROD]],'Part# with New'!$A$1:$B$4347,2,0),Table_Query_from_AMULTIQRY45[[#This Row],[WPROD]])</f>
        <v>WSNC093000046D-PXX00W</v>
      </c>
      <c r="I504" s="4" t="s">
        <v>8436</v>
      </c>
      <c r="J504" s="1" t="s">
        <v>5</v>
      </c>
      <c r="L504" s="11">
        <v>0.50226000000000004</v>
      </c>
      <c r="M504" s="1"/>
      <c r="N504" s="1" t="s">
        <v>6</v>
      </c>
      <c r="P504" s="1" t="str">
        <f>CONCATENATE(Table_Query_from_AMULTIQRY45[[#This Row],[WWHS]],"-",Table_Query_from_AMULTIQRY45[[#This Row],[LLOC]])</f>
        <v>E1-FG</v>
      </c>
      <c r="Q504" s="10">
        <f t="shared" ca="1" si="15"/>
        <v>45775</v>
      </c>
      <c r="R504" s="10"/>
      <c r="S504" s="28">
        <v>91</v>
      </c>
      <c r="T504" s="1" t="s">
        <v>2</v>
      </c>
      <c r="U504" s="1" t="s">
        <v>552</v>
      </c>
      <c r="V504" s="1">
        <v>20250415</v>
      </c>
      <c r="W504" s="8" t="s">
        <v>8442</v>
      </c>
      <c r="Z504" s="1"/>
      <c r="AA504" s="1"/>
      <c r="AC504" s="1"/>
      <c r="AD504" s="1"/>
      <c r="AE504" s="1"/>
      <c r="AF504" s="1"/>
    </row>
    <row r="505" spans="2:32" ht="12.75" x14ac:dyDescent="0.2">
      <c r="B505" s="1" t="s">
        <v>9011</v>
      </c>
      <c r="C505" s="10">
        <f t="shared" ca="1" si="14"/>
        <v>43480</v>
      </c>
      <c r="D505" s="4"/>
      <c r="E505" s="4" t="s">
        <v>8434</v>
      </c>
      <c r="F505" s="4" t="s">
        <v>1293</v>
      </c>
      <c r="G505" s="4"/>
      <c r="H505" s="4" t="str">
        <f>_xlfn.IFNA(VLOOKUP(Table_Query_from_AMULTIQRY45[[#This Row],[WPROD]],'Part# with New'!$A$1:$B$4347,2,0),Table_Query_from_AMULTIQRY45[[#This Row],[WPROD]])</f>
        <v>WPOT148136006D-PXX00W</v>
      </c>
      <c r="I505" s="4" t="s">
        <v>8436</v>
      </c>
      <c r="J505" s="1" t="s">
        <v>5</v>
      </c>
      <c r="L505" s="11">
        <v>0.10935</v>
      </c>
      <c r="M505" s="1"/>
      <c r="N505" s="1" t="s">
        <v>3</v>
      </c>
      <c r="P505" s="1" t="str">
        <f>CONCATENATE(Table_Query_from_AMULTIQRY45[[#This Row],[WWHS]],"-",Table_Query_from_AMULTIQRY45[[#This Row],[LLOC]])</f>
        <v>E1-FG</v>
      </c>
      <c r="Q505" s="10">
        <f t="shared" ca="1" si="15"/>
        <v>45775</v>
      </c>
      <c r="R505" s="10"/>
      <c r="S505" s="28">
        <v>570</v>
      </c>
      <c r="T505" s="1" t="s">
        <v>2</v>
      </c>
      <c r="U505" s="1" t="s">
        <v>553</v>
      </c>
      <c r="V505" s="1">
        <v>20190115</v>
      </c>
      <c r="W505" s="8" t="s">
        <v>8442</v>
      </c>
      <c r="Z505" s="1"/>
      <c r="AA505" s="1"/>
      <c r="AC505" s="1"/>
      <c r="AD505" s="1"/>
      <c r="AE505" s="1"/>
      <c r="AF505" s="1"/>
    </row>
    <row r="506" spans="2:32" ht="12.75" x14ac:dyDescent="0.2">
      <c r="B506" s="1" t="s">
        <v>9012</v>
      </c>
      <c r="C506" s="10">
        <f t="shared" ca="1" si="14"/>
        <v>45754</v>
      </c>
      <c r="D506" s="4"/>
      <c r="E506" s="4" t="s">
        <v>8434</v>
      </c>
      <c r="F506" s="4" t="s">
        <v>1293</v>
      </c>
      <c r="G506" s="4"/>
      <c r="H506" s="4" t="str">
        <f>_xlfn.IFNA(VLOOKUP(Table_Query_from_AMULTIQRY45[[#This Row],[WPROD]],'Part# with New'!$A$1:$B$4347,2,0),Table_Query_from_AMULTIQRY45[[#This Row],[WPROD]])</f>
        <v>WSNC180031063D-PXX00W</v>
      </c>
      <c r="I506" s="4" t="s">
        <v>8436</v>
      </c>
      <c r="J506" s="1" t="s">
        <v>5</v>
      </c>
      <c r="L506" s="11">
        <v>1.45448</v>
      </c>
      <c r="M506" s="1"/>
      <c r="N506" s="1" t="s">
        <v>6</v>
      </c>
      <c r="P506" s="1" t="str">
        <f>CONCATENATE(Table_Query_from_AMULTIQRY45[[#This Row],[WWHS]],"-",Table_Query_from_AMULTIQRY45[[#This Row],[LLOC]])</f>
        <v>E1-FG</v>
      </c>
      <c r="Q506" s="10">
        <f t="shared" ca="1" si="15"/>
        <v>45775</v>
      </c>
      <c r="R506" s="10"/>
      <c r="S506" s="28">
        <v>12</v>
      </c>
      <c r="T506" s="1" t="s">
        <v>2</v>
      </c>
      <c r="U506" s="1" t="s">
        <v>554</v>
      </c>
      <c r="V506" s="1">
        <v>20250407</v>
      </c>
      <c r="W506" s="8" t="s">
        <v>8442</v>
      </c>
      <c r="Z506" s="1"/>
      <c r="AA506" s="1"/>
      <c r="AC506" s="1"/>
      <c r="AD506" s="1"/>
      <c r="AE506" s="1"/>
      <c r="AF506" s="1"/>
    </row>
    <row r="507" spans="2:32" ht="12.75" x14ac:dyDescent="0.2">
      <c r="B507" s="1" t="s">
        <v>9013</v>
      </c>
      <c r="C507" s="10">
        <f t="shared" ca="1" si="14"/>
        <v>45757</v>
      </c>
      <c r="D507" s="4"/>
      <c r="E507" s="4" t="s">
        <v>8434</v>
      </c>
      <c r="F507" s="4" t="s">
        <v>1293</v>
      </c>
      <c r="G507" s="4"/>
      <c r="H507" s="4" t="str">
        <f>_xlfn.IFNA(VLOOKUP(Table_Query_from_AMULTIQRY45[[#This Row],[WPROD]],'Part# with New'!$A$1:$B$4347,2,0),Table_Query_from_AMULTIQRY45[[#This Row],[WPROD]])</f>
        <v>WSSL199149023D-MXX00W</v>
      </c>
      <c r="I507" s="4" t="s">
        <v>8436</v>
      </c>
      <c r="J507" s="1" t="s">
        <v>5</v>
      </c>
      <c r="L507" s="11">
        <v>0.43826999999999999</v>
      </c>
      <c r="M507" s="1"/>
      <c r="N507" s="1" t="s">
        <v>13</v>
      </c>
      <c r="P507" s="1" t="str">
        <f>CONCATENATE(Table_Query_from_AMULTIQRY45[[#This Row],[WWHS]],"-",Table_Query_from_AMULTIQRY45[[#This Row],[LLOC]])</f>
        <v>E1-FG</v>
      </c>
      <c r="Q507" s="10">
        <f t="shared" ca="1" si="15"/>
        <v>45775</v>
      </c>
      <c r="R507" s="10"/>
      <c r="S507" s="28">
        <v>403</v>
      </c>
      <c r="T507" s="1" t="s">
        <v>2</v>
      </c>
      <c r="U507" s="1" t="s">
        <v>555</v>
      </c>
      <c r="V507" s="1">
        <v>20250410</v>
      </c>
      <c r="W507" s="8" t="s">
        <v>8442</v>
      </c>
      <c r="Z507" s="1"/>
      <c r="AA507" s="1"/>
      <c r="AC507" s="1"/>
      <c r="AD507" s="1"/>
      <c r="AE507" s="1"/>
      <c r="AF507" s="1"/>
    </row>
    <row r="508" spans="2:32" ht="12.75" x14ac:dyDescent="0.2">
      <c r="B508" s="1" t="s">
        <v>9014</v>
      </c>
      <c r="C508" s="10">
        <f t="shared" ca="1" si="14"/>
        <v>45771</v>
      </c>
      <c r="D508" s="4"/>
      <c r="E508" s="4" t="s">
        <v>8434</v>
      </c>
      <c r="F508" s="4" t="s">
        <v>1293</v>
      </c>
      <c r="G508" s="4"/>
      <c r="H508" s="4" t="str">
        <f>_xlfn.IFNA(VLOOKUP(Table_Query_from_AMULTIQRY45[[#This Row],[WPROD]],'Part# with New'!$A$1:$B$4347,2,0),Table_Query_from_AMULTIQRY45[[#This Row],[WPROD]])</f>
        <v>WSSL254204023D-MXX00W</v>
      </c>
      <c r="I508" s="4" t="s">
        <v>8436</v>
      </c>
      <c r="J508" s="1" t="s">
        <v>5</v>
      </c>
      <c r="L508" s="11">
        <v>0.41535</v>
      </c>
      <c r="M508" s="1"/>
      <c r="N508" s="1" t="s">
        <v>13</v>
      </c>
      <c r="P508" s="1" t="str">
        <f>CONCATENATE(Table_Query_from_AMULTIQRY45[[#This Row],[WWHS]],"-",Table_Query_from_AMULTIQRY45[[#This Row],[LLOC]])</f>
        <v>E1-FG</v>
      </c>
      <c r="Q508" s="10">
        <f t="shared" ca="1" si="15"/>
        <v>45775</v>
      </c>
      <c r="R508" s="10"/>
      <c r="S508" s="28">
        <v>61</v>
      </c>
      <c r="T508" s="1" t="s">
        <v>2</v>
      </c>
      <c r="U508" s="1" t="s">
        <v>556</v>
      </c>
      <c r="V508" s="1">
        <v>20250424</v>
      </c>
      <c r="W508" s="8" t="s">
        <v>8442</v>
      </c>
      <c r="Z508" s="1"/>
      <c r="AA508" s="1"/>
      <c r="AC508" s="1"/>
      <c r="AD508" s="1"/>
      <c r="AE508" s="1"/>
      <c r="AF508" s="1"/>
    </row>
    <row r="509" spans="2:32" ht="12.75" x14ac:dyDescent="0.2">
      <c r="B509" s="1" t="s">
        <v>9015</v>
      </c>
      <c r="C509" s="10">
        <f t="shared" ca="1" si="14"/>
        <v>45736</v>
      </c>
      <c r="D509" s="4"/>
      <c r="E509" s="4" t="s">
        <v>8434</v>
      </c>
      <c r="F509" s="4" t="s">
        <v>1293</v>
      </c>
      <c r="G509" s="4"/>
      <c r="H509" s="4" t="str">
        <f>_xlfn.IFNA(VLOOKUP(Table_Query_from_AMULTIQRY45[[#This Row],[WPROD]],'Part# with New'!$A$1:$B$4347,2,0),Table_Query_from_AMULTIQRY45[[#This Row],[WPROD]])</f>
        <v>WPOT197183010D-PGX15G</v>
      </c>
      <c r="I509" s="4" t="s">
        <v>8436</v>
      </c>
      <c r="J509" s="1" t="s">
        <v>5</v>
      </c>
      <c r="L509" s="11">
        <v>0.23272999999999999</v>
      </c>
      <c r="M509" s="1"/>
      <c r="N509" s="1" t="s">
        <v>3</v>
      </c>
      <c r="P509" s="1" t="str">
        <f>CONCATENATE(Table_Query_from_AMULTIQRY45[[#This Row],[WWHS]],"-",Table_Query_from_AMULTIQRY45[[#This Row],[LLOC]])</f>
        <v>E1-FG</v>
      </c>
      <c r="Q509" s="10">
        <f t="shared" ca="1" si="15"/>
        <v>45775</v>
      </c>
      <c r="R509" s="10"/>
      <c r="S509" s="28">
        <v>482</v>
      </c>
      <c r="T509" s="1" t="s">
        <v>2</v>
      </c>
      <c r="U509" s="1" t="s">
        <v>557</v>
      </c>
      <c r="V509" s="1">
        <v>20250320</v>
      </c>
      <c r="W509" s="8" t="s">
        <v>8442</v>
      </c>
      <c r="Z509" s="1"/>
      <c r="AA509" s="1"/>
      <c r="AC509" s="1"/>
      <c r="AD509" s="1"/>
      <c r="AE509" s="1"/>
      <c r="AF509" s="1"/>
    </row>
    <row r="510" spans="2:32" ht="12.75" x14ac:dyDescent="0.2">
      <c r="B510" s="1" t="s">
        <v>9016</v>
      </c>
      <c r="C510" s="10">
        <f t="shared" ca="1" si="14"/>
        <v>45726</v>
      </c>
      <c r="D510" s="4"/>
      <c r="E510" s="4" t="s">
        <v>8434</v>
      </c>
      <c r="F510" s="4" t="s">
        <v>1293</v>
      </c>
      <c r="G510" s="4"/>
      <c r="H510" s="4" t="str">
        <f>_xlfn.IFNA(VLOOKUP(Table_Query_from_AMULTIQRY45[[#This Row],[WPROD]],'Part# with New'!$A$1:$B$4347,2,0),Table_Query_from_AMULTIQRY45[[#This Row],[WPROD]])</f>
        <v>WPOT100050002D-PFX15K</v>
      </c>
      <c r="I510" s="4" t="s">
        <v>8436</v>
      </c>
      <c r="J510" s="1" t="s">
        <v>5</v>
      </c>
      <c r="L510" s="11">
        <v>8.7069999999999995E-2</v>
      </c>
      <c r="M510" s="1"/>
      <c r="N510" s="1" t="s">
        <v>3</v>
      </c>
      <c r="P510" s="1" t="str">
        <f>CONCATENATE(Table_Query_from_AMULTIQRY45[[#This Row],[WWHS]],"-",Table_Query_from_AMULTIQRY45[[#This Row],[LLOC]])</f>
        <v>E1-FG</v>
      </c>
      <c r="Q510" s="10">
        <f t="shared" ca="1" si="15"/>
        <v>45775</v>
      </c>
      <c r="R510" s="10"/>
      <c r="S510" s="28">
        <v>674</v>
      </c>
      <c r="T510" s="1" t="s">
        <v>2</v>
      </c>
      <c r="U510" s="1" t="s">
        <v>558</v>
      </c>
      <c r="V510" s="1">
        <v>20250310</v>
      </c>
      <c r="W510" s="8" t="s">
        <v>8442</v>
      </c>
      <c r="Z510" s="1"/>
      <c r="AA510" s="1"/>
      <c r="AC510" s="1"/>
      <c r="AD510" s="1"/>
      <c r="AE510" s="1"/>
      <c r="AF510" s="1"/>
    </row>
    <row r="511" spans="2:32" ht="12.75" x14ac:dyDescent="0.2">
      <c r="B511" s="1" t="s">
        <v>9017</v>
      </c>
      <c r="C511" s="10">
        <f t="shared" ca="1" si="14"/>
        <v>43444</v>
      </c>
      <c r="D511" s="4"/>
      <c r="E511" s="4" t="s">
        <v>8434</v>
      </c>
      <c r="F511" s="4" t="s">
        <v>1293</v>
      </c>
      <c r="G511" s="4"/>
      <c r="H511" s="4" t="str">
        <f>_xlfn.IFNA(VLOOKUP(Table_Query_from_AMULTIQRY45[[#This Row],[WPROD]],'Part# with New'!$A$1:$B$4347,2,0),Table_Query_from_AMULTIQRY45[[#This Row],[WPROD]])</f>
        <v>WSNC285272010D-PGX15B</v>
      </c>
      <c r="I511" s="4" t="s">
        <v>8436</v>
      </c>
      <c r="J511" s="1" t="s">
        <v>5</v>
      </c>
      <c r="L511" s="11">
        <v>0.45140999999999998</v>
      </c>
      <c r="M511" s="1"/>
      <c r="N511" s="1" t="s">
        <v>6</v>
      </c>
      <c r="P511" s="1" t="str">
        <f>CONCATENATE(Table_Query_from_AMULTIQRY45[[#This Row],[WWHS]],"-",Table_Query_from_AMULTIQRY45[[#This Row],[LLOC]])</f>
        <v>E1-FG</v>
      </c>
      <c r="Q511" s="10">
        <f t="shared" ca="1" si="15"/>
        <v>45775</v>
      </c>
      <c r="R511" s="10"/>
      <c r="S511" s="28">
        <v>149</v>
      </c>
      <c r="T511" s="1" t="s">
        <v>2</v>
      </c>
      <c r="U511" s="1" t="s">
        <v>559</v>
      </c>
      <c r="V511" s="1">
        <v>20181210</v>
      </c>
      <c r="W511" s="8" t="s">
        <v>8442</v>
      </c>
      <c r="Z511" s="1"/>
      <c r="AA511" s="1"/>
      <c r="AC511" s="1"/>
      <c r="AD511" s="1"/>
      <c r="AE511" s="1"/>
      <c r="AF511" s="1"/>
    </row>
    <row r="512" spans="2:32" ht="12.75" x14ac:dyDescent="0.2">
      <c r="B512" s="1" t="s">
        <v>9018</v>
      </c>
      <c r="C512" s="10">
        <f t="shared" ca="1" si="14"/>
        <v>45688</v>
      </c>
      <c r="D512" s="4"/>
      <c r="E512" s="4" t="s">
        <v>8434</v>
      </c>
      <c r="F512" s="4" t="s">
        <v>1293</v>
      </c>
      <c r="G512" s="4"/>
      <c r="H512" s="4" t="str">
        <f>_xlfn.IFNA(VLOOKUP(Table_Query_from_AMULTIQRY45[[#This Row],[WPROD]],'Part# with New'!$A$1:$B$4347,2,0),Table_Query_from_AMULTIQRY45[[#This Row],[WPROD]])</f>
        <v>WPSS098086024B-PFX15K</v>
      </c>
      <c r="I512" s="4" t="s">
        <v>8436</v>
      </c>
      <c r="J512" s="1" t="s">
        <v>5</v>
      </c>
      <c r="L512" s="11">
        <v>0.19202</v>
      </c>
      <c r="M512" s="1"/>
      <c r="N512" s="1" t="s">
        <v>560</v>
      </c>
      <c r="P512" s="1" t="str">
        <f>CONCATENATE(Table_Query_from_AMULTIQRY45[[#This Row],[WWHS]],"-",Table_Query_from_AMULTIQRY45[[#This Row],[LLOC]])</f>
        <v>E1-FG</v>
      </c>
      <c r="Q512" s="10">
        <f t="shared" ca="1" si="15"/>
        <v>45775</v>
      </c>
      <c r="R512" s="10"/>
      <c r="S512" s="28">
        <v>9000</v>
      </c>
      <c r="T512" s="1" t="s">
        <v>2</v>
      </c>
      <c r="U512" s="1" t="s">
        <v>561</v>
      </c>
      <c r="V512" s="1">
        <v>20250131</v>
      </c>
      <c r="W512" s="8" t="s">
        <v>8442</v>
      </c>
      <c r="Z512" s="1"/>
      <c r="AA512" s="1"/>
      <c r="AC512" s="1"/>
      <c r="AD512" s="1"/>
      <c r="AE512" s="1"/>
      <c r="AF512" s="1"/>
    </row>
    <row r="513" spans="2:32" ht="12.75" x14ac:dyDescent="0.2">
      <c r="B513" s="1" t="s">
        <v>9019</v>
      </c>
      <c r="C513" s="10">
        <f t="shared" ca="1" si="14"/>
        <v>45708</v>
      </c>
      <c r="D513" s="4"/>
      <c r="E513" s="4" t="s">
        <v>8434</v>
      </c>
      <c r="F513" s="4" t="s">
        <v>1293</v>
      </c>
      <c r="G513" s="4"/>
      <c r="H513" s="4" t="str">
        <f>_xlfn.IFNA(VLOOKUP(Table_Query_from_AMULTIQRY45[[#This Row],[WPROD]],'Part# with New'!$A$1:$B$4347,2,0),Table_Query_from_AMULTIQRY45[[#This Row],[WPROD]])</f>
        <v>WSNC062051005D-PCR23K</v>
      </c>
      <c r="I513" s="4" t="s">
        <v>8436</v>
      </c>
      <c r="J513" s="1" t="s">
        <v>5</v>
      </c>
      <c r="L513" s="11">
        <v>0.18966</v>
      </c>
      <c r="M513" s="1"/>
      <c r="N513" s="1" t="s">
        <v>6</v>
      </c>
      <c r="P513" s="1" t="str">
        <f>CONCATENATE(Table_Query_from_AMULTIQRY45[[#This Row],[WWHS]],"-",Table_Query_from_AMULTIQRY45[[#This Row],[LLOC]])</f>
        <v>E1-FG</v>
      </c>
      <c r="Q513" s="10">
        <f t="shared" ca="1" si="15"/>
        <v>45775</v>
      </c>
      <c r="R513" s="10"/>
      <c r="S513" s="28">
        <v>395</v>
      </c>
      <c r="T513" s="1" t="s">
        <v>2</v>
      </c>
      <c r="U513" s="1" t="s">
        <v>562</v>
      </c>
      <c r="V513" s="1">
        <v>20250220</v>
      </c>
      <c r="W513" s="8" t="s">
        <v>8442</v>
      </c>
      <c r="Z513" s="1"/>
      <c r="AA513" s="1"/>
      <c r="AC513" s="1"/>
      <c r="AD513" s="1"/>
      <c r="AE513" s="1"/>
      <c r="AF513" s="1"/>
    </row>
    <row r="514" spans="2:32" ht="12.75" x14ac:dyDescent="0.2">
      <c r="B514" s="1" t="s">
        <v>9020</v>
      </c>
      <c r="C514" s="10">
        <f t="shared" ca="1" si="14"/>
        <v>45768</v>
      </c>
      <c r="D514" s="4"/>
      <c r="E514" s="4" t="s">
        <v>8434</v>
      </c>
      <c r="F514" s="4" t="s">
        <v>1293</v>
      </c>
      <c r="G514" s="4"/>
      <c r="H514" s="4" t="str">
        <f>_xlfn.IFNA(VLOOKUP(Table_Query_from_AMULTIQRY45[[#This Row],[WPROD]],'Part# with New'!$A$1:$B$4347,2,0),Table_Query_from_AMULTIQRY45[[#This Row],[WPROD]])</f>
        <v>WPOT062055035D-PXX00W</v>
      </c>
      <c r="I514" s="4" t="s">
        <v>8436</v>
      </c>
      <c r="J514" s="1" t="s">
        <v>5</v>
      </c>
      <c r="L514" s="11">
        <v>0.22434999999999999</v>
      </c>
      <c r="M514" s="1"/>
      <c r="N514" s="1" t="s">
        <v>3</v>
      </c>
      <c r="P514" s="1" t="str">
        <f>CONCATENATE(Table_Query_from_AMULTIQRY45[[#This Row],[WWHS]],"-",Table_Query_from_AMULTIQRY45[[#This Row],[LLOC]])</f>
        <v>E1-FG</v>
      </c>
      <c r="Q514" s="10">
        <f t="shared" ca="1" si="15"/>
        <v>45775</v>
      </c>
      <c r="R514" s="10"/>
      <c r="S514" s="28">
        <v>98</v>
      </c>
      <c r="T514" s="1" t="s">
        <v>2</v>
      </c>
      <c r="U514" s="1" t="s">
        <v>563</v>
      </c>
      <c r="V514" s="1">
        <v>20250421</v>
      </c>
      <c r="W514" s="8" t="s">
        <v>8442</v>
      </c>
      <c r="Z514" s="1"/>
      <c r="AA514" s="1"/>
      <c r="AC514" s="1"/>
      <c r="AD514" s="1"/>
      <c r="AE514" s="1"/>
      <c r="AF514" s="1"/>
    </row>
    <row r="515" spans="2:32" ht="12.75" x14ac:dyDescent="0.2">
      <c r="B515" s="1" t="s">
        <v>9021</v>
      </c>
      <c r="C515" s="10">
        <f t="shared" ca="1" si="14"/>
        <v>45539</v>
      </c>
      <c r="D515" s="4"/>
      <c r="E515" s="4" t="s">
        <v>8434</v>
      </c>
      <c r="F515" s="4" t="s">
        <v>1293</v>
      </c>
      <c r="G515" s="4"/>
      <c r="H515" s="4" t="str">
        <f>_xlfn.IFNA(VLOOKUP(Table_Query_from_AMULTIQRY45[[#This Row],[WPROD]],'Part# with New'!$A$1:$B$4347,2,0),Table_Query_from_AMULTIQRY45[[#This Row],[WPROD]])</f>
        <v>WPOT047039035D-PXX00W</v>
      </c>
      <c r="I515" s="4" t="s">
        <v>8436</v>
      </c>
      <c r="J515" s="1" t="s">
        <v>5</v>
      </c>
      <c r="L515" s="11">
        <v>0.29178999999999999</v>
      </c>
      <c r="M515" s="1"/>
      <c r="N515" s="1" t="s">
        <v>3</v>
      </c>
      <c r="P515" s="1" t="str">
        <f>CONCATENATE(Table_Query_from_AMULTIQRY45[[#This Row],[WWHS]],"-",Table_Query_from_AMULTIQRY45[[#This Row],[LLOC]])</f>
        <v>E1-FG</v>
      </c>
      <c r="Q515" s="10">
        <f t="shared" ca="1" si="15"/>
        <v>45775</v>
      </c>
      <c r="R515" s="10"/>
      <c r="S515" s="28">
        <v>49</v>
      </c>
      <c r="T515" s="1" t="s">
        <v>2</v>
      </c>
      <c r="U515" s="1" t="s">
        <v>564</v>
      </c>
      <c r="V515" s="1">
        <v>20240904</v>
      </c>
      <c r="W515" s="8" t="s">
        <v>8442</v>
      </c>
      <c r="Z515" s="1"/>
      <c r="AA515" s="1"/>
      <c r="AC515" s="1"/>
      <c r="AD515" s="1"/>
      <c r="AE515" s="1"/>
      <c r="AF515" s="1"/>
    </row>
    <row r="516" spans="2:32" ht="12.75" x14ac:dyDescent="0.2">
      <c r="B516" s="1" t="s">
        <v>9022</v>
      </c>
      <c r="C516" s="10">
        <f t="shared" ca="1" si="14"/>
        <v>45576</v>
      </c>
      <c r="D516" s="4"/>
      <c r="E516" s="4" t="s">
        <v>8434</v>
      </c>
      <c r="F516" s="4" t="s">
        <v>1293</v>
      </c>
      <c r="G516" s="4"/>
      <c r="H516" s="4" t="str">
        <f>_xlfn.IFNA(VLOOKUP(Table_Query_from_AMULTIQRY45[[#This Row],[WPROD]],'Part# with New'!$A$1:$B$4347,2,0),Table_Query_from_AMULTIQRY45[[#This Row],[WPROD]])</f>
        <v>WFFH197136018D-PXX00B</v>
      </c>
      <c r="I516" s="4" t="s">
        <v>8436</v>
      </c>
      <c r="J516" s="1" t="s">
        <v>5</v>
      </c>
      <c r="L516" s="11">
        <v>0.27593000000000001</v>
      </c>
      <c r="M516" s="1"/>
      <c r="N516" s="1" t="s">
        <v>15</v>
      </c>
      <c r="P516" s="1" t="str">
        <f>CONCATENATE(Table_Query_from_AMULTIQRY45[[#This Row],[WWHS]],"-",Table_Query_from_AMULTIQRY45[[#This Row],[LLOC]])</f>
        <v>E1-FG</v>
      </c>
      <c r="Q516" s="10">
        <f t="shared" ca="1" si="15"/>
        <v>45775</v>
      </c>
      <c r="R516" s="10"/>
      <c r="S516" s="28">
        <v>289</v>
      </c>
      <c r="T516" s="1" t="s">
        <v>2</v>
      </c>
      <c r="U516" s="1" t="s">
        <v>565</v>
      </c>
      <c r="V516" s="1">
        <v>20241011</v>
      </c>
      <c r="W516" s="8" t="s">
        <v>8442</v>
      </c>
      <c r="Z516" s="1"/>
      <c r="AA516" s="1"/>
      <c r="AC516" s="1"/>
      <c r="AD516" s="1"/>
      <c r="AE516" s="1"/>
      <c r="AF516" s="1"/>
    </row>
    <row r="517" spans="2:32" ht="12.75" x14ac:dyDescent="0.2">
      <c r="B517" s="1" t="s">
        <v>9023</v>
      </c>
      <c r="C517" s="10">
        <f t="shared" ca="1" si="14"/>
        <v>45512</v>
      </c>
      <c r="D517" s="4"/>
      <c r="E517" s="4" t="s">
        <v>8434</v>
      </c>
      <c r="F517" s="4" t="s">
        <v>1293</v>
      </c>
      <c r="G517" s="4"/>
      <c r="H517" s="4" t="str">
        <f>_xlfn.IFNA(VLOOKUP(Table_Query_from_AMULTIQRY45[[#This Row],[WPROD]],'Part# with New'!$A$1:$B$4347,2,0),Table_Query_from_AMULTIQRY45[[#This Row],[WPROD]])</f>
        <v>WFFH251186018D-PXX00B</v>
      </c>
      <c r="I517" s="4" t="s">
        <v>8436</v>
      </c>
      <c r="J517" s="1" t="s">
        <v>5</v>
      </c>
      <c r="L517" s="11">
        <v>0.33223000000000003</v>
      </c>
      <c r="M517" s="1"/>
      <c r="N517" s="1" t="s">
        <v>15</v>
      </c>
      <c r="P517" s="1" t="str">
        <f>CONCATENATE(Table_Query_from_AMULTIQRY45[[#This Row],[WWHS]],"-",Table_Query_from_AMULTIQRY45[[#This Row],[LLOC]])</f>
        <v>E1-FG</v>
      </c>
      <c r="Q517" s="10">
        <f t="shared" ca="1" si="15"/>
        <v>45775</v>
      </c>
      <c r="R517" s="10"/>
      <c r="S517" s="28">
        <v>360</v>
      </c>
      <c r="T517" s="1" t="s">
        <v>2</v>
      </c>
      <c r="U517" s="1" t="s">
        <v>566</v>
      </c>
      <c r="V517" s="1">
        <v>20240808</v>
      </c>
      <c r="W517" s="8" t="s">
        <v>8442</v>
      </c>
      <c r="Z517" s="1"/>
      <c r="AA517" s="1"/>
      <c r="AC517" s="1"/>
      <c r="AD517" s="1"/>
      <c r="AE517" s="1"/>
      <c r="AF517" s="1"/>
    </row>
    <row r="518" spans="2:32" ht="12.75" x14ac:dyDescent="0.2">
      <c r="B518" s="1" t="s">
        <v>9024</v>
      </c>
      <c r="C518" s="10">
        <f t="shared" ca="1" si="14"/>
        <v>45523</v>
      </c>
      <c r="D518" s="4"/>
      <c r="E518" s="4" t="s">
        <v>8434</v>
      </c>
      <c r="F518" s="4" t="s">
        <v>1293</v>
      </c>
      <c r="G518" s="4"/>
      <c r="H518" s="4" t="str">
        <f>_xlfn.IFNA(VLOOKUP(Table_Query_from_AMULTIQRY45[[#This Row],[WPROD]],'Part# with New'!$A$1:$B$4347,2,0),Table_Query_from_AMULTIQRY45[[#This Row],[WPROD]])</f>
        <v>WFFH467381018D-PXX00B</v>
      </c>
      <c r="I518" s="4" t="s">
        <v>8436</v>
      </c>
      <c r="J518" s="1" t="s">
        <v>5</v>
      </c>
      <c r="L518" s="11">
        <v>0.64527999999999996</v>
      </c>
      <c r="M518" s="1"/>
      <c r="N518" s="1" t="s">
        <v>15</v>
      </c>
      <c r="P518" s="1" t="str">
        <f>CONCATENATE(Table_Query_from_AMULTIQRY45[[#This Row],[WWHS]],"-",Table_Query_from_AMULTIQRY45[[#This Row],[LLOC]])</f>
        <v>E1-FG</v>
      </c>
      <c r="Q518" s="10">
        <f t="shared" ca="1" si="15"/>
        <v>45775</v>
      </c>
      <c r="R518" s="10"/>
      <c r="S518" s="28">
        <v>816</v>
      </c>
      <c r="T518" s="1" t="s">
        <v>2</v>
      </c>
      <c r="U518" s="1" t="s">
        <v>567</v>
      </c>
      <c r="V518" s="1">
        <v>20240819</v>
      </c>
      <c r="W518" s="8" t="s">
        <v>8442</v>
      </c>
      <c r="Z518" s="1"/>
      <c r="AA518" s="1"/>
      <c r="AC518" s="1"/>
      <c r="AD518" s="1"/>
      <c r="AE518" s="1"/>
      <c r="AF518" s="1"/>
    </row>
    <row r="519" spans="2:32" ht="12.75" x14ac:dyDescent="0.2">
      <c r="B519" s="1" t="s">
        <v>9025</v>
      </c>
      <c r="C519" s="10">
        <f t="shared" ref="C519:C582" ca="1" si="16">IFERROR(DATE(LEFT($V519,4),MID($V519,5,2),RIGHT($V519,2)),TODAY())</f>
        <v>45758</v>
      </c>
      <c r="D519" s="4"/>
      <c r="E519" s="4" t="s">
        <v>8434</v>
      </c>
      <c r="F519" s="4" t="s">
        <v>1293</v>
      </c>
      <c r="G519" s="4"/>
      <c r="H519" s="4" t="str">
        <f>_xlfn.IFNA(VLOOKUP(Table_Query_from_AMULTIQRY45[[#This Row],[WPROD]],'Part# with New'!$A$1:$B$4347,2,0),Table_Query_from_AMULTIQRY45[[#This Row],[WPROD]])</f>
        <v>WFFH345287038D-PXX00W</v>
      </c>
      <c r="I519" s="4" t="s">
        <v>8436</v>
      </c>
      <c r="J519" s="1" t="s">
        <v>5</v>
      </c>
      <c r="L519" s="11">
        <v>0.52617000000000003</v>
      </c>
      <c r="M519" s="1"/>
      <c r="N519" s="1" t="s">
        <v>15</v>
      </c>
      <c r="P519" s="1" t="str">
        <f>CONCATENATE(Table_Query_from_AMULTIQRY45[[#This Row],[WWHS]],"-",Table_Query_from_AMULTIQRY45[[#This Row],[LLOC]])</f>
        <v>E1-FG</v>
      </c>
      <c r="Q519" s="10">
        <f t="shared" ref="Q519:Q582" ca="1" si="17">+TODAY()</f>
        <v>45775</v>
      </c>
      <c r="R519" s="10"/>
      <c r="S519" s="28">
        <v>386</v>
      </c>
      <c r="T519" s="1" t="s">
        <v>2</v>
      </c>
      <c r="U519" s="1" t="s">
        <v>568</v>
      </c>
      <c r="V519" s="1">
        <v>20250411</v>
      </c>
      <c r="W519" s="8" t="s">
        <v>8442</v>
      </c>
      <c r="Z519" s="1"/>
      <c r="AA519" s="1"/>
      <c r="AC519" s="1"/>
      <c r="AD519" s="1"/>
      <c r="AE519" s="1"/>
      <c r="AF519" s="1"/>
    </row>
    <row r="520" spans="2:32" ht="12.75" x14ac:dyDescent="0.2">
      <c r="B520" s="1" t="s">
        <v>9026</v>
      </c>
      <c r="C520" s="10">
        <f t="shared" ca="1" si="16"/>
        <v>45734</v>
      </c>
      <c r="D520" s="4"/>
      <c r="E520" s="4" t="s">
        <v>8434</v>
      </c>
      <c r="F520" s="4" t="s">
        <v>1293</v>
      </c>
      <c r="G520" s="4"/>
      <c r="H520" s="4" t="str">
        <f>_xlfn.IFNA(VLOOKUP(Table_Query_from_AMULTIQRY45[[#This Row],[WPROD]],'Part# with New'!$A$1:$B$4347,2,0),Table_Query_from_AMULTIQRY45[[#This Row],[WPROD]])</f>
        <v>WFFH344288037D-PXX00B</v>
      </c>
      <c r="I520" s="4" t="s">
        <v>8436</v>
      </c>
      <c r="J520" s="1" t="s">
        <v>5</v>
      </c>
      <c r="L520" s="11">
        <v>0.52393000000000001</v>
      </c>
      <c r="M520" s="1"/>
      <c r="N520" s="1" t="s">
        <v>15</v>
      </c>
      <c r="P520" s="1" t="str">
        <f>CONCATENATE(Table_Query_from_AMULTIQRY45[[#This Row],[WWHS]],"-",Table_Query_from_AMULTIQRY45[[#This Row],[LLOC]])</f>
        <v>E1-FG</v>
      </c>
      <c r="Q520" s="10">
        <f t="shared" ca="1" si="17"/>
        <v>45775</v>
      </c>
      <c r="R520" s="10"/>
      <c r="S520" s="28">
        <v>13</v>
      </c>
      <c r="T520" s="1" t="s">
        <v>2</v>
      </c>
      <c r="U520" s="1" t="s">
        <v>569</v>
      </c>
      <c r="V520" s="1">
        <v>20250318</v>
      </c>
      <c r="W520" s="8" t="s">
        <v>8442</v>
      </c>
      <c r="Z520" s="1"/>
      <c r="AA520" s="1"/>
      <c r="AC520" s="1"/>
      <c r="AD520" s="1"/>
      <c r="AE520" s="1"/>
      <c r="AF520" s="1"/>
    </row>
    <row r="521" spans="2:32" ht="12.75" x14ac:dyDescent="0.2">
      <c r="B521" s="1" t="s">
        <v>9027</v>
      </c>
      <c r="C521" s="10">
        <f t="shared" ca="1" si="16"/>
        <v>45559</v>
      </c>
      <c r="D521" s="4"/>
      <c r="E521" s="4" t="s">
        <v>8434</v>
      </c>
      <c r="F521" s="4" t="s">
        <v>1293</v>
      </c>
      <c r="G521" s="4"/>
      <c r="H521" s="4" t="str">
        <f>_xlfn.IFNA(VLOOKUP(Table_Query_from_AMULTIQRY45[[#This Row],[WPROD]],'Part# with New'!$A$1:$B$4347,2,0),Table_Query_from_AMULTIQRY45[[#This Row],[WPROD]])</f>
        <v>WSOR045018031D-DN050K</v>
      </c>
      <c r="I521" s="4" t="s">
        <v>8436</v>
      </c>
      <c r="J521" s="1" t="s">
        <v>5</v>
      </c>
      <c r="L521" s="11">
        <v>0.42552000000000001</v>
      </c>
      <c r="M521" s="1"/>
      <c r="N521" s="1" t="s">
        <v>480</v>
      </c>
      <c r="P521" s="1" t="str">
        <f>CONCATENATE(Table_Query_from_AMULTIQRY45[[#This Row],[WWHS]],"-",Table_Query_from_AMULTIQRY45[[#This Row],[LLOC]])</f>
        <v>E1-FG</v>
      </c>
      <c r="Q521" s="10">
        <f t="shared" ca="1" si="17"/>
        <v>45775</v>
      </c>
      <c r="R521" s="10"/>
      <c r="S521" s="28">
        <v>8</v>
      </c>
      <c r="T521" s="1" t="s">
        <v>2</v>
      </c>
      <c r="U521" s="1" t="s">
        <v>570</v>
      </c>
      <c r="V521" s="1">
        <v>20240924</v>
      </c>
      <c r="W521" s="8" t="s">
        <v>8442</v>
      </c>
      <c r="Z521" s="1"/>
      <c r="AA521" s="1"/>
      <c r="AC521" s="1"/>
      <c r="AD521" s="1"/>
      <c r="AE521" s="1"/>
      <c r="AF521" s="1"/>
    </row>
    <row r="522" spans="2:32" ht="12.75" x14ac:dyDescent="0.2">
      <c r="B522" s="1" t="s">
        <v>9028</v>
      </c>
      <c r="C522" s="10">
        <f t="shared" ca="1" si="16"/>
        <v>45562</v>
      </c>
      <c r="D522" s="4"/>
      <c r="E522" s="4" t="s">
        <v>8434</v>
      </c>
      <c r="F522" s="4" t="s">
        <v>1293</v>
      </c>
      <c r="G522" s="4"/>
      <c r="H522" s="4" t="str">
        <f>_xlfn.IFNA(VLOOKUP(Table_Query_from_AMULTIQRY45[[#This Row],[WPROD]],'Part# with New'!$A$1:$B$4347,2,0),Table_Query_from_AMULTIQRY45[[#This Row],[WPROD]])</f>
        <v>WPSM093071011D-PXX00W</v>
      </c>
      <c r="I522" s="4" t="s">
        <v>8436</v>
      </c>
      <c r="J522" s="1" t="s">
        <v>5</v>
      </c>
      <c r="L522" s="11">
        <v>7.2620000000000004E-2</v>
      </c>
      <c r="M522" s="1"/>
      <c r="N522" s="1" t="s">
        <v>326</v>
      </c>
      <c r="P522" s="1" t="str">
        <f>CONCATENATE(Table_Query_from_AMULTIQRY45[[#This Row],[WWHS]],"-",Table_Query_from_AMULTIQRY45[[#This Row],[LLOC]])</f>
        <v>E1-FG</v>
      </c>
      <c r="Q522" s="10">
        <f t="shared" ca="1" si="17"/>
        <v>45775</v>
      </c>
      <c r="R522" s="10"/>
      <c r="S522" s="28">
        <v>3520</v>
      </c>
      <c r="T522" s="1" t="s">
        <v>2</v>
      </c>
      <c r="U522" s="1" t="s">
        <v>571</v>
      </c>
      <c r="V522" s="1">
        <v>20240927</v>
      </c>
      <c r="W522" s="8" t="s">
        <v>8442</v>
      </c>
      <c r="Z522" s="1"/>
      <c r="AA522" s="1"/>
      <c r="AC522" s="1"/>
      <c r="AD522" s="1"/>
      <c r="AE522" s="1"/>
      <c r="AF522" s="1"/>
    </row>
    <row r="523" spans="2:32" ht="12.75" x14ac:dyDescent="0.2">
      <c r="B523" s="1" t="s">
        <v>9029</v>
      </c>
      <c r="C523" s="10">
        <f t="shared" ca="1" si="16"/>
        <v>45594</v>
      </c>
      <c r="D523" s="4"/>
      <c r="E523" s="4" t="s">
        <v>8434</v>
      </c>
      <c r="F523" s="4" t="s">
        <v>1293</v>
      </c>
      <c r="G523" s="4"/>
      <c r="H523" s="4" t="str">
        <f>_xlfn.IFNA(VLOOKUP(Table_Query_from_AMULTIQRY45[[#This Row],[WPROD]],'Part# with New'!$A$1:$B$4347,2,0),Table_Query_from_AMULTIQRY45[[#This Row],[WPROD]])</f>
        <v>WSNC420407011D-PGX15W</v>
      </c>
      <c r="I523" s="4" t="s">
        <v>8436</v>
      </c>
      <c r="J523" s="1" t="s">
        <v>5</v>
      </c>
      <c r="L523" s="11">
        <v>0.42131999999999997</v>
      </c>
      <c r="M523" s="1"/>
      <c r="N523" s="1" t="s">
        <v>6</v>
      </c>
      <c r="P523" s="1" t="str">
        <f>CONCATENATE(Table_Query_from_AMULTIQRY45[[#This Row],[WWHS]],"-",Table_Query_from_AMULTIQRY45[[#This Row],[LLOC]])</f>
        <v>E1-FG</v>
      </c>
      <c r="Q523" s="10">
        <f t="shared" ca="1" si="17"/>
        <v>45775</v>
      </c>
      <c r="R523" s="10"/>
      <c r="S523" s="28">
        <v>197</v>
      </c>
      <c r="T523" s="1" t="s">
        <v>2</v>
      </c>
      <c r="U523" s="1" t="s">
        <v>572</v>
      </c>
      <c r="V523" s="1">
        <v>20241029</v>
      </c>
      <c r="W523" s="8" t="s">
        <v>8442</v>
      </c>
      <c r="Z523" s="1"/>
      <c r="AA523" s="1"/>
      <c r="AC523" s="1"/>
      <c r="AD523" s="1"/>
      <c r="AE523" s="1"/>
      <c r="AF523" s="1"/>
    </row>
    <row r="524" spans="2:32" ht="12.75" x14ac:dyDescent="0.2">
      <c r="B524" s="1" t="s">
        <v>9030</v>
      </c>
      <c r="C524" s="10">
        <f t="shared" ca="1" si="16"/>
        <v>45747</v>
      </c>
      <c r="D524" s="4"/>
      <c r="E524" s="4" t="s">
        <v>8434</v>
      </c>
      <c r="F524" s="4" t="s">
        <v>1293</v>
      </c>
      <c r="G524" s="4"/>
      <c r="H524" s="4" t="str">
        <f>_xlfn.IFNA(VLOOKUP(Table_Query_from_AMULTIQRY45[[#This Row],[WPROD]],'Part# with New'!$A$1:$B$4347,2,0),Table_Query_from_AMULTIQRY45[[#This Row],[WPROD]])</f>
        <v>WSNC197109034D-PXX00W</v>
      </c>
      <c r="I524" s="4" t="s">
        <v>8436</v>
      </c>
      <c r="J524" s="1" t="s">
        <v>5</v>
      </c>
      <c r="L524" s="11">
        <v>1.65428</v>
      </c>
      <c r="M524" s="1"/>
      <c r="N524" s="1" t="s">
        <v>6</v>
      </c>
      <c r="P524" s="1" t="str">
        <f>CONCATENATE(Table_Query_from_AMULTIQRY45[[#This Row],[WWHS]],"-",Table_Query_from_AMULTIQRY45[[#This Row],[LLOC]])</f>
        <v>E1-FG</v>
      </c>
      <c r="Q524" s="10">
        <f t="shared" ca="1" si="17"/>
        <v>45775</v>
      </c>
      <c r="R524" s="10"/>
      <c r="S524" s="28">
        <v>11</v>
      </c>
      <c r="T524" s="1" t="s">
        <v>2</v>
      </c>
      <c r="U524" s="1" t="s">
        <v>573</v>
      </c>
      <c r="V524" s="1">
        <v>20250331</v>
      </c>
      <c r="W524" s="8" t="s">
        <v>8442</v>
      </c>
      <c r="Z524" s="1"/>
      <c r="AA524" s="1"/>
      <c r="AC524" s="1"/>
      <c r="AD524" s="1"/>
      <c r="AE524" s="1"/>
      <c r="AF524" s="1"/>
    </row>
    <row r="525" spans="2:32" ht="12.75" x14ac:dyDescent="0.2">
      <c r="B525" s="1" t="s">
        <v>9031</v>
      </c>
      <c r="C525" s="10">
        <f t="shared" ca="1" si="16"/>
        <v>45748</v>
      </c>
      <c r="D525" s="4"/>
      <c r="E525" s="4" t="s">
        <v>8434</v>
      </c>
      <c r="F525" s="4" t="s">
        <v>1293</v>
      </c>
      <c r="G525" s="4"/>
      <c r="H525" s="4" t="str">
        <f>_xlfn.IFNA(VLOOKUP(Table_Query_from_AMULTIQRY45[[#This Row],[WPROD]],'Part# with New'!$A$1:$B$4347,2,0),Table_Query_from_AMULTIQRY45[[#This Row],[WPROD]])</f>
        <v>WFFH293239034D-PXX00W</v>
      </c>
      <c r="I525" s="4" t="s">
        <v>8436</v>
      </c>
      <c r="J525" s="1" t="s">
        <v>5</v>
      </c>
      <c r="L525" s="11">
        <v>0.32590999999999998</v>
      </c>
      <c r="M525" s="1"/>
      <c r="N525" s="1" t="s">
        <v>15</v>
      </c>
      <c r="P525" s="1" t="str">
        <f>CONCATENATE(Table_Query_from_AMULTIQRY45[[#This Row],[WWHS]],"-",Table_Query_from_AMULTIQRY45[[#This Row],[LLOC]])</f>
        <v>E1-FG</v>
      </c>
      <c r="Q525" s="10">
        <f t="shared" ca="1" si="17"/>
        <v>45775</v>
      </c>
      <c r="R525" s="10"/>
      <c r="S525" s="28">
        <v>146</v>
      </c>
      <c r="T525" s="1" t="s">
        <v>2</v>
      </c>
      <c r="U525" s="1" t="s">
        <v>574</v>
      </c>
      <c r="V525" s="1">
        <v>20250401</v>
      </c>
      <c r="W525" s="8" t="s">
        <v>8442</v>
      </c>
      <c r="Z525" s="1"/>
      <c r="AA525" s="1"/>
      <c r="AC525" s="1"/>
      <c r="AD525" s="1"/>
      <c r="AE525" s="1"/>
      <c r="AF525" s="1"/>
    </row>
    <row r="526" spans="2:32" ht="12.75" x14ac:dyDescent="0.2">
      <c r="B526" s="1" t="s">
        <v>9032</v>
      </c>
      <c r="C526" s="10">
        <f t="shared" ca="1" si="16"/>
        <v>44642</v>
      </c>
      <c r="D526" s="4"/>
      <c r="E526" s="4" t="s">
        <v>8434</v>
      </c>
      <c r="F526" s="4" t="s">
        <v>1293</v>
      </c>
      <c r="G526" s="4"/>
      <c r="H526" s="4" t="str">
        <f>_xlfn.IFNA(VLOOKUP(Table_Query_from_AMULTIQRY45[[#This Row],[WPROD]],'Part# with New'!$A$1:$B$4347,2,0),Table_Query_from_AMULTIQRY45[[#This Row],[WPROD]])</f>
        <v>WFFH294238043D-PXX00W</v>
      </c>
      <c r="I526" s="4" t="s">
        <v>8436</v>
      </c>
      <c r="J526" s="1" t="s">
        <v>5</v>
      </c>
      <c r="L526" s="11">
        <v>0.46660000000000001</v>
      </c>
      <c r="M526" s="1"/>
      <c r="N526" s="1" t="s">
        <v>15</v>
      </c>
      <c r="P526" s="1" t="str">
        <f>CONCATENATE(Table_Query_from_AMULTIQRY45[[#This Row],[WWHS]],"-",Table_Query_from_AMULTIQRY45[[#This Row],[LLOC]])</f>
        <v>E1-FG</v>
      </c>
      <c r="Q526" s="10">
        <f t="shared" ca="1" si="17"/>
        <v>45775</v>
      </c>
      <c r="R526" s="10"/>
      <c r="S526" s="28">
        <v>250</v>
      </c>
      <c r="T526" s="1" t="s">
        <v>2</v>
      </c>
      <c r="U526" s="1" t="s">
        <v>575</v>
      </c>
      <c r="V526" s="1">
        <v>20220322</v>
      </c>
      <c r="W526" s="8" t="s">
        <v>8442</v>
      </c>
      <c r="Z526" s="1"/>
      <c r="AA526" s="1"/>
      <c r="AC526" s="1"/>
      <c r="AD526" s="1"/>
      <c r="AE526" s="1"/>
      <c r="AF526" s="1"/>
    </row>
    <row r="527" spans="2:32" ht="12.75" x14ac:dyDescent="0.2">
      <c r="B527" s="1" t="s">
        <v>9033</v>
      </c>
      <c r="C527" s="10">
        <f t="shared" ca="1" si="16"/>
        <v>45758</v>
      </c>
      <c r="D527" s="4"/>
      <c r="E527" s="4" t="s">
        <v>8434</v>
      </c>
      <c r="F527" s="4" t="s">
        <v>1293</v>
      </c>
      <c r="G527" s="4"/>
      <c r="H527" s="4" t="str">
        <f>_xlfn.IFNA(VLOOKUP(Table_Query_from_AMULTIQRY45[[#This Row],[WPROD]],'Part# with New'!$A$1:$B$4347,2,0),Table_Query_from_AMULTIQRY45[[#This Row],[WPROD]])</f>
        <v>WFFH344287047D-PXX00W</v>
      </c>
      <c r="I527" s="4" t="s">
        <v>8436</v>
      </c>
      <c r="J527" s="1" t="s">
        <v>5</v>
      </c>
      <c r="L527" s="11">
        <v>0.63617999999999997</v>
      </c>
      <c r="M527" s="1"/>
      <c r="N527" s="1" t="s">
        <v>348</v>
      </c>
      <c r="P527" s="1" t="str">
        <f>CONCATENATE(Table_Query_from_AMULTIQRY45[[#This Row],[WWHS]],"-",Table_Query_from_AMULTIQRY45[[#This Row],[LLOC]])</f>
        <v>E1-FG</v>
      </c>
      <c r="Q527" s="10">
        <f t="shared" ca="1" si="17"/>
        <v>45775</v>
      </c>
      <c r="R527" s="10"/>
      <c r="S527" s="28">
        <v>16</v>
      </c>
      <c r="T527" s="1" t="s">
        <v>2</v>
      </c>
      <c r="U527" s="1" t="s">
        <v>576</v>
      </c>
      <c r="V527" s="1">
        <v>20250411</v>
      </c>
      <c r="W527" s="8" t="s">
        <v>8442</v>
      </c>
      <c r="Z527" s="1"/>
      <c r="AA527" s="1"/>
      <c r="AC527" s="1"/>
      <c r="AD527" s="1"/>
      <c r="AE527" s="1"/>
      <c r="AF527" s="1"/>
    </row>
    <row r="528" spans="2:32" ht="12.75" x14ac:dyDescent="0.2">
      <c r="B528" s="1" t="s">
        <v>9034</v>
      </c>
      <c r="C528" s="10">
        <f t="shared" ca="1" si="16"/>
        <v>45604</v>
      </c>
      <c r="D528" s="4"/>
      <c r="E528" s="4" t="s">
        <v>8434</v>
      </c>
      <c r="F528" s="4" t="s">
        <v>1293</v>
      </c>
      <c r="G528" s="4"/>
      <c r="H528" s="4" t="str">
        <f>_xlfn.IFNA(VLOOKUP(Table_Query_from_AMULTIQRY45[[#This Row],[WPROD]],'Part# with New'!$A$1:$B$4347,2,0),Table_Query_from_AMULTIQRY45[[#This Row],[WPROD]])</f>
        <v>WFFH501387020D-PXX00W</v>
      </c>
      <c r="I528" s="4" t="s">
        <v>8436</v>
      </c>
      <c r="J528" s="1" t="s">
        <v>5</v>
      </c>
      <c r="L528" s="11">
        <v>1.01447</v>
      </c>
      <c r="M528" s="1"/>
      <c r="N528" s="1" t="s">
        <v>15</v>
      </c>
      <c r="P528" s="1" t="str">
        <f>CONCATENATE(Table_Query_from_AMULTIQRY45[[#This Row],[WWHS]],"-",Table_Query_from_AMULTIQRY45[[#This Row],[LLOC]])</f>
        <v>E1-FG</v>
      </c>
      <c r="Q528" s="10">
        <f t="shared" ca="1" si="17"/>
        <v>45775</v>
      </c>
      <c r="R528" s="10"/>
      <c r="S528" s="28">
        <v>180</v>
      </c>
      <c r="T528" s="1" t="s">
        <v>2</v>
      </c>
      <c r="U528" s="1" t="s">
        <v>577</v>
      </c>
      <c r="V528" s="1">
        <v>20241108</v>
      </c>
      <c r="W528" s="8" t="s">
        <v>8442</v>
      </c>
      <c r="Z528" s="1"/>
      <c r="AA528" s="1"/>
      <c r="AC528" s="1"/>
      <c r="AD528" s="1"/>
      <c r="AE528" s="1"/>
      <c r="AF528" s="1"/>
    </row>
    <row r="529" spans="2:32" ht="12.75" x14ac:dyDescent="0.2">
      <c r="B529" s="1" t="s">
        <v>9035</v>
      </c>
      <c r="C529" s="10">
        <f t="shared" ca="1" si="16"/>
        <v>45719</v>
      </c>
      <c r="D529" s="4"/>
      <c r="E529" s="4" t="s">
        <v>8434</v>
      </c>
      <c r="F529" s="4" t="s">
        <v>1293</v>
      </c>
      <c r="G529" s="4"/>
      <c r="H529" s="4" t="str">
        <f>_xlfn.IFNA(VLOOKUP(Table_Query_from_AMULTIQRY45[[#This Row],[WPROD]],'Part# with New'!$A$1:$B$4347,2,0),Table_Query_from_AMULTIQRY45[[#This Row],[WPROD]])</f>
        <v>WSNC190174016D-PGX15W</v>
      </c>
      <c r="I529" s="4" t="s">
        <v>8436</v>
      </c>
      <c r="J529" s="1" t="s">
        <v>5</v>
      </c>
      <c r="L529" s="11">
        <v>0.41660000000000003</v>
      </c>
      <c r="M529" s="1"/>
      <c r="N529" s="1" t="s">
        <v>6</v>
      </c>
      <c r="P529" s="1" t="str">
        <f>CONCATENATE(Table_Query_from_AMULTIQRY45[[#This Row],[WWHS]],"-",Table_Query_from_AMULTIQRY45[[#This Row],[LLOC]])</f>
        <v>E1-FG</v>
      </c>
      <c r="Q529" s="10">
        <f t="shared" ca="1" si="17"/>
        <v>45775</v>
      </c>
      <c r="R529" s="10"/>
      <c r="S529" s="28">
        <v>36</v>
      </c>
      <c r="T529" s="1" t="s">
        <v>2</v>
      </c>
      <c r="U529" s="1" t="s">
        <v>578</v>
      </c>
      <c r="V529" s="1">
        <v>20250303</v>
      </c>
      <c r="W529" s="8" t="s">
        <v>8442</v>
      </c>
      <c r="Z529" s="1"/>
      <c r="AA529" s="1"/>
      <c r="AC529" s="1"/>
      <c r="AD529" s="1"/>
      <c r="AE529" s="1"/>
      <c r="AF529" s="1"/>
    </row>
    <row r="530" spans="2:32" ht="12.75" x14ac:dyDescent="0.2">
      <c r="B530" s="1" t="s">
        <v>9036</v>
      </c>
      <c r="C530" s="10">
        <f t="shared" ca="1" si="16"/>
        <v>45552</v>
      </c>
      <c r="D530" s="4"/>
      <c r="E530" s="4" t="s">
        <v>8434</v>
      </c>
      <c r="F530" s="4" t="s">
        <v>1293</v>
      </c>
      <c r="G530" s="4"/>
      <c r="H530" s="4" t="str">
        <f>_xlfn.IFNA(VLOOKUP(Table_Query_from_AMULTIQRY45[[#This Row],[WPROD]],'Part# with New'!$A$1:$B$4347,2,0),Table_Query_from_AMULTIQRY45[[#This Row],[WPROD]])</f>
        <v>WPOT142130007D-PGX15B</v>
      </c>
      <c r="I530" s="4" t="s">
        <v>8436</v>
      </c>
      <c r="J530" s="1" t="s">
        <v>5</v>
      </c>
      <c r="L530" s="11">
        <v>7.8719999999999998E-2</v>
      </c>
      <c r="M530" s="1"/>
      <c r="N530" s="1" t="s">
        <v>3</v>
      </c>
      <c r="P530" s="1" t="str">
        <f>CONCATENATE(Table_Query_from_AMULTIQRY45[[#This Row],[WWHS]],"-",Table_Query_from_AMULTIQRY45[[#This Row],[LLOC]])</f>
        <v>E1-FG</v>
      </c>
      <c r="Q530" s="10">
        <f t="shared" ca="1" si="17"/>
        <v>45775</v>
      </c>
      <c r="R530" s="10"/>
      <c r="S530" s="28">
        <v>1515</v>
      </c>
      <c r="T530" s="1" t="s">
        <v>2</v>
      </c>
      <c r="U530" s="1" t="s">
        <v>579</v>
      </c>
      <c r="V530" s="1">
        <v>20240917</v>
      </c>
      <c r="W530" s="8" t="s">
        <v>8442</v>
      </c>
      <c r="Z530" s="1"/>
      <c r="AA530" s="1"/>
      <c r="AC530" s="1"/>
      <c r="AD530" s="1"/>
      <c r="AE530" s="1"/>
      <c r="AF530" s="1"/>
    </row>
    <row r="531" spans="2:32" ht="12.75" x14ac:dyDescent="0.2">
      <c r="B531" s="1" t="s">
        <v>9037</v>
      </c>
      <c r="C531" s="10">
        <f t="shared" ca="1" si="16"/>
        <v>44145</v>
      </c>
      <c r="D531" s="4"/>
      <c r="E531" s="4" t="s">
        <v>8434</v>
      </c>
      <c r="F531" s="4" t="s">
        <v>1293</v>
      </c>
      <c r="G531" s="4"/>
      <c r="H531" s="4" t="str">
        <f>_xlfn.IFNA(VLOOKUP(Table_Query_from_AMULTIQRY45[[#This Row],[WPROD]],'Part# with New'!$A$1:$B$4347,2,0),Table_Query_from_AMULTIQRY45[[#This Row],[WPROD]])</f>
        <v>WPOS137125012S-PGX15W</v>
      </c>
      <c r="I531" s="4" t="s">
        <v>8436</v>
      </c>
      <c r="J531" s="1" t="s">
        <v>5</v>
      </c>
      <c r="L531" s="11">
        <v>0.23289000000000001</v>
      </c>
      <c r="M531" s="1"/>
      <c r="N531" s="1" t="s">
        <v>389</v>
      </c>
      <c r="P531" s="1" t="str">
        <f>CONCATENATE(Table_Query_from_AMULTIQRY45[[#This Row],[WWHS]],"-",Table_Query_from_AMULTIQRY45[[#This Row],[LLOC]])</f>
        <v>E1-FG</v>
      </c>
      <c r="Q531" s="10">
        <f t="shared" ca="1" si="17"/>
        <v>45775</v>
      </c>
      <c r="R531" s="10"/>
      <c r="S531" s="28">
        <v>81</v>
      </c>
      <c r="T531" s="1" t="s">
        <v>2</v>
      </c>
      <c r="U531" s="1" t="s">
        <v>580</v>
      </c>
      <c r="V531" s="1">
        <v>20201110</v>
      </c>
      <c r="W531" s="8" t="s">
        <v>8442</v>
      </c>
      <c r="Z531" s="1"/>
      <c r="AA531" s="1"/>
      <c r="AC531" s="1"/>
      <c r="AD531" s="1"/>
      <c r="AE531" s="1"/>
      <c r="AF531" s="1"/>
    </row>
    <row r="532" spans="2:32" ht="12.75" x14ac:dyDescent="0.2">
      <c r="B532" s="1" t="s">
        <v>9038</v>
      </c>
      <c r="C532" s="10">
        <f t="shared" ca="1" si="16"/>
        <v>44264</v>
      </c>
      <c r="D532" s="4"/>
      <c r="E532" s="4" t="s">
        <v>8434</v>
      </c>
      <c r="F532" s="4" t="s">
        <v>1293</v>
      </c>
      <c r="G532" s="4"/>
      <c r="H532" s="4" t="str">
        <f>_xlfn.IFNA(VLOOKUP(Table_Query_from_AMULTIQRY45[[#This Row],[WPROD]],'Part# with New'!$A$1:$B$4347,2,0),Table_Query_from_AMULTIQRY45[[#This Row],[WPROD]])</f>
        <v>WPOS099087012D-PGX15W</v>
      </c>
      <c r="I532" s="4" t="s">
        <v>8436</v>
      </c>
      <c r="J532" s="1" t="s">
        <v>5</v>
      </c>
      <c r="L532" s="11">
        <v>0.15665000000000001</v>
      </c>
      <c r="M532" s="1"/>
      <c r="N532" s="1" t="s">
        <v>389</v>
      </c>
      <c r="P532" s="1" t="str">
        <f>CONCATENATE(Table_Query_from_AMULTIQRY45[[#This Row],[WWHS]],"-",Table_Query_from_AMULTIQRY45[[#This Row],[LLOC]])</f>
        <v>E1-FG</v>
      </c>
      <c r="Q532" s="10">
        <f t="shared" ca="1" si="17"/>
        <v>45775</v>
      </c>
      <c r="R532" s="10"/>
      <c r="S532" s="28">
        <v>205</v>
      </c>
      <c r="T532" s="1" t="s">
        <v>2</v>
      </c>
      <c r="U532" s="1" t="s">
        <v>581</v>
      </c>
      <c r="V532" s="1">
        <v>20210309</v>
      </c>
      <c r="W532" s="8" t="s">
        <v>8442</v>
      </c>
      <c r="Z532" s="1"/>
      <c r="AA532" s="1"/>
      <c r="AC532" s="1"/>
      <c r="AD532" s="1"/>
      <c r="AE532" s="1"/>
      <c r="AF532" s="1"/>
    </row>
    <row r="533" spans="2:32" ht="12.75" x14ac:dyDescent="0.2">
      <c r="B533" s="1" t="s">
        <v>9039</v>
      </c>
      <c r="C533" s="10">
        <f t="shared" ca="1" si="16"/>
        <v>45618</v>
      </c>
      <c r="D533" s="4"/>
      <c r="E533" s="4" t="s">
        <v>8434</v>
      </c>
      <c r="F533" s="4" t="s">
        <v>1293</v>
      </c>
      <c r="G533" s="4"/>
      <c r="H533" s="4" t="str">
        <f>_xlfn.IFNA(VLOOKUP(Table_Query_from_AMULTIQRY45[[#This Row],[WPROD]],'Part# with New'!$A$1:$B$4347,2,0),Table_Query_from_AMULTIQRY45[[#This Row],[WPROD]])</f>
        <v>WPOT260249007D-PGX15W</v>
      </c>
      <c r="I533" s="4" t="s">
        <v>8436</v>
      </c>
      <c r="J533" s="1" t="s">
        <v>5</v>
      </c>
      <c r="L533" s="11">
        <v>0.15107999999999999</v>
      </c>
      <c r="M533" s="1"/>
      <c r="N533" s="1" t="s">
        <v>3</v>
      </c>
      <c r="P533" s="1" t="str">
        <f>CONCATENATE(Table_Query_from_AMULTIQRY45[[#This Row],[WWHS]],"-",Table_Query_from_AMULTIQRY45[[#This Row],[LLOC]])</f>
        <v>E1-FG</v>
      </c>
      <c r="Q533" s="10">
        <f t="shared" ca="1" si="17"/>
        <v>45775</v>
      </c>
      <c r="R533" s="10"/>
      <c r="S533" s="28">
        <v>240</v>
      </c>
      <c r="T533" s="1" t="s">
        <v>2</v>
      </c>
      <c r="U533" s="1" t="s">
        <v>582</v>
      </c>
      <c r="V533" s="1">
        <v>20241122</v>
      </c>
      <c r="W533" s="8" t="s">
        <v>8442</v>
      </c>
      <c r="Z533" s="1"/>
      <c r="AA533" s="1"/>
      <c r="AC533" s="1"/>
      <c r="AD533" s="1"/>
      <c r="AE533" s="1"/>
      <c r="AF533" s="1"/>
    </row>
    <row r="534" spans="2:32" ht="12.75" x14ac:dyDescent="0.2">
      <c r="B534" s="1" t="s">
        <v>9040</v>
      </c>
      <c r="C534" s="10">
        <f t="shared" ca="1" si="16"/>
        <v>45552</v>
      </c>
      <c r="D534" s="4"/>
      <c r="E534" s="4" t="s">
        <v>8434</v>
      </c>
      <c r="F534" s="4" t="s">
        <v>1293</v>
      </c>
      <c r="G534" s="4"/>
      <c r="H534" s="4" t="str">
        <f>_xlfn.IFNA(VLOOKUP(Table_Query_from_AMULTIQRY45[[#This Row],[WPROD]],'Part# with New'!$A$1:$B$4347,2,0),Table_Query_from_AMULTIQRY45[[#This Row],[WPROD]])</f>
        <v>WFFL900450200L-PRX15K</v>
      </c>
      <c r="I534" s="4" t="s">
        <v>8436</v>
      </c>
      <c r="J534" s="1" t="s">
        <v>5</v>
      </c>
      <c r="L534" s="11">
        <v>2.7539999999999999E-2</v>
      </c>
      <c r="M534" s="1"/>
      <c r="N534" s="1" t="s">
        <v>346</v>
      </c>
      <c r="P534" s="1" t="str">
        <f>CONCATENATE(Table_Query_from_AMULTIQRY45[[#This Row],[WWHS]],"-",Table_Query_from_AMULTIQRY45[[#This Row],[LLOC]])</f>
        <v>E1-FG</v>
      </c>
      <c r="Q534" s="10">
        <f t="shared" ca="1" si="17"/>
        <v>45775</v>
      </c>
      <c r="R534" s="10"/>
      <c r="S534" s="28">
        <v>2390</v>
      </c>
      <c r="T534" s="1" t="s">
        <v>2</v>
      </c>
      <c r="U534" s="1" t="s">
        <v>583</v>
      </c>
      <c r="V534" s="1">
        <v>20240917</v>
      </c>
      <c r="W534" s="8" t="s">
        <v>8442</v>
      </c>
      <c r="Z534" s="1"/>
      <c r="AA534" s="1"/>
      <c r="AC534" s="1"/>
      <c r="AD534" s="1"/>
      <c r="AE534" s="1"/>
      <c r="AF534" s="1"/>
    </row>
    <row r="535" spans="2:32" ht="12.75" x14ac:dyDescent="0.2">
      <c r="B535" s="1" t="s">
        <v>9041</v>
      </c>
      <c r="C535" s="10">
        <f t="shared" ca="1" si="16"/>
        <v>45751</v>
      </c>
      <c r="D535" s="4"/>
      <c r="E535" s="4" t="s">
        <v>8434</v>
      </c>
      <c r="F535" s="4" t="s">
        <v>1293</v>
      </c>
      <c r="G535" s="4"/>
      <c r="H535" s="4" t="str">
        <f>_xlfn.IFNA(VLOOKUP(Table_Query_from_AMULTIQRY45[[#This Row],[WPROD]],'Part# with New'!$A$1:$B$4347,2,0),Table_Query_from_AMULTIQRY45[[#This Row],[WPROD]])</f>
        <v>WPOT205190007D-PGX15B</v>
      </c>
      <c r="I535" s="4" t="s">
        <v>8436</v>
      </c>
      <c r="J535" s="1" t="s">
        <v>5</v>
      </c>
      <c r="L535" s="11">
        <v>0.16903000000000001</v>
      </c>
      <c r="M535" s="1"/>
      <c r="N535" s="1" t="s">
        <v>3</v>
      </c>
      <c r="P535" s="1" t="str">
        <f>CONCATENATE(Table_Query_from_AMULTIQRY45[[#This Row],[WWHS]],"-",Table_Query_from_AMULTIQRY45[[#This Row],[LLOC]])</f>
        <v>E1-FG</v>
      </c>
      <c r="Q535" s="10">
        <f t="shared" ca="1" si="17"/>
        <v>45775</v>
      </c>
      <c r="R535" s="10"/>
      <c r="S535" s="28">
        <v>265</v>
      </c>
      <c r="T535" s="1" t="s">
        <v>2</v>
      </c>
      <c r="U535" s="1" t="s">
        <v>584</v>
      </c>
      <c r="V535" s="1">
        <v>20250404</v>
      </c>
      <c r="W535" s="8" t="s">
        <v>8442</v>
      </c>
      <c r="Z535" s="1"/>
      <c r="AA535" s="1"/>
      <c r="AC535" s="1"/>
      <c r="AD535" s="1"/>
      <c r="AE535" s="1"/>
      <c r="AF535" s="1"/>
    </row>
    <row r="536" spans="2:32" ht="12.75" x14ac:dyDescent="0.2">
      <c r="B536" s="1" t="s">
        <v>9042</v>
      </c>
      <c r="C536" s="10">
        <f t="shared" ca="1" si="16"/>
        <v>45552</v>
      </c>
      <c r="D536" s="4"/>
      <c r="E536" s="4" t="s">
        <v>8434</v>
      </c>
      <c r="F536" s="4" t="s">
        <v>1293</v>
      </c>
      <c r="G536" s="4"/>
      <c r="H536" s="4" t="str">
        <f>_xlfn.IFNA(VLOOKUP(Table_Query_from_AMULTIQRY45[[#This Row],[WPROD]],'Part# with New'!$A$1:$B$4347,2,0),Table_Query_from_AMULTIQRY45[[#This Row],[WPROD]])</f>
        <v>WPOT187168007D-PRX15K</v>
      </c>
      <c r="I536" s="4" t="s">
        <v>8436</v>
      </c>
      <c r="J536" s="1" t="s">
        <v>5</v>
      </c>
      <c r="L536" s="11">
        <v>0.16070000000000001</v>
      </c>
      <c r="M536" s="1"/>
      <c r="N536" s="1" t="s">
        <v>3</v>
      </c>
      <c r="P536" s="1" t="str">
        <f>CONCATENATE(Table_Query_from_AMULTIQRY45[[#This Row],[WWHS]],"-",Table_Query_from_AMULTIQRY45[[#This Row],[LLOC]])</f>
        <v>E1-FG</v>
      </c>
      <c r="Q536" s="10">
        <f t="shared" ca="1" si="17"/>
        <v>45775</v>
      </c>
      <c r="R536" s="10"/>
      <c r="S536" s="28">
        <v>280</v>
      </c>
      <c r="T536" s="1" t="s">
        <v>2</v>
      </c>
      <c r="U536" s="1" t="s">
        <v>585</v>
      </c>
      <c r="V536" s="1">
        <v>20240917</v>
      </c>
      <c r="W536" s="8" t="s">
        <v>8442</v>
      </c>
      <c r="Z536" s="1"/>
      <c r="AA536" s="1"/>
      <c r="AC536" s="1"/>
      <c r="AD536" s="1"/>
      <c r="AE536" s="1"/>
      <c r="AF536" s="1"/>
    </row>
    <row r="537" spans="2:32" ht="12.75" x14ac:dyDescent="0.2">
      <c r="B537" s="1" t="s">
        <v>9043</v>
      </c>
      <c r="C537" s="10">
        <f t="shared" ca="1" si="16"/>
        <v>45516</v>
      </c>
      <c r="D537" s="4"/>
      <c r="E537" s="4" t="s">
        <v>8434</v>
      </c>
      <c r="F537" s="4" t="s">
        <v>1293</v>
      </c>
      <c r="G537" s="4"/>
      <c r="H537" s="4" t="str">
        <f>_xlfn.IFNA(VLOOKUP(Table_Query_from_AMULTIQRY45[[#This Row],[WPROD]],'Part# with New'!$A$1:$B$4347,2,0),Table_Query_from_AMULTIQRY45[[#This Row],[WPROD]])</f>
        <v>WSNC122096011D-PXX00W</v>
      </c>
      <c r="I537" s="4" t="s">
        <v>8436</v>
      </c>
      <c r="J537" s="1" t="s">
        <v>5</v>
      </c>
      <c r="L537" s="11">
        <v>0.28301999999999999</v>
      </c>
      <c r="M537" s="1"/>
      <c r="N537" s="1" t="s">
        <v>6</v>
      </c>
      <c r="P537" s="1" t="str">
        <f>CONCATENATE(Table_Query_from_AMULTIQRY45[[#This Row],[WWHS]],"-",Table_Query_from_AMULTIQRY45[[#This Row],[LLOC]])</f>
        <v>E1-FG</v>
      </c>
      <c r="Q537" s="10">
        <f t="shared" ca="1" si="17"/>
        <v>45775</v>
      </c>
      <c r="R537" s="10"/>
      <c r="S537" s="28">
        <v>270</v>
      </c>
      <c r="T537" s="1" t="s">
        <v>2</v>
      </c>
      <c r="U537" s="1" t="s">
        <v>586</v>
      </c>
      <c r="V537" s="1">
        <v>20240812</v>
      </c>
      <c r="W537" s="8" t="s">
        <v>8442</v>
      </c>
      <c r="Z537" s="1"/>
      <c r="AA537" s="1"/>
      <c r="AC537" s="1"/>
      <c r="AD537" s="1"/>
      <c r="AE537" s="1"/>
      <c r="AF537" s="1"/>
    </row>
    <row r="538" spans="2:32" ht="12.75" x14ac:dyDescent="0.2">
      <c r="B538" s="1" t="s">
        <v>9044</v>
      </c>
      <c r="C538" s="10">
        <f t="shared" ca="1" si="16"/>
        <v>45749</v>
      </c>
      <c r="D538" s="4"/>
      <c r="E538" s="4" t="s">
        <v>8434</v>
      </c>
      <c r="F538" s="4" t="s">
        <v>1293</v>
      </c>
      <c r="G538" s="4"/>
      <c r="H538" s="4" t="str">
        <f>_xlfn.IFNA(VLOOKUP(Table_Query_from_AMULTIQRY45[[#This Row],[WPROD]],'Part# with New'!$A$1:$B$4347,2,0),Table_Query_from_AMULTIQRY45[[#This Row],[WPROD]])</f>
        <v>WSMPM202011MXX</v>
      </c>
      <c r="I538" s="4" t="s">
        <v>8436</v>
      </c>
      <c r="J538" s="1" t="s">
        <v>5</v>
      </c>
      <c r="L538" s="11">
        <v>0.53217000000000003</v>
      </c>
      <c r="M538" s="1"/>
      <c r="N538" s="1" t="s">
        <v>18</v>
      </c>
      <c r="P538" s="1" t="str">
        <f>CONCATENATE(Table_Query_from_AMULTIQRY45[[#This Row],[WWHS]],"-",Table_Query_from_AMULTIQRY45[[#This Row],[LLOC]])</f>
        <v>E1-FG</v>
      </c>
      <c r="Q538" s="10">
        <f t="shared" ca="1" si="17"/>
        <v>45775</v>
      </c>
      <c r="R538" s="10"/>
      <c r="S538" s="28">
        <v>323</v>
      </c>
      <c r="T538" s="1" t="s">
        <v>2</v>
      </c>
      <c r="U538" s="1" t="s">
        <v>587</v>
      </c>
      <c r="V538" s="1">
        <v>20250402</v>
      </c>
      <c r="W538" s="8" t="s">
        <v>8442</v>
      </c>
      <c r="Z538" s="1"/>
      <c r="AA538" s="1"/>
      <c r="AC538" s="1"/>
      <c r="AD538" s="1"/>
      <c r="AE538" s="1"/>
      <c r="AF538" s="1"/>
    </row>
    <row r="539" spans="2:32" ht="12.75" x14ac:dyDescent="0.2">
      <c r="B539" s="1" t="s">
        <v>9045</v>
      </c>
      <c r="C539" s="10">
        <f t="shared" ca="1" si="16"/>
        <v>44963</v>
      </c>
      <c r="D539" s="4"/>
      <c r="E539" s="4" t="s">
        <v>8434</v>
      </c>
      <c r="F539" s="4" t="s">
        <v>1293</v>
      </c>
      <c r="G539" s="4"/>
      <c r="H539" s="4" t="str">
        <f>_xlfn.IFNA(VLOOKUP(Table_Query_from_AMULTIQRY45[[#This Row],[WPROD]],'Part# with New'!$A$1:$B$4347,2,0),Table_Query_from_AMULTIQRY45[[#This Row],[WPROD]])</f>
        <v>WPOT177158012D-GGX15B</v>
      </c>
      <c r="I539" s="4" t="s">
        <v>8436</v>
      </c>
      <c r="J539" s="1" t="s">
        <v>5</v>
      </c>
      <c r="L539" s="11">
        <v>0.20813000000000001</v>
      </c>
      <c r="M539" s="1"/>
      <c r="N539" s="1" t="s">
        <v>3</v>
      </c>
      <c r="P539" s="1" t="str">
        <f>CONCATENATE(Table_Query_from_AMULTIQRY45[[#This Row],[WWHS]],"-",Table_Query_from_AMULTIQRY45[[#This Row],[LLOC]])</f>
        <v>E1-FG</v>
      </c>
      <c r="Q539" s="10">
        <f t="shared" ca="1" si="17"/>
        <v>45775</v>
      </c>
      <c r="R539" s="10"/>
      <c r="S539" s="28">
        <v>137</v>
      </c>
      <c r="T539" s="1" t="s">
        <v>2</v>
      </c>
      <c r="U539" s="1" t="s">
        <v>588</v>
      </c>
      <c r="V539" s="1">
        <v>20230206</v>
      </c>
      <c r="W539" s="8" t="s">
        <v>8442</v>
      </c>
      <c r="Z539" s="1"/>
      <c r="AA539" s="1"/>
      <c r="AC539" s="1"/>
      <c r="AD539" s="1"/>
      <c r="AE539" s="1"/>
      <c r="AF539" s="1"/>
    </row>
    <row r="540" spans="2:32" ht="12.75" x14ac:dyDescent="0.2">
      <c r="B540" s="1" t="s">
        <v>9046</v>
      </c>
      <c r="C540" s="10">
        <f t="shared" ca="1" si="16"/>
        <v>43763</v>
      </c>
      <c r="D540" s="4"/>
      <c r="E540" s="4" t="s">
        <v>8434</v>
      </c>
      <c r="F540" s="4" t="s">
        <v>1293</v>
      </c>
      <c r="G540" s="4"/>
      <c r="H540" s="4" t="str">
        <f>_xlfn.IFNA(VLOOKUP(Table_Query_from_AMULTIQRY45[[#This Row],[WPROD]],'Part# with New'!$A$1:$B$4347,2,0),Table_Query_from_AMULTIQRY45[[#This Row],[WPROD]])</f>
        <v>WPSM125111009D-PGX15W</v>
      </c>
      <c r="I540" s="4" t="s">
        <v>8436</v>
      </c>
      <c r="J540" s="1" t="s">
        <v>5</v>
      </c>
      <c r="L540" s="11">
        <v>7.2120000000000004E-2</v>
      </c>
      <c r="M540" s="1"/>
      <c r="N540" s="1" t="s">
        <v>326</v>
      </c>
      <c r="P540" s="1" t="str">
        <f>CONCATENATE(Table_Query_from_AMULTIQRY45[[#This Row],[WWHS]],"-",Table_Query_from_AMULTIQRY45[[#This Row],[LLOC]])</f>
        <v>E1-FG</v>
      </c>
      <c r="Q540" s="10">
        <f t="shared" ca="1" si="17"/>
        <v>45775</v>
      </c>
      <c r="R540" s="10"/>
      <c r="S540" s="28">
        <v>300</v>
      </c>
      <c r="T540" s="1" t="s">
        <v>2</v>
      </c>
      <c r="U540" s="1" t="s">
        <v>589</v>
      </c>
      <c r="V540" s="1">
        <v>20191025</v>
      </c>
      <c r="W540" s="8" t="s">
        <v>8442</v>
      </c>
      <c r="Z540" s="1"/>
      <c r="AA540" s="1"/>
      <c r="AC540" s="1"/>
      <c r="AD540" s="1"/>
      <c r="AE540" s="1"/>
      <c r="AF540" s="1"/>
    </row>
    <row r="541" spans="2:32" ht="12.75" x14ac:dyDescent="0.2">
      <c r="B541" s="1" t="s">
        <v>9047</v>
      </c>
      <c r="C541" s="10">
        <f t="shared" ca="1" si="16"/>
        <v>45765</v>
      </c>
      <c r="D541" s="4"/>
      <c r="E541" s="4" t="s">
        <v>8434</v>
      </c>
      <c r="F541" s="4" t="s">
        <v>1293</v>
      </c>
      <c r="G541" s="4"/>
      <c r="H541" s="4" t="str">
        <f>_xlfn.IFNA(VLOOKUP(Table_Query_from_AMULTIQRY45[[#This Row],[WPROD]],'Part# with New'!$A$1:$B$4347,2,0),Table_Query_from_AMULTIQRY45[[#This Row],[WPROD]])</f>
        <v>WFFL086050014D-PXX00W</v>
      </c>
      <c r="I541" s="4" t="s">
        <v>8436</v>
      </c>
      <c r="J541" s="1" t="s">
        <v>5</v>
      </c>
      <c r="L541" s="11">
        <v>8.9950000000000002E-2</v>
      </c>
      <c r="M541" s="1"/>
      <c r="N541" s="1" t="s">
        <v>346</v>
      </c>
      <c r="P541" s="1" t="str">
        <f>CONCATENATE(Table_Query_from_AMULTIQRY45[[#This Row],[WWHS]],"-",Table_Query_from_AMULTIQRY45[[#This Row],[LLOC]])</f>
        <v>E1-FG</v>
      </c>
      <c r="Q541" s="10">
        <f t="shared" ca="1" si="17"/>
        <v>45775</v>
      </c>
      <c r="R541" s="10"/>
      <c r="S541" s="28">
        <v>757</v>
      </c>
      <c r="T541" s="1" t="s">
        <v>2</v>
      </c>
      <c r="U541" s="1" t="s">
        <v>590</v>
      </c>
      <c r="V541" s="1">
        <v>20250418</v>
      </c>
      <c r="W541" s="8" t="s">
        <v>8442</v>
      </c>
      <c r="Z541" s="1"/>
      <c r="AA541" s="1"/>
      <c r="AC541" s="1"/>
      <c r="AD541" s="1"/>
      <c r="AE541" s="1"/>
      <c r="AF541" s="1"/>
    </row>
    <row r="542" spans="2:32" ht="12.75" x14ac:dyDescent="0.2">
      <c r="B542" s="1" t="s">
        <v>9048</v>
      </c>
      <c r="C542" s="10">
        <f t="shared" ca="1" si="16"/>
        <v>45755</v>
      </c>
      <c r="D542" s="4"/>
      <c r="E542" s="4" t="s">
        <v>8434</v>
      </c>
      <c r="F542" s="4" t="s">
        <v>1293</v>
      </c>
      <c r="G542" s="4"/>
      <c r="H542" s="4" t="str">
        <f>_xlfn.IFNA(VLOOKUP(Table_Query_from_AMULTIQRY45[[#This Row],[WPROD]],'Part# with New'!$A$1:$B$4347,2,0),Table_Query_from_AMULTIQRY45[[#This Row],[WPROD]])</f>
        <v>WFFB115075015D-PXX00W</v>
      </c>
      <c r="I542" s="4" t="s">
        <v>8436</v>
      </c>
      <c r="J542" s="1" t="s">
        <v>5</v>
      </c>
      <c r="L542" s="11">
        <v>0.11541</v>
      </c>
      <c r="M542" s="1"/>
      <c r="N542" s="1" t="s">
        <v>15</v>
      </c>
      <c r="P542" s="1" t="str">
        <f>CONCATENATE(Table_Query_from_AMULTIQRY45[[#This Row],[WWHS]],"-",Table_Query_from_AMULTIQRY45[[#This Row],[LLOC]])</f>
        <v>E1-FG</v>
      </c>
      <c r="Q542" s="10">
        <f t="shared" ca="1" si="17"/>
        <v>45775</v>
      </c>
      <c r="R542" s="10"/>
      <c r="S542" s="28">
        <v>95</v>
      </c>
      <c r="T542" s="1" t="s">
        <v>2</v>
      </c>
      <c r="U542" s="1" t="s">
        <v>591</v>
      </c>
      <c r="V542" s="1">
        <v>20250408</v>
      </c>
      <c r="W542" s="8" t="s">
        <v>8442</v>
      </c>
      <c r="Z542" s="1"/>
      <c r="AA542" s="1"/>
      <c r="AC542" s="1"/>
      <c r="AD542" s="1"/>
      <c r="AE542" s="1"/>
      <c r="AF542" s="1"/>
    </row>
    <row r="543" spans="2:32" ht="12.75" x14ac:dyDescent="0.2">
      <c r="B543" s="1" t="s">
        <v>9049</v>
      </c>
      <c r="C543" s="10">
        <f t="shared" ca="1" si="16"/>
        <v>45769</v>
      </c>
      <c r="D543" s="4"/>
      <c r="E543" s="4" t="s">
        <v>8434</v>
      </c>
      <c r="F543" s="4" t="s">
        <v>1293</v>
      </c>
      <c r="G543" s="4"/>
      <c r="H543" s="4" t="str">
        <f>_xlfn.IFNA(VLOOKUP(Table_Query_from_AMULTIQRY45[[#This Row],[WPROD]],'Part# with New'!$A$1:$B$4347,2,0),Table_Query_from_AMULTIQRY45[[#This Row],[WPROD]])</f>
        <v>WFFH254200032D-PXX00W</v>
      </c>
      <c r="I543" s="4" t="s">
        <v>8436</v>
      </c>
      <c r="J543" s="1" t="s">
        <v>5</v>
      </c>
      <c r="L543" s="11">
        <v>0.51648000000000005</v>
      </c>
      <c r="M543" s="1"/>
      <c r="N543" s="1" t="s">
        <v>15</v>
      </c>
      <c r="P543" s="1" t="str">
        <f>CONCATENATE(Table_Query_from_AMULTIQRY45[[#This Row],[WWHS]],"-",Table_Query_from_AMULTIQRY45[[#This Row],[LLOC]])</f>
        <v>E1-FG</v>
      </c>
      <c r="Q543" s="10">
        <f t="shared" ca="1" si="17"/>
        <v>45775</v>
      </c>
      <c r="R543" s="10"/>
      <c r="S543" s="28">
        <v>247</v>
      </c>
      <c r="T543" s="1" t="s">
        <v>2</v>
      </c>
      <c r="U543" s="1" t="s">
        <v>592</v>
      </c>
      <c r="V543" s="1">
        <v>20250422</v>
      </c>
      <c r="W543" s="8" t="s">
        <v>8442</v>
      </c>
      <c r="Z543" s="1"/>
      <c r="AA543" s="1"/>
      <c r="AC543" s="1"/>
      <c r="AD543" s="1"/>
      <c r="AE543" s="1"/>
      <c r="AF543" s="1"/>
    </row>
    <row r="544" spans="2:32" ht="12.75" x14ac:dyDescent="0.2">
      <c r="B544" s="1" t="s">
        <v>9050</v>
      </c>
      <c r="C544" s="10">
        <f t="shared" ca="1" si="16"/>
        <v>45513</v>
      </c>
      <c r="D544" s="4"/>
      <c r="E544" s="4" t="s">
        <v>8434</v>
      </c>
      <c r="F544" s="4" t="s">
        <v>1293</v>
      </c>
      <c r="G544" s="4"/>
      <c r="H544" s="4" t="str">
        <f>_xlfn.IFNA(VLOOKUP(Table_Query_from_AMULTIQRY45[[#This Row],[WPROD]],'Part# with New'!$A$1:$B$4347,2,0),Table_Query_from_AMULTIQRY45[[#This Row],[WPROD]])</f>
        <v>WFFH312244038D-PXX00W</v>
      </c>
      <c r="I544" s="4" t="s">
        <v>8436</v>
      </c>
      <c r="J544" s="1" t="s">
        <v>5</v>
      </c>
      <c r="L544" s="11">
        <v>0.76075999999999999</v>
      </c>
      <c r="M544" s="1"/>
      <c r="N544" s="1" t="s">
        <v>15</v>
      </c>
      <c r="P544" s="1" t="str">
        <f>CONCATENATE(Table_Query_from_AMULTIQRY45[[#This Row],[WWHS]],"-",Table_Query_from_AMULTIQRY45[[#This Row],[LLOC]])</f>
        <v>E1-FG</v>
      </c>
      <c r="Q544" s="10">
        <f t="shared" ca="1" si="17"/>
        <v>45775</v>
      </c>
      <c r="R544" s="10"/>
      <c r="S544" s="28">
        <v>515</v>
      </c>
      <c r="T544" s="1" t="s">
        <v>2</v>
      </c>
      <c r="U544" s="1" t="s">
        <v>593</v>
      </c>
      <c r="V544" s="1">
        <v>20240809</v>
      </c>
      <c r="W544" s="8" t="s">
        <v>8442</v>
      </c>
      <c r="Z544" s="1"/>
      <c r="AA544" s="1"/>
      <c r="AC544" s="1"/>
      <c r="AD544" s="1"/>
      <c r="AE544" s="1"/>
      <c r="AF544" s="1"/>
    </row>
    <row r="545" spans="2:32" ht="12.75" x14ac:dyDescent="0.2">
      <c r="B545" s="1" t="s">
        <v>9051</v>
      </c>
      <c r="C545" s="10">
        <f t="shared" ca="1" si="16"/>
        <v>45450</v>
      </c>
      <c r="D545" s="4"/>
      <c r="E545" s="4" t="s">
        <v>8434</v>
      </c>
      <c r="F545" s="4" t="s">
        <v>1293</v>
      </c>
      <c r="G545" s="4"/>
      <c r="H545" s="4" t="str">
        <f>_xlfn.IFNA(VLOOKUP(Table_Query_from_AMULTIQRY45[[#This Row],[WPROD]],'Part# with New'!$A$1:$B$4347,2,0),Table_Query_from_AMULTIQRY45[[#This Row],[WPROD]])</f>
        <v>WSMP250224259D-PXX00W</v>
      </c>
      <c r="I545" s="4" t="s">
        <v>8436</v>
      </c>
      <c r="J545" s="1" t="s">
        <v>5</v>
      </c>
      <c r="L545" s="11">
        <v>5.7618400000000003</v>
      </c>
      <c r="M545" s="1"/>
      <c r="N545" s="1" t="s">
        <v>18</v>
      </c>
      <c r="P545" s="1" t="str">
        <f>CONCATENATE(Table_Query_from_AMULTIQRY45[[#This Row],[WWHS]],"-",Table_Query_from_AMULTIQRY45[[#This Row],[LLOC]])</f>
        <v>E1-FG</v>
      </c>
      <c r="Q545" s="10">
        <f t="shared" ca="1" si="17"/>
        <v>45775</v>
      </c>
      <c r="R545" s="10"/>
      <c r="S545" s="28">
        <v>193</v>
      </c>
      <c r="T545" s="1" t="s">
        <v>2</v>
      </c>
      <c r="U545" s="1" t="s">
        <v>594</v>
      </c>
      <c r="V545" s="1">
        <v>20240607</v>
      </c>
      <c r="W545" s="8" t="s">
        <v>8442</v>
      </c>
      <c r="Z545" s="1"/>
      <c r="AA545" s="1"/>
      <c r="AC545" s="1"/>
      <c r="AD545" s="1"/>
      <c r="AE545" s="1"/>
      <c r="AF545" s="1"/>
    </row>
    <row r="546" spans="2:32" ht="12.75" x14ac:dyDescent="0.2">
      <c r="B546" s="1" t="s">
        <v>9052</v>
      </c>
      <c r="C546" s="10">
        <f t="shared" ca="1" si="16"/>
        <v>45735</v>
      </c>
      <c r="D546" s="4"/>
      <c r="E546" s="4" t="s">
        <v>8434</v>
      </c>
      <c r="F546" s="4" t="s">
        <v>1293</v>
      </c>
      <c r="G546" s="4"/>
      <c r="H546" s="4" t="str">
        <f>_xlfn.IFNA(VLOOKUP(Table_Query_from_AMULTIQRY45[[#This Row],[WPROD]],'Part# with New'!$A$1:$B$4347,2,0),Table_Query_from_AMULTIQRY45[[#This Row],[WPROD]])</f>
        <v>WFFH343289033D-PXX00W</v>
      </c>
      <c r="I546" s="4" t="s">
        <v>8436</v>
      </c>
      <c r="J546" s="1" t="s">
        <v>5</v>
      </c>
      <c r="L546" s="11">
        <v>0.37758999999999998</v>
      </c>
      <c r="M546" s="1"/>
      <c r="N546" s="1" t="s">
        <v>15</v>
      </c>
      <c r="P546" s="1" t="str">
        <f>CONCATENATE(Table_Query_from_AMULTIQRY45[[#This Row],[WWHS]],"-",Table_Query_from_AMULTIQRY45[[#This Row],[LLOC]])</f>
        <v>E1-FG</v>
      </c>
      <c r="Q546" s="10">
        <f t="shared" ca="1" si="17"/>
        <v>45775</v>
      </c>
      <c r="R546" s="10"/>
      <c r="S546" s="28">
        <v>148</v>
      </c>
      <c r="T546" s="1" t="s">
        <v>2</v>
      </c>
      <c r="U546" s="1" t="s">
        <v>595</v>
      </c>
      <c r="V546" s="1">
        <v>20250319</v>
      </c>
      <c r="W546" s="8" t="s">
        <v>8442</v>
      </c>
      <c r="Z546" s="1"/>
      <c r="AA546" s="1"/>
      <c r="AC546" s="1"/>
      <c r="AD546" s="1"/>
      <c r="AE546" s="1"/>
      <c r="AF546" s="1"/>
    </row>
    <row r="547" spans="2:32" ht="12.75" x14ac:dyDescent="0.2">
      <c r="B547" s="1" t="s">
        <v>9053</v>
      </c>
      <c r="C547" s="10">
        <f t="shared" ca="1" si="16"/>
        <v>38860</v>
      </c>
      <c r="D547" s="4"/>
      <c r="E547" s="4" t="s">
        <v>8434</v>
      </c>
      <c r="F547" s="4" t="s">
        <v>1293</v>
      </c>
      <c r="G547" s="4"/>
      <c r="H547" s="4" t="str">
        <f>_xlfn.IFNA(VLOOKUP(Table_Query_from_AMULTIQRY45[[#This Row],[WPROD]],'Part# with New'!$A$1:$B$4347,2,0),Table_Query_from_AMULTIQRY45[[#This Row],[WPROD]])</f>
        <v>WSNC446373013D-PCF18K</v>
      </c>
      <c r="I547" s="4" t="s">
        <v>8436</v>
      </c>
      <c r="J547" s="1" t="s">
        <v>5</v>
      </c>
      <c r="L547" s="11">
        <v>7.9451499999999999</v>
      </c>
      <c r="M547" s="1"/>
      <c r="N547" s="1" t="s">
        <v>6</v>
      </c>
      <c r="P547" s="1" t="str">
        <f>CONCATENATE(Table_Query_from_AMULTIQRY45[[#This Row],[WWHS]],"-",Table_Query_from_AMULTIQRY45[[#This Row],[LLOC]])</f>
        <v>E1-FG</v>
      </c>
      <c r="Q547" s="10">
        <f t="shared" ca="1" si="17"/>
        <v>45775</v>
      </c>
      <c r="R547" s="10"/>
      <c r="S547" s="28">
        <v>62</v>
      </c>
      <c r="T547" s="1" t="s">
        <v>2</v>
      </c>
      <c r="U547" s="1" t="s">
        <v>596</v>
      </c>
      <c r="V547" s="1">
        <v>20060523</v>
      </c>
      <c r="W547" s="8" t="s">
        <v>8442</v>
      </c>
      <c r="Z547" s="1"/>
      <c r="AA547" s="1"/>
      <c r="AC547" s="1"/>
      <c r="AD547" s="1"/>
      <c r="AE547" s="1"/>
      <c r="AF547" s="1"/>
    </row>
    <row r="548" spans="2:32" ht="12.75" x14ac:dyDescent="0.2">
      <c r="B548" s="1" t="s">
        <v>9054</v>
      </c>
      <c r="C548" s="10">
        <f t="shared" ca="1" si="16"/>
        <v>45175</v>
      </c>
      <c r="D548" s="4"/>
      <c r="E548" s="4" t="s">
        <v>8434</v>
      </c>
      <c r="F548" s="4" t="s">
        <v>1293</v>
      </c>
      <c r="G548" s="4"/>
      <c r="H548" s="4" t="str">
        <f>_xlfn.IFNA(VLOOKUP(Table_Query_from_AMULTIQRY45[[#This Row],[WPROD]],'Part# with New'!$A$1:$B$4347,2,0),Table_Query_from_AMULTIQRY45[[#This Row],[WPROD]])</f>
        <v>WSNC627604012D-PGX25W</v>
      </c>
      <c r="I548" s="4" t="s">
        <v>8436</v>
      </c>
      <c r="J548" s="1" t="s">
        <v>5</v>
      </c>
      <c r="L548" s="11">
        <v>0.88510999999999995</v>
      </c>
      <c r="M548" s="1"/>
      <c r="N548" s="1" t="s">
        <v>6</v>
      </c>
      <c r="P548" s="1" t="str">
        <f>CONCATENATE(Table_Query_from_AMULTIQRY45[[#This Row],[WWHS]],"-",Table_Query_from_AMULTIQRY45[[#This Row],[LLOC]])</f>
        <v>E1-FG</v>
      </c>
      <c r="Q548" s="10">
        <f t="shared" ca="1" si="17"/>
        <v>45775</v>
      </c>
      <c r="R548" s="10"/>
      <c r="S548" s="28">
        <v>26</v>
      </c>
      <c r="T548" s="1" t="s">
        <v>2</v>
      </c>
      <c r="U548" s="1" t="s">
        <v>597</v>
      </c>
      <c r="V548" s="1">
        <v>20230906</v>
      </c>
      <c r="W548" s="8" t="s">
        <v>8442</v>
      </c>
      <c r="Z548" s="1"/>
      <c r="AA548" s="1"/>
      <c r="AC548" s="1"/>
      <c r="AD548" s="1"/>
      <c r="AE548" s="1"/>
      <c r="AF548" s="1"/>
    </row>
    <row r="549" spans="2:32" ht="12.75" x14ac:dyDescent="0.2">
      <c r="B549" s="1" t="s">
        <v>9055</v>
      </c>
      <c r="C549" s="10">
        <f t="shared" ca="1" si="16"/>
        <v>45685</v>
      </c>
      <c r="D549" s="4"/>
      <c r="E549" s="4" t="s">
        <v>8434</v>
      </c>
      <c r="F549" s="4" t="s">
        <v>1293</v>
      </c>
      <c r="G549" s="4"/>
      <c r="H549" s="4" t="str">
        <f>_xlfn.IFNA(VLOOKUP(Table_Query_from_AMULTIQRY45[[#This Row],[WPROD]],'Part# with New'!$A$1:$B$4347,2,0),Table_Query_from_AMULTIQRY45[[#This Row],[WPROD]])</f>
        <v>WSMP205093058O-MXX00W</v>
      </c>
      <c r="I549" s="4" t="s">
        <v>8436</v>
      </c>
      <c r="J549" s="1" t="s">
        <v>5</v>
      </c>
      <c r="L549" s="11">
        <v>2.7686600000000001</v>
      </c>
      <c r="M549" s="1"/>
      <c r="N549" s="1" t="s">
        <v>18</v>
      </c>
      <c r="P549" s="1" t="str">
        <f>CONCATENATE(Table_Query_from_AMULTIQRY45[[#This Row],[WWHS]],"-",Table_Query_from_AMULTIQRY45[[#This Row],[LLOC]])</f>
        <v>E1-FG</v>
      </c>
      <c r="Q549" s="10">
        <f t="shared" ca="1" si="17"/>
        <v>45775</v>
      </c>
      <c r="R549" s="10"/>
      <c r="S549" s="28">
        <v>129</v>
      </c>
      <c r="T549" s="1" t="s">
        <v>2</v>
      </c>
      <c r="U549" s="1" t="s">
        <v>598</v>
      </c>
      <c r="V549" s="1">
        <v>20250128</v>
      </c>
      <c r="W549" s="8" t="s">
        <v>8442</v>
      </c>
      <c r="Z549" s="1"/>
      <c r="AA549" s="1"/>
      <c r="AC549" s="1"/>
      <c r="AD549" s="1"/>
      <c r="AE549" s="1"/>
      <c r="AF549" s="1"/>
    </row>
    <row r="550" spans="2:32" ht="12.75" x14ac:dyDescent="0.2">
      <c r="B550" s="1" t="s">
        <v>9056</v>
      </c>
      <c r="C550" s="10">
        <f t="shared" ca="1" si="16"/>
        <v>45762</v>
      </c>
      <c r="D550" s="4"/>
      <c r="E550" s="4" t="s">
        <v>8434</v>
      </c>
      <c r="F550" s="4" t="s">
        <v>1293</v>
      </c>
      <c r="G550" s="4"/>
      <c r="H550" s="4" t="str">
        <f>_xlfn.IFNA(VLOOKUP(Table_Query_from_AMULTIQRY45[[#This Row],[WPROD]],'Part# with New'!$A$1:$B$4347,2,0),Table_Query_from_AMULTIQRY45[[#This Row],[WPROD]])</f>
        <v>WSMP255200059O-MXX00W</v>
      </c>
      <c r="I550" s="4" t="s">
        <v>8436</v>
      </c>
      <c r="J550" s="1" t="s">
        <v>5</v>
      </c>
      <c r="L550" s="11">
        <v>2.69651</v>
      </c>
      <c r="M550" s="1"/>
      <c r="N550" s="1" t="s">
        <v>18</v>
      </c>
      <c r="P550" s="1" t="str">
        <f>CONCATENATE(Table_Query_from_AMULTIQRY45[[#This Row],[WWHS]],"-",Table_Query_from_AMULTIQRY45[[#This Row],[LLOC]])</f>
        <v>E1-FG</v>
      </c>
      <c r="Q550" s="10">
        <f t="shared" ca="1" si="17"/>
        <v>45775</v>
      </c>
      <c r="R550" s="10"/>
      <c r="S550" s="28">
        <v>9</v>
      </c>
      <c r="T550" s="1" t="s">
        <v>2</v>
      </c>
      <c r="U550" s="1" t="s">
        <v>599</v>
      </c>
      <c r="V550" s="1">
        <v>20250415</v>
      </c>
      <c r="W550" s="8" t="s">
        <v>8442</v>
      </c>
      <c r="Z550" s="1"/>
      <c r="AA550" s="1"/>
      <c r="AC550" s="1"/>
      <c r="AD550" s="1"/>
      <c r="AE550" s="1"/>
      <c r="AF550" s="1"/>
    </row>
    <row r="551" spans="2:32" ht="12.75" x14ac:dyDescent="0.2">
      <c r="B551" s="1" t="s">
        <v>9057</v>
      </c>
      <c r="C551" s="10">
        <f t="shared" ca="1" si="16"/>
        <v>45679</v>
      </c>
      <c r="D551" s="4"/>
      <c r="E551" s="4" t="s">
        <v>8434</v>
      </c>
      <c r="F551" s="4" t="s">
        <v>1293</v>
      </c>
      <c r="G551" s="4"/>
      <c r="H551" s="4" t="str">
        <f>_xlfn.IFNA(VLOOKUP(Table_Query_from_AMULTIQRY45[[#This Row],[WPROD]],'Part# with New'!$A$1:$B$4347,2,0),Table_Query_from_AMULTIQRY45[[#This Row],[WPROD]])</f>
        <v>22767</v>
      </c>
      <c r="I551" s="4" t="s">
        <v>8436</v>
      </c>
      <c r="J551" s="1" t="s">
        <v>5</v>
      </c>
      <c r="L551" s="11">
        <v>0.61316999999999999</v>
      </c>
      <c r="M551" s="1"/>
      <c r="N551" s="1" t="s">
        <v>18</v>
      </c>
      <c r="P551" s="1" t="str">
        <f>CONCATENATE(Table_Query_from_AMULTIQRY45[[#This Row],[WWHS]],"-",Table_Query_from_AMULTIQRY45[[#This Row],[LLOC]])</f>
        <v>E1-FG</v>
      </c>
      <c r="Q551" s="10">
        <f t="shared" ca="1" si="17"/>
        <v>45775</v>
      </c>
      <c r="R551" s="10"/>
      <c r="S551" s="28">
        <v>301</v>
      </c>
      <c r="T551" s="1" t="s">
        <v>2</v>
      </c>
      <c r="U551" s="1" t="s">
        <v>600</v>
      </c>
      <c r="V551" s="1">
        <v>20250122</v>
      </c>
      <c r="W551" s="8" t="s">
        <v>8442</v>
      </c>
      <c r="Z551" s="1"/>
      <c r="AA551" s="1"/>
      <c r="AC551" s="1"/>
      <c r="AD551" s="1"/>
      <c r="AE551" s="1"/>
      <c r="AF551" s="1"/>
    </row>
    <row r="552" spans="2:32" ht="12.75" x14ac:dyDescent="0.2">
      <c r="B552" s="1" t="s">
        <v>9058</v>
      </c>
      <c r="C552" s="10">
        <f t="shared" ca="1" si="16"/>
        <v>45495</v>
      </c>
      <c r="D552" s="4"/>
      <c r="E552" s="4" t="s">
        <v>8434</v>
      </c>
      <c r="F552" s="4" t="s">
        <v>1293</v>
      </c>
      <c r="G552" s="4"/>
      <c r="H552" s="4" t="str">
        <f>_xlfn.IFNA(VLOOKUP(Table_Query_from_AMULTIQRY45[[#This Row],[WPROD]],'Part# with New'!$A$1:$B$4347,2,0),Table_Query_from_AMULTIQRY45[[#This Row],[WPROD]])</f>
        <v>WPOT149139015D-PGX15W</v>
      </c>
      <c r="I552" s="4" t="s">
        <v>8436</v>
      </c>
      <c r="J552" s="1" t="s">
        <v>5</v>
      </c>
      <c r="L552" s="11">
        <v>0.31004999999999999</v>
      </c>
      <c r="M552" s="1"/>
      <c r="N552" s="1" t="s">
        <v>3</v>
      </c>
      <c r="P552" s="1" t="str">
        <f>CONCATENATE(Table_Query_from_AMULTIQRY45[[#This Row],[WWHS]],"-",Table_Query_from_AMULTIQRY45[[#This Row],[LLOC]])</f>
        <v>E1-FG</v>
      </c>
      <c r="Q552" s="10">
        <f t="shared" ca="1" si="17"/>
        <v>45775</v>
      </c>
      <c r="R552" s="10"/>
      <c r="S552" s="28">
        <v>215</v>
      </c>
      <c r="T552" s="1" t="s">
        <v>2</v>
      </c>
      <c r="U552" s="1" t="s">
        <v>601</v>
      </c>
      <c r="V552" s="1">
        <v>20240722</v>
      </c>
      <c r="W552" s="8" t="s">
        <v>8442</v>
      </c>
      <c r="Z552" s="1"/>
      <c r="AA552" s="1"/>
      <c r="AC552" s="1"/>
      <c r="AD552" s="1"/>
      <c r="AE552" s="1"/>
      <c r="AF552" s="1"/>
    </row>
    <row r="553" spans="2:32" ht="12.75" x14ac:dyDescent="0.2">
      <c r="B553" s="1" t="s">
        <v>9059</v>
      </c>
      <c r="C553" s="10">
        <f t="shared" ca="1" si="16"/>
        <v>44544</v>
      </c>
      <c r="D553" s="4"/>
      <c r="E553" s="4" t="s">
        <v>8434</v>
      </c>
      <c r="F553" s="4" t="s">
        <v>1293</v>
      </c>
      <c r="G553" s="4"/>
      <c r="H553" s="4" t="str">
        <f>_xlfn.IFNA(VLOOKUP(Table_Query_from_AMULTIQRY45[[#This Row],[WPROD]],'Part# with New'!$A$1:$B$4347,2,0),Table_Query_from_AMULTIQRY45[[#This Row],[WPROD]])</f>
        <v>WPOS147128024S-PCR23K</v>
      </c>
      <c r="I553" s="4" t="s">
        <v>8436</v>
      </c>
      <c r="J553" s="1" t="s">
        <v>5</v>
      </c>
      <c r="L553" s="11">
        <v>0.76905000000000001</v>
      </c>
      <c r="M553" s="1"/>
      <c r="N553" s="1" t="s">
        <v>389</v>
      </c>
      <c r="P553" s="1" t="str">
        <f>CONCATENATE(Table_Query_from_AMULTIQRY45[[#This Row],[WWHS]],"-",Table_Query_from_AMULTIQRY45[[#This Row],[LLOC]])</f>
        <v>E1-FG</v>
      </c>
      <c r="Q553" s="10">
        <f t="shared" ca="1" si="17"/>
        <v>45775</v>
      </c>
      <c r="R553" s="10"/>
      <c r="S553" s="28">
        <v>384</v>
      </c>
      <c r="T553" s="1" t="s">
        <v>2</v>
      </c>
      <c r="U553" s="1" t="s">
        <v>602</v>
      </c>
      <c r="V553" s="1">
        <v>20211214</v>
      </c>
      <c r="W553" s="8" t="s">
        <v>8442</v>
      </c>
      <c r="Z553" s="1"/>
      <c r="AA553" s="1"/>
      <c r="AC553" s="1"/>
      <c r="AD553" s="1"/>
      <c r="AE553" s="1"/>
      <c r="AF553" s="1"/>
    </row>
    <row r="554" spans="2:32" ht="12.75" x14ac:dyDescent="0.2">
      <c r="B554" s="1" t="s">
        <v>9060</v>
      </c>
      <c r="C554" s="10">
        <f t="shared" ca="1" si="16"/>
        <v>45733</v>
      </c>
      <c r="D554" s="4"/>
      <c r="E554" s="4" t="s">
        <v>8434</v>
      </c>
      <c r="F554" s="4" t="s">
        <v>1293</v>
      </c>
      <c r="G554" s="4"/>
      <c r="H554" s="4" t="str">
        <f>_xlfn.IFNA(VLOOKUP(Table_Query_from_AMULTIQRY45[[#This Row],[WPROD]],'Part# with New'!$A$1:$B$4347,2,0),Table_Query_from_AMULTIQRY45[[#This Row],[WPROD]])</f>
        <v>WFFL600480200L-PRX15K</v>
      </c>
      <c r="I554" s="4" t="s">
        <v>8436</v>
      </c>
      <c r="J554" s="1" t="s">
        <v>5</v>
      </c>
      <c r="L554" s="11">
        <v>4.4049999999999999E-2</v>
      </c>
      <c r="M554" s="1"/>
      <c r="N554" s="1" t="s">
        <v>346</v>
      </c>
      <c r="P554" s="1" t="str">
        <f>CONCATENATE(Table_Query_from_AMULTIQRY45[[#This Row],[WWHS]],"-",Table_Query_from_AMULTIQRY45[[#This Row],[LLOC]])</f>
        <v>E1-FG</v>
      </c>
      <c r="Q554" s="10">
        <f t="shared" ca="1" si="17"/>
        <v>45775</v>
      </c>
      <c r="R554" s="10"/>
      <c r="S554" s="28">
        <v>3223</v>
      </c>
      <c r="T554" s="1" t="s">
        <v>2</v>
      </c>
      <c r="U554" s="1" t="s">
        <v>603</v>
      </c>
      <c r="V554" s="1">
        <v>20250317</v>
      </c>
      <c r="W554" s="8" t="s">
        <v>8442</v>
      </c>
      <c r="Z554" s="1"/>
      <c r="AA554" s="1"/>
      <c r="AC554" s="1"/>
      <c r="AD554" s="1"/>
      <c r="AE554" s="1"/>
      <c r="AF554" s="1"/>
    </row>
    <row r="555" spans="2:32" ht="12.75" x14ac:dyDescent="0.2">
      <c r="B555" s="1" t="s">
        <v>9061</v>
      </c>
      <c r="C555" s="10">
        <f t="shared" ca="1" si="16"/>
        <v>45742</v>
      </c>
      <c r="D555" s="4"/>
      <c r="E555" s="4" t="s">
        <v>8434</v>
      </c>
      <c r="F555" s="4" t="s">
        <v>1293</v>
      </c>
      <c r="G555" s="4"/>
      <c r="H555" s="4" t="str">
        <f>_xlfn.IFNA(VLOOKUP(Table_Query_from_AMULTIQRY45[[#This Row],[WPROD]],'Part# with New'!$A$1:$B$4347,2,0),Table_Query_from_AMULTIQRY45[[#This Row],[WPROD]])</f>
        <v>WSMP701445054Q-PGX15W</v>
      </c>
      <c r="I555" s="4" t="s">
        <v>8436</v>
      </c>
      <c r="J555" s="1" t="s">
        <v>5</v>
      </c>
      <c r="L555" s="11">
        <v>16.580829999999999</v>
      </c>
      <c r="M555" s="1"/>
      <c r="N555" s="1" t="s">
        <v>18</v>
      </c>
      <c r="P555" s="1" t="str">
        <f>CONCATENATE(Table_Query_from_AMULTIQRY45[[#This Row],[WWHS]],"-",Table_Query_from_AMULTIQRY45[[#This Row],[LLOC]])</f>
        <v>E1-FG</v>
      </c>
      <c r="Q555" s="10">
        <f t="shared" ca="1" si="17"/>
        <v>45775</v>
      </c>
      <c r="R555" s="10"/>
      <c r="S555" s="29">
        <v>90</v>
      </c>
      <c r="T555" s="1" t="s">
        <v>2</v>
      </c>
      <c r="U555" s="1" t="s">
        <v>604</v>
      </c>
      <c r="V555" s="1">
        <v>20250326</v>
      </c>
      <c r="W555" s="8" t="s">
        <v>8442</v>
      </c>
      <c r="Z555" s="1"/>
      <c r="AA555" s="1"/>
      <c r="AC555" s="1"/>
      <c r="AD555" s="1"/>
      <c r="AE555" s="1"/>
      <c r="AF555" s="1"/>
    </row>
    <row r="556" spans="2:32" ht="12.75" x14ac:dyDescent="0.2">
      <c r="B556" s="1" t="s">
        <v>9062</v>
      </c>
      <c r="C556" s="10">
        <f t="shared" ca="1" si="16"/>
        <v>45764</v>
      </c>
      <c r="D556" s="4"/>
      <c r="E556" s="4" t="s">
        <v>8434</v>
      </c>
      <c r="F556" s="4" t="s">
        <v>1293</v>
      </c>
      <c r="G556" s="4"/>
      <c r="H556" s="4" t="str">
        <f>_xlfn.IFNA(VLOOKUP(Table_Query_from_AMULTIQRY45[[#This Row],[WPROD]],'Part# with New'!$A$1:$B$4347,2,0),Table_Query_from_AMULTIQRY45[[#This Row],[WPROD]])</f>
        <v>WSMP502300049Q-PGX15W</v>
      </c>
      <c r="I556" s="4" t="s">
        <v>8436</v>
      </c>
      <c r="J556" s="1" t="s">
        <v>5</v>
      </c>
      <c r="L556" s="11">
        <v>8.8104099999999992</v>
      </c>
      <c r="M556" s="1"/>
      <c r="N556" s="1" t="s">
        <v>18</v>
      </c>
      <c r="P556" s="1" t="str">
        <f>CONCATENATE(Table_Query_from_AMULTIQRY45[[#This Row],[WWHS]],"-",Table_Query_from_AMULTIQRY45[[#This Row],[LLOC]])</f>
        <v>E1-FG</v>
      </c>
      <c r="Q556" s="10">
        <f t="shared" ca="1" si="17"/>
        <v>45775</v>
      </c>
      <c r="R556" s="10"/>
      <c r="S556" s="28">
        <v>24</v>
      </c>
      <c r="T556" s="1" t="s">
        <v>2</v>
      </c>
      <c r="U556" s="1" t="s">
        <v>605</v>
      </c>
      <c r="V556" s="1">
        <v>20250417</v>
      </c>
      <c r="W556" s="8" t="s">
        <v>8442</v>
      </c>
      <c r="Z556" s="1"/>
      <c r="AA556" s="1"/>
      <c r="AC556" s="1"/>
      <c r="AD556" s="1"/>
      <c r="AE556" s="1"/>
      <c r="AF556" s="1"/>
    </row>
    <row r="557" spans="2:32" ht="12.75" x14ac:dyDescent="0.2">
      <c r="B557" s="1" t="s">
        <v>9063</v>
      </c>
      <c r="C557" s="10">
        <f t="shared" ca="1" si="16"/>
        <v>44322</v>
      </c>
      <c r="D557" s="4"/>
      <c r="E557" s="4" t="s">
        <v>8434</v>
      </c>
      <c r="F557" s="4" t="s">
        <v>1293</v>
      </c>
      <c r="G557" s="4"/>
      <c r="H557" s="4" t="str">
        <f>_xlfn.IFNA(VLOOKUP(Table_Query_from_AMULTIQRY45[[#This Row],[WPROD]],'Part# with New'!$A$1:$B$4347,2,0),Table_Query_from_AMULTIQRY45[[#This Row],[WPROD]])</f>
        <v>WSNC162076034D-USX50S</v>
      </c>
      <c r="I557" s="4" t="s">
        <v>8436</v>
      </c>
      <c r="J557" s="1" t="s">
        <v>5</v>
      </c>
      <c r="L557" s="11">
        <v>1.90367</v>
      </c>
      <c r="M557" s="1"/>
      <c r="N557" s="1" t="s">
        <v>6</v>
      </c>
      <c r="P557" s="1" t="str">
        <f>CONCATENATE(Table_Query_from_AMULTIQRY45[[#This Row],[WWHS]],"-",Table_Query_from_AMULTIQRY45[[#This Row],[LLOC]])</f>
        <v>E1-FG</v>
      </c>
      <c r="Q557" s="10">
        <f t="shared" ca="1" si="17"/>
        <v>45775</v>
      </c>
      <c r="R557" s="10"/>
      <c r="S557" s="28">
        <v>11</v>
      </c>
      <c r="T557" s="1" t="s">
        <v>2</v>
      </c>
      <c r="U557" s="1" t="s">
        <v>606</v>
      </c>
      <c r="V557" s="1">
        <v>20210506</v>
      </c>
      <c r="W557" s="8" t="s">
        <v>8442</v>
      </c>
      <c r="Z557" s="1"/>
      <c r="AA557" s="1"/>
      <c r="AC557" s="1"/>
      <c r="AD557" s="1"/>
      <c r="AE557" s="1"/>
      <c r="AF557" s="1"/>
    </row>
    <row r="558" spans="2:32" ht="12.75" x14ac:dyDescent="0.2">
      <c r="B558" s="1" t="s">
        <v>9064</v>
      </c>
      <c r="C558" s="10">
        <f t="shared" ca="1" si="16"/>
        <v>45506</v>
      </c>
      <c r="D558" s="4"/>
      <c r="E558" s="4" t="s">
        <v>8434</v>
      </c>
      <c r="F558" s="4" t="s">
        <v>1293</v>
      </c>
      <c r="G558" s="4"/>
      <c r="H558" s="4" t="str">
        <f>_xlfn.IFNA(VLOOKUP(Table_Query_from_AMULTIQRY45[[#This Row],[WPROD]],'Part# with New'!$A$1:$B$4347,2,0),Table_Query_from_AMULTIQRY45[[#This Row],[WPROD]])</f>
        <v>WPOS085073024S-PFX15K</v>
      </c>
      <c r="I558" s="4" t="s">
        <v>8436</v>
      </c>
      <c r="J558" s="1" t="s">
        <v>5</v>
      </c>
      <c r="L558" s="11">
        <v>0.31206</v>
      </c>
      <c r="M558" s="1"/>
      <c r="N558" s="1" t="s">
        <v>389</v>
      </c>
      <c r="P558" s="1" t="str">
        <f>CONCATENATE(Table_Query_from_AMULTIQRY45[[#This Row],[WWHS]],"-",Table_Query_from_AMULTIQRY45[[#This Row],[LLOC]])</f>
        <v>E1-FG</v>
      </c>
      <c r="Q558" s="10">
        <f t="shared" ca="1" si="17"/>
        <v>45775</v>
      </c>
      <c r="R558" s="10"/>
      <c r="S558" s="28">
        <v>62</v>
      </c>
      <c r="T558" s="1" t="s">
        <v>2</v>
      </c>
      <c r="U558" s="1" t="s">
        <v>607</v>
      </c>
      <c r="V558" s="1">
        <v>20240802</v>
      </c>
      <c r="W558" s="8" t="s">
        <v>8442</v>
      </c>
      <c r="Z558" s="1"/>
      <c r="AA558" s="1"/>
      <c r="AC558" s="1"/>
      <c r="AD558" s="1"/>
      <c r="AE558" s="1"/>
      <c r="AF558" s="1"/>
    </row>
    <row r="559" spans="2:32" ht="12.75" x14ac:dyDescent="0.2">
      <c r="B559" s="1" t="s">
        <v>9065</v>
      </c>
      <c r="C559" s="10">
        <f t="shared" ca="1" si="16"/>
        <v>45181</v>
      </c>
      <c r="D559" s="4"/>
      <c r="E559" s="4" t="s">
        <v>8434</v>
      </c>
      <c r="F559" s="4" t="s">
        <v>1293</v>
      </c>
      <c r="G559" s="4"/>
      <c r="H559" s="4" t="str">
        <f>_xlfn.IFNA(VLOOKUP(Table_Query_from_AMULTIQRY45[[#This Row],[WPROD]],'Part# with New'!$A$1:$B$4347,2,0),Table_Query_from_AMULTIQRY45[[#This Row],[WPROD]])</f>
        <v>WPOT158147007D-PZF30N</v>
      </c>
      <c r="I559" s="4" t="s">
        <v>8436</v>
      </c>
      <c r="J559" s="1" t="s">
        <v>5</v>
      </c>
      <c r="L559" s="11">
        <v>0.15861</v>
      </c>
      <c r="M559" s="1"/>
      <c r="N559" s="1" t="s">
        <v>3</v>
      </c>
      <c r="P559" s="1" t="str">
        <f>CONCATENATE(Table_Query_from_AMULTIQRY45[[#This Row],[WWHS]],"-",Table_Query_from_AMULTIQRY45[[#This Row],[LLOC]])</f>
        <v>E1-FG</v>
      </c>
      <c r="Q559" s="10">
        <f t="shared" ca="1" si="17"/>
        <v>45775</v>
      </c>
      <c r="R559" s="10"/>
      <c r="S559" s="28">
        <v>257</v>
      </c>
      <c r="T559" s="1" t="s">
        <v>2</v>
      </c>
      <c r="U559" s="1" t="s">
        <v>608</v>
      </c>
      <c r="V559" s="1">
        <v>20230912</v>
      </c>
      <c r="W559" s="8" t="s">
        <v>8442</v>
      </c>
      <c r="Z559" s="1"/>
      <c r="AA559" s="1"/>
      <c r="AC559" s="1"/>
      <c r="AD559" s="1"/>
      <c r="AE559" s="1"/>
      <c r="AF559" s="1"/>
    </row>
    <row r="560" spans="2:32" ht="12.75" x14ac:dyDescent="0.2">
      <c r="B560" s="1" t="s">
        <v>9066</v>
      </c>
      <c r="C560" s="10">
        <f t="shared" ca="1" si="16"/>
        <v>45516</v>
      </c>
      <c r="D560" s="4"/>
      <c r="E560" s="4" t="s">
        <v>8434</v>
      </c>
      <c r="F560" s="4" t="s">
        <v>1293</v>
      </c>
      <c r="G560" s="4"/>
      <c r="H560" s="4" t="str">
        <f>_xlfn.IFNA(VLOOKUP(Table_Query_from_AMULTIQRY45[[#This Row],[WPROD]],'Part# with New'!$A$1:$B$4347,2,0),Table_Query_from_AMULTIQRY45[[#This Row],[WPROD]])</f>
        <v>WSNC126111007D-PCR23K</v>
      </c>
      <c r="I560" s="4" t="s">
        <v>8436</v>
      </c>
      <c r="J560" s="1" t="s">
        <v>5</v>
      </c>
      <c r="L560" s="11">
        <v>0.27407999999999999</v>
      </c>
      <c r="M560" s="1"/>
      <c r="N560" s="1" t="s">
        <v>6</v>
      </c>
      <c r="P560" s="1" t="str">
        <f>CONCATENATE(Table_Query_from_AMULTIQRY45[[#This Row],[WWHS]],"-",Table_Query_from_AMULTIQRY45[[#This Row],[LLOC]])</f>
        <v>E1-FG</v>
      </c>
      <c r="Q560" s="10">
        <f t="shared" ca="1" si="17"/>
        <v>45775</v>
      </c>
      <c r="R560" s="10"/>
      <c r="S560" s="28">
        <v>123</v>
      </c>
      <c r="T560" s="1" t="s">
        <v>2</v>
      </c>
      <c r="U560" s="1" t="s">
        <v>609</v>
      </c>
      <c r="V560" s="1">
        <v>20240812</v>
      </c>
      <c r="W560" s="8" t="s">
        <v>8442</v>
      </c>
      <c r="Z560" s="1"/>
      <c r="AA560" s="1"/>
      <c r="AC560" s="1"/>
      <c r="AD560" s="1"/>
      <c r="AE560" s="1"/>
      <c r="AF560" s="1"/>
    </row>
    <row r="561" spans="2:32" ht="12.75" x14ac:dyDescent="0.2">
      <c r="B561" s="1" t="s">
        <v>9067</v>
      </c>
      <c r="C561" s="10">
        <f t="shared" ca="1" si="16"/>
        <v>45684</v>
      </c>
      <c r="D561" s="4"/>
      <c r="E561" s="4" t="s">
        <v>8434</v>
      </c>
      <c r="F561" s="4" t="s">
        <v>1293</v>
      </c>
      <c r="G561" s="4"/>
      <c r="H561" s="4" t="str">
        <f>_xlfn.IFNA(VLOOKUP(Table_Query_from_AMULTIQRY45[[#This Row],[WPROD]],'Part# with New'!$A$1:$B$4347,2,0),Table_Query_from_AMULTIQRY45[[#This Row],[WPROD]])</f>
        <v>WFFH198137020D-PXX00W</v>
      </c>
      <c r="I561" s="4" t="s">
        <v>8436</v>
      </c>
      <c r="J561" s="1" t="s">
        <v>5</v>
      </c>
      <c r="L561" s="11">
        <v>0.31473000000000001</v>
      </c>
      <c r="M561" s="1"/>
      <c r="N561" s="1" t="s">
        <v>348</v>
      </c>
      <c r="P561" s="1" t="str">
        <f>CONCATENATE(Table_Query_from_AMULTIQRY45[[#This Row],[WWHS]],"-",Table_Query_from_AMULTIQRY45[[#This Row],[LLOC]])</f>
        <v>E1-FG</v>
      </c>
      <c r="Q561" s="10">
        <f t="shared" ca="1" si="17"/>
        <v>45775</v>
      </c>
      <c r="R561" s="10"/>
      <c r="S561" s="28">
        <v>272</v>
      </c>
      <c r="T561" s="1" t="s">
        <v>2</v>
      </c>
      <c r="U561" s="1" t="s">
        <v>610</v>
      </c>
      <c r="V561" s="1">
        <v>20250127</v>
      </c>
      <c r="W561" s="8" t="s">
        <v>8442</v>
      </c>
      <c r="Z561" s="1"/>
      <c r="AA561" s="1"/>
      <c r="AC561" s="1"/>
      <c r="AD561" s="1"/>
      <c r="AE561" s="1"/>
      <c r="AF561" s="1"/>
    </row>
    <row r="562" spans="2:32" ht="12.75" x14ac:dyDescent="0.2">
      <c r="B562" s="1" t="s">
        <v>9068</v>
      </c>
      <c r="C562" s="10">
        <f t="shared" ca="1" si="16"/>
        <v>45524</v>
      </c>
      <c r="D562" s="4"/>
      <c r="E562" s="4" t="s">
        <v>8434</v>
      </c>
      <c r="F562" s="4" t="s">
        <v>1293</v>
      </c>
      <c r="G562" s="4"/>
      <c r="H562" s="4" t="str">
        <f>_xlfn.IFNA(VLOOKUP(Table_Query_from_AMULTIQRY45[[#This Row],[WPROD]],'Part# with New'!$A$1:$B$4347,2,0),Table_Query_from_AMULTIQRY45[[#This Row],[WPROD]])</f>
        <v>WSNC700690017D-PMX05K</v>
      </c>
      <c r="I562" s="4" t="s">
        <v>8436</v>
      </c>
      <c r="J562" s="1" t="s">
        <v>5</v>
      </c>
      <c r="L562" s="11">
        <v>3.6720000000000002</v>
      </c>
      <c r="M562" s="1"/>
      <c r="N562" s="1" t="s">
        <v>6</v>
      </c>
      <c r="P562" s="1" t="str">
        <f>CONCATENATE(Table_Query_from_AMULTIQRY45[[#This Row],[WWHS]],"-",Table_Query_from_AMULTIQRY45[[#This Row],[LLOC]])</f>
        <v>E1-FG</v>
      </c>
      <c r="Q562" s="10">
        <f t="shared" ca="1" si="17"/>
        <v>45775</v>
      </c>
      <c r="R562" s="10"/>
      <c r="S562" s="28">
        <v>18</v>
      </c>
      <c r="T562" s="1" t="s">
        <v>2</v>
      </c>
      <c r="U562" s="1" t="s">
        <v>611</v>
      </c>
      <c r="V562" s="1">
        <v>20240820</v>
      </c>
      <c r="W562" s="8" t="s">
        <v>8442</v>
      </c>
      <c r="Z562" s="1"/>
      <c r="AA562" s="1"/>
      <c r="AC562" s="1"/>
      <c r="AD562" s="1"/>
      <c r="AE562" s="1"/>
      <c r="AF562" s="1"/>
    </row>
    <row r="563" spans="2:32" ht="12.75" x14ac:dyDescent="0.2">
      <c r="B563" s="1" t="s">
        <v>9069</v>
      </c>
      <c r="C563" s="10">
        <f t="shared" ca="1" si="16"/>
        <v>45576</v>
      </c>
      <c r="D563" s="4"/>
      <c r="E563" s="4" t="s">
        <v>8434</v>
      </c>
      <c r="F563" s="4" t="s">
        <v>1293</v>
      </c>
      <c r="G563" s="4"/>
      <c r="H563" s="4" t="str">
        <f>_xlfn.IFNA(VLOOKUP(Table_Query_from_AMULTIQRY45[[#This Row],[WPROD]],'Part# with New'!$A$1:$B$4347,2,0),Table_Query_from_AMULTIQRY45[[#This Row],[WPROD]])</f>
        <v>WSOR055046010D-DV062N</v>
      </c>
      <c r="I563" s="4" t="s">
        <v>8436</v>
      </c>
      <c r="J563" s="1" t="s">
        <v>5</v>
      </c>
      <c r="L563" s="11">
        <v>9.5729999999999996E-2</v>
      </c>
      <c r="M563" s="1"/>
      <c r="N563" s="1" t="s">
        <v>480</v>
      </c>
      <c r="P563" s="1" t="str">
        <f>CONCATENATE(Table_Query_from_AMULTIQRY45[[#This Row],[WWHS]],"-",Table_Query_from_AMULTIQRY45[[#This Row],[LLOC]])</f>
        <v>E1-FG</v>
      </c>
      <c r="Q563" s="10">
        <f t="shared" ca="1" si="17"/>
        <v>45775</v>
      </c>
      <c r="R563" s="10"/>
      <c r="S563" s="28">
        <v>1683</v>
      </c>
      <c r="T563" s="1" t="s">
        <v>2</v>
      </c>
      <c r="U563" s="1" t="s">
        <v>612</v>
      </c>
      <c r="V563" s="1">
        <v>20241011</v>
      </c>
      <c r="W563" s="8" t="s">
        <v>8442</v>
      </c>
      <c r="Z563" s="1"/>
      <c r="AA563" s="1"/>
      <c r="AC563" s="1"/>
      <c r="AD563" s="1"/>
      <c r="AE563" s="1"/>
      <c r="AF563" s="1"/>
    </row>
    <row r="564" spans="2:32" ht="12.75" x14ac:dyDescent="0.2">
      <c r="B564" s="1" t="s">
        <v>9070</v>
      </c>
      <c r="C564" s="10">
        <f t="shared" ca="1" si="16"/>
        <v>43657</v>
      </c>
      <c r="D564" s="4"/>
      <c r="E564" s="4" t="s">
        <v>8434</v>
      </c>
      <c r="F564" s="4" t="s">
        <v>1293</v>
      </c>
      <c r="G564" s="4"/>
      <c r="H564" s="4" t="str">
        <f>_xlfn.IFNA(VLOOKUP(Table_Query_from_AMULTIQRY45[[#This Row],[WPROD]],'Part# with New'!$A$1:$B$4347,2,0),Table_Query_from_AMULTIQRY45[[#This Row],[WPROD]])</f>
        <v>WSLD657583020D-PXX00W</v>
      </c>
      <c r="I564" s="4" t="s">
        <v>8436</v>
      </c>
      <c r="J564" s="1" t="s">
        <v>5</v>
      </c>
      <c r="L564" s="11">
        <v>0.75190999999999997</v>
      </c>
      <c r="M564" s="1"/>
      <c r="N564" s="1" t="s">
        <v>328</v>
      </c>
      <c r="P564" s="1" t="str">
        <f>CONCATENATE(Table_Query_from_AMULTIQRY45[[#This Row],[WWHS]],"-",Table_Query_from_AMULTIQRY45[[#This Row],[LLOC]])</f>
        <v>E1-FG</v>
      </c>
      <c r="Q564" s="10">
        <f t="shared" ca="1" si="17"/>
        <v>45775</v>
      </c>
      <c r="R564" s="10"/>
      <c r="S564" s="28">
        <v>33</v>
      </c>
      <c r="T564" s="1" t="s">
        <v>2</v>
      </c>
      <c r="U564" s="1" t="s">
        <v>613</v>
      </c>
      <c r="V564" s="1">
        <v>20190711</v>
      </c>
      <c r="W564" s="8" t="s">
        <v>8442</v>
      </c>
      <c r="Z564" s="1"/>
      <c r="AA564" s="1"/>
      <c r="AC564" s="1"/>
      <c r="AD564" s="1"/>
      <c r="AE564" s="1"/>
      <c r="AF564" s="1"/>
    </row>
    <row r="565" spans="2:32" ht="12.75" x14ac:dyDescent="0.2">
      <c r="B565" s="1" t="s">
        <v>9071</v>
      </c>
      <c r="C565" s="10">
        <f t="shared" ca="1" si="16"/>
        <v>45408</v>
      </c>
      <c r="D565" s="4"/>
      <c r="E565" s="4" t="s">
        <v>8434</v>
      </c>
      <c r="F565" s="4" t="s">
        <v>1293</v>
      </c>
      <c r="G565" s="4"/>
      <c r="H565" s="4" t="str">
        <f>_xlfn.IFNA(VLOOKUP(Table_Query_from_AMULTIQRY45[[#This Row],[WPROD]],'Part# with New'!$A$1:$B$4347,2,0),Table_Query_from_AMULTIQRY45[[#This Row],[WPROD]])</f>
        <v>WSNC189175009D-PGX15W</v>
      </c>
      <c r="I565" s="4" t="s">
        <v>8436</v>
      </c>
      <c r="J565" s="1" t="s">
        <v>5</v>
      </c>
      <c r="L565" s="11">
        <v>0.49654999999999999</v>
      </c>
      <c r="M565" s="1"/>
      <c r="N565" s="1" t="s">
        <v>3</v>
      </c>
      <c r="P565" s="1" t="str">
        <f>CONCATENATE(Table_Query_from_AMULTIQRY45[[#This Row],[WWHS]],"-",Table_Query_from_AMULTIQRY45[[#This Row],[LLOC]])</f>
        <v>E1-FG</v>
      </c>
      <c r="Q565" s="10">
        <f t="shared" ca="1" si="17"/>
        <v>45775</v>
      </c>
      <c r="R565" s="10"/>
      <c r="S565" s="28">
        <v>920</v>
      </c>
      <c r="T565" s="1" t="s">
        <v>2</v>
      </c>
      <c r="U565" s="1" t="s">
        <v>614</v>
      </c>
      <c r="V565" s="1">
        <v>20240426</v>
      </c>
      <c r="W565" s="8" t="s">
        <v>8442</v>
      </c>
      <c r="Z565" s="1"/>
      <c r="AA565" s="1"/>
      <c r="AC565" s="1"/>
      <c r="AD565" s="1"/>
      <c r="AE565" s="1"/>
      <c r="AF565" s="1"/>
    </row>
    <row r="566" spans="2:32" ht="12.75" x14ac:dyDescent="0.2">
      <c r="B566" s="1" t="s">
        <v>9072</v>
      </c>
      <c r="C566" s="10">
        <f t="shared" ca="1" si="16"/>
        <v>45518</v>
      </c>
      <c r="D566" s="4"/>
      <c r="E566" s="4" t="s">
        <v>8434</v>
      </c>
      <c r="F566" s="4" t="s">
        <v>1293</v>
      </c>
      <c r="G566" s="4"/>
      <c r="H566" s="4" t="str">
        <f>_xlfn.IFNA(VLOOKUP(Table_Query_from_AMULTIQRY45[[#This Row],[WPROD]],'Part# with New'!$A$1:$B$4347,2,0),Table_Query_from_AMULTIQRY45[[#This Row],[WPROD]])</f>
        <v>WPOT189175009D-PGX15O</v>
      </c>
      <c r="I566" s="4" t="s">
        <v>8436</v>
      </c>
      <c r="J566" s="1" t="s">
        <v>5</v>
      </c>
      <c r="L566" s="11">
        <v>0.28798000000000001</v>
      </c>
      <c r="M566" s="1"/>
      <c r="N566" s="1" t="s">
        <v>3</v>
      </c>
      <c r="P566" s="1" t="str">
        <f>CONCATENATE(Table_Query_from_AMULTIQRY45[[#This Row],[WWHS]],"-",Table_Query_from_AMULTIQRY45[[#This Row],[LLOC]])</f>
        <v>E1-FG</v>
      </c>
      <c r="Q566" s="10">
        <f t="shared" ca="1" si="17"/>
        <v>45775</v>
      </c>
      <c r="R566" s="10"/>
      <c r="S566" s="28">
        <v>970</v>
      </c>
      <c r="T566" s="1" t="s">
        <v>2</v>
      </c>
      <c r="U566" s="1" t="s">
        <v>615</v>
      </c>
      <c r="V566" s="1">
        <v>20240814</v>
      </c>
      <c r="W566" s="8" t="s">
        <v>8442</v>
      </c>
      <c r="Z566" s="1"/>
      <c r="AA566" s="1"/>
      <c r="AC566" s="1"/>
      <c r="AD566" s="1"/>
      <c r="AE566" s="1"/>
      <c r="AF566" s="1"/>
    </row>
    <row r="567" spans="2:32" ht="12.75" x14ac:dyDescent="0.2">
      <c r="B567" s="1" t="s">
        <v>9073</v>
      </c>
      <c r="C567" s="10">
        <f t="shared" ca="1" si="16"/>
        <v>43399</v>
      </c>
      <c r="D567" s="4"/>
      <c r="E567" s="4" t="s">
        <v>8434</v>
      </c>
      <c r="F567" s="4" t="s">
        <v>1293</v>
      </c>
      <c r="G567" s="4"/>
      <c r="H567" s="4" t="str">
        <f>_xlfn.IFNA(VLOOKUP(Table_Query_from_AMULTIQRY45[[#This Row],[WPROD]],'Part# with New'!$A$1:$B$4347,2,0),Table_Query_from_AMULTIQRY45[[#This Row],[WPROD]])</f>
        <v>WSNC045037013D-PXX00W</v>
      </c>
      <c r="I567" s="4" t="s">
        <v>8436</v>
      </c>
      <c r="J567" s="1" t="s">
        <v>5</v>
      </c>
      <c r="L567" s="11">
        <v>0.21243000000000001</v>
      </c>
      <c r="M567" s="1"/>
      <c r="N567" s="1" t="s">
        <v>6</v>
      </c>
      <c r="P567" s="1" t="str">
        <f>CONCATENATE(Table_Query_from_AMULTIQRY45[[#This Row],[WWHS]],"-",Table_Query_from_AMULTIQRY45[[#This Row],[LLOC]])</f>
        <v>E1-FG</v>
      </c>
      <c r="Q567" s="10">
        <f t="shared" ca="1" si="17"/>
        <v>45775</v>
      </c>
      <c r="R567" s="10"/>
      <c r="S567" s="28">
        <v>300</v>
      </c>
      <c r="T567" s="1" t="s">
        <v>2</v>
      </c>
      <c r="U567" s="1" t="s">
        <v>616</v>
      </c>
      <c r="V567" s="1">
        <v>20181026</v>
      </c>
      <c r="W567" s="8" t="s">
        <v>8442</v>
      </c>
      <c r="Z567" s="1"/>
      <c r="AA567" s="1"/>
      <c r="AC567" s="1"/>
      <c r="AD567" s="1"/>
      <c r="AE567" s="1"/>
      <c r="AF567" s="1"/>
    </row>
    <row r="568" spans="2:32" ht="12.75" x14ac:dyDescent="0.2">
      <c r="B568" s="1" t="s">
        <v>9074</v>
      </c>
      <c r="C568" s="10">
        <f t="shared" ca="1" si="16"/>
        <v>45513</v>
      </c>
      <c r="D568" s="4"/>
      <c r="E568" s="4" t="s">
        <v>8434</v>
      </c>
      <c r="F568" s="4" t="s">
        <v>1293</v>
      </c>
      <c r="G568" s="4"/>
      <c r="H568" s="4" t="str">
        <f>_xlfn.IFNA(VLOOKUP(Table_Query_from_AMULTIQRY45[[#This Row],[WPROD]],'Part# with New'!$A$1:$B$4347,2,0),Table_Query_from_AMULTIQRY45[[#This Row],[WPROD]])</f>
        <v>WSNC400348032D-MXX00W</v>
      </c>
      <c r="I568" s="4" t="s">
        <v>8436</v>
      </c>
      <c r="J568" s="1" t="s">
        <v>5</v>
      </c>
      <c r="L568" s="11">
        <v>4.4010300000000004</v>
      </c>
      <c r="M568" s="1"/>
      <c r="N568" s="1" t="s">
        <v>6</v>
      </c>
      <c r="P568" s="1" t="str">
        <f>CONCATENATE(Table_Query_from_AMULTIQRY45[[#This Row],[WWHS]],"-",Table_Query_from_AMULTIQRY45[[#This Row],[LLOC]])</f>
        <v>E1-FG</v>
      </c>
      <c r="Q568" s="10">
        <f t="shared" ca="1" si="17"/>
        <v>45775</v>
      </c>
      <c r="R568" s="10"/>
      <c r="S568" s="28">
        <v>33</v>
      </c>
      <c r="T568" s="1" t="s">
        <v>2</v>
      </c>
      <c r="U568" s="1" t="s">
        <v>618</v>
      </c>
      <c r="V568" s="1">
        <v>20240809</v>
      </c>
      <c r="W568" s="8" t="s">
        <v>8442</v>
      </c>
      <c r="Z568" s="1"/>
      <c r="AA568" s="1"/>
      <c r="AC568" s="1"/>
      <c r="AD568" s="1"/>
      <c r="AE568" s="1"/>
      <c r="AF568" s="1"/>
    </row>
    <row r="569" spans="2:32" ht="12.75" x14ac:dyDescent="0.2">
      <c r="B569" s="1" t="s">
        <v>9075</v>
      </c>
      <c r="C569" s="10">
        <f t="shared" ca="1" si="16"/>
        <v>45421</v>
      </c>
      <c r="D569" s="4"/>
      <c r="E569" s="4" t="s">
        <v>8434</v>
      </c>
      <c r="F569" s="4" t="s">
        <v>1293</v>
      </c>
      <c r="G569" s="4"/>
      <c r="H569" s="4" t="str">
        <f>_xlfn.IFNA(VLOOKUP(Table_Query_from_AMULTIQRY45[[#This Row],[WPROD]],'Part# with New'!$A$1:$B$4347,2,0),Table_Query_from_AMULTIQRY45[[#This Row],[WPROD]])</f>
        <v>WPOT133123015D-PGX15W</v>
      </c>
      <c r="I569" s="4" t="s">
        <v>8436</v>
      </c>
      <c r="J569" s="1" t="s">
        <v>5</v>
      </c>
      <c r="L569" s="11">
        <v>0.36337999999999998</v>
      </c>
      <c r="M569" s="1"/>
      <c r="N569" s="1" t="s">
        <v>3</v>
      </c>
      <c r="P569" s="1" t="str">
        <f>CONCATENATE(Table_Query_from_AMULTIQRY45[[#This Row],[WWHS]],"-",Table_Query_from_AMULTIQRY45[[#This Row],[LLOC]])</f>
        <v>E1-FG</v>
      </c>
      <c r="Q569" s="10">
        <f t="shared" ca="1" si="17"/>
        <v>45775</v>
      </c>
      <c r="R569" s="10"/>
      <c r="S569" s="28">
        <v>2864</v>
      </c>
      <c r="T569" s="1" t="s">
        <v>2</v>
      </c>
      <c r="U569" s="1" t="s">
        <v>619</v>
      </c>
      <c r="V569" s="1">
        <v>20240509</v>
      </c>
      <c r="W569" s="8" t="s">
        <v>8442</v>
      </c>
      <c r="Z569" s="1"/>
      <c r="AA569" s="1"/>
      <c r="AC569" s="1"/>
      <c r="AD569" s="1"/>
      <c r="AE569" s="1"/>
      <c r="AF569" s="1"/>
    </row>
    <row r="570" spans="2:32" ht="12.75" x14ac:dyDescent="0.2">
      <c r="B570" s="1" t="s">
        <v>9076</v>
      </c>
      <c r="C570" s="10">
        <f t="shared" ca="1" si="16"/>
        <v>45201</v>
      </c>
      <c r="D570" s="4"/>
      <c r="E570" s="4" t="s">
        <v>8434</v>
      </c>
      <c r="F570" s="4" t="s">
        <v>1293</v>
      </c>
      <c r="G570" s="4"/>
      <c r="H570" s="4" t="str">
        <f>_xlfn.IFNA(VLOOKUP(Table_Query_from_AMULTIQRY45[[#This Row],[WPROD]],'Part# with New'!$A$1:$B$4347,2,0),Table_Query_from_AMULTIQRY45[[#This Row],[WPROD]])</f>
        <v>WFFL110380200L-PRX15K</v>
      </c>
      <c r="I570" s="4" t="s">
        <v>8436</v>
      </c>
      <c r="J570" s="1" t="s">
        <v>5</v>
      </c>
      <c r="L570" s="11">
        <v>2.7969999999999998E-2</v>
      </c>
      <c r="M570" s="1"/>
      <c r="N570" s="1" t="s">
        <v>346</v>
      </c>
      <c r="P570" s="1" t="str">
        <f>CONCATENATE(Table_Query_from_AMULTIQRY45[[#This Row],[WWHS]],"-",Table_Query_from_AMULTIQRY45[[#This Row],[LLOC]])</f>
        <v>E1-FG</v>
      </c>
      <c r="Q570" s="10">
        <f t="shared" ca="1" si="17"/>
        <v>45775</v>
      </c>
      <c r="R570" s="10"/>
      <c r="S570" s="28">
        <v>37265</v>
      </c>
      <c r="T570" s="1" t="s">
        <v>2</v>
      </c>
      <c r="U570" s="1" t="s">
        <v>620</v>
      </c>
      <c r="V570" s="1">
        <v>20231002</v>
      </c>
      <c r="W570" s="8" t="s">
        <v>8442</v>
      </c>
      <c r="Z570" s="1"/>
      <c r="AA570" s="1"/>
      <c r="AC570" s="1"/>
      <c r="AD570" s="1"/>
      <c r="AE570" s="1"/>
      <c r="AF570" s="1"/>
    </row>
    <row r="571" spans="2:32" ht="12.75" x14ac:dyDescent="0.2">
      <c r="B571" s="1" t="s">
        <v>9077</v>
      </c>
      <c r="C571" s="10">
        <f t="shared" ca="1" si="16"/>
        <v>45722</v>
      </c>
      <c r="D571" s="4"/>
      <c r="E571" s="4" t="s">
        <v>8434</v>
      </c>
      <c r="F571" s="4" t="s">
        <v>1293</v>
      </c>
      <c r="G571" s="4"/>
      <c r="H571" s="4" t="str">
        <f>_xlfn.IFNA(VLOOKUP(Table_Query_from_AMULTIQRY45[[#This Row],[WPROD]],'Part# with New'!$A$1:$B$4347,2,0),Table_Query_from_AMULTIQRY45[[#This Row],[WPROD]])</f>
        <v>WFFL050026013D-PCG18K</v>
      </c>
      <c r="I571" s="4" t="s">
        <v>8436</v>
      </c>
      <c r="J571" s="1" t="s">
        <v>5</v>
      </c>
      <c r="L571" s="11">
        <v>0.11663999999999999</v>
      </c>
      <c r="M571" s="1"/>
      <c r="N571" s="1" t="s">
        <v>346</v>
      </c>
      <c r="P571" s="1" t="str">
        <f>CONCATENATE(Table_Query_from_AMULTIQRY45[[#This Row],[WWHS]],"-",Table_Query_from_AMULTIQRY45[[#This Row],[LLOC]])</f>
        <v>E1-FG</v>
      </c>
      <c r="Q571" s="10">
        <f t="shared" ca="1" si="17"/>
        <v>45775</v>
      </c>
      <c r="R571" s="10"/>
      <c r="S571" s="28">
        <v>672</v>
      </c>
      <c r="T571" s="1" t="s">
        <v>2</v>
      </c>
      <c r="U571" s="1" t="s">
        <v>621</v>
      </c>
      <c r="V571" s="1">
        <v>20250306</v>
      </c>
      <c r="W571" s="8" t="s">
        <v>8442</v>
      </c>
      <c r="Z571" s="1"/>
      <c r="AA571" s="1"/>
      <c r="AC571" s="1"/>
      <c r="AD571" s="1"/>
      <c r="AE571" s="1"/>
      <c r="AF571" s="1"/>
    </row>
    <row r="572" spans="2:32" ht="12.75" x14ac:dyDescent="0.2">
      <c r="B572" s="1" t="s">
        <v>9078</v>
      </c>
      <c r="C572" s="10">
        <f t="shared" ca="1" si="16"/>
        <v>45743</v>
      </c>
      <c r="D572" s="4"/>
      <c r="E572" s="4" t="s">
        <v>8434</v>
      </c>
      <c r="F572" s="4" t="s">
        <v>1293</v>
      </c>
      <c r="G572" s="4"/>
      <c r="H572" s="4" t="str">
        <f>_xlfn.IFNA(VLOOKUP(Table_Query_from_AMULTIQRY45[[#This Row],[WPROD]],'Part# with New'!$A$1:$B$4347,2,0),Table_Query_from_AMULTIQRY45[[#This Row],[WPROD]])</f>
        <v>WPOT197181009D-PZF30N</v>
      </c>
      <c r="I572" s="4" t="s">
        <v>8436</v>
      </c>
      <c r="J572" s="1" t="s">
        <v>5</v>
      </c>
      <c r="L572" s="11">
        <v>0.28433000000000003</v>
      </c>
      <c r="M572" s="1"/>
      <c r="N572" s="1" t="s">
        <v>3</v>
      </c>
      <c r="P572" s="1" t="str">
        <f>CONCATENATE(Table_Query_from_AMULTIQRY45[[#This Row],[WWHS]],"-",Table_Query_from_AMULTIQRY45[[#This Row],[LLOC]])</f>
        <v>E1-FG</v>
      </c>
      <c r="Q572" s="10">
        <f t="shared" ca="1" si="17"/>
        <v>45775</v>
      </c>
      <c r="R572" s="10"/>
      <c r="S572" s="28">
        <v>100</v>
      </c>
      <c r="T572" s="1" t="s">
        <v>2</v>
      </c>
      <c r="U572" s="1" t="s">
        <v>622</v>
      </c>
      <c r="V572" s="1">
        <v>20250327</v>
      </c>
      <c r="W572" s="8" t="s">
        <v>8442</v>
      </c>
      <c r="Z572" s="1"/>
      <c r="AA572" s="1"/>
      <c r="AC572" s="1"/>
      <c r="AD572" s="1"/>
      <c r="AE572" s="1"/>
      <c r="AF572" s="1"/>
    </row>
    <row r="573" spans="2:32" ht="12.75" x14ac:dyDescent="0.2">
      <c r="B573" s="1" t="s">
        <v>9079</v>
      </c>
      <c r="C573" s="10">
        <f t="shared" ca="1" si="16"/>
        <v>45373</v>
      </c>
      <c r="D573" s="4"/>
      <c r="E573" s="4" t="s">
        <v>8434</v>
      </c>
      <c r="F573" s="4" t="s">
        <v>1293</v>
      </c>
      <c r="G573" s="4"/>
      <c r="H573" s="4" t="str">
        <f>_xlfn.IFNA(VLOOKUP(Table_Query_from_AMULTIQRY45[[#This Row],[WPROD]],'Part# with New'!$A$1:$B$4347,2,0),Table_Query_from_AMULTIQRY45[[#This Row],[WPROD]])</f>
        <v>WSMP150075059D-MXX00W</v>
      </c>
      <c r="I573" s="4" t="s">
        <v>8436</v>
      </c>
      <c r="J573" s="1" t="s">
        <v>5</v>
      </c>
      <c r="L573" s="11">
        <v>1.95547</v>
      </c>
      <c r="M573" s="1"/>
      <c r="N573" s="1" t="s">
        <v>18</v>
      </c>
      <c r="P573" s="1" t="str">
        <f>CONCATENATE(Table_Query_from_AMULTIQRY45[[#This Row],[WWHS]],"-",Table_Query_from_AMULTIQRY45[[#This Row],[LLOC]])</f>
        <v>E1-FG</v>
      </c>
      <c r="Q573" s="10">
        <f t="shared" ca="1" si="17"/>
        <v>45775</v>
      </c>
      <c r="R573" s="10"/>
      <c r="S573" s="28">
        <v>1592</v>
      </c>
      <c r="T573" s="1" t="s">
        <v>2</v>
      </c>
      <c r="U573" s="1" t="s">
        <v>623</v>
      </c>
      <c r="V573" s="1">
        <v>20240322</v>
      </c>
      <c r="W573" s="8" t="s">
        <v>8442</v>
      </c>
      <c r="Z573" s="1"/>
      <c r="AA573" s="1"/>
      <c r="AC573" s="1"/>
      <c r="AD573" s="1"/>
      <c r="AE573" s="1"/>
      <c r="AF573" s="1"/>
    </row>
    <row r="574" spans="2:32" ht="12.75" x14ac:dyDescent="0.2">
      <c r="B574" s="1" t="s">
        <v>9080</v>
      </c>
      <c r="C574" s="10">
        <f t="shared" ca="1" si="16"/>
        <v>45644</v>
      </c>
      <c r="D574" s="4"/>
      <c r="E574" s="4" t="s">
        <v>8434</v>
      </c>
      <c r="F574" s="4" t="s">
        <v>1293</v>
      </c>
      <c r="G574" s="4"/>
      <c r="H574" s="4" t="str">
        <f>_xlfn.IFNA(VLOOKUP(Table_Query_from_AMULTIQRY45[[#This Row],[WPROD]],'Part# with New'!$A$1:$B$4347,2,0),Table_Query_from_AMULTIQRY45[[#This Row],[WPROD]])</f>
        <v>WSMP406293059D-MXX00W</v>
      </c>
      <c r="I574" s="4" t="s">
        <v>8436</v>
      </c>
      <c r="J574" s="1" t="s">
        <v>5</v>
      </c>
      <c r="L574" s="11">
        <v>4.4165099999999997</v>
      </c>
      <c r="M574" s="1"/>
      <c r="N574" s="1" t="s">
        <v>18</v>
      </c>
      <c r="P574" s="1" t="str">
        <f>CONCATENATE(Table_Query_from_AMULTIQRY45[[#This Row],[WWHS]],"-",Table_Query_from_AMULTIQRY45[[#This Row],[LLOC]])</f>
        <v>E1-FG</v>
      </c>
      <c r="Q574" s="10">
        <f t="shared" ca="1" si="17"/>
        <v>45775</v>
      </c>
      <c r="R574" s="10"/>
      <c r="S574" s="28">
        <v>5</v>
      </c>
      <c r="T574" s="1" t="s">
        <v>2</v>
      </c>
      <c r="U574" s="1" t="s">
        <v>624</v>
      </c>
      <c r="V574" s="1">
        <v>20241218</v>
      </c>
      <c r="W574" s="8" t="s">
        <v>8442</v>
      </c>
      <c r="Z574" s="1"/>
      <c r="AA574" s="1"/>
      <c r="AC574" s="1"/>
      <c r="AD574" s="1"/>
      <c r="AE574" s="1"/>
      <c r="AF574" s="1"/>
    </row>
    <row r="575" spans="2:32" ht="12.75" x14ac:dyDescent="0.2">
      <c r="B575" s="1" t="s">
        <v>9081</v>
      </c>
      <c r="C575" s="10">
        <f t="shared" ca="1" si="16"/>
        <v>44719</v>
      </c>
      <c r="D575" s="4"/>
      <c r="E575" s="4" t="s">
        <v>8434</v>
      </c>
      <c r="F575" s="4" t="s">
        <v>1293</v>
      </c>
      <c r="G575" s="4"/>
      <c r="H575" s="4" t="str">
        <f>_xlfn.IFNA(VLOOKUP(Table_Query_from_AMULTIQRY45[[#This Row],[WPROD]],'Part# with New'!$A$1:$B$4347,2,0),Table_Query_from_AMULTIQRY45[[#This Row],[WPROD]])</f>
        <v>WPOT124116005D-PXX00W</v>
      </c>
      <c r="I575" s="4" t="s">
        <v>8436</v>
      </c>
      <c r="J575" s="1" t="s">
        <v>5</v>
      </c>
      <c r="L575" s="11">
        <v>6.497E-2</v>
      </c>
      <c r="M575" s="1"/>
      <c r="N575" s="1" t="s">
        <v>3</v>
      </c>
      <c r="P575" s="1" t="str">
        <f>CONCATENATE(Table_Query_from_AMULTIQRY45[[#This Row],[WWHS]],"-",Table_Query_from_AMULTIQRY45[[#This Row],[LLOC]])</f>
        <v>E1-FG</v>
      </c>
      <c r="Q575" s="10">
        <f t="shared" ca="1" si="17"/>
        <v>45775</v>
      </c>
      <c r="R575" s="10"/>
      <c r="S575" s="28">
        <v>524</v>
      </c>
      <c r="T575" s="1" t="s">
        <v>2</v>
      </c>
      <c r="U575" s="1" t="s">
        <v>625</v>
      </c>
      <c r="V575" s="1">
        <v>20220607</v>
      </c>
      <c r="W575" s="8" t="s">
        <v>8442</v>
      </c>
      <c r="Z575" s="1"/>
      <c r="AA575" s="1"/>
      <c r="AC575" s="1"/>
      <c r="AD575" s="1"/>
      <c r="AE575" s="1"/>
      <c r="AF575" s="1"/>
    </row>
    <row r="576" spans="2:32" ht="12.75" x14ac:dyDescent="0.2">
      <c r="B576" s="1" t="s">
        <v>9082</v>
      </c>
      <c r="C576" s="10">
        <f t="shared" ca="1" si="16"/>
        <v>45660</v>
      </c>
      <c r="D576" s="4"/>
      <c r="E576" s="4" t="s">
        <v>8434</v>
      </c>
      <c r="F576" s="4" t="s">
        <v>1293</v>
      </c>
      <c r="G576" s="4"/>
      <c r="H576" s="4" t="str">
        <f>_xlfn.IFNA(VLOOKUP(Table_Query_from_AMULTIQRY45[[#This Row],[WPROD]],'Part# with New'!$A$1:$B$4347,2,0),Table_Query_from_AMULTIQRY45[[#This Row],[WPROD]])</f>
        <v>WPOT185170009D-PGX15B</v>
      </c>
      <c r="I576" s="4" t="s">
        <v>8436</v>
      </c>
      <c r="J576" s="1" t="s">
        <v>5</v>
      </c>
      <c r="L576" s="11">
        <v>0.16782</v>
      </c>
      <c r="M576" s="1"/>
      <c r="N576" s="1" t="s">
        <v>6</v>
      </c>
      <c r="P576" s="1" t="str">
        <f>CONCATENATE(Table_Query_from_AMULTIQRY45[[#This Row],[WWHS]],"-",Table_Query_from_AMULTIQRY45[[#This Row],[LLOC]])</f>
        <v>E1-FG</v>
      </c>
      <c r="Q576" s="10">
        <f t="shared" ca="1" si="17"/>
        <v>45775</v>
      </c>
      <c r="R576" s="10"/>
      <c r="S576" s="28">
        <v>9900</v>
      </c>
      <c r="T576" s="1" t="s">
        <v>2</v>
      </c>
      <c r="U576" s="1" t="s">
        <v>626</v>
      </c>
      <c r="V576" s="1">
        <v>20250103</v>
      </c>
      <c r="W576" s="8" t="s">
        <v>8442</v>
      </c>
      <c r="Z576" s="1"/>
      <c r="AA576" s="1"/>
      <c r="AC576" s="1"/>
      <c r="AD576" s="1"/>
      <c r="AE576" s="1"/>
      <c r="AF576" s="1"/>
    </row>
    <row r="577" spans="2:32" ht="12.75" x14ac:dyDescent="0.2">
      <c r="B577" s="1" t="s">
        <v>9083</v>
      </c>
      <c r="C577" s="10">
        <f t="shared" ca="1" si="16"/>
        <v>45768</v>
      </c>
      <c r="D577" s="4"/>
      <c r="E577" s="4" t="s">
        <v>8434</v>
      </c>
      <c r="F577" s="4" t="s">
        <v>1293</v>
      </c>
      <c r="G577" s="4"/>
      <c r="H577" s="4" t="str">
        <f>_xlfn.IFNA(VLOOKUP(Table_Query_from_AMULTIQRY45[[#This Row],[WPROD]],'Part# with New'!$A$1:$B$4347,2,0),Table_Query_from_AMULTIQRY45[[#This Row],[WPROD]])</f>
        <v>WSMPM204011MXX</v>
      </c>
      <c r="I577" s="4" t="s">
        <v>8436</v>
      </c>
      <c r="J577" s="1" t="s">
        <v>5</v>
      </c>
      <c r="L577" s="11">
        <v>0.53171000000000002</v>
      </c>
      <c r="M577" s="1"/>
      <c r="N577" s="1" t="s">
        <v>18</v>
      </c>
      <c r="P577" s="1" t="str">
        <f>CONCATENATE(Table_Query_from_AMULTIQRY45[[#This Row],[WWHS]],"-",Table_Query_from_AMULTIQRY45[[#This Row],[LLOC]])</f>
        <v>E1-FG</v>
      </c>
      <c r="Q577" s="10">
        <f t="shared" ca="1" si="17"/>
        <v>45775</v>
      </c>
      <c r="R577" s="10"/>
      <c r="S577" s="28">
        <v>64</v>
      </c>
      <c r="T577" s="1" t="s">
        <v>2</v>
      </c>
      <c r="U577" s="1" t="s">
        <v>5707</v>
      </c>
      <c r="V577" s="1">
        <v>20250421</v>
      </c>
      <c r="W577" s="8" t="s">
        <v>8442</v>
      </c>
      <c r="Z577" s="1"/>
      <c r="AA577" s="1"/>
      <c r="AC577" s="1"/>
      <c r="AD577" s="1"/>
      <c r="AE577" s="1"/>
      <c r="AF577" s="1"/>
    </row>
    <row r="578" spans="2:32" ht="12.75" x14ac:dyDescent="0.2">
      <c r="B578" s="1" t="s">
        <v>9084</v>
      </c>
      <c r="C578" s="10">
        <f t="shared" ca="1" si="16"/>
        <v>45016</v>
      </c>
      <c r="D578" s="4"/>
      <c r="E578" s="4" t="s">
        <v>8434</v>
      </c>
      <c r="F578" s="4" t="s">
        <v>1293</v>
      </c>
      <c r="G578" s="4"/>
      <c r="H578" s="4" t="str">
        <f>_xlfn.IFNA(VLOOKUP(Table_Query_from_AMULTIQRY45[[#This Row],[WPROD]],'Part# with New'!$A$1:$B$4347,2,0),Table_Query_from_AMULTIQRY45[[#This Row],[WPROD]])</f>
        <v>WPSA041031002D-PXX00W</v>
      </c>
      <c r="I578" s="4" t="s">
        <v>8436</v>
      </c>
      <c r="J578" s="1" t="s">
        <v>5</v>
      </c>
      <c r="L578" s="11">
        <v>1.9179999999999999E-2</v>
      </c>
      <c r="M578" s="1"/>
      <c r="N578" s="1" t="s">
        <v>9</v>
      </c>
      <c r="P578" s="1" t="str">
        <f>CONCATENATE(Table_Query_from_AMULTIQRY45[[#This Row],[WWHS]],"-",Table_Query_from_AMULTIQRY45[[#This Row],[LLOC]])</f>
        <v>E1-FG</v>
      </c>
      <c r="Q578" s="10">
        <f t="shared" ca="1" si="17"/>
        <v>45775</v>
      </c>
      <c r="R578" s="10"/>
      <c r="S578" s="28">
        <v>7915</v>
      </c>
      <c r="T578" s="1" t="s">
        <v>2</v>
      </c>
      <c r="U578" s="1" t="s">
        <v>627</v>
      </c>
      <c r="V578" s="1">
        <v>20230331</v>
      </c>
      <c r="W578" s="8" t="s">
        <v>8442</v>
      </c>
      <c r="Z578" s="1"/>
      <c r="AA578" s="1"/>
      <c r="AC578" s="1"/>
      <c r="AD578" s="1"/>
      <c r="AE578" s="1"/>
      <c r="AF578" s="1"/>
    </row>
    <row r="579" spans="2:32" ht="12.75" x14ac:dyDescent="0.2">
      <c r="B579" s="1" t="s">
        <v>9085</v>
      </c>
      <c r="C579" s="10">
        <f t="shared" ca="1" si="16"/>
        <v>45637</v>
      </c>
      <c r="D579" s="4"/>
      <c r="E579" s="4" t="s">
        <v>8434</v>
      </c>
      <c r="F579" s="4" t="s">
        <v>1293</v>
      </c>
      <c r="G579" s="4"/>
      <c r="H579" s="4" t="str">
        <f>_xlfn.IFNA(VLOOKUP(Table_Query_from_AMULTIQRY45[[#This Row],[WPROD]],'Part# with New'!$A$1:$B$4347,2,0),Table_Query_from_AMULTIQRY45[[#This Row],[WPROD]])</f>
        <v>WPOT168157007D-PRX10K</v>
      </c>
      <c r="I579" s="4" t="s">
        <v>8436</v>
      </c>
      <c r="J579" s="1" t="s">
        <v>5</v>
      </c>
      <c r="L579" s="11">
        <v>0.10730000000000001</v>
      </c>
      <c r="M579" s="1"/>
      <c r="N579" s="1" t="s">
        <v>6</v>
      </c>
      <c r="P579" s="1" t="str">
        <f>CONCATENATE(Table_Query_from_AMULTIQRY45[[#This Row],[WWHS]],"-",Table_Query_from_AMULTIQRY45[[#This Row],[LLOC]])</f>
        <v>E1-FG</v>
      </c>
      <c r="Q579" s="10">
        <f t="shared" ca="1" si="17"/>
        <v>45775</v>
      </c>
      <c r="R579" s="10"/>
      <c r="S579" s="28">
        <v>465</v>
      </c>
      <c r="T579" s="1" t="s">
        <v>2</v>
      </c>
      <c r="U579" s="1" t="s">
        <v>628</v>
      </c>
      <c r="V579" s="1">
        <v>20241211</v>
      </c>
      <c r="W579" s="8" t="s">
        <v>8442</v>
      </c>
      <c r="Z579" s="1"/>
      <c r="AA579" s="1"/>
      <c r="AC579" s="1"/>
      <c r="AD579" s="1"/>
      <c r="AE579" s="1"/>
      <c r="AF579" s="1"/>
    </row>
    <row r="580" spans="2:32" ht="12.75" x14ac:dyDescent="0.2">
      <c r="B580" s="1" t="s">
        <v>9086</v>
      </c>
      <c r="C580" s="10">
        <f t="shared" ca="1" si="16"/>
        <v>45744</v>
      </c>
      <c r="D580" s="4"/>
      <c r="E580" s="4" t="s">
        <v>8434</v>
      </c>
      <c r="F580" s="4" t="s">
        <v>1293</v>
      </c>
      <c r="G580" s="4"/>
      <c r="H580" s="4" t="str">
        <f>_xlfn.IFNA(VLOOKUP(Table_Query_from_AMULTIQRY45[[#This Row],[WPROD]],'Part# with New'!$A$1:$B$4347,2,0),Table_Query_from_AMULTIQRY45[[#This Row],[WPROD]])</f>
        <v>WSNC035023028D-PRX15K</v>
      </c>
      <c r="I580" s="4" t="s">
        <v>8436</v>
      </c>
      <c r="J580" s="1" t="s">
        <v>5</v>
      </c>
      <c r="L580" s="11">
        <v>0.32096999999999998</v>
      </c>
      <c r="M580" s="1"/>
      <c r="N580" s="1" t="s">
        <v>6</v>
      </c>
      <c r="P580" s="1" t="str">
        <f>CONCATENATE(Table_Query_from_AMULTIQRY45[[#This Row],[WWHS]],"-",Table_Query_from_AMULTIQRY45[[#This Row],[LLOC]])</f>
        <v>E1-FG</v>
      </c>
      <c r="Q580" s="10">
        <f t="shared" ca="1" si="17"/>
        <v>45775</v>
      </c>
      <c r="R580" s="10"/>
      <c r="S580" s="28">
        <v>349</v>
      </c>
      <c r="T580" s="1" t="s">
        <v>2</v>
      </c>
      <c r="U580" s="1" t="s">
        <v>629</v>
      </c>
      <c r="V580" s="1">
        <v>20250328</v>
      </c>
      <c r="W580" s="8" t="s">
        <v>8442</v>
      </c>
      <c r="Z580" s="1"/>
      <c r="AA580" s="1"/>
      <c r="AC580" s="1"/>
      <c r="AD580" s="1"/>
      <c r="AE580" s="1"/>
      <c r="AF580" s="1"/>
    </row>
    <row r="581" spans="2:32" ht="12.75" x14ac:dyDescent="0.2">
      <c r="B581" s="1" t="s">
        <v>9087</v>
      </c>
      <c r="C581" s="10">
        <f t="shared" ca="1" si="16"/>
        <v>44848</v>
      </c>
      <c r="D581" s="4"/>
      <c r="E581" s="4" t="s">
        <v>8434</v>
      </c>
      <c r="F581" s="4" t="s">
        <v>1293</v>
      </c>
      <c r="G581" s="4"/>
      <c r="H581" s="4" t="str">
        <f>_xlfn.IFNA(VLOOKUP(Table_Query_from_AMULTIQRY45[[#This Row],[WPROD]],'Part# with New'!$A$1:$B$4347,2,0),Table_Query_from_AMULTIQRY45[[#This Row],[WPROD]])</f>
        <v>WSNC027010120D-PXX00B</v>
      </c>
      <c r="I581" s="4" t="s">
        <v>8436</v>
      </c>
      <c r="J581" s="1" t="s">
        <v>5</v>
      </c>
      <c r="L581" s="11">
        <v>1.4641999999999999</v>
      </c>
      <c r="M581" s="1"/>
      <c r="N581" s="1" t="s">
        <v>6</v>
      </c>
      <c r="P581" s="1" t="str">
        <f>CONCATENATE(Table_Query_from_AMULTIQRY45[[#This Row],[WWHS]],"-",Table_Query_from_AMULTIQRY45[[#This Row],[LLOC]])</f>
        <v>E1-FG</v>
      </c>
      <c r="Q581" s="10">
        <f t="shared" ca="1" si="17"/>
        <v>45775</v>
      </c>
      <c r="R581" s="10"/>
      <c r="S581" s="28">
        <v>133</v>
      </c>
      <c r="T581" s="1" t="s">
        <v>2</v>
      </c>
      <c r="U581" s="1" t="s">
        <v>630</v>
      </c>
      <c r="V581" s="1">
        <v>20221014</v>
      </c>
      <c r="W581" s="8" t="s">
        <v>8442</v>
      </c>
      <c r="Z581" s="1"/>
      <c r="AA581" s="1"/>
      <c r="AC581" s="1"/>
      <c r="AD581" s="1"/>
      <c r="AE581" s="1"/>
      <c r="AF581" s="1"/>
    </row>
    <row r="582" spans="2:32" ht="12.75" x14ac:dyDescent="0.2">
      <c r="B582" s="1" t="s">
        <v>9088</v>
      </c>
      <c r="C582" s="10">
        <f t="shared" ca="1" si="16"/>
        <v>44328</v>
      </c>
      <c r="D582" s="4"/>
      <c r="E582" s="4" t="s">
        <v>8434</v>
      </c>
      <c r="F582" s="4" t="s">
        <v>1293</v>
      </c>
      <c r="G582" s="4"/>
      <c r="H582" s="4" t="str">
        <f>_xlfn.IFNA(VLOOKUP(Table_Query_from_AMULTIQRY45[[#This Row],[WPROD]],'Part# with New'!$A$1:$B$4347,2,0),Table_Query_from_AMULTIQRY45[[#This Row],[WPROD]])</f>
        <v>WPSA035023002D-PXX00W</v>
      </c>
      <c r="I582" s="4" t="s">
        <v>8436</v>
      </c>
      <c r="J582" s="1" t="s">
        <v>5</v>
      </c>
      <c r="L582" s="11">
        <v>2.232E-2</v>
      </c>
      <c r="M582" s="1"/>
      <c r="N582" s="1" t="s">
        <v>9</v>
      </c>
      <c r="P582" s="1" t="str">
        <f>CONCATENATE(Table_Query_from_AMULTIQRY45[[#This Row],[WWHS]],"-",Table_Query_from_AMULTIQRY45[[#This Row],[LLOC]])</f>
        <v>E1-FG</v>
      </c>
      <c r="Q582" s="10">
        <f t="shared" ca="1" si="17"/>
        <v>45775</v>
      </c>
      <c r="R582" s="10"/>
      <c r="S582" s="28">
        <v>1835</v>
      </c>
      <c r="T582" s="1" t="s">
        <v>2</v>
      </c>
      <c r="U582" s="1" t="s">
        <v>631</v>
      </c>
      <c r="V582" s="1">
        <v>20210512</v>
      </c>
      <c r="W582" s="8" t="s">
        <v>8442</v>
      </c>
      <c r="Z582" s="1"/>
      <c r="AA582" s="1"/>
      <c r="AC582" s="1"/>
      <c r="AD582" s="1"/>
      <c r="AE582" s="1"/>
      <c r="AF582" s="1"/>
    </row>
    <row r="583" spans="2:32" ht="12.75" x14ac:dyDescent="0.2">
      <c r="B583" s="1" t="s">
        <v>9089</v>
      </c>
      <c r="C583" s="10">
        <f t="shared" ref="C583:C646" ca="1" si="18">IFERROR(DATE(LEFT($V583,4),MID($V583,5,2),RIGHT($V583,2)),TODAY())</f>
        <v>44887</v>
      </c>
      <c r="D583" s="4"/>
      <c r="E583" s="4" t="s">
        <v>8434</v>
      </c>
      <c r="F583" s="4" t="s">
        <v>1293</v>
      </c>
      <c r="G583" s="4"/>
      <c r="H583" s="4" t="str">
        <f>_xlfn.IFNA(VLOOKUP(Table_Query_from_AMULTIQRY45[[#This Row],[WPROD]],'Part# with New'!$A$1:$B$4347,2,0),Table_Query_from_AMULTIQRY45[[#This Row],[WPROD]])</f>
        <v>WPOT143131008D-PXX00W</v>
      </c>
      <c r="I583" s="4" t="s">
        <v>8436</v>
      </c>
      <c r="J583" s="1" t="s">
        <v>5</v>
      </c>
      <c r="L583" s="11">
        <v>0.12906999999999999</v>
      </c>
      <c r="M583" s="1"/>
      <c r="N583" s="1" t="s">
        <v>3</v>
      </c>
      <c r="P583" s="1" t="str">
        <f>CONCATENATE(Table_Query_from_AMULTIQRY45[[#This Row],[WWHS]],"-",Table_Query_from_AMULTIQRY45[[#This Row],[LLOC]])</f>
        <v>E1-FG</v>
      </c>
      <c r="Q583" s="10">
        <f t="shared" ref="Q583:Q646" ca="1" si="19">+TODAY()</f>
        <v>45775</v>
      </c>
      <c r="R583" s="10"/>
      <c r="S583" s="28">
        <v>358</v>
      </c>
      <c r="T583" s="1" t="s">
        <v>2</v>
      </c>
      <c r="U583" s="1" t="s">
        <v>632</v>
      </c>
      <c r="V583" s="1">
        <v>20221122</v>
      </c>
      <c r="W583" s="8" t="s">
        <v>8442</v>
      </c>
      <c r="Z583" s="1"/>
      <c r="AA583" s="1"/>
      <c r="AC583" s="1"/>
      <c r="AD583" s="1"/>
      <c r="AE583" s="1"/>
      <c r="AF583" s="1"/>
    </row>
    <row r="584" spans="2:32" ht="12.75" x14ac:dyDescent="0.2">
      <c r="B584" s="1" t="s">
        <v>9090</v>
      </c>
      <c r="C584" s="10">
        <f t="shared" ca="1" si="18"/>
        <v>45379</v>
      </c>
      <c r="D584" s="4"/>
      <c r="E584" s="4" t="s">
        <v>8434</v>
      </c>
      <c r="F584" s="4" t="s">
        <v>1293</v>
      </c>
      <c r="G584" s="4"/>
      <c r="H584" s="4" t="str">
        <f>_xlfn.IFNA(VLOOKUP(Table_Query_from_AMULTIQRY45[[#This Row],[WPROD]],'Part# with New'!$A$1:$B$4347,2,0),Table_Query_from_AMULTIQRY45[[#This Row],[WPROD]])</f>
        <v>WSNC326298026D-PMX05K</v>
      </c>
      <c r="I584" s="4" t="s">
        <v>8436</v>
      </c>
      <c r="J584" s="1" t="s">
        <v>5</v>
      </c>
      <c r="L584" s="11">
        <v>1.27938</v>
      </c>
      <c r="M584" s="1"/>
      <c r="N584" s="1" t="s">
        <v>6</v>
      </c>
      <c r="P584" s="1" t="str">
        <f>CONCATENATE(Table_Query_from_AMULTIQRY45[[#This Row],[WWHS]],"-",Table_Query_from_AMULTIQRY45[[#This Row],[LLOC]])</f>
        <v>E1-FG</v>
      </c>
      <c r="Q584" s="10">
        <f t="shared" ca="1" si="19"/>
        <v>45775</v>
      </c>
      <c r="R584" s="10"/>
      <c r="S584" s="28">
        <v>18</v>
      </c>
      <c r="T584" s="1" t="s">
        <v>2</v>
      </c>
      <c r="U584" s="1" t="s">
        <v>633</v>
      </c>
      <c r="V584" s="1">
        <v>20240328</v>
      </c>
      <c r="W584" s="8" t="s">
        <v>8442</v>
      </c>
      <c r="Z584" s="1"/>
      <c r="AA584" s="1"/>
      <c r="AC584" s="1"/>
      <c r="AD584" s="1"/>
      <c r="AE584" s="1"/>
      <c r="AF584" s="1"/>
    </row>
    <row r="585" spans="2:32" ht="12.75" x14ac:dyDescent="0.2">
      <c r="B585" s="1" t="s">
        <v>9091</v>
      </c>
      <c r="C585" s="10">
        <f t="shared" ca="1" si="18"/>
        <v>45772</v>
      </c>
      <c r="D585" s="4"/>
      <c r="E585" s="4" t="s">
        <v>8434</v>
      </c>
      <c r="F585" s="4" t="s">
        <v>1293</v>
      </c>
      <c r="G585" s="4"/>
      <c r="H585" s="4" t="str">
        <f>_xlfn.IFNA(VLOOKUP(Table_Query_from_AMULTIQRY45[[#This Row],[WPROD]],'Part# with New'!$A$1:$B$4347,2,0),Table_Query_from_AMULTIQRY45[[#This Row],[WPROD]])</f>
        <v>WFFH371310029D-MXX00W</v>
      </c>
      <c r="I585" s="4" t="s">
        <v>8436</v>
      </c>
      <c r="J585" s="1" t="s">
        <v>5</v>
      </c>
      <c r="L585" s="11">
        <v>0.90181</v>
      </c>
      <c r="M585" s="1"/>
      <c r="N585" s="1" t="s">
        <v>15</v>
      </c>
      <c r="P585" s="1" t="str">
        <f>CONCATENATE(Table_Query_from_AMULTIQRY45[[#This Row],[WWHS]],"-",Table_Query_from_AMULTIQRY45[[#This Row],[LLOC]])</f>
        <v>E1-FG</v>
      </c>
      <c r="Q585" s="10">
        <f t="shared" ca="1" si="19"/>
        <v>45775</v>
      </c>
      <c r="R585" s="10"/>
      <c r="S585" s="28">
        <v>451</v>
      </c>
      <c r="T585" s="1" t="s">
        <v>2</v>
      </c>
      <c r="U585" s="1" t="s">
        <v>634</v>
      </c>
      <c r="V585" s="1">
        <v>20250425</v>
      </c>
      <c r="W585" s="8" t="s">
        <v>8442</v>
      </c>
      <c r="Z585" s="1"/>
      <c r="AA585" s="1"/>
      <c r="AC585" s="1"/>
      <c r="AD585" s="1"/>
      <c r="AE585" s="1"/>
      <c r="AF585" s="1"/>
    </row>
    <row r="586" spans="2:32" ht="12.75" x14ac:dyDescent="0.2">
      <c r="B586" s="1" t="s">
        <v>9092</v>
      </c>
      <c r="C586" s="10">
        <f t="shared" ca="1" si="18"/>
        <v>45128</v>
      </c>
      <c r="D586" s="4"/>
      <c r="E586" s="4" t="s">
        <v>8434</v>
      </c>
      <c r="F586" s="4" t="s">
        <v>1293</v>
      </c>
      <c r="G586" s="4"/>
      <c r="H586" s="4" t="str">
        <f>_xlfn.IFNA(VLOOKUP(Table_Query_from_AMULTIQRY45[[#This Row],[WPROD]],'Part# with New'!$A$1:$B$4347,2,0),Table_Query_from_AMULTIQRY45[[#This Row],[WPROD]])</f>
        <v>WPOT088081007D-PGM15K</v>
      </c>
      <c r="I586" s="4" t="s">
        <v>8436</v>
      </c>
      <c r="J586" s="1" t="s">
        <v>5</v>
      </c>
      <c r="L586" s="11">
        <v>9.2609999999999998E-2</v>
      </c>
      <c r="M586" s="1"/>
      <c r="N586" s="1" t="s">
        <v>3</v>
      </c>
      <c r="P586" s="1" t="str">
        <f>CONCATENATE(Table_Query_from_AMULTIQRY45[[#This Row],[WWHS]],"-",Table_Query_from_AMULTIQRY45[[#This Row],[LLOC]])</f>
        <v>E1-FG</v>
      </c>
      <c r="Q586" s="10">
        <f t="shared" ca="1" si="19"/>
        <v>45775</v>
      </c>
      <c r="R586" s="10"/>
      <c r="S586" s="28">
        <v>480</v>
      </c>
      <c r="T586" s="1" t="s">
        <v>2</v>
      </c>
      <c r="U586" s="1" t="s">
        <v>635</v>
      </c>
      <c r="V586" s="1">
        <v>20230721</v>
      </c>
      <c r="W586" s="8" t="s">
        <v>8442</v>
      </c>
      <c r="Z586" s="1"/>
      <c r="AA586" s="1"/>
      <c r="AC586" s="1"/>
      <c r="AD586" s="1"/>
      <c r="AE586" s="1"/>
      <c r="AF586" s="1"/>
    </row>
    <row r="587" spans="2:32" ht="12.75" x14ac:dyDescent="0.2">
      <c r="B587" s="1" t="s">
        <v>9093</v>
      </c>
      <c r="C587" s="10">
        <f t="shared" ca="1" si="18"/>
        <v>45358</v>
      </c>
      <c r="D587" s="4"/>
      <c r="E587" s="4" t="s">
        <v>8434</v>
      </c>
      <c r="F587" s="4" t="s">
        <v>1293</v>
      </c>
      <c r="G587" s="4"/>
      <c r="H587" s="4" t="str">
        <f>_xlfn.IFNA(VLOOKUP(Table_Query_from_AMULTIQRY45[[#This Row],[WPROD]],'Part# with New'!$A$1:$B$4347,2,0),Table_Query_from_AMULTIQRY45[[#This Row],[WPROD]])</f>
        <v>WPOS061049011S-PZX40N</v>
      </c>
      <c r="I587" s="4" t="s">
        <v>8436</v>
      </c>
      <c r="J587" s="1" t="s">
        <v>5</v>
      </c>
      <c r="L587" s="11">
        <v>0.15409</v>
      </c>
      <c r="M587" s="1"/>
      <c r="N587" s="1" t="s">
        <v>389</v>
      </c>
      <c r="P587" s="1" t="str">
        <f>CONCATENATE(Table_Query_from_AMULTIQRY45[[#This Row],[WWHS]],"-",Table_Query_from_AMULTIQRY45[[#This Row],[LLOC]])</f>
        <v>E1-FG</v>
      </c>
      <c r="Q587" s="10">
        <f t="shared" ca="1" si="19"/>
        <v>45775</v>
      </c>
      <c r="R587" s="10"/>
      <c r="S587" s="28">
        <v>476</v>
      </c>
      <c r="T587" s="1" t="s">
        <v>2</v>
      </c>
      <c r="U587" s="1" t="s">
        <v>636</v>
      </c>
      <c r="V587" s="1">
        <v>20240307</v>
      </c>
      <c r="W587" s="8" t="s">
        <v>8442</v>
      </c>
      <c r="Z587" s="1"/>
      <c r="AA587" s="1"/>
      <c r="AC587" s="1"/>
      <c r="AD587" s="1"/>
      <c r="AE587" s="1"/>
      <c r="AF587" s="1"/>
    </row>
    <row r="588" spans="2:32" ht="12.75" x14ac:dyDescent="0.2">
      <c r="B588" s="1" t="s">
        <v>9094</v>
      </c>
      <c r="C588" s="10">
        <f t="shared" ca="1" si="18"/>
        <v>45386</v>
      </c>
      <c r="D588" s="4"/>
      <c r="E588" s="4" t="s">
        <v>8434</v>
      </c>
      <c r="F588" s="4" t="s">
        <v>1293</v>
      </c>
      <c r="G588" s="4"/>
      <c r="H588" s="4" t="str">
        <f>_xlfn.IFNA(VLOOKUP(Table_Query_from_AMULTIQRY45[[#This Row],[WPROD]],'Part# with New'!$A$1:$B$4347,2,0),Table_Query_from_AMULTIQRY45[[#This Row],[WPROD]])</f>
        <v>WSMP603575023D-PGM15K</v>
      </c>
      <c r="I588" s="4" t="s">
        <v>8436</v>
      </c>
      <c r="J588" s="1" t="s">
        <v>5</v>
      </c>
      <c r="L588" s="11">
        <v>3.8107899999999999</v>
      </c>
      <c r="M588" s="1"/>
      <c r="N588" s="1" t="s">
        <v>18</v>
      </c>
      <c r="P588" s="1" t="str">
        <f>CONCATENATE(Table_Query_from_AMULTIQRY45[[#This Row],[WWHS]],"-",Table_Query_from_AMULTIQRY45[[#This Row],[LLOC]])</f>
        <v>E1-FG</v>
      </c>
      <c r="Q588" s="10">
        <f t="shared" ca="1" si="19"/>
        <v>45775</v>
      </c>
      <c r="R588" s="10"/>
      <c r="S588" s="28">
        <v>107</v>
      </c>
      <c r="T588" s="1" t="s">
        <v>2</v>
      </c>
      <c r="U588" s="1" t="s">
        <v>637</v>
      </c>
      <c r="V588" s="1">
        <v>20240404</v>
      </c>
      <c r="W588" s="8" t="s">
        <v>8442</v>
      </c>
      <c r="Z588" s="1"/>
      <c r="AA588" s="1"/>
      <c r="AC588" s="1"/>
      <c r="AD588" s="1"/>
      <c r="AE588" s="1"/>
      <c r="AF588" s="1"/>
    </row>
    <row r="589" spans="2:32" ht="12.75" x14ac:dyDescent="0.2">
      <c r="B589" s="1" t="s">
        <v>9095</v>
      </c>
      <c r="C589" s="10">
        <f t="shared" ca="1" si="18"/>
        <v>45618</v>
      </c>
      <c r="D589" s="4"/>
      <c r="E589" s="4" t="s">
        <v>8434</v>
      </c>
      <c r="F589" s="4" t="s">
        <v>1293</v>
      </c>
      <c r="G589" s="4"/>
      <c r="H589" s="4" t="str">
        <f>_xlfn.IFNA(VLOOKUP(Table_Query_from_AMULTIQRY45[[#This Row],[WPROD]],'Part# with New'!$A$1:$B$4347,2,0),Table_Query_from_AMULTIQRY45[[#This Row],[WPROD]])</f>
        <v>WPOS199162006S-PGX15W</v>
      </c>
      <c r="I589" s="4" t="s">
        <v>8436</v>
      </c>
      <c r="J589" s="1" t="s">
        <v>5</v>
      </c>
      <c r="L589" s="11">
        <v>0.21709999999999999</v>
      </c>
      <c r="M589" s="1"/>
      <c r="N589" s="1" t="s">
        <v>389</v>
      </c>
      <c r="P589" s="1" t="str">
        <f>CONCATENATE(Table_Query_from_AMULTIQRY45[[#This Row],[WWHS]],"-",Table_Query_from_AMULTIQRY45[[#This Row],[LLOC]])</f>
        <v>E1-FG</v>
      </c>
      <c r="Q589" s="10">
        <f t="shared" ca="1" si="19"/>
        <v>45775</v>
      </c>
      <c r="R589" s="10"/>
      <c r="S589" s="28">
        <v>2535</v>
      </c>
      <c r="T589" s="1" t="s">
        <v>2</v>
      </c>
      <c r="U589" s="1" t="s">
        <v>638</v>
      </c>
      <c r="V589" s="1">
        <v>20241122</v>
      </c>
      <c r="W589" s="8" t="s">
        <v>8442</v>
      </c>
      <c r="Z589" s="1"/>
      <c r="AA589" s="1"/>
      <c r="AC589" s="1"/>
      <c r="AD589" s="1"/>
      <c r="AE589" s="1"/>
      <c r="AF589" s="1"/>
    </row>
    <row r="590" spans="2:32" ht="12.75" x14ac:dyDescent="0.2">
      <c r="B590" s="1" t="s">
        <v>9096</v>
      </c>
      <c r="C590" s="10">
        <f t="shared" ca="1" si="18"/>
        <v>43633</v>
      </c>
      <c r="D590" s="4"/>
      <c r="E590" s="4" t="s">
        <v>8434</v>
      </c>
      <c r="F590" s="4" t="s">
        <v>1293</v>
      </c>
      <c r="G590" s="4"/>
      <c r="H590" s="4" t="str">
        <f>_xlfn.IFNA(VLOOKUP(Table_Query_from_AMULTIQRY45[[#This Row],[WPROD]],'Part# with New'!$A$1:$B$4347,2,0),Table_Query_from_AMULTIQRY45[[#This Row],[WPROD]])</f>
        <v>WPOT035030003Q-PXX00W</v>
      </c>
      <c r="I590" s="4" t="s">
        <v>8436</v>
      </c>
      <c r="J590" s="1" t="s">
        <v>5</v>
      </c>
      <c r="L590" s="11">
        <v>5.9389999999999998E-2</v>
      </c>
      <c r="M590" s="1"/>
      <c r="N590" s="1" t="s">
        <v>3</v>
      </c>
      <c r="P590" s="1" t="str">
        <f>CONCATENATE(Table_Query_from_AMULTIQRY45[[#This Row],[WWHS]],"-",Table_Query_from_AMULTIQRY45[[#This Row],[LLOC]])</f>
        <v>E1-FG</v>
      </c>
      <c r="Q590" s="10">
        <f t="shared" ca="1" si="19"/>
        <v>45775</v>
      </c>
      <c r="R590" s="10"/>
      <c r="S590" s="28">
        <v>355</v>
      </c>
      <c r="T590" s="1" t="s">
        <v>2</v>
      </c>
      <c r="U590" s="1" t="s">
        <v>639</v>
      </c>
      <c r="V590" s="1">
        <v>20190617</v>
      </c>
      <c r="W590" s="8" t="s">
        <v>8442</v>
      </c>
      <c r="Z590" s="1"/>
      <c r="AA590" s="1"/>
      <c r="AC590" s="1"/>
      <c r="AD590" s="1"/>
      <c r="AE590" s="1"/>
      <c r="AF590" s="1"/>
    </row>
    <row r="591" spans="2:32" ht="12.75" x14ac:dyDescent="0.2">
      <c r="B591" s="1" t="s">
        <v>9097</v>
      </c>
      <c r="C591" s="10">
        <f t="shared" ca="1" si="18"/>
        <v>45566</v>
      </c>
      <c r="D591" s="4"/>
      <c r="E591" s="4" t="s">
        <v>8434</v>
      </c>
      <c r="F591" s="4" t="s">
        <v>1293</v>
      </c>
      <c r="G591" s="4"/>
      <c r="H591" s="4" t="str">
        <f>_xlfn.IFNA(VLOOKUP(Table_Query_from_AMULTIQRY45[[#This Row],[WPROD]],'Part# with New'!$A$1:$B$4347,2,0),Table_Query_from_AMULTIQRY45[[#This Row],[WPROD]])</f>
        <v>WPSA040031001D-PGX25W</v>
      </c>
      <c r="I591" s="4" t="s">
        <v>8436</v>
      </c>
      <c r="J591" s="1" t="s">
        <v>5</v>
      </c>
      <c r="L591" s="11">
        <v>2.487E-2</v>
      </c>
      <c r="M591" s="1"/>
      <c r="N591" s="1" t="s">
        <v>9</v>
      </c>
      <c r="P591" s="1" t="str">
        <f>CONCATENATE(Table_Query_from_AMULTIQRY45[[#This Row],[WWHS]],"-",Table_Query_from_AMULTIQRY45[[#This Row],[LLOC]])</f>
        <v>E1-FG</v>
      </c>
      <c r="Q591" s="10">
        <f t="shared" ca="1" si="19"/>
        <v>45775</v>
      </c>
      <c r="R591" s="10"/>
      <c r="S591" s="28">
        <v>3775</v>
      </c>
      <c r="T591" s="1" t="s">
        <v>2</v>
      </c>
      <c r="U591" s="1" t="s">
        <v>640</v>
      </c>
      <c r="V591" s="1">
        <v>20241001</v>
      </c>
      <c r="W591" s="8" t="s">
        <v>8442</v>
      </c>
      <c r="Z591" s="1"/>
      <c r="AA591" s="1"/>
      <c r="AC591" s="1"/>
      <c r="AD591" s="1"/>
      <c r="AE591" s="1"/>
      <c r="AF591" s="1"/>
    </row>
    <row r="592" spans="2:32" ht="12.75" x14ac:dyDescent="0.2">
      <c r="B592" s="1" t="s">
        <v>9098</v>
      </c>
      <c r="C592" s="10">
        <f t="shared" ca="1" si="18"/>
        <v>43368</v>
      </c>
      <c r="D592" s="4"/>
      <c r="E592" s="4" t="s">
        <v>8434</v>
      </c>
      <c r="F592" s="4" t="s">
        <v>1293</v>
      </c>
      <c r="G592" s="4"/>
      <c r="H592" s="4" t="str">
        <f>_xlfn.IFNA(VLOOKUP(Table_Query_from_AMULTIQRY45[[#This Row],[WPROD]],'Part# with New'!$A$1:$B$4347,2,0),Table_Query_from_AMULTIQRY45[[#This Row],[WPROD]])</f>
        <v>23196</v>
      </c>
      <c r="I592" s="4" t="s">
        <v>8436</v>
      </c>
      <c r="J592" s="1" t="s">
        <v>5</v>
      </c>
      <c r="L592" s="11">
        <v>0.11090999999999999</v>
      </c>
      <c r="M592" s="1"/>
      <c r="N592" s="1" t="s">
        <v>346</v>
      </c>
      <c r="P592" s="1" t="str">
        <f>CONCATENATE(Table_Query_from_AMULTIQRY45[[#This Row],[WWHS]],"-",Table_Query_from_AMULTIQRY45[[#This Row],[LLOC]])</f>
        <v>E1-FG</v>
      </c>
      <c r="Q592" s="10">
        <f t="shared" ca="1" si="19"/>
        <v>45775</v>
      </c>
      <c r="R592" s="10"/>
      <c r="S592" s="28">
        <v>125</v>
      </c>
      <c r="T592" s="1" t="s">
        <v>2</v>
      </c>
      <c r="U592" s="1" t="s">
        <v>641</v>
      </c>
      <c r="V592" s="1">
        <v>20180925</v>
      </c>
      <c r="W592" s="8" t="s">
        <v>8442</v>
      </c>
      <c r="Z592" s="1"/>
      <c r="AA592" s="1"/>
      <c r="AC592" s="1"/>
      <c r="AD592" s="1"/>
      <c r="AE592" s="1"/>
      <c r="AF592" s="1"/>
    </row>
    <row r="593" spans="2:32" ht="12.75" x14ac:dyDescent="0.2">
      <c r="B593" s="1" t="s">
        <v>9099</v>
      </c>
      <c r="C593" s="10">
        <f t="shared" ca="1" si="18"/>
        <v>45125</v>
      </c>
      <c r="D593" s="4"/>
      <c r="E593" s="4" t="s">
        <v>8434</v>
      </c>
      <c r="F593" s="4" t="s">
        <v>1293</v>
      </c>
      <c r="G593" s="4"/>
      <c r="H593" s="4" t="str">
        <f>_xlfn.IFNA(VLOOKUP(Table_Query_from_AMULTIQRY45[[#This Row],[WPROD]],'Part# with New'!$A$1:$B$4347,2,0),Table_Query_from_AMULTIQRY45[[#This Row],[WPROD]])</f>
        <v>WPOT067049005D-PCR23K</v>
      </c>
      <c r="I593" s="4" t="s">
        <v>8436</v>
      </c>
      <c r="J593" s="1" t="s">
        <v>5</v>
      </c>
      <c r="L593" s="11">
        <v>7.8509999999999996E-2</v>
      </c>
      <c r="M593" s="1"/>
      <c r="N593" s="1" t="s">
        <v>3</v>
      </c>
      <c r="P593" s="1" t="str">
        <f>CONCATENATE(Table_Query_from_AMULTIQRY45[[#This Row],[WWHS]],"-",Table_Query_from_AMULTIQRY45[[#This Row],[LLOC]])</f>
        <v>E1-FG</v>
      </c>
      <c r="Q593" s="10">
        <f t="shared" ca="1" si="19"/>
        <v>45775</v>
      </c>
      <c r="R593" s="10"/>
      <c r="S593" s="28">
        <v>359</v>
      </c>
      <c r="T593" s="1" t="s">
        <v>2</v>
      </c>
      <c r="U593" s="1" t="s">
        <v>642</v>
      </c>
      <c r="V593" s="1">
        <v>20230718</v>
      </c>
      <c r="W593" s="8" t="s">
        <v>8442</v>
      </c>
      <c r="Z593" s="1"/>
      <c r="AA593" s="1"/>
      <c r="AC593" s="1"/>
      <c r="AD593" s="1"/>
      <c r="AE593" s="1"/>
      <c r="AF593" s="1"/>
    </row>
    <row r="594" spans="2:32" ht="12.75" x14ac:dyDescent="0.2">
      <c r="B594" s="1" t="s">
        <v>9100</v>
      </c>
      <c r="C594" s="10">
        <f t="shared" ca="1" si="18"/>
        <v>45737</v>
      </c>
      <c r="D594" s="4"/>
      <c r="E594" s="4" t="s">
        <v>8434</v>
      </c>
      <c r="F594" s="4" t="s">
        <v>1293</v>
      </c>
      <c r="G594" s="4"/>
      <c r="H594" s="4" t="str">
        <f>_xlfn.IFNA(VLOOKUP(Table_Query_from_AMULTIQRY45[[#This Row],[WPROD]],'Part# with New'!$A$1:$B$4347,2,0),Table_Query_from_AMULTIQRY45[[#This Row],[WPROD]])</f>
        <v>WSOT082075005D-PXX00W</v>
      </c>
      <c r="I594" s="4" t="s">
        <v>8436</v>
      </c>
      <c r="J594" s="1" t="s">
        <v>5</v>
      </c>
      <c r="L594" s="11">
        <v>4.922E-2</v>
      </c>
      <c r="M594" s="1"/>
      <c r="N594" s="1" t="s">
        <v>3</v>
      </c>
      <c r="P594" s="1" t="str">
        <f>CONCATENATE(Table_Query_from_AMULTIQRY45[[#This Row],[WWHS]],"-",Table_Query_from_AMULTIQRY45[[#This Row],[LLOC]])</f>
        <v>E1-FG</v>
      </c>
      <c r="Q594" s="10">
        <f t="shared" ca="1" si="19"/>
        <v>45775</v>
      </c>
      <c r="R594" s="10"/>
      <c r="S594" s="28">
        <v>6</v>
      </c>
      <c r="T594" s="1" t="s">
        <v>2</v>
      </c>
      <c r="U594" s="1" t="s">
        <v>643</v>
      </c>
      <c r="V594" s="1">
        <v>20250321</v>
      </c>
      <c r="W594" s="8" t="s">
        <v>8442</v>
      </c>
      <c r="Z594" s="1"/>
      <c r="AA594" s="1"/>
      <c r="AC594" s="1"/>
      <c r="AD594" s="1"/>
      <c r="AE594" s="1"/>
      <c r="AF594" s="1"/>
    </row>
    <row r="595" spans="2:32" ht="12.75" x14ac:dyDescent="0.2">
      <c r="B595" s="1" t="s">
        <v>9101</v>
      </c>
      <c r="C595" s="10">
        <f t="shared" ca="1" si="18"/>
        <v>45708</v>
      </c>
      <c r="D595" s="4"/>
      <c r="E595" s="4" t="s">
        <v>8434</v>
      </c>
      <c r="F595" s="4" t="s">
        <v>1293</v>
      </c>
      <c r="G595" s="4"/>
      <c r="H595" s="4" t="str">
        <f>_xlfn.IFNA(VLOOKUP(Table_Query_from_AMULTIQRY45[[#This Row],[WPROD]],'Part# with New'!$A$1:$B$4347,2,0),Table_Query_from_AMULTIQRY45[[#This Row],[WPROD]])</f>
        <v>WSMP087074007Z-PCX15K</v>
      </c>
      <c r="I595" s="4" t="s">
        <v>8436</v>
      </c>
      <c r="J595" s="1" t="s">
        <v>5</v>
      </c>
      <c r="L595" s="11">
        <v>0.13822999999999999</v>
      </c>
      <c r="M595" s="1"/>
      <c r="N595" s="1" t="s">
        <v>18</v>
      </c>
      <c r="P595" s="1" t="str">
        <f>CONCATENATE(Table_Query_from_AMULTIQRY45[[#This Row],[WWHS]],"-",Table_Query_from_AMULTIQRY45[[#This Row],[LLOC]])</f>
        <v>E1-FG</v>
      </c>
      <c r="Q595" s="10">
        <f t="shared" ca="1" si="19"/>
        <v>45775</v>
      </c>
      <c r="R595" s="10"/>
      <c r="S595" s="28">
        <v>299</v>
      </c>
      <c r="T595" s="1" t="s">
        <v>2</v>
      </c>
      <c r="U595" s="1" t="s">
        <v>644</v>
      </c>
      <c r="V595" s="1">
        <v>20250220</v>
      </c>
      <c r="W595" s="8" t="s">
        <v>8442</v>
      </c>
      <c r="Z595" s="1"/>
      <c r="AA595" s="1"/>
      <c r="AC595" s="1"/>
      <c r="AD595" s="1"/>
      <c r="AE595" s="1"/>
      <c r="AF595" s="1"/>
    </row>
    <row r="596" spans="2:32" ht="12.75" x14ac:dyDescent="0.2">
      <c r="B596" s="1" t="s">
        <v>9102</v>
      </c>
      <c r="C596" s="10">
        <f t="shared" ca="1" si="18"/>
        <v>45764</v>
      </c>
      <c r="D596" s="4"/>
      <c r="E596" s="4" t="s">
        <v>8434</v>
      </c>
      <c r="F596" s="4" t="s">
        <v>1293</v>
      </c>
      <c r="G596" s="4"/>
      <c r="H596" s="4" t="str">
        <f>_xlfn.IFNA(VLOOKUP(Table_Query_from_AMULTIQRY45[[#This Row],[WPROD]],'Part# with New'!$A$1:$B$4347,2,0),Table_Query_from_AMULTIQRY45[[#This Row],[WPROD]])</f>
        <v>WSMP125111007Z-PCX15K</v>
      </c>
      <c r="I596" s="4" t="s">
        <v>8436</v>
      </c>
      <c r="J596" s="1" t="s">
        <v>5</v>
      </c>
      <c r="L596" s="11">
        <v>0.19422</v>
      </c>
      <c r="M596" s="1"/>
      <c r="N596" s="1" t="s">
        <v>18</v>
      </c>
      <c r="P596" s="1" t="str">
        <f>CONCATENATE(Table_Query_from_AMULTIQRY45[[#This Row],[WWHS]],"-",Table_Query_from_AMULTIQRY45[[#This Row],[LLOC]])</f>
        <v>E1-FG</v>
      </c>
      <c r="Q596" s="10">
        <f t="shared" ca="1" si="19"/>
        <v>45775</v>
      </c>
      <c r="R596" s="10"/>
      <c r="S596" s="28">
        <v>694</v>
      </c>
      <c r="T596" s="1" t="s">
        <v>2</v>
      </c>
      <c r="U596" s="1" t="s">
        <v>645</v>
      </c>
      <c r="V596" s="1">
        <v>20250417</v>
      </c>
      <c r="W596" s="8" t="s">
        <v>8442</v>
      </c>
      <c r="Z596" s="1"/>
      <c r="AA596" s="1"/>
      <c r="AC596" s="1"/>
      <c r="AD596" s="1"/>
      <c r="AE596" s="1"/>
      <c r="AF596" s="1"/>
    </row>
    <row r="597" spans="2:32" ht="12.75" x14ac:dyDescent="0.2">
      <c r="B597" s="1" t="s">
        <v>9103</v>
      </c>
      <c r="C597" s="10">
        <f t="shared" ca="1" si="18"/>
        <v>45701</v>
      </c>
      <c r="D597" s="4"/>
      <c r="E597" s="4" t="s">
        <v>8434</v>
      </c>
      <c r="F597" s="4" t="s">
        <v>1293</v>
      </c>
      <c r="G597" s="4"/>
      <c r="H597" s="4" t="str">
        <f>_xlfn.IFNA(VLOOKUP(Table_Query_from_AMULTIQRY45[[#This Row],[WPROD]],'Part# with New'!$A$1:$B$4347,2,0),Table_Query_from_AMULTIQRY45[[#This Row],[WPROD]])</f>
        <v>WSSPS2V2287DD1</v>
      </c>
      <c r="I597" s="4" t="s">
        <v>8436</v>
      </c>
      <c r="J597" s="1" t="s">
        <v>5</v>
      </c>
      <c r="L597" s="11">
        <v>0.84665000000000001</v>
      </c>
      <c r="M597" s="1"/>
      <c r="N597" s="1" t="s">
        <v>646</v>
      </c>
      <c r="P597" s="1" t="str">
        <f>CONCATENATE(Table_Query_from_AMULTIQRY45[[#This Row],[WWHS]],"-",Table_Query_from_AMULTIQRY45[[#This Row],[LLOC]])</f>
        <v>E1-FG</v>
      </c>
      <c r="Q597" s="10">
        <f t="shared" ca="1" si="19"/>
        <v>45775</v>
      </c>
      <c r="R597" s="10"/>
      <c r="S597" s="28">
        <v>39</v>
      </c>
      <c r="T597" s="1" t="s">
        <v>2</v>
      </c>
      <c r="U597" s="1" t="s">
        <v>647</v>
      </c>
      <c r="V597" s="1">
        <v>20250213</v>
      </c>
      <c r="W597" s="8" t="s">
        <v>8442</v>
      </c>
      <c r="Z597" s="1"/>
      <c r="AA597" s="1"/>
      <c r="AC597" s="1"/>
      <c r="AD597" s="1"/>
      <c r="AE597" s="1"/>
      <c r="AF597" s="1"/>
    </row>
    <row r="598" spans="2:32" ht="12.75" x14ac:dyDescent="0.2">
      <c r="B598" s="1" t="s">
        <v>9104</v>
      </c>
      <c r="C598" s="10">
        <f t="shared" ca="1" si="18"/>
        <v>45699</v>
      </c>
      <c r="D598" s="4"/>
      <c r="E598" s="4" t="s">
        <v>8434</v>
      </c>
      <c r="F598" s="4" t="s">
        <v>1293</v>
      </c>
      <c r="G598" s="4"/>
      <c r="H598" s="4" t="str">
        <f>_xlfn.IFNA(VLOOKUP(Table_Query_from_AMULTIQRY45[[#This Row],[WPROD]],'Part# with New'!$A$1:$B$4347,2,0),Table_Query_from_AMULTIQRY45[[#This Row],[WPROD]])</f>
        <v>WPOT086077007D-PGX15W</v>
      </c>
      <c r="I598" s="4" t="s">
        <v>8436</v>
      </c>
      <c r="J598" s="1" t="s">
        <v>5</v>
      </c>
      <c r="L598" s="11">
        <v>6.2689999999999996E-2</v>
      </c>
      <c r="M598" s="1"/>
      <c r="N598" s="1" t="s">
        <v>3</v>
      </c>
      <c r="P598" s="1" t="str">
        <f>CONCATENATE(Table_Query_from_AMULTIQRY45[[#This Row],[WWHS]],"-",Table_Query_from_AMULTIQRY45[[#This Row],[LLOC]])</f>
        <v>E1-FG</v>
      </c>
      <c r="Q598" s="10">
        <f t="shared" ca="1" si="19"/>
        <v>45775</v>
      </c>
      <c r="R598" s="10"/>
      <c r="S598" s="28">
        <v>35</v>
      </c>
      <c r="T598" s="1" t="s">
        <v>2</v>
      </c>
      <c r="U598" s="1" t="s">
        <v>648</v>
      </c>
      <c r="V598" s="1">
        <v>20250211</v>
      </c>
      <c r="W598" s="8" t="s">
        <v>8442</v>
      </c>
      <c r="Z598" s="1"/>
      <c r="AA598" s="1"/>
      <c r="AC598" s="1"/>
      <c r="AD598" s="1"/>
      <c r="AE598" s="1"/>
      <c r="AF598" s="1"/>
    </row>
    <row r="599" spans="2:32" ht="12.75" x14ac:dyDescent="0.2">
      <c r="B599" s="1" t="s">
        <v>9105</v>
      </c>
      <c r="C599" s="10">
        <f t="shared" ca="1" si="18"/>
        <v>45525</v>
      </c>
      <c r="D599" s="4"/>
      <c r="E599" s="4" t="s">
        <v>8434</v>
      </c>
      <c r="F599" s="4" t="s">
        <v>1293</v>
      </c>
      <c r="G599" s="4"/>
      <c r="H599" s="4" t="str">
        <f>_xlfn.IFNA(VLOOKUP(Table_Query_from_AMULTIQRY45[[#This Row],[WPROD]],'Part# with New'!$A$1:$B$4347,2,0),Table_Query_from_AMULTIQRY45[[#This Row],[WPROD]])</f>
        <v>WSOR114083017D-DD125N</v>
      </c>
      <c r="I599" s="4" t="s">
        <v>8436</v>
      </c>
      <c r="J599" s="1" t="s">
        <v>5</v>
      </c>
      <c r="L599" s="11">
        <v>1.2418899999999999</v>
      </c>
      <c r="M599" s="1"/>
      <c r="N599" s="1" t="s">
        <v>480</v>
      </c>
      <c r="P599" s="1" t="str">
        <f>CONCATENATE(Table_Query_from_AMULTIQRY45[[#This Row],[WWHS]],"-",Table_Query_from_AMULTIQRY45[[#This Row],[LLOC]])</f>
        <v>E1-FG</v>
      </c>
      <c r="Q599" s="10">
        <f t="shared" ca="1" si="19"/>
        <v>45775</v>
      </c>
      <c r="R599" s="10"/>
      <c r="S599" s="28">
        <v>138</v>
      </c>
      <c r="T599" s="1" t="s">
        <v>2</v>
      </c>
      <c r="U599" s="1" t="s">
        <v>270</v>
      </c>
      <c r="V599" s="1">
        <v>20240821</v>
      </c>
      <c r="W599" s="8" t="s">
        <v>8442</v>
      </c>
      <c r="Z599" s="1"/>
      <c r="AA599" s="1"/>
      <c r="AC599" s="1"/>
      <c r="AD599" s="1"/>
      <c r="AE599" s="1"/>
      <c r="AF599" s="1"/>
    </row>
    <row r="600" spans="2:32" ht="12.75" x14ac:dyDescent="0.2">
      <c r="B600" s="1" t="s">
        <v>9106</v>
      </c>
      <c r="C600" s="10">
        <f t="shared" ca="1" si="18"/>
        <v>45363</v>
      </c>
      <c r="D600" s="4"/>
      <c r="E600" s="4" t="s">
        <v>8434</v>
      </c>
      <c r="F600" s="4" t="s">
        <v>1293</v>
      </c>
      <c r="G600" s="4"/>
      <c r="H600" s="4" t="str">
        <f>_xlfn.IFNA(VLOOKUP(Table_Query_from_AMULTIQRY45[[#This Row],[WPROD]],'Part# with New'!$A$1:$B$4347,2,0),Table_Query_from_AMULTIQRY45[[#This Row],[WPROD]])</f>
        <v>WPOT075062006D-PXX00W</v>
      </c>
      <c r="I600" s="4" t="s">
        <v>8436</v>
      </c>
      <c r="J600" s="1" t="s">
        <v>5</v>
      </c>
      <c r="L600" s="11">
        <v>4.9180000000000001E-2</v>
      </c>
      <c r="M600" s="1"/>
      <c r="N600" s="1" t="s">
        <v>3</v>
      </c>
      <c r="P600" s="1" t="str">
        <f>CONCATENATE(Table_Query_from_AMULTIQRY45[[#This Row],[WWHS]],"-",Table_Query_from_AMULTIQRY45[[#This Row],[LLOC]])</f>
        <v>E1-FG</v>
      </c>
      <c r="Q600" s="10">
        <f t="shared" ca="1" si="19"/>
        <v>45775</v>
      </c>
      <c r="R600" s="10"/>
      <c r="S600" s="28">
        <v>1002</v>
      </c>
      <c r="T600" s="1" t="s">
        <v>2</v>
      </c>
      <c r="U600" s="1" t="s">
        <v>649</v>
      </c>
      <c r="V600" s="1">
        <v>20240312</v>
      </c>
      <c r="W600" s="8" t="s">
        <v>8442</v>
      </c>
      <c r="Z600" s="1"/>
      <c r="AA600" s="1"/>
      <c r="AC600" s="1"/>
      <c r="AD600" s="1"/>
      <c r="AE600" s="1"/>
      <c r="AF600" s="1"/>
    </row>
    <row r="601" spans="2:32" ht="12.75" x14ac:dyDescent="0.2">
      <c r="B601" s="1" t="s">
        <v>9107</v>
      </c>
      <c r="C601" s="10">
        <f t="shared" ca="1" si="18"/>
        <v>45665</v>
      </c>
      <c r="D601" s="4"/>
      <c r="E601" s="4" t="s">
        <v>8434</v>
      </c>
      <c r="F601" s="4" t="s">
        <v>1293</v>
      </c>
      <c r="G601" s="4"/>
      <c r="H601" s="4" t="str">
        <f>_xlfn.IFNA(VLOOKUP(Table_Query_from_AMULTIQRY45[[#This Row],[WPROD]],'Part# with New'!$A$1:$B$4347,2,0),Table_Query_from_AMULTIQRY45[[#This Row],[WPROD]])</f>
        <v>WPOT048037005D-PFX15K</v>
      </c>
      <c r="I601" s="4" t="s">
        <v>8436</v>
      </c>
      <c r="J601" s="1" t="s">
        <v>5</v>
      </c>
      <c r="L601" s="11">
        <v>3.8969999999999998E-2</v>
      </c>
      <c r="M601" s="1"/>
      <c r="N601" s="1" t="s">
        <v>3</v>
      </c>
      <c r="P601" s="1" t="str">
        <f>CONCATENATE(Table_Query_from_AMULTIQRY45[[#This Row],[WWHS]],"-",Table_Query_from_AMULTIQRY45[[#This Row],[LLOC]])</f>
        <v>E1-FG</v>
      </c>
      <c r="Q601" s="10">
        <f t="shared" ca="1" si="19"/>
        <v>45775</v>
      </c>
      <c r="R601" s="10"/>
      <c r="S601" s="28">
        <v>1275</v>
      </c>
      <c r="T601" s="1" t="s">
        <v>2</v>
      </c>
      <c r="U601" s="1" t="s">
        <v>650</v>
      </c>
      <c r="V601" s="1">
        <v>20250108</v>
      </c>
      <c r="W601" s="8" t="s">
        <v>8442</v>
      </c>
      <c r="Z601" s="1"/>
      <c r="AA601" s="1"/>
      <c r="AC601" s="1"/>
      <c r="AD601" s="1"/>
      <c r="AE601" s="1"/>
      <c r="AF601" s="1"/>
    </row>
    <row r="602" spans="2:32" ht="12.75" x14ac:dyDescent="0.2">
      <c r="B602" s="1" t="s">
        <v>9108</v>
      </c>
      <c r="C602" s="10">
        <f t="shared" ca="1" si="18"/>
        <v>45154</v>
      </c>
      <c r="D602" s="4"/>
      <c r="E602" s="4" t="s">
        <v>8434</v>
      </c>
      <c r="F602" s="4" t="s">
        <v>1293</v>
      </c>
      <c r="G602" s="4"/>
      <c r="H602" s="4" t="str">
        <f>_xlfn.IFNA(VLOOKUP(Table_Query_from_AMULTIQRY45[[#This Row],[WPROD]],'Part# with New'!$A$1:$B$4347,2,0),Table_Query_from_AMULTIQRY45[[#This Row],[WPROD]])</f>
        <v>WFFH176141009D-PSB50B</v>
      </c>
      <c r="I602" s="4" t="s">
        <v>8436</v>
      </c>
      <c r="J602" s="1" t="s">
        <v>5</v>
      </c>
      <c r="L602" s="11">
        <v>0.25974999999999998</v>
      </c>
      <c r="M602" s="1"/>
      <c r="N602" s="1" t="s">
        <v>15</v>
      </c>
      <c r="P602" s="1" t="str">
        <f>CONCATENATE(Table_Query_from_AMULTIQRY45[[#This Row],[WWHS]],"-",Table_Query_from_AMULTIQRY45[[#This Row],[LLOC]])</f>
        <v>E1-FG</v>
      </c>
      <c r="Q602" s="10">
        <f t="shared" ca="1" si="19"/>
        <v>45775</v>
      </c>
      <c r="R602" s="10"/>
      <c r="S602" s="28">
        <v>210</v>
      </c>
      <c r="T602" s="1" t="s">
        <v>2</v>
      </c>
      <c r="U602" s="1" t="s">
        <v>651</v>
      </c>
      <c r="V602" s="1">
        <v>20230816</v>
      </c>
      <c r="W602" s="8" t="s">
        <v>8442</v>
      </c>
      <c r="Z602" s="1"/>
      <c r="AA602" s="1"/>
      <c r="AC602" s="1"/>
      <c r="AD602" s="1"/>
      <c r="AE602" s="1"/>
      <c r="AF602" s="1"/>
    </row>
    <row r="603" spans="2:32" ht="12.75" x14ac:dyDescent="0.2">
      <c r="B603" s="1" t="s">
        <v>9109</v>
      </c>
      <c r="C603" s="10">
        <f t="shared" ca="1" si="18"/>
        <v>45182</v>
      </c>
      <c r="D603" s="4"/>
      <c r="E603" s="4" t="s">
        <v>8434</v>
      </c>
      <c r="F603" s="4" t="s">
        <v>1293</v>
      </c>
      <c r="G603" s="4"/>
      <c r="H603" s="4" t="str">
        <f>_xlfn.IFNA(VLOOKUP(Table_Query_from_AMULTIQRY45[[#This Row],[WPROD]],'Part# with New'!$A$1:$B$4347,2,0),Table_Query_from_AMULTIQRY45[[#This Row],[WPROD]])</f>
        <v>WFFH332288009D-PSB50B</v>
      </c>
      <c r="I603" s="4" t="s">
        <v>8436</v>
      </c>
      <c r="J603" s="1" t="s">
        <v>5</v>
      </c>
      <c r="L603" s="11">
        <v>0.36151</v>
      </c>
      <c r="M603" s="1"/>
      <c r="N603" s="1" t="s">
        <v>15</v>
      </c>
      <c r="P603" s="1" t="str">
        <f>CONCATENATE(Table_Query_from_AMULTIQRY45[[#This Row],[WWHS]],"-",Table_Query_from_AMULTIQRY45[[#This Row],[LLOC]])</f>
        <v>E1-FG</v>
      </c>
      <c r="Q603" s="10">
        <f t="shared" ca="1" si="19"/>
        <v>45775</v>
      </c>
      <c r="R603" s="10"/>
      <c r="S603" s="28">
        <v>221</v>
      </c>
      <c r="T603" s="1" t="s">
        <v>2</v>
      </c>
      <c r="U603" s="1" t="s">
        <v>652</v>
      </c>
      <c r="V603" s="1">
        <v>20230913</v>
      </c>
      <c r="W603" s="8" t="s">
        <v>8442</v>
      </c>
      <c r="Z603" s="1"/>
      <c r="AA603" s="1"/>
      <c r="AC603" s="1"/>
      <c r="AD603" s="1"/>
      <c r="AE603" s="1"/>
      <c r="AF603" s="1"/>
    </row>
    <row r="604" spans="2:32" ht="12.75" x14ac:dyDescent="0.2">
      <c r="B604" s="1" t="s">
        <v>9110</v>
      </c>
      <c r="C604" s="10">
        <f t="shared" ca="1" si="18"/>
        <v>45462</v>
      </c>
      <c r="D604" s="4"/>
      <c r="E604" s="4" t="s">
        <v>8434</v>
      </c>
      <c r="F604" s="4" t="s">
        <v>1293</v>
      </c>
      <c r="G604" s="4"/>
      <c r="H604" s="4" t="str">
        <f>_xlfn.IFNA(VLOOKUP(Table_Query_from_AMULTIQRY45[[#This Row],[WPROD]],'Part# with New'!$A$1:$B$4347,2,0),Table_Query_from_AMULTIQRY45[[#This Row],[WPROD]])</f>
        <v>WSOR080050017D-DV100N</v>
      </c>
      <c r="I604" s="4" t="s">
        <v>8436</v>
      </c>
      <c r="J604" s="1" t="s">
        <v>5</v>
      </c>
      <c r="L604" s="11">
        <v>0.81781000000000004</v>
      </c>
      <c r="M604" s="1"/>
      <c r="N604" s="1" t="s">
        <v>480</v>
      </c>
      <c r="P604" s="1" t="str">
        <f>CONCATENATE(Table_Query_from_AMULTIQRY45[[#This Row],[WWHS]],"-",Table_Query_from_AMULTIQRY45[[#This Row],[LLOC]])</f>
        <v>E1-FG</v>
      </c>
      <c r="Q604" s="10">
        <f t="shared" ca="1" si="19"/>
        <v>45775</v>
      </c>
      <c r="R604" s="10"/>
      <c r="S604" s="28">
        <v>60</v>
      </c>
      <c r="T604" s="1" t="s">
        <v>2</v>
      </c>
      <c r="U604" s="1" t="s">
        <v>653</v>
      </c>
      <c r="V604" s="1">
        <v>20240619</v>
      </c>
      <c r="W604" s="8" t="s">
        <v>8442</v>
      </c>
      <c r="Z604" s="1"/>
      <c r="AA604" s="1"/>
      <c r="AC604" s="1"/>
      <c r="AD604" s="1"/>
      <c r="AE604" s="1"/>
      <c r="AF604" s="1"/>
    </row>
    <row r="605" spans="2:32" ht="12.75" x14ac:dyDescent="0.2">
      <c r="B605" s="1" t="s">
        <v>9111</v>
      </c>
      <c r="C605" s="10">
        <f t="shared" ca="1" si="18"/>
        <v>45709</v>
      </c>
      <c r="D605" s="4"/>
      <c r="E605" s="4" t="s">
        <v>8434</v>
      </c>
      <c r="F605" s="4" t="s">
        <v>1293</v>
      </c>
      <c r="G605" s="4"/>
      <c r="H605" s="4" t="str">
        <f>_xlfn.IFNA(VLOOKUP(Table_Query_from_AMULTIQRY45[[#This Row],[WPROD]],'Part# with New'!$A$1:$B$4347,2,0),Table_Query_from_AMULTIQRY45[[#This Row],[WPROD]])</f>
        <v>WSOR045024013D-DU050Y</v>
      </c>
      <c r="I605" s="4" t="s">
        <v>8436</v>
      </c>
      <c r="J605" s="1" t="s">
        <v>5</v>
      </c>
      <c r="L605" s="11">
        <v>0.45998</v>
      </c>
      <c r="M605" s="1"/>
      <c r="N605" s="1" t="s">
        <v>480</v>
      </c>
      <c r="P605" s="1" t="str">
        <f>CONCATENATE(Table_Query_from_AMULTIQRY45[[#This Row],[WWHS]],"-",Table_Query_from_AMULTIQRY45[[#This Row],[LLOC]])</f>
        <v>E1-FG</v>
      </c>
      <c r="Q605" s="10">
        <f t="shared" ca="1" si="19"/>
        <v>45775</v>
      </c>
      <c r="R605" s="10"/>
      <c r="S605" s="28">
        <v>192</v>
      </c>
      <c r="T605" s="1" t="s">
        <v>2</v>
      </c>
      <c r="U605" s="1" t="s">
        <v>654</v>
      </c>
      <c r="V605" s="1">
        <v>20250221</v>
      </c>
      <c r="W605" s="8" t="s">
        <v>8442</v>
      </c>
      <c r="Z605" s="1"/>
      <c r="AA605" s="1"/>
      <c r="AC605" s="1"/>
      <c r="AD605" s="1"/>
      <c r="AE605" s="1"/>
      <c r="AF605" s="1"/>
    </row>
    <row r="606" spans="2:32" ht="12.75" x14ac:dyDescent="0.2">
      <c r="B606" s="1" t="s">
        <v>9112</v>
      </c>
      <c r="C606" s="10">
        <f t="shared" ca="1" si="18"/>
        <v>45244</v>
      </c>
      <c r="D606" s="4"/>
      <c r="E606" s="4" t="s">
        <v>8434</v>
      </c>
      <c r="F606" s="4" t="s">
        <v>1293</v>
      </c>
      <c r="G606" s="4"/>
      <c r="H606" s="4" t="str">
        <f>_xlfn.IFNA(VLOOKUP(Table_Query_from_AMULTIQRY45[[#This Row],[WPROD]],'Part# with New'!$A$1:$B$4347,2,0),Table_Query_from_AMULTIQRY45[[#This Row],[WPROD]])</f>
        <v>WPOT046031007D-MGM20W</v>
      </c>
      <c r="I606" s="4" t="s">
        <v>8436</v>
      </c>
      <c r="J606" s="1" t="s">
        <v>5</v>
      </c>
      <c r="L606" s="11">
        <v>0.11604</v>
      </c>
      <c r="M606" s="1"/>
      <c r="N606" s="1" t="s">
        <v>3</v>
      </c>
      <c r="P606" s="1" t="str">
        <f>CONCATENATE(Table_Query_from_AMULTIQRY45[[#This Row],[WWHS]],"-",Table_Query_from_AMULTIQRY45[[#This Row],[LLOC]])</f>
        <v>E1-FG</v>
      </c>
      <c r="Q606" s="10">
        <f t="shared" ca="1" si="19"/>
        <v>45775</v>
      </c>
      <c r="R606" s="10"/>
      <c r="S606" s="28">
        <v>53</v>
      </c>
      <c r="T606" s="1" t="s">
        <v>2</v>
      </c>
      <c r="U606" s="1" t="s">
        <v>655</v>
      </c>
      <c r="V606" s="1">
        <v>20231114</v>
      </c>
      <c r="W606" s="8" t="s">
        <v>8442</v>
      </c>
      <c r="Z606" s="1"/>
      <c r="AA606" s="1"/>
      <c r="AC606" s="1"/>
      <c r="AD606" s="1"/>
      <c r="AE606" s="1"/>
      <c r="AF606" s="1"/>
    </row>
    <row r="607" spans="2:32" ht="12.75" x14ac:dyDescent="0.2">
      <c r="B607" s="1" t="s">
        <v>9113</v>
      </c>
      <c r="C607" s="10">
        <f t="shared" ca="1" si="18"/>
        <v>45688</v>
      </c>
      <c r="D607" s="4"/>
      <c r="E607" s="4" t="s">
        <v>8434</v>
      </c>
      <c r="F607" s="4" t="s">
        <v>1293</v>
      </c>
      <c r="G607" s="4"/>
      <c r="H607" s="4" t="str">
        <f>_xlfn.IFNA(VLOOKUP(Table_Query_from_AMULTIQRY45[[#This Row],[WPROD]],'Part# with New'!$A$1:$B$4347,2,0),Table_Query_from_AMULTIQRY45[[#This Row],[WPROD]])</f>
        <v>WSMP108057023D-PXX00W</v>
      </c>
      <c r="I607" s="4" t="s">
        <v>8436</v>
      </c>
      <c r="J607" s="1" t="s">
        <v>5</v>
      </c>
      <c r="L607" s="11">
        <v>0.70798000000000005</v>
      </c>
      <c r="M607" s="1"/>
      <c r="N607" s="1" t="s">
        <v>18</v>
      </c>
      <c r="P607" s="1" t="str">
        <f>CONCATENATE(Table_Query_from_AMULTIQRY45[[#This Row],[WWHS]],"-",Table_Query_from_AMULTIQRY45[[#This Row],[LLOC]])</f>
        <v>E1-FG</v>
      </c>
      <c r="Q607" s="10">
        <f t="shared" ca="1" si="19"/>
        <v>45775</v>
      </c>
      <c r="R607" s="10"/>
      <c r="S607" s="28">
        <v>17</v>
      </c>
      <c r="T607" s="1" t="s">
        <v>2</v>
      </c>
      <c r="U607" s="1" t="s">
        <v>656</v>
      </c>
      <c r="V607" s="1">
        <v>20250131</v>
      </c>
      <c r="W607" s="8" t="s">
        <v>8442</v>
      </c>
      <c r="Z607" s="1"/>
      <c r="AA607" s="1"/>
      <c r="AC607" s="1"/>
      <c r="AD607" s="1"/>
      <c r="AE607" s="1"/>
      <c r="AF607" s="1"/>
    </row>
    <row r="608" spans="2:32" ht="12.75" x14ac:dyDescent="0.2">
      <c r="B608" s="1" t="s">
        <v>9114</v>
      </c>
      <c r="C608" s="10">
        <f t="shared" ca="1" si="18"/>
        <v>45772</v>
      </c>
      <c r="D608" s="4"/>
      <c r="E608" s="4" t="s">
        <v>8434</v>
      </c>
      <c r="F608" s="4" t="s">
        <v>1293</v>
      </c>
      <c r="G608" s="4"/>
      <c r="H608" s="4" t="str">
        <f>_xlfn.IFNA(VLOOKUP(Table_Query_from_AMULTIQRY45[[#This Row],[WPROD]],'Part# with New'!$A$1:$B$4347,2,0),Table_Query_from_AMULTIQRY45[[#This Row],[WPROD]])</f>
        <v>WSNC111086021D-PRX10K</v>
      </c>
      <c r="I608" s="4" t="s">
        <v>8436</v>
      </c>
      <c r="J608" s="1" t="s">
        <v>5</v>
      </c>
      <c r="L608" s="11">
        <v>0.34913</v>
      </c>
      <c r="M608" s="1"/>
      <c r="N608" s="1" t="s">
        <v>6</v>
      </c>
      <c r="P608" s="1" t="str">
        <f>CONCATENATE(Table_Query_from_AMULTIQRY45[[#This Row],[WWHS]],"-",Table_Query_from_AMULTIQRY45[[#This Row],[LLOC]])</f>
        <v>E1-FG</v>
      </c>
      <c r="Q608" s="10">
        <f t="shared" ca="1" si="19"/>
        <v>45775</v>
      </c>
      <c r="R608" s="10"/>
      <c r="S608" s="28">
        <v>224</v>
      </c>
      <c r="T608" s="1" t="s">
        <v>2</v>
      </c>
      <c r="U608" s="1" t="s">
        <v>5995</v>
      </c>
      <c r="V608" s="1">
        <v>20250425</v>
      </c>
      <c r="W608" s="8" t="s">
        <v>8442</v>
      </c>
      <c r="Z608" s="1"/>
      <c r="AA608" s="1"/>
      <c r="AC608" s="1"/>
      <c r="AD608" s="1"/>
      <c r="AE608" s="1"/>
      <c r="AF608" s="1"/>
    </row>
    <row r="609" spans="2:32" ht="12.75" x14ac:dyDescent="0.2">
      <c r="B609" s="1" t="s">
        <v>9115</v>
      </c>
      <c r="C609" s="10">
        <f t="shared" ca="1" si="18"/>
        <v>45552</v>
      </c>
      <c r="D609" s="4"/>
      <c r="E609" s="4" t="s">
        <v>8434</v>
      </c>
      <c r="F609" s="4" t="s">
        <v>1293</v>
      </c>
      <c r="G609" s="4"/>
      <c r="H609" s="4" t="str">
        <f>_xlfn.IFNA(VLOOKUP(Table_Query_from_AMULTIQRY45[[#This Row],[WPROD]],'Part# with New'!$A$1:$B$4347,2,0),Table_Query_from_AMULTIQRY45[[#This Row],[WPROD]])</f>
        <v>WSOR019004014D-DK037N</v>
      </c>
      <c r="I609" s="4" t="s">
        <v>8436</v>
      </c>
      <c r="J609" s="1" t="s">
        <v>5</v>
      </c>
      <c r="L609" s="11">
        <v>0.59336999999999995</v>
      </c>
      <c r="M609" s="1"/>
      <c r="N609" s="1" t="s">
        <v>480</v>
      </c>
      <c r="P609" s="1" t="str">
        <f>CONCATENATE(Table_Query_from_AMULTIQRY45[[#This Row],[WWHS]],"-",Table_Query_from_AMULTIQRY45[[#This Row],[LLOC]])</f>
        <v>E1-FG</v>
      </c>
      <c r="Q609" s="10">
        <f t="shared" ca="1" si="19"/>
        <v>45775</v>
      </c>
      <c r="R609" s="10"/>
      <c r="S609" s="28">
        <v>93</v>
      </c>
      <c r="T609" s="1" t="s">
        <v>2</v>
      </c>
      <c r="U609" s="1" t="s">
        <v>657</v>
      </c>
      <c r="V609" s="1">
        <v>20240917</v>
      </c>
      <c r="W609" s="8" t="s">
        <v>8442</v>
      </c>
      <c r="Z609" s="1"/>
      <c r="AA609" s="1"/>
      <c r="AC609" s="1"/>
      <c r="AD609" s="1"/>
      <c r="AE609" s="1"/>
      <c r="AF609" s="1"/>
    </row>
    <row r="610" spans="2:32" ht="12.75" x14ac:dyDescent="0.2">
      <c r="B610" s="1" t="s">
        <v>9116</v>
      </c>
      <c r="C610" s="10">
        <f t="shared" ca="1" si="18"/>
        <v>44873</v>
      </c>
      <c r="D610" s="4"/>
      <c r="E610" s="4" t="s">
        <v>8434</v>
      </c>
      <c r="F610" s="4" t="s">
        <v>1293</v>
      </c>
      <c r="G610" s="4"/>
      <c r="H610" s="4" t="str">
        <f>_xlfn.IFNA(VLOOKUP(Table_Query_from_AMULTIQRY45[[#This Row],[WPROD]],'Part# with New'!$A$1:$B$4347,2,0),Table_Query_from_AMULTIQRY45[[#This Row],[WPROD]])</f>
        <v>WSNC056048007D-PCR23K</v>
      </c>
      <c r="I610" s="4" t="s">
        <v>8436</v>
      </c>
      <c r="J610" s="1" t="s">
        <v>5</v>
      </c>
      <c r="L610" s="11">
        <v>0.11237999999999999</v>
      </c>
      <c r="M610" s="1"/>
      <c r="N610" s="1" t="s">
        <v>6</v>
      </c>
      <c r="P610" s="1" t="str">
        <f>CONCATENATE(Table_Query_from_AMULTIQRY45[[#This Row],[WWHS]],"-",Table_Query_from_AMULTIQRY45[[#This Row],[LLOC]])</f>
        <v>E1-FG</v>
      </c>
      <c r="Q610" s="10">
        <f t="shared" ca="1" si="19"/>
        <v>45775</v>
      </c>
      <c r="R610" s="10"/>
      <c r="S610" s="28">
        <v>185</v>
      </c>
      <c r="T610" s="1" t="s">
        <v>2</v>
      </c>
      <c r="U610" s="1" t="s">
        <v>658</v>
      </c>
      <c r="V610" s="1">
        <v>20221108</v>
      </c>
      <c r="W610" s="8" t="s">
        <v>8442</v>
      </c>
      <c r="Z610" s="1"/>
      <c r="AA610" s="1"/>
      <c r="AC610" s="1"/>
      <c r="AD610" s="1"/>
      <c r="AE610" s="1"/>
      <c r="AF610" s="1"/>
    </row>
    <row r="611" spans="2:32" ht="12.75" x14ac:dyDescent="0.2">
      <c r="B611" s="1" t="s">
        <v>9117</v>
      </c>
      <c r="C611" s="10">
        <f t="shared" ca="1" si="18"/>
        <v>43683</v>
      </c>
      <c r="D611" s="4"/>
      <c r="E611" s="4" t="s">
        <v>8434</v>
      </c>
      <c r="F611" s="4" t="s">
        <v>1293</v>
      </c>
      <c r="G611" s="4"/>
      <c r="H611" s="4" t="str">
        <f>_xlfn.IFNA(VLOOKUP(Table_Query_from_AMULTIQRY45[[#This Row],[WPROD]],'Part# with New'!$A$1:$B$4347,2,0),Table_Query_from_AMULTIQRY45[[#This Row],[WPROD]])</f>
        <v>WPOT191176013D-PXX00W</v>
      </c>
      <c r="I611" s="4" t="s">
        <v>8436</v>
      </c>
      <c r="J611" s="1" t="s">
        <v>5</v>
      </c>
      <c r="L611" s="11">
        <v>0.18581</v>
      </c>
      <c r="M611" s="1"/>
      <c r="N611" s="1" t="s">
        <v>3</v>
      </c>
      <c r="P611" s="1" t="str">
        <f>CONCATENATE(Table_Query_from_AMULTIQRY45[[#This Row],[WWHS]],"-",Table_Query_from_AMULTIQRY45[[#This Row],[LLOC]])</f>
        <v>E1-FG</v>
      </c>
      <c r="Q611" s="10">
        <f t="shared" ca="1" si="19"/>
        <v>45775</v>
      </c>
      <c r="R611" s="10"/>
      <c r="S611" s="28">
        <v>86</v>
      </c>
      <c r="T611" s="1" t="s">
        <v>2</v>
      </c>
      <c r="U611" s="1" t="s">
        <v>659</v>
      </c>
      <c r="V611" s="1">
        <v>20190806</v>
      </c>
      <c r="W611" s="8" t="s">
        <v>8442</v>
      </c>
      <c r="Z611" s="1"/>
      <c r="AA611" s="1"/>
      <c r="AC611" s="1"/>
      <c r="AD611" s="1"/>
      <c r="AE611" s="1"/>
      <c r="AF611" s="1"/>
    </row>
    <row r="612" spans="2:32" ht="12.75" x14ac:dyDescent="0.2">
      <c r="B612" s="1" t="s">
        <v>9118</v>
      </c>
      <c r="C612" s="10">
        <f t="shared" ca="1" si="18"/>
        <v>45721</v>
      </c>
      <c r="D612" s="4"/>
      <c r="E612" s="4" t="s">
        <v>8434</v>
      </c>
      <c r="F612" s="4" t="s">
        <v>1293</v>
      </c>
      <c r="G612" s="4"/>
      <c r="H612" s="4" t="str">
        <f>_xlfn.IFNA(VLOOKUP(Table_Query_from_AMULTIQRY45[[#This Row],[WPROD]],'Part# with New'!$A$1:$B$4347,2,0),Table_Query_from_AMULTIQRY45[[#This Row],[WPROD]])</f>
        <v>WFFL069040010D-PCG10K</v>
      </c>
      <c r="I612" s="4" t="s">
        <v>8436</v>
      </c>
      <c r="J612" s="1" t="s">
        <v>5</v>
      </c>
      <c r="L612" s="11">
        <v>5.5480000000000002E-2</v>
      </c>
      <c r="M612" s="1"/>
      <c r="N612" s="1" t="s">
        <v>346</v>
      </c>
      <c r="P612" s="1" t="str">
        <f>CONCATENATE(Table_Query_from_AMULTIQRY45[[#This Row],[WWHS]],"-",Table_Query_from_AMULTIQRY45[[#This Row],[LLOC]])</f>
        <v>E1-FG</v>
      </c>
      <c r="Q612" s="10">
        <f t="shared" ca="1" si="19"/>
        <v>45775</v>
      </c>
      <c r="R612" s="10"/>
      <c r="S612" s="28">
        <v>227</v>
      </c>
      <c r="T612" s="1" t="s">
        <v>2</v>
      </c>
      <c r="U612" s="1" t="s">
        <v>660</v>
      </c>
      <c r="V612" s="1">
        <v>20250305</v>
      </c>
      <c r="W612" s="8" t="s">
        <v>8442</v>
      </c>
      <c r="Z612" s="1"/>
      <c r="AA612" s="1"/>
      <c r="AC612" s="1"/>
      <c r="AD612" s="1"/>
      <c r="AE612" s="1"/>
      <c r="AF612" s="1"/>
    </row>
    <row r="613" spans="2:32" ht="12.75" x14ac:dyDescent="0.2">
      <c r="B613" s="1" t="s">
        <v>9119</v>
      </c>
      <c r="C613" s="10">
        <f t="shared" ca="1" si="18"/>
        <v>45408</v>
      </c>
      <c r="D613" s="4"/>
      <c r="E613" s="4" t="s">
        <v>8434</v>
      </c>
      <c r="F613" s="4" t="s">
        <v>1293</v>
      </c>
      <c r="G613" s="4"/>
      <c r="H613" s="4" t="str">
        <f>_xlfn.IFNA(VLOOKUP(Table_Query_from_AMULTIQRY45[[#This Row],[WPROD]],'Part# with New'!$A$1:$B$4347,2,0),Table_Query_from_AMULTIQRY45[[#This Row],[WPROD]])</f>
        <v>WPOT105099004D-PXX00W</v>
      </c>
      <c r="I613" s="4" t="s">
        <v>8436</v>
      </c>
      <c r="J613" s="1" t="s">
        <v>5</v>
      </c>
      <c r="L613" s="11">
        <v>5.5259999999999997E-2</v>
      </c>
      <c r="M613" s="1"/>
      <c r="N613" s="1" t="s">
        <v>3</v>
      </c>
      <c r="P613" s="1" t="str">
        <f>CONCATENATE(Table_Query_from_AMULTIQRY45[[#This Row],[WWHS]],"-",Table_Query_from_AMULTIQRY45[[#This Row],[LLOC]])</f>
        <v>E1-FG</v>
      </c>
      <c r="Q613" s="10">
        <f t="shared" ca="1" si="19"/>
        <v>45775</v>
      </c>
      <c r="R613" s="10"/>
      <c r="S613" s="28">
        <v>3975</v>
      </c>
      <c r="T613" s="1" t="s">
        <v>2</v>
      </c>
      <c r="U613" s="1" t="s">
        <v>661</v>
      </c>
      <c r="V613" s="1">
        <v>20240426</v>
      </c>
      <c r="W613" s="8" t="s">
        <v>8442</v>
      </c>
      <c r="Z613" s="1"/>
      <c r="AA613" s="1"/>
      <c r="AC613" s="1"/>
      <c r="AD613" s="1"/>
      <c r="AE613" s="1"/>
      <c r="AF613" s="1"/>
    </row>
    <row r="614" spans="2:32" ht="12.75" x14ac:dyDescent="0.2">
      <c r="B614" s="1" t="s">
        <v>9120</v>
      </c>
      <c r="C614" s="10">
        <f t="shared" ca="1" si="18"/>
        <v>45733</v>
      </c>
      <c r="D614" s="4"/>
      <c r="E614" s="4" t="s">
        <v>8434</v>
      </c>
      <c r="F614" s="4" t="s">
        <v>1293</v>
      </c>
      <c r="G614" s="4"/>
      <c r="H614" s="4" t="str">
        <f>_xlfn.IFNA(VLOOKUP(Table_Query_from_AMULTIQRY45[[#This Row],[WPROD]],'Part# with New'!$A$1:$B$4347,2,0),Table_Query_from_AMULTIQRY45[[#This Row],[WPROD]])</f>
        <v>WFFL050027010Q-MXX00W</v>
      </c>
      <c r="I614" s="4" t="s">
        <v>8436</v>
      </c>
      <c r="J614" s="1" t="s">
        <v>5</v>
      </c>
      <c r="L614" s="11">
        <v>0.10712000000000001</v>
      </c>
      <c r="M614" s="1"/>
      <c r="N614" s="1" t="s">
        <v>346</v>
      </c>
      <c r="P614" s="1" t="str">
        <f>CONCATENATE(Table_Query_from_AMULTIQRY45[[#This Row],[WWHS]],"-",Table_Query_from_AMULTIQRY45[[#This Row],[LLOC]])</f>
        <v>E1-FG</v>
      </c>
      <c r="Q614" s="10">
        <f t="shared" ca="1" si="19"/>
        <v>45775</v>
      </c>
      <c r="R614" s="10"/>
      <c r="S614" s="28">
        <v>125</v>
      </c>
      <c r="T614" s="1" t="s">
        <v>2</v>
      </c>
      <c r="U614" s="1" t="s">
        <v>662</v>
      </c>
      <c r="V614" s="1">
        <v>20250317</v>
      </c>
      <c r="W614" s="8" t="s">
        <v>8442</v>
      </c>
      <c r="Z614" s="1"/>
      <c r="AA614" s="1"/>
      <c r="AC614" s="1"/>
      <c r="AD614" s="1"/>
      <c r="AE614" s="1"/>
      <c r="AF614" s="1"/>
    </row>
    <row r="615" spans="2:32" ht="12.75" x14ac:dyDescent="0.2">
      <c r="B615" s="1" t="s">
        <v>9121</v>
      </c>
      <c r="C615" s="10">
        <f t="shared" ca="1" si="18"/>
        <v>42318</v>
      </c>
      <c r="D615" s="4"/>
      <c r="E615" s="4" t="s">
        <v>8434</v>
      </c>
      <c r="F615" s="4" t="s">
        <v>1293</v>
      </c>
      <c r="G615" s="4"/>
      <c r="H615" s="4" t="str">
        <f>_xlfn.IFNA(VLOOKUP(Table_Query_from_AMULTIQRY45[[#This Row],[WPROD]],'Part# with New'!$A$1:$B$4347,2,0),Table_Query_from_AMULTIQRY45[[#This Row],[WPROD]])</f>
        <v>WSNC054038012D-PZX40N</v>
      </c>
      <c r="I615" s="4" t="s">
        <v>8436</v>
      </c>
      <c r="J615" s="1" t="s">
        <v>5</v>
      </c>
      <c r="L615" s="11">
        <v>0.27736</v>
      </c>
      <c r="M615" s="1"/>
      <c r="N615" s="1" t="s">
        <v>6</v>
      </c>
      <c r="P615" s="1" t="str">
        <f>CONCATENATE(Table_Query_from_AMULTIQRY45[[#This Row],[WWHS]],"-",Table_Query_from_AMULTIQRY45[[#This Row],[LLOC]])</f>
        <v>E1-FG</v>
      </c>
      <c r="Q615" s="10">
        <f t="shared" ca="1" si="19"/>
        <v>45775</v>
      </c>
      <c r="R615" s="10"/>
      <c r="S615" s="28">
        <v>94</v>
      </c>
      <c r="T615" s="1" t="s">
        <v>2</v>
      </c>
      <c r="U615" s="1" t="s">
        <v>663</v>
      </c>
      <c r="V615" s="1">
        <v>20151110</v>
      </c>
      <c r="W615" s="8" t="s">
        <v>8442</v>
      </c>
      <c r="Z615" s="1"/>
      <c r="AA615" s="1"/>
      <c r="AC615" s="1"/>
      <c r="AD615" s="1"/>
      <c r="AE615" s="1"/>
      <c r="AF615" s="1"/>
    </row>
    <row r="616" spans="2:32" ht="12.75" x14ac:dyDescent="0.2">
      <c r="B616" s="1" t="s">
        <v>9122</v>
      </c>
      <c r="C616" s="10">
        <f t="shared" ca="1" si="18"/>
        <v>45714</v>
      </c>
      <c r="D616" s="4"/>
      <c r="E616" s="4" t="s">
        <v>8434</v>
      </c>
      <c r="F616" s="4" t="s">
        <v>1293</v>
      </c>
      <c r="G616" s="4"/>
      <c r="H616" s="4" t="str">
        <f>_xlfn.IFNA(VLOOKUP(Table_Query_from_AMULTIQRY45[[#This Row],[WPROD]],'Part# with New'!$A$1:$B$4347,2,0),Table_Query_from_AMULTIQRY45[[#This Row],[WPROD]])</f>
        <v>WSOR017010010D-DA050N</v>
      </c>
      <c r="I616" s="4" t="s">
        <v>8436</v>
      </c>
      <c r="J616" s="1" t="s">
        <v>5</v>
      </c>
      <c r="L616" s="11">
        <v>0.42885000000000001</v>
      </c>
      <c r="M616" s="1"/>
      <c r="N616" s="1" t="s">
        <v>480</v>
      </c>
      <c r="P616" s="1" t="str">
        <f>CONCATENATE(Table_Query_from_AMULTIQRY45[[#This Row],[WWHS]],"-",Table_Query_from_AMULTIQRY45[[#This Row],[LLOC]])</f>
        <v>E1-FG</v>
      </c>
      <c r="Q616" s="10">
        <f t="shared" ca="1" si="19"/>
        <v>45775</v>
      </c>
      <c r="R616" s="10"/>
      <c r="S616" s="28">
        <v>95</v>
      </c>
      <c r="T616" s="1" t="s">
        <v>2</v>
      </c>
      <c r="U616" s="1" t="s">
        <v>664</v>
      </c>
      <c r="V616" s="1">
        <v>20250226</v>
      </c>
      <c r="W616" s="8" t="s">
        <v>8442</v>
      </c>
      <c r="Z616" s="1"/>
      <c r="AA616" s="1"/>
      <c r="AC616" s="1"/>
      <c r="AD616" s="1"/>
      <c r="AE616" s="1"/>
      <c r="AF616" s="1"/>
    </row>
    <row r="617" spans="2:32" ht="12.75" x14ac:dyDescent="0.2">
      <c r="B617" s="1" t="s">
        <v>9123</v>
      </c>
      <c r="C617" s="10">
        <f t="shared" ca="1" si="18"/>
        <v>45734</v>
      </c>
      <c r="D617" s="4"/>
      <c r="E617" s="4" t="s">
        <v>8434</v>
      </c>
      <c r="F617" s="4" t="s">
        <v>1293</v>
      </c>
      <c r="G617" s="4"/>
      <c r="H617" s="4" t="str">
        <f>_xlfn.IFNA(VLOOKUP(Table_Query_from_AMULTIQRY45[[#This Row],[WPROD]],'Part# with New'!$A$1:$B$4347,2,0),Table_Query_from_AMULTIQRY45[[#This Row],[WPROD]])</f>
        <v>WFFL074051012Q-PCG10K</v>
      </c>
      <c r="I617" s="4" t="s">
        <v>8436</v>
      </c>
      <c r="J617" s="1" t="s">
        <v>5</v>
      </c>
      <c r="L617" s="11">
        <v>8.2650000000000001E-2</v>
      </c>
      <c r="M617" s="1"/>
      <c r="N617" s="1" t="s">
        <v>346</v>
      </c>
      <c r="P617" s="1" t="str">
        <f>CONCATENATE(Table_Query_from_AMULTIQRY45[[#This Row],[WWHS]],"-",Table_Query_from_AMULTIQRY45[[#This Row],[LLOC]])</f>
        <v>E1-FG</v>
      </c>
      <c r="Q617" s="10">
        <f t="shared" ca="1" si="19"/>
        <v>45775</v>
      </c>
      <c r="R617" s="10"/>
      <c r="S617" s="28">
        <v>630</v>
      </c>
      <c r="T617" s="1" t="s">
        <v>2</v>
      </c>
      <c r="U617" s="1" t="s">
        <v>665</v>
      </c>
      <c r="V617" s="1">
        <v>20250318</v>
      </c>
      <c r="W617" s="8" t="s">
        <v>8442</v>
      </c>
      <c r="Z617" s="1"/>
      <c r="AA617" s="1"/>
      <c r="AC617" s="1"/>
      <c r="AD617" s="1"/>
      <c r="AE617" s="1"/>
      <c r="AF617" s="1"/>
    </row>
    <row r="618" spans="2:32" ht="12.75" x14ac:dyDescent="0.2">
      <c r="B618" s="1" t="s">
        <v>9124</v>
      </c>
      <c r="C618" s="10">
        <f t="shared" ca="1" si="18"/>
        <v>45562</v>
      </c>
      <c r="D618" s="4"/>
      <c r="E618" s="4" t="s">
        <v>8434</v>
      </c>
      <c r="F618" s="4" t="s">
        <v>1293</v>
      </c>
      <c r="G618" s="4"/>
      <c r="H618" s="4" t="str">
        <f>_xlfn.IFNA(VLOOKUP(Table_Query_from_AMULTIQRY45[[#This Row],[WPROD]],'Part# with New'!$A$1:$B$4347,2,0),Table_Query_from_AMULTIQRY45[[#This Row],[WPROD]])</f>
        <v>WFFB105076012Q-PCG10K</v>
      </c>
      <c r="I618" s="4" t="s">
        <v>8436</v>
      </c>
      <c r="J618" s="1" t="s">
        <v>5</v>
      </c>
      <c r="L618" s="11">
        <v>0.15146000000000001</v>
      </c>
      <c r="M618" s="1"/>
      <c r="N618" s="1" t="s">
        <v>348</v>
      </c>
      <c r="P618" s="1" t="str">
        <f>CONCATENATE(Table_Query_from_AMULTIQRY45[[#This Row],[WWHS]],"-",Table_Query_from_AMULTIQRY45[[#This Row],[LLOC]])</f>
        <v>E1-FG</v>
      </c>
      <c r="Q618" s="10">
        <f t="shared" ca="1" si="19"/>
        <v>45775</v>
      </c>
      <c r="R618" s="10"/>
      <c r="S618" s="28">
        <v>1100</v>
      </c>
      <c r="T618" s="1" t="s">
        <v>2</v>
      </c>
      <c r="U618" s="1" t="s">
        <v>666</v>
      </c>
      <c r="V618" s="1">
        <v>20240927</v>
      </c>
      <c r="W618" s="8" t="s">
        <v>8442</v>
      </c>
      <c r="Z618" s="1"/>
      <c r="AA618" s="1"/>
      <c r="AC618" s="1"/>
      <c r="AD618" s="1"/>
      <c r="AE618" s="1"/>
      <c r="AF618" s="1"/>
    </row>
    <row r="619" spans="2:32" ht="12.75" x14ac:dyDescent="0.2">
      <c r="B619" s="1" t="s">
        <v>9125</v>
      </c>
      <c r="C619" s="10">
        <f t="shared" ca="1" si="18"/>
        <v>45657</v>
      </c>
      <c r="D619" s="4"/>
      <c r="E619" s="4" t="s">
        <v>8434</v>
      </c>
      <c r="F619" s="4" t="s">
        <v>1293</v>
      </c>
      <c r="G619" s="4"/>
      <c r="H619" s="4" t="str">
        <f>_xlfn.IFNA(VLOOKUP(Table_Query_from_AMULTIQRY45[[#This Row],[WPROD]],'Part# with New'!$A$1:$B$4347,2,0),Table_Query_from_AMULTIQRY45[[#This Row],[WPROD]])</f>
        <v>WFFB130101014Q-PCG10K</v>
      </c>
      <c r="I619" s="4" t="s">
        <v>8436</v>
      </c>
      <c r="J619" s="1" t="s">
        <v>5</v>
      </c>
      <c r="L619" s="11">
        <v>0.1933</v>
      </c>
      <c r="M619" s="1"/>
      <c r="N619" s="1" t="s">
        <v>348</v>
      </c>
      <c r="P619" s="1" t="str">
        <f>CONCATENATE(Table_Query_from_AMULTIQRY45[[#This Row],[WWHS]],"-",Table_Query_from_AMULTIQRY45[[#This Row],[LLOC]])</f>
        <v>E1-FG</v>
      </c>
      <c r="Q619" s="10">
        <f t="shared" ca="1" si="19"/>
        <v>45775</v>
      </c>
      <c r="R619" s="10"/>
      <c r="S619" s="28">
        <v>100</v>
      </c>
      <c r="T619" s="1" t="s">
        <v>2</v>
      </c>
      <c r="U619" s="1" t="s">
        <v>667</v>
      </c>
      <c r="V619" s="1">
        <v>20241231</v>
      </c>
      <c r="W619" s="8" t="s">
        <v>8442</v>
      </c>
      <c r="Z619" s="1"/>
      <c r="AA619" s="1"/>
      <c r="AC619" s="1"/>
      <c r="AD619" s="1"/>
      <c r="AE619" s="1"/>
      <c r="AF619" s="1"/>
    </row>
    <row r="620" spans="2:32" ht="12.75" x14ac:dyDescent="0.2">
      <c r="B620" s="1" t="s">
        <v>9126</v>
      </c>
      <c r="C620" s="10">
        <f t="shared" ca="1" si="18"/>
        <v>45768</v>
      </c>
      <c r="D620" s="4"/>
      <c r="E620" s="4" t="s">
        <v>8434</v>
      </c>
      <c r="F620" s="4" t="s">
        <v>1293</v>
      </c>
      <c r="G620" s="4"/>
      <c r="H620" s="4" t="str">
        <f>_xlfn.IFNA(VLOOKUP(Table_Query_from_AMULTIQRY45[[#This Row],[WPROD]],'Part# with New'!$A$1:$B$4347,2,0),Table_Query_from_AMULTIQRY45[[#This Row],[WPROD]])</f>
        <v>WPSM150135008D-PGX15B</v>
      </c>
      <c r="I620" s="4" t="s">
        <v>8436</v>
      </c>
      <c r="J620" s="1" t="s">
        <v>5</v>
      </c>
      <c r="L620" s="11">
        <v>6.0060000000000002E-2</v>
      </c>
      <c r="M620" s="1"/>
      <c r="N620" s="1" t="s">
        <v>326</v>
      </c>
      <c r="P620" s="1" t="str">
        <f>CONCATENATE(Table_Query_from_AMULTIQRY45[[#This Row],[WWHS]],"-",Table_Query_from_AMULTIQRY45[[#This Row],[LLOC]])</f>
        <v>E1-FG</v>
      </c>
      <c r="Q620" s="10">
        <f t="shared" ca="1" si="19"/>
        <v>45775</v>
      </c>
      <c r="R620" s="10"/>
      <c r="S620" s="28">
        <v>7072</v>
      </c>
      <c r="T620" s="1" t="s">
        <v>2</v>
      </c>
      <c r="U620" s="1" t="s">
        <v>668</v>
      </c>
      <c r="V620" s="1">
        <v>20250421</v>
      </c>
      <c r="W620" s="8" t="s">
        <v>8442</v>
      </c>
      <c r="Z620" s="1"/>
      <c r="AA620" s="1"/>
      <c r="AC620" s="1"/>
      <c r="AD620" s="1"/>
      <c r="AE620" s="1"/>
      <c r="AF620" s="1"/>
    </row>
    <row r="621" spans="2:32" ht="12.75" x14ac:dyDescent="0.2">
      <c r="B621" s="1" t="s">
        <v>9127</v>
      </c>
      <c r="C621" s="10">
        <f t="shared" ca="1" si="18"/>
        <v>45706</v>
      </c>
      <c r="D621" s="4"/>
      <c r="E621" s="4" t="s">
        <v>8434</v>
      </c>
      <c r="F621" s="4" t="s">
        <v>1293</v>
      </c>
      <c r="G621" s="4"/>
      <c r="H621" s="4" t="str">
        <f>_xlfn.IFNA(VLOOKUP(Table_Query_from_AMULTIQRY45[[#This Row],[WPROD]],'Part# with New'!$A$1:$B$4347,2,0),Table_Query_from_AMULTIQRY45[[#This Row],[WPROD]])</f>
        <v>WPOS233213021S-PZX40N</v>
      </c>
      <c r="I621" s="4" t="s">
        <v>8436</v>
      </c>
      <c r="J621" s="1" t="s">
        <v>5</v>
      </c>
      <c r="L621" s="11">
        <v>0.87453999999999998</v>
      </c>
      <c r="M621" s="1"/>
      <c r="N621" s="1" t="s">
        <v>18</v>
      </c>
      <c r="P621" s="1" t="str">
        <f>CONCATENATE(Table_Query_from_AMULTIQRY45[[#This Row],[WWHS]],"-",Table_Query_from_AMULTIQRY45[[#This Row],[LLOC]])</f>
        <v>E1-FG</v>
      </c>
      <c r="Q621" s="10">
        <f t="shared" ca="1" si="19"/>
        <v>45775</v>
      </c>
      <c r="R621" s="10"/>
      <c r="S621" s="28">
        <v>52</v>
      </c>
      <c r="T621" s="1" t="s">
        <v>2</v>
      </c>
      <c r="U621" s="1" t="s">
        <v>669</v>
      </c>
      <c r="V621" s="1">
        <v>20250218</v>
      </c>
      <c r="W621" s="8" t="s">
        <v>8442</v>
      </c>
      <c r="Z621" s="1"/>
      <c r="AA621" s="1"/>
      <c r="AC621" s="1"/>
      <c r="AD621" s="1"/>
      <c r="AE621" s="1"/>
      <c r="AF621" s="1"/>
    </row>
    <row r="622" spans="2:32" ht="12.75" x14ac:dyDescent="0.2">
      <c r="B622" s="1" t="s">
        <v>9128</v>
      </c>
      <c r="C622" s="10">
        <f t="shared" ca="1" si="18"/>
        <v>45251</v>
      </c>
      <c r="D622" s="4"/>
      <c r="E622" s="4" t="s">
        <v>8434</v>
      </c>
      <c r="F622" s="4" t="s">
        <v>1293</v>
      </c>
      <c r="G622" s="4"/>
      <c r="H622" s="4" t="str">
        <f>_xlfn.IFNA(VLOOKUP(Table_Query_from_AMULTIQRY45[[#This Row],[WPROD]],'Part# with New'!$A$1:$B$4347,2,0),Table_Query_from_AMULTIQRY45[[#This Row],[WPROD]])</f>
        <v>WSMP227197017D-BU23GN</v>
      </c>
      <c r="I622" s="4" t="s">
        <v>8436</v>
      </c>
      <c r="J622" s="1" t="s">
        <v>5</v>
      </c>
      <c r="L622" s="11">
        <v>2.4045100000000001</v>
      </c>
      <c r="M622" s="1"/>
      <c r="N622" s="1" t="s">
        <v>18</v>
      </c>
      <c r="P622" s="1" t="str">
        <f>CONCATENATE(Table_Query_from_AMULTIQRY45[[#This Row],[WWHS]],"-",Table_Query_from_AMULTIQRY45[[#This Row],[LLOC]])</f>
        <v>E1-FG</v>
      </c>
      <c r="Q622" s="10">
        <f t="shared" ca="1" si="19"/>
        <v>45775</v>
      </c>
      <c r="R622" s="10"/>
      <c r="S622" s="28">
        <v>371</v>
      </c>
      <c r="T622" s="1" t="s">
        <v>2</v>
      </c>
      <c r="U622" s="1" t="s">
        <v>670</v>
      </c>
      <c r="V622" s="1">
        <v>20231121</v>
      </c>
      <c r="W622" s="8" t="s">
        <v>8442</v>
      </c>
      <c r="Z622" s="1"/>
      <c r="AA622" s="1"/>
      <c r="AC622" s="1"/>
      <c r="AD622" s="1"/>
      <c r="AE622" s="1"/>
      <c r="AF622" s="1"/>
    </row>
    <row r="623" spans="2:32" ht="12.75" x14ac:dyDescent="0.2">
      <c r="B623" s="1" t="s">
        <v>9129</v>
      </c>
      <c r="C623" s="10">
        <f t="shared" ca="1" si="18"/>
        <v>45637</v>
      </c>
      <c r="D623" s="4"/>
      <c r="E623" s="4" t="s">
        <v>8434</v>
      </c>
      <c r="F623" s="4" t="s">
        <v>1293</v>
      </c>
      <c r="G623" s="4"/>
      <c r="H623" s="4" t="str">
        <f>_xlfn.IFNA(VLOOKUP(Table_Query_from_AMULTIQRY45[[#This Row],[WPROD]],'Part# with New'!$A$1:$B$4347,2,0),Table_Query_from_AMULTIQRY45[[#This Row],[WPROD]])</f>
        <v>WSNC066042013D-MXX00W</v>
      </c>
      <c r="I623" s="4" t="s">
        <v>8436</v>
      </c>
      <c r="J623" s="1" t="s">
        <v>5</v>
      </c>
      <c r="L623" s="11">
        <v>0.40111000000000002</v>
      </c>
      <c r="M623" s="1"/>
      <c r="N623" s="1" t="s">
        <v>6</v>
      </c>
      <c r="P623" s="1" t="str">
        <f>CONCATENATE(Table_Query_from_AMULTIQRY45[[#This Row],[WWHS]],"-",Table_Query_from_AMULTIQRY45[[#This Row],[LLOC]])</f>
        <v>E1-FG</v>
      </c>
      <c r="Q623" s="10">
        <f t="shared" ca="1" si="19"/>
        <v>45775</v>
      </c>
      <c r="R623" s="10"/>
      <c r="S623" s="28">
        <v>80</v>
      </c>
      <c r="T623" s="1" t="s">
        <v>2</v>
      </c>
      <c r="U623" s="1" t="s">
        <v>671</v>
      </c>
      <c r="V623" s="1">
        <v>20241211</v>
      </c>
      <c r="W623" s="8" t="s">
        <v>8442</v>
      </c>
      <c r="Z623" s="1"/>
      <c r="AA623" s="1"/>
      <c r="AC623" s="1"/>
      <c r="AD623" s="1"/>
      <c r="AE623" s="1"/>
      <c r="AF623" s="1"/>
    </row>
    <row r="624" spans="2:32" ht="12.75" x14ac:dyDescent="0.2">
      <c r="B624" s="1" t="s">
        <v>9130</v>
      </c>
      <c r="C624" s="10">
        <f t="shared" ca="1" si="18"/>
        <v>45713</v>
      </c>
      <c r="D624" s="4"/>
      <c r="E624" s="4" t="s">
        <v>8434</v>
      </c>
      <c r="F624" s="4" t="s">
        <v>1293</v>
      </c>
      <c r="G624" s="4"/>
      <c r="H624" s="4" t="str">
        <f>_xlfn.IFNA(VLOOKUP(Table_Query_from_AMULTIQRY45[[#This Row],[WPROD]],'Part# with New'!$A$1:$B$4347,2,0),Table_Query_from_AMULTIQRY45[[#This Row],[WPROD]])</f>
        <v>WSMP128092018D-MXX00W</v>
      </c>
      <c r="I624" s="4" t="s">
        <v>8436</v>
      </c>
      <c r="J624" s="1" t="s">
        <v>5</v>
      </c>
      <c r="L624" s="11">
        <v>0.90342</v>
      </c>
      <c r="M624" s="1"/>
      <c r="N624" s="1" t="s">
        <v>18</v>
      </c>
      <c r="P624" s="1" t="str">
        <f>CONCATENATE(Table_Query_from_AMULTIQRY45[[#This Row],[WWHS]],"-",Table_Query_from_AMULTIQRY45[[#This Row],[LLOC]])</f>
        <v>E1-FG</v>
      </c>
      <c r="Q624" s="10">
        <f t="shared" ca="1" si="19"/>
        <v>45775</v>
      </c>
      <c r="R624" s="10"/>
      <c r="S624" s="28">
        <v>14</v>
      </c>
      <c r="T624" s="1" t="s">
        <v>2</v>
      </c>
      <c r="U624" s="1" t="s">
        <v>672</v>
      </c>
      <c r="V624" s="1">
        <v>20250225</v>
      </c>
      <c r="W624" s="8" t="s">
        <v>8442</v>
      </c>
      <c r="Z624" s="1"/>
      <c r="AA624" s="1"/>
      <c r="AC624" s="1"/>
      <c r="AD624" s="1"/>
      <c r="AE624" s="1"/>
      <c r="AF624" s="1"/>
    </row>
    <row r="625" spans="2:32" ht="12.75" x14ac:dyDescent="0.2">
      <c r="B625" s="1" t="s">
        <v>9131</v>
      </c>
      <c r="C625" s="10">
        <f t="shared" ca="1" si="18"/>
        <v>45751</v>
      </c>
      <c r="D625" s="4"/>
      <c r="E625" s="4" t="s">
        <v>8434</v>
      </c>
      <c r="F625" s="4" t="s">
        <v>1293</v>
      </c>
      <c r="G625" s="4"/>
      <c r="H625" s="4" t="str">
        <f>_xlfn.IFNA(VLOOKUP(Table_Query_from_AMULTIQRY45[[#This Row],[WPROD]],'Part# with New'!$A$1:$B$4347,2,0),Table_Query_from_AMULTIQRY45[[#This Row],[WPROD]])</f>
        <v>WSNC149100050D-PXX00W</v>
      </c>
      <c r="I625" s="4" t="s">
        <v>8436</v>
      </c>
      <c r="J625" s="1" t="s">
        <v>5</v>
      </c>
      <c r="L625" s="11">
        <v>0.83642000000000005</v>
      </c>
      <c r="M625" s="1"/>
      <c r="N625" s="1" t="s">
        <v>6</v>
      </c>
      <c r="P625" s="1" t="str">
        <f>CONCATENATE(Table_Query_from_AMULTIQRY45[[#This Row],[WWHS]],"-",Table_Query_from_AMULTIQRY45[[#This Row],[LLOC]])</f>
        <v>E1-FG</v>
      </c>
      <c r="Q625" s="10">
        <f t="shared" ca="1" si="19"/>
        <v>45775</v>
      </c>
      <c r="R625" s="10"/>
      <c r="S625" s="28">
        <v>49</v>
      </c>
      <c r="T625" s="1" t="s">
        <v>2</v>
      </c>
      <c r="U625" s="1" t="s">
        <v>6122</v>
      </c>
      <c r="V625" s="1">
        <v>20250404</v>
      </c>
      <c r="W625" s="8" t="s">
        <v>8442</v>
      </c>
      <c r="Z625" s="1"/>
      <c r="AA625" s="1"/>
      <c r="AC625" s="1"/>
      <c r="AD625" s="1"/>
      <c r="AE625" s="1"/>
      <c r="AF625" s="1"/>
    </row>
    <row r="626" spans="2:32" ht="12.75" x14ac:dyDescent="0.2">
      <c r="B626" s="1" t="s">
        <v>9132</v>
      </c>
      <c r="C626" s="10">
        <f t="shared" ca="1" si="18"/>
        <v>45547</v>
      </c>
      <c r="D626" s="4"/>
      <c r="E626" s="4" t="s">
        <v>8434</v>
      </c>
      <c r="F626" s="4" t="s">
        <v>1293</v>
      </c>
      <c r="G626" s="4"/>
      <c r="H626" s="4" t="str">
        <f>_xlfn.IFNA(VLOOKUP(Table_Query_from_AMULTIQRY45[[#This Row],[WPROD]],'Part# with New'!$A$1:$B$4347,2,0),Table_Query_from_AMULTIQRY45[[#This Row],[WPROD]])</f>
        <v>WPOT140112005D-PXX00W</v>
      </c>
      <c r="I626" s="4" t="s">
        <v>8436</v>
      </c>
      <c r="J626" s="1" t="s">
        <v>5</v>
      </c>
      <c r="L626" s="11">
        <v>0.12062</v>
      </c>
      <c r="M626" s="1"/>
      <c r="N626" s="1" t="s">
        <v>3</v>
      </c>
      <c r="P626" s="1" t="str">
        <f>CONCATENATE(Table_Query_from_AMULTIQRY45[[#This Row],[WWHS]],"-",Table_Query_from_AMULTIQRY45[[#This Row],[LLOC]])</f>
        <v>E1-FG</v>
      </c>
      <c r="Q626" s="10">
        <f t="shared" ca="1" si="19"/>
        <v>45775</v>
      </c>
      <c r="R626" s="10"/>
      <c r="S626" s="28">
        <v>147</v>
      </c>
      <c r="T626" s="1" t="s">
        <v>2</v>
      </c>
      <c r="U626" s="1" t="s">
        <v>673</v>
      </c>
      <c r="V626" s="1">
        <v>20240912</v>
      </c>
      <c r="W626" s="8" t="s">
        <v>8442</v>
      </c>
      <c r="Z626" s="1"/>
      <c r="AA626" s="1"/>
      <c r="AC626" s="1"/>
      <c r="AD626" s="1"/>
      <c r="AE626" s="1"/>
      <c r="AF626" s="1"/>
    </row>
    <row r="627" spans="2:32" ht="12.75" x14ac:dyDescent="0.2">
      <c r="B627" s="1" t="s">
        <v>9133</v>
      </c>
      <c r="C627" s="10">
        <f t="shared" ca="1" si="18"/>
        <v>45712</v>
      </c>
      <c r="D627" s="4"/>
      <c r="E627" s="4" t="s">
        <v>8434</v>
      </c>
      <c r="F627" s="4" t="s">
        <v>1293</v>
      </c>
      <c r="G627" s="4"/>
      <c r="H627" s="4" t="str">
        <f>_xlfn.IFNA(VLOOKUP(Table_Query_from_AMULTIQRY45[[#This Row],[WPROD]],'Part# with New'!$A$1:$B$4347,2,0),Table_Query_from_AMULTIQRY45[[#This Row],[WPROD]])</f>
        <v>WSMP102013018D-PRX10K</v>
      </c>
      <c r="I627" s="4" t="s">
        <v>8436</v>
      </c>
      <c r="J627" s="1" t="s">
        <v>5</v>
      </c>
      <c r="L627" s="11">
        <v>0.75868000000000002</v>
      </c>
      <c r="M627" s="1"/>
      <c r="N627" s="1" t="s">
        <v>18</v>
      </c>
      <c r="P627" s="1" t="str">
        <f>CONCATENATE(Table_Query_from_AMULTIQRY45[[#This Row],[WWHS]],"-",Table_Query_from_AMULTIQRY45[[#This Row],[LLOC]])</f>
        <v>E1-FG</v>
      </c>
      <c r="Q627" s="10">
        <f t="shared" ca="1" si="19"/>
        <v>45775</v>
      </c>
      <c r="R627" s="10"/>
      <c r="S627" s="28">
        <v>22</v>
      </c>
      <c r="T627" s="1" t="s">
        <v>2</v>
      </c>
      <c r="U627" s="1" t="s">
        <v>674</v>
      </c>
      <c r="V627" s="1">
        <v>20250224</v>
      </c>
      <c r="W627" s="8" t="s">
        <v>8442</v>
      </c>
      <c r="Z627" s="1"/>
      <c r="AA627" s="1"/>
      <c r="AC627" s="1"/>
      <c r="AD627" s="1"/>
      <c r="AE627" s="1"/>
      <c r="AF627" s="1"/>
    </row>
    <row r="628" spans="2:32" ht="12.75" x14ac:dyDescent="0.2">
      <c r="B628" s="1" t="s">
        <v>9134</v>
      </c>
      <c r="C628" s="10">
        <f t="shared" ca="1" si="18"/>
        <v>45342</v>
      </c>
      <c r="D628" s="4"/>
      <c r="E628" s="4" t="s">
        <v>8434</v>
      </c>
      <c r="F628" s="4" t="s">
        <v>1293</v>
      </c>
      <c r="G628" s="4"/>
      <c r="H628" s="4" t="str">
        <f>_xlfn.IFNA(VLOOKUP(Table_Query_from_AMULTIQRY45[[#This Row],[WPROD]],'Part# with New'!$A$1:$B$4347,2,0),Table_Query_from_AMULTIQRY45[[#This Row],[WPROD]])</f>
        <v>23382</v>
      </c>
      <c r="I628" s="4" t="s">
        <v>8436</v>
      </c>
      <c r="J628" s="1" t="s">
        <v>5</v>
      </c>
      <c r="L628" s="11">
        <v>0.21493000000000001</v>
      </c>
      <c r="M628" s="1"/>
      <c r="N628" s="1" t="s">
        <v>389</v>
      </c>
      <c r="P628" s="1" t="str">
        <f>CONCATENATE(Table_Query_from_AMULTIQRY45[[#This Row],[WWHS]],"-",Table_Query_from_AMULTIQRY45[[#This Row],[LLOC]])</f>
        <v>E1-FG</v>
      </c>
      <c r="Q628" s="10">
        <f t="shared" ca="1" si="19"/>
        <v>45775</v>
      </c>
      <c r="R628" s="10"/>
      <c r="S628" s="28">
        <v>366</v>
      </c>
      <c r="T628" s="1" t="s">
        <v>2</v>
      </c>
      <c r="U628" s="1" t="s">
        <v>675</v>
      </c>
      <c r="V628" s="1">
        <v>20240220</v>
      </c>
      <c r="W628" s="8" t="s">
        <v>8442</v>
      </c>
      <c r="Z628" s="1"/>
      <c r="AA628" s="1"/>
      <c r="AC628" s="1"/>
      <c r="AD628" s="1"/>
      <c r="AE628" s="1"/>
      <c r="AF628" s="1"/>
    </row>
    <row r="629" spans="2:32" ht="12.75" x14ac:dyDescent="0.2">
      <c r="B629" s="1" t="s">
        <v>9135</v>
      </c>
      <c r="C629" s="10">
        <f t="shared" ca="1" si="18"/>
        <v>41319</v>
      </c>
      <c r="D629" s="4"/>
      <c r="E629" s="4" t="s">
        <v>8434</v>
      </c>
      <c r="F629" s="4" t="s">
        <v>1293</v>
      </c>
      <c r="G629" s="4"/>
      <c r="H629" s="4" t="str">
        <f>_xlfn.IFNA(VLOOKUP(Table_Query_from_AMULTIQRY45[[#This Row],[WPROD]],'Part# with New'!$A$1:$B$4347,2,0),Table_Query_from_AMULTIQRY45[[#This Row],[WPROD]])</f>
        <v>WSNCV3MFX25PCG</v>
      </c>
      <c r="I629" s="4" t="s">
        <v>8436</v>
      </c>
      <c r="J629" s="1" t="s">
        <v>5</v>
      </c>
      <c r="L629" s="11">
        <v>8.3932800000000007</v>
      </c>
      <c r="M629" s="1"/>
      <c r="N629" s="1" t="s">
        <v>6</v>
      </c>
      <c r="P629" s="1" t="str">
        <f>CONCATENATE(Table_Query_from_AMULTIQRY45[[#This Row],[WWHS]],"-",Table_Query_from_AMULTIQRY45[[#This Row],[LLOC]])</f>
        <v>E1-FG</v>
      </c>
      <c r="Q629" s="10">
        <f t="shared" ca="1" si="19"/>
        <v>45775</v>
      </c>
      <c r="R629" s="10"/>
      <c r="S629" s="28">
        <v>38</v>
      </c>
      <c r="T629" s="1" t="s">
        <v>2</v>
      </c>
      <c r="U629" s="1" t="s">
        <v>676</v>
      </c>
      <c r="V629" s="1">
        <v>20130214</v>
      </c>
      <c r="W629" s="8" t="s">
        <v>8442</v>
      </c>
      <c r="Z629" s="1"/>
      <c r="AA629" s="1"/>
      <c r="AC629" s="1"/>
      <c r="AD629" s="1"/>
      <c r="AE629" s="1"/>
      <c r="AF629" s="1"/>
    </row>
    <row r="630" spans="2:32" ht="12.75" x14ac:dyDescent="0.2">
      <c r="B630" s="1" t="s">
        <v>9136</v>
      </c>
      <c r="C630" s="10">
        <f t="shared" ca="1" si="18"/>
        <v>45695</v>
      </c>
      <c r="D630" s="4"/>
      <c r="E630" s="4" t="s">
        <v>8434</v>
      </c>
      <c r="F630" s="4" t="s">
        <v>1293</v>
      </c>
      <c r="G630" s="4"/>
      <c r="H630" s="4" t="str">
        <f>_xlfn.IFNA(VLOOKUP(Table_Query_from_AMULTIQRY45[[#This Row],[WPROD]],'Part# with New'!$A$1:$B$4347,2,0),Table_Query_from_AMULTIQRY45[[#This Row],[WPROD]])</f>
        <v>WSMP030000006D-PXX00W</v>
      </c>
      <c r="I630" s="4" t="s">
        <v>8436</v>
      </c>
      <c r="J630" s="1" t="s">
        <v>5</v>
      </c>
      <c r="L630" s="11">
        <v>0.42081000000000002</v>
      </c>
      <c r="M630" s="1"/>
      <c r="N630" s="1" t="s">
        <v>18</v>
      </c>
      <c r="P630" s="1" t="str">
        <f>CONCATENATE(Table_Query_from_AMULTIQRY45[[#This Row],[WWHS]],"-",Table_Query_from_AMULTIQRY45[[#This Row],[LLOC]])</f>
        <v>E1-FG</v>
      </c>
      <c r="Q630" s="10">
        <f t="shared" ca="1" si="19"/>
        <v>45775</v>
      </c>
      <c r="R630" s="10"/>
      <c r="S630" s="28">
        <v>15</v>
      </c>
      <c r="T630" s="1" t="s">
        <v>2</v>
      </c>
      <c r="U630" s="1" t="s">
        <v>677</v>
      </c>
      <c r="V630" s="1">
        <v>20250207</v>
      </c>
      <c r="W630" s="8" t="s">
        <v>8442</v>
      </c>
      <c r="Z630" s="1"/>
      <c r="AA630" s="1"/>
      <c r="AC630" s="1"/>
      <c r="AD630" s="1"/>
      <c r="AE630" s="1"/>
      <c r="AF630" s="1"/>
    </row>
    <row r="631" spans="2:32" ht="12.75" x14ac:dyDescent="0.2">
      <c r="B631" s="1" t="s">
        <v>9137</v>
      </c>
      <c r="C631" s="10">
        <f t="shared" ca="1" si="18"/>
        <v>45660</v>
      </c>
      <c r="D631" s="4"/>
      <c r="E631" s="4" t="s">
        <v>8434</v>
      </c>
      <c r="F631" s="4" t="s">
        <v>1293</v>
      </c>
      <c r="G631" s="4"/>
      <c r="H631" s="4" t="str">
        <f>_xlfn.IFNA(VLOOKUP(Table_Query_from_AMULTIQRY45[[#This Row],[WPROD]],'Part# with New'!$A$1:$B$4347,2,0),Table_Query_from_AMULTIQRY45[[#This Row],[WPROD]])</f>
        <v>WSNC061044019D-PGM15K</v>
      </c>
      <c r="I631" s="4" t="s">
        <v>8436</v>
      </c>
      <c r="J631" s="1" t="s">
        <v>5</v>
      </c>
      <c r="L631" s="11">
        <v>0.42304999999999998</v>
      </c>
      <c r="M631" s="1"/>
      <c r="N631" s="1" t="s">
        <v>6</v>
      </c>
      <c r="P631" s="1" t="str">
        <f>CONCATENATE(Table_Query_from_AMULTIQRY45[[#This Row],[WWHS]],"-",Table_Query_from_AMULTIQRY45[[#This Row],[LLOC]])</f>
        <v>E1-FG</v>
      </c>
      <c r="Q631" s="10">
        <f t="shared" ca="1" si="19"/>
        <v>45775</v>
      </c>
      <c r="R631" s="10"/>
      <c r="S631" s="28">
        <v>221</v>
      </c>
      <c r="T631" s="1" t="s">
        <v>2</v>
      </c>
      <c r="U631" s="1" t="s">
        <v>678</v>
      </c>
      <c r="V631" s="1">
        <v>20250103</v>
      </c>
      <c r="W631" s="8" t="s">
        <v>8442</v>
      </c>
      <c r="Z631" s="1"/>
      <c r="AA631" s="1"/>
      <c r="AC631" s="1"/>
      <c r="AD631" s="1"/>
      <c r="AE631" s="1"/>
      <c r="AF631" s="1"/>
    </row>
    <row r="632" spans="2:32" ht="12.75" x14ac:dyDescent="0.2">
      <c r="B632" s="1" t="s">
        <v>9138</v>
      </c>
      <c r="C632" s="10">
        <f t="shared" ca="1" si="18"/>
        <v>45084</v>
      </c>
      <c r="D632" s="4"/>
      <c r="E632" s="4" t="s">
        <v>8434</v>
      </c>
      <c r="F632" s="4" t="s">
        <v>1293</v>
      </c>
      <c r="G632" s="4"/>
      <c r="H632" s="4" t="str">
        <f>_xlfn.IFNA(VLOOKUP(Table_Query_from_AMULTIQRY45[[#This Row],[WPROD]],'Part# with New'!$A$1:$B$4347,2,0),Table_Query_from_AMULTIQRY45[[#This Row],[WPROD]])</f>
        <v>WSMP800790017D-PMX05K</v>
      </c>
      <c r="I632" s="4" t="s">
        <v>8436</v>
      </c>
      <c r="J632" s="1" t="s">
        <v>5</v>
      </c>
      <c r="L632" s="11">
        <v>3.17902</v>
      </c>
      <c r="M632" s="1"/>
      <c r="N632" s="1" t="s">
        <v>18</v>
      </c>
      <c r="P632" s="1" t="str">
        <f>CONCATENATE(Table_Query_from_AMULTIQRY45[[#This Row],[WWHS]],"-",Table_Query_from_AMULTIQRY45[[#This Row],[LLOC]])</f>
        <v>E1-FG</v>
      </c>
      <c r="Q632" s="10">
        <f t="shared" ca="1" si="19"/>
        <v>45775</v>
      </c>
      <c r="R632" s="10"/>
      <c r="S632" s="28">
        <v>3</v>
      </c>
      <c r="T632" s="1" t="s">
        <v>2</v>
      </c>
      <c r="U632" s="1" t="s">
        <v>679</v>
      </c>
      <c r="V632" s="1">
        <v>20230607</v>
      </c>
      <c r="W632" s="8" t="s">
        <v>8442</v>
      </c>
      <c r="Z632" s="1"/>
      <c r="AA632" s="1"/>
      <c r="AC632" s="1"/>
      <c r="AD632" s="1"/>
      <c r="AE632" s="1"/>
      <c r="AF632" s="1"/>
    </row>
    <row r="633" spans="2:32" ht="12.75" x14ac:dyDescent="0.2">
      <c r="B633" s="1" t="s">
        <v>9139</v>
      </c>
      <c r="C633" s="10">
        <f t="shared" ca="1" si="18"/>
        <v>45617</v>
      </c>
      <c r="D633" s="4"/>
      <c r="E633" s="4" t="s">
        <v>8434</v>
      </c>
      <c r="F633" s="4" t="s">
        <v>1293</v>
      </c>
      <c r="G633" s="4"/>
      <c r="H633" s="4" t="str">
        <f>_xlfn.IFNA(VLOOKUP(Table_Query_from_AMULTIQRY45[[#This Row],[WPROD]],'Part# with New'!$A$1:$B$4347,2,0),Table_Query_from_AMULTIQRY45[[#This Row],[WPROD]])</f>
        <v>WSNC280219055D-PGM15K</v>
      </c>
      <c r="I633" s="4" t="s">
        <v>8436</v>
      </c>
      <c r="J633" s="1" t="s">
        <v>5</v>
      </c>
      <c r="L633" s="11">
        <v>2.55966</v>
      </c>
      <c r="M633" s="1"/>
      <c r="N633" s="1" t="s">
        <v>6</v>
      </c>
      <c r="P633" s="1" t="str">
        <f>CONCATENATE(Table_Query_from_AMULTIQRY45[[#This Row],[WWHS]],"-",Table_Query_from_AMULTIQRY45[[#This Row],[LLOC]])</f>
        <v>E1-FG</v>
      </c>
      <c r="Q633" s="10">
        <f t="shared" ca="1" si="19"/>
        <v>45775</v>
      </c>
      <c r="R633" s="10"/>
      <c r="S633" s="28">
        <v>165</v>
      </c>
      <c r="T633" s="1" t="s">
        <v>2</v>
      </c>
      <c r="U633" s="1" t="s">
        <v>680</v>
      </c>
      <c r="V633" s="1">
        <v>20241121</v>
      </c>
      <c r="W633" s="8" t="s">
        <v>8442</v>
      </c>
      <c r="Z633" s="1"/>
      <c r="AA633" s="1"/>
      <c r="AC633" s="1"/>
      <c r="AD633" s="1"/>
      <c r="AE633" s="1"/>
      <c r="AF633" s="1"/>
    </row>
    <row r="634" spans="2:32" ht="12.75" x14ac:dyDescent="0.2">
      <c r="B634" s="1" t="s">
        <v>9140</v>
      </c>
      <c r="C634" s="10">
        <f t="shared" ca="1" si="18"/>
        <v>45286</v>
      </c>
      <c r="D634" s="4"/>
      <c r="E634" s="4" t="s">
        <v>8434</v>
      </c>
      <c r="F634" s="4" t="s">
        <v>1293</v>
      </c>
      <c r="G634" s="4"/>
      <c r="H634" s="4" t="str">
        <f>_xlfn.IFNA(VLOOKUP(Table_Query_from_AMULTIQRY45[[#This Row],[WPROD]],'Part# with New'!$A$1:$B$4347,2,0),Table_Query_from_AMULTIQRY45[[#This Row],[WPROD]])</f>
        <v>WSMPS2G3030PMX</v>
      </c>
      <c r="I634" s="4" t="s">
        <v>8436</v>
      </c>
      <c r="J634" s="1" t="s">
        <v>5</v>
      </c>
      <c r="L634" s="11">
        <v>0.37685999999999997</v>
      </c>
      <c r="M634" s="1"/>
      <c r="N634" s="1" t="s">
        <v>18</v>
      </c>
      <c r="P634" s="1" t="str">
        <f>CONCATENATE(Table_Query_from_AMULTIQRY45[[#This Row],[WWHS]],"-",Table_Query_from_AMULTIQRY45[[#This Row],[LLOC]])</f>
        <v>E1-FG</v>
      </c>
      <c r="Q634" s="10">
        <f t="shared" ca="1" si="19"/>
        <v>45775</v>
      </c>
      <c r="R634" s="10"/>
      <c r="S634" s="28">
        <v>199</v>
      </c>
      <c r="T634" s="1" t="s">
        <v>2</v>
      </c>
      <c r="U634" s="1" t="s">
        <v>681</v>
      </c>
      <c r="V634" s="1">
        <v>20231226</v>
      </c>
      <c r="W634" s="8" t="s">
        <v>8442</v>
      </c>
      <c r="Z634" s="1"/>
      <c r="AA634" s="1"/>
      <c r="AC634" s="1"/>
      <c r="AD634" s="1"/>
      <c r="AE634" s="1"/>
      <c r="AF634" s="1"/>
    </row>
    <row r="635" spans="2:32" ht="12.75" x14ac:dyDescent="0.2">
      <c r="B635" s="1" t="s">
        <v>9141</v>
      </c>
      <c r="C635" s="10">
        <f t="shared" ca="1" si="18"/>
        <v>45708</v>
      </c>
      <c r="D635" s="4"/>
      <c r="E635" s="4" t="s">
        <v>8434</v>
      </c>
      <c r="F635" s="4" t="s">
        <v>1293</v>
      </c>
      <c r="G635" s="4"/>
      <c r="H635" s="4" t="str">
        <f>_xlfn.IFNA(VLOOKUP(Table_Query_from_AMULTIQRY45[[#This Row],[WPROD]],'Part# with New'!$A$1:$B$4347,2,0),Table_Query_from_AMULTIQRY45[[#This Row],[WPROD]])</f>
        <v>WSNC166146015D-PFX15K</v>
      </c>
      <c r="I635" s="4" t="s">
        <v>8436</v>
      </c>
      <c r="J635" s="1" t="s">
        <v>5</v>
      </c>
      <c r="L635" s="11">
        <v>0.32967999999999997</v>
      </c>
      <c r="M635" s="1"/>
      <c r="N635" s="1" t="s">
        <v>6</v>
      </c>
      <c r="P635" s="1" t="str">
        <f>CONCATENATE(Table_Query_from_AMULTIQRY45[[#This Row],[WWHS]],"-",Table_Query_from_AMULTIQRY45[[#This Row],[LLOC]])</f>
        <v>E1-FG</v>
      </c>
      <c r="Q635" s="10">
        <f t="shared" ca="1" si="19"/>
        <v>45775</v>
      </c>
      <c r="R635" s="10"/>
      <c r="S635" s="28">
        <v>53</v>
      </c>
      <c r="T635" s="1" t="s">
        <v>2</v>
      </c>
      <c r="U635" s="1" t="s">
        <v>682</v>
      </c>
      <c r="V635" s="1">
        <v>20250220</v>
      </c>
      <c r="W635" s="8" t="s">
        <v>8442</v>
      </c>
      <c r="Z635" s="1"/>
      <c r="AA635" s="1"/>
      <c r="AC635" s="1"/>
      <c r="AD635" s="1"/>
      <c r="AE635" s="1"/>
      <c r="AF635" s="1"/>
    </row>
    <row r="636" spans="2:32" ht="12.75" x14ac:dyDescent="0.2">
      <c r="B636" s="1" t="s">
        <v>9142</v>
      </c>
      <c r="C636" s="10">
        <f t="shared" ca="1" si="18"/>
        <v>45708</v>
      </c>
      <c r="D636" s="4"/>
      <c r="E636" s="4" t="s">
        <v>8434</v>
      </c>
      <c r="F636" s="4" t="s">
        <v>1293</v>
      </c>
      <c r="G636" s="4"/>
      <c r="H636" s="4" t="str">
        <f>_xlfn.IFNA(VLOOKUP(Table_Query_from_AMULTIQRY45[[#This Row],[WPROD]],'Part# with New'!$A$1:$B$4347,2,0),Table_Query_from_AMULTIQRY45[[#This Row],[WPROD]])</f>
        <v>WSNC191171015D-PFX15K</v>
      </c>
      <c r="I636" s="4" t="s">
        <v>8436</v>
      </c>
      <c r="J636" s="1" t="s">
        <v>5</v>
      </c>
      <c r="L636" s="11">
        <v>0.32052000000000003</v>
      </c>
      <c r="M636" s="1"/>
      <c r="N636" s="1" t="s">
        <v>6</v>
      </c>
      <c r="P636" s="1" t="str">
        <f>CONCATENATE(Table_Query_from_AMULTIQRY45[[#This Row],[WWHS]],"-",Table_Query_from_AMULTIQRY45[[#This Row],[LLOC]])</f>
        <v>E1-FG</v>
      </c>
      <c r="Q636" s="10">
        <f t="shared" ca="1" si="19"/>
        <v>45775</v>
      </c>
      <c r="R636" s="10"/>
      <c r="S636" s="28">
        <v>204</v>
      </c>
      <c r="T636" s="1" t="s">
        <v>2</v>
      </c>
      <c r="U636" s="1" t="s">
        <v>683</v>
      </c>
      <c r="V636" s="1">
        <v>20250220</v>
      </c>
      <c r="W636" s="8" t="s">
        <v>8442</v>
      </c>
      <c r="Z636" s="1"/>
      <c r="AA636" s="1"/>
      <c r="AC636" s="1"/>
      <c r="AD636" s="1"/>
      <c r="AE636" s="1"/>
      <c r="AF636" s="1"/>
    </row>
    <row r="637" spans="2:32" ht="12.75" x14ac:dyDescent="0.2">
      <c r="B637" s="1" t="s">
        <v>9143</v>
      </c>
      <c r="C637" s="10">
        <f t="shared" ca="1" si="18"/>
        <v>43564</v>
      </c>
      <c r="D637" s="4"/>
      <c r="E637" s="4" t="s">
        <v>8434</v>
      </c>
      <c r="F637" s="4" t="s">
        <v>1293</v>
      </c>
      <c r="G637" s="4"/>
      <c r="H637" s="4" t="str">
        <f>_xlfn.IFNA(VLOOKUP(Table_Query_from_AMULTIQRY45[[#This Row],[WPROD]],'Part# with New'!$A$1:$B$4347,2,0),Table_Query_from_AMULTIQRY45[[#This Row],[WPROD]])</f>
        <v>WFFL116225371Q-PGM15K</v>
      </c>
      <c r="I637" s="4" t="s">
        <v>8436</v>
      </c>
      <c r="J637" s="1" t="s">
        <v>5</v>
      </c>
      <c r="L637" s="11">
        <v>7.5679999999999997E-2</v>
      </c>
      <c r="M637" s="1"/>
      <c r="N637" s="1" t="s">
        <v>346</v>
      </c>
      <c r="P637" s="1" t="str">
        <f>CONCATENATE(Table_Query_from_AMULTIQRY45[[#This Row],[WWHS]],"-",Table_Query_from_AMULTIQRY45[[#This Row],[LLOC]])</f>
        <v>E1-FG</v>
      </c>
      <c r="Q637" s="10">
        <f t="shared" ca="1" si="19"/>
        <v>45775</v>
      </c>
      <c r="R637" s="10"/>
      <c r="S637" s="28">
        <v>1175</v>
      </c>
      <c r="T637" s="1" t="s">
        <v>2</v>
      </c>
      <c r="U637" s="1" t="s">
        <v>684</v>
      </c>
      <c r="V637" s="1">
        <v>20190409</v>
      </c>
      <c r="W637" s="8" t="s">
        <v>8442</v>
      </c>
      <c r="Z637" s="1"/>
      <c r="AA637" s="1"/>
      <c r="AC637" s="1"/>
      <c r="AD637" s="1"/>
      <c r="AE637" s="1"/>
      <c r="AF637" s="1"/>
    </row>
    <row r="638" spans="2:32" ht="12.75" x14ac:dyDescent="0.2">
      <c r="B638" s="1" t="s">
        <v>9144</v>
      </c>
      <c r="C638" s="10">
        <f t="shared" ca="1" si="18"/>
        <v>45553</v>
      </c>
      <c r="D638" s="4"/>
      <c r="E638" s="4" t="s">
        <v>8434</v>
      </c>
      <c r="F638" s="4" t="s">
        <v>1293</v>
      </c>
      <c r="G638" s="4"/>
      <c r="H638" s="4" t="str">
        <f>_xlfn.IFNA(VLOOKUP(Table_Query_from_AMULTIQRY45[[#This Row],[WPROD]],'Part# with New'!$A$1:$B$4347,2,0),Table_Query_from_AMULTIQRY45[[#This Row],[WPROD]])</f>
        <v>WPOS179162004D-PXX00W</v>
      </c>
      <c r="I638" s="4" t="s">
        <v>8436</v>
      </c>
      <c r="J638" s="1" t="s">
        <v>5</v>
      </c>
      <c r="L638" s="11">
        <v>0.28623999999999999</v>
      </c>
      <c r="M638" s="1"/>
      <c r="N638" s="1" t="s">
        <v>389</v>
      </c>
      <c r="P638" s="1" t="str">
        <f>CONCATENATE(Table_Query_from_AMULTIQRY45[[#This Row],[WWHS]],"-",Table_Query_from_AMULTIQRY45[[#This Row],[LLOC]])</f>
        <v>E1-FG</v>
      </c>
      <c r="Q638" s="10">
        <f t="shared" ca="1" si="19"/>
        <v>45775</v>
      </c>
      <c r="R638" s="10"/>
      <c r="S638" s="28">
        <v>355</v>
      </c>
      <c r="T638" s="1" t="s">
        <v>2</v>
      </c>
      <c r="U638" s="1" t="s">
        <v>685</v>
      </c>
      <c r="V638" s="1">
        <v>20240918</v>
      </c>
      <c r="W638" s="8" t="s">
        <v>8442</v>
      </c>
      <c r="Z638" s="1"/>
      <c r="AA638" s="1"/>
      <c r="AC638" s="1"/>
      <c r="AD638" s="1"/>
      <c r="AE638" s="1"/>
      <c r="AF638" s="1"/>
    </row>
    <row r="639" spans="2:32" ht="12.75" x14ac:dyDescent="0.2">
      <c r="B639" s="1" t="s">
        <v>9145</v>
      </c>
      <c r="C639" s="10">
        <f t="shared" ca="1" si="18"/>
        <v>45436</v>
      </c>
      <c r="D639" s="4"/>
      <c r="E639" s="4" t="s">
        <v>8434</v>
      </c>
      <c r="F639" s="4" t="s">
        <v>1293</v>
      </c>
      <c r="G639" s="4"/>
      <c r="H639" s="4" t="str">
        <f>_xlfn.IFNA(VLOOKUP(Table_Query_from_AMULTIQRY45[[#This Row],[WPROD]],'Part# with New'!$A$1:$B$4347,2,0),Table_Query_from_AMULTIQRY45[[#This Row],[WPROD]])</f>
        <v>WSMP061026070D-PXX00W</v>
      </c>
      <c r="I639" s="4" t="s">
        <v>8436</v>
      </c>
      <c r="J639" s="1" t="s">
        <v>5</v>
      </c>
      <c r="L639" s="11">
        <v>2.0752799999999998</v>
      </c>
      <c r="M639" s="1"/>
      <c r="N639" s="1" t="s">
        <v>18</v>
      </c>
      <c r="P639" s="1" t="str">
        <f>CONCATENATE(Table_Query_from_AMULTIQRY45[[#This Row],[WWHS]],"-",Table_Query_from_AMULTIQRY45[[#This Row],[LLOC]])</f>
        <v>E1-FG</v>
      </c>
      <c r="Q639" s="10">
        <f t="shared" ca="1" si="19"/>
        <v>45775</v>
      </c>
      <c r="R639" s="10"/>
      <c r="S639" s="28">
        <v>13</v>
      </c>
      <c r="T639" s="1" t="s">
        <v>2</v>
      </c>
      <c r="U639" s="1" t="s">
        <v>686</v>
      </c>
      <c r="V639" s="1">
        <v>20240524</v>
      </c>
      <c r="W639" s="8" t="s">
        <v>8442</v>
      </c>
      <c r="Z639" s="1"/>
      <c r="AA639" s="1"/>
      <c r="AC639" s="1"/>
      <c r="AD639" s="1"/>
      <c r="AE639" s="1"/>
      <c r="AF639" s="1"/>
    </row>
    <row r="640" spans="2:32" ht="12.75" x14ac:dyDescent="0.2">
      <c r="B640" s="1" t="s">
        <v>9146</v>
      </c>
      <c r="C640" s="10">
        <f t="shared" ca="1" si="18"/>
        <v>45770</v>
      </c>
      <c r="D640" s="4"/>
      <c r="E640" s="4" t="s">
        <v>8434</v>
      </c>
      <c r="F640" s="4" t="s">
        <v>1293</v>
      </c>
      <c r="G640" s="4"/>
      <c r="H640" s="4" t="str">
        <f>_xlfn.IFNA(VLOOKUP(Table_Query_from_AMULTIQRY45[[#This Row],[WPROD]],'Part# with New'!$A$1:$B$4347,2,0),Table_Query_from_AMULTIQRY45[[#This Row],[WPROD]])</f>
        <v>WPOT040027006D-PXX00W</v>
      </c>
      <c r="I640" s="4" t="s">
        <v>8436</v>
      </c>
      <c r="J640" s="1" t="s">
        <v>5</v>
      </c>
      <c r="L640" s="11">
        <v>6.9159999999999999E-2</v>
      </c>
      <c r="M640" s="1"/>
      <c r="N640" s="1" t="s">
        <v>3</v>
      </c>
      <c r="P640" s="1" t="str">
        <f>CONCATENATE(Table_Query_from_AMULTIQRY45[[#This Row],[WWHS]],"-",Table_Query_from_AMULTIQRY45[[#This Row],[LLOC]])</f>
        <v>E1-FG</v>
      </c>
      <c r="Q640" s="10">
        <f t="shared" ca="1" si="19"/>
        <v>45775</v>
      </c>
      <c r="R640" s="10"/>
      <c r="S640" s="28">
        <v>333</v>
      </c>
      <c r="T640" s="1" t="s">
        <v>2</v>
      </c>
      <c r="U640" s="1" t="s">
        <v>6220</v>
      </c>
      <c r="V640" s="1">
        <v>20250423</v>
      </c>
      <c r="W640" s="8" t="s">
        <v>8442</v>
      </c>
      <c r="Z640" s="1"/>
      <c r="AA640" s="1"/>
      <c r="AC640" s="1"/>
      <c r="AD640" s="1"/>
      <c r="AE640" s="1"/>
      <c r="AF640" s="1"/>
    </row>
    <row r="641" spans="2:32" ht="12.75" x14ac:dyDescent="0.2">
      <c r="B641" s="1" t="s">
        <v>9147</v>
      </c>
      <c r="C641" s="10">
        <f t="shared" ca="1" si="18"/>
        <v>45623</v>
      </c>
      <c r="D641" s="4"/>
      <c r="E641" s="4" t="s">
        <v>8434</v>
      </c>
      <c r="F641" s="4" t="s">
        <v>1293</v>
      </c>
      <c r="G641" s="4"/>
      <c r="H641" s="4" t="str">
        <f>_xlfn.IFNA(VLOOKUP(Table_Query_from_AMULTIQRY45[[#This Row],[WPROD]],'Part# with New'!$A$1:$B$4347,2,0),Table_Query_from_AMULTIQRY45[[#This Row],[WPROD]])</f>
        <v>WPOT082074010Q-PPM15K</v>
      </c>
      <c r="I641" s="4" t="s">
        <v>8436</v>
      </c>
      <c r="J641" s="1" t="s">
        <v>5</v>
      </c>
      <c r="L641" s="11">
        <v>0.11831</v>
      </c>
      <c r="M641" s="1"/>
      <c r="N641" s="1" t="s">
        <v>6</v>
      </c>
      <c r="P641" s="1" t="str">
        <f>CONCATENATE(Table_Query_from_AMULTIQRY45[[#This Row],[WWHS]],"-",Table_Query_from_AMULTIQRY45[[#This Row],[LLOC]])</f>
        <v>E1-FG</v>
      </c>
      <c r="Q641" s="10">
        <f t="shared" ca="1" si="19"/>
        <v>45775</v>
      </c>
      <c r="R641" s="10"/>
      <c r="S641" s="28">
        <v>860</v>
      </c>
      <c r="T641" s="1" t="s">
        <v>2</v>
      </c>
      <c r="U641" s="1" t="s">
        <v>687</v>
      </c>
      <c r="V641" s="1">
        <v>20241127</v>
      </c>
      <c r="W641" s="8" t="s">
        <v>8442</v>
      </c>
      <c r="Z641" s="1"/>
      <c r="AA641" s="1"/>
      <c r="AC641" s="1"/>
      <c r="AD641" s="1"/>
      <c r="AE641" s="1"/>
      <c r="AF641" s="1"/>
    </row>
    <row r="642" spans="2:32" ht="12.75" x14ac:dyDescent="0.2">
      <c r="B642" s="1" t="s">
        <v>9148</v>
      </c>
      <c r="C642" s="10">
        <f t="shared" ca="1" si="18"/>
        <v>45405</v>
      </c>
      <c r="D642" s="4"/>
      <c r="E642" s="4" t="s">
        <v>8434</v>
      </c>
      <c r="F642" s="4" t="s">
        <v>1293</v>
      </c>
      <c r="G642" s="4"/>
      <c r="H642" s="4" t="str">
        <f>_xlfn.IFNA(VLOOKUP(Table_Query_from_AMULTIQRY45[[#This Row],[WPROD]],'Part# with New'!$A$1:$B$4347,2,0),Table_Query_from_AMULTIQRY45[[#This Row],[WPROD]])</f>
        <v>WFFS088069113D-PXX00W</v>
      </c>
      <c r="I642" s="4" t="s">
        <v>8436</v>
      </c>
      <c r="J642" s="1" t="s">
        <v>5</v>
      </c>
      <c r="L642" s="11">
        <v>0.4824</v>
      </c>
      <c r="M642" s="1"/>
      <c r="N642" s="1" t="s">
        <v>357</v>
      </c>
      <c r="P642" s="1" t="str">
        <f>CONCATENATE(Table_Query_from_AMULTIQRY45[[#This Row],[WWHS]],"-",Table_Query_from_AMULTIQRY45[[#This Row],[LLOC]])</f>
        <v>E1-FG</v>
      </c>
      <c r="Q642" s="10">
        <f t="shared" ca="1" si="19"/>
        <v>45775</v>
      </c>
      <c r="R642" s="10"/>
      <c r="S642" s="28">
        <v>126</v>
      </c>
      <c r="T642" s="1" t="s">
        <v>2</v>
      </c>
      <c r="U642" s="1" t="s">
        <v>688</v>
      </c>
      <c r="V642" s="1">
        <v>20240423</v>
      </c>
      <c r="W642" s="8" t="s">
        <v>8442</v>
      </c>
      <c r="Z642" s="1"/>
      <c r="AA642" s="1"/>
      <c r="AC642" s="1"/>
      <c r="AD642" s="1"/>
      <c r="AE642" s="1"/>
      <c r="AF642" s="1"/>
    </row>
    <row r="643" spans="2:32" ht="12.75" x14ac:dyDescent="0.2">
      <c r="B643" s="1" t="s">
        <v>9149</v>
      </c>
      <c r="C643" s="10">
        <f t="shared" ca="1" si="18"/>
        <v>45545</v>
      </c>
      <c r="D643" s="4"/>
      <c r="E643" s="4" t="s">
        <v>8434</v>
      </c>
      <c r="F643" s="4" t="s">
        <v>1293</v>
      </c>
      <c r="G643" s="4"/>
      <c r="H643" s="4" t="str">
        <f>_xlfn.IFNA(VLOOKUP(Table_Query_from_AMULTIQRY45[[#This Row],[WPROD]],'Part# with New'!$A$1:$B$4347,2,0),Table_Query_from_AMULTIQRY45[[#This Row],[WPROD]])</f>
        <v>WPOT087072004D-PGX15W</v>
      </c>
      <c r="I643" s="4" t="s">
        <v>8436</v>
      </c>
      <c r="J643" s="1" t="s">
        <v>5</v>
      </c>
      <c r="L643" s="11">
        <v>6.4130000000000006E-2</v>
      </c>
      <c r="M643" s="1"/>
      <c r="N643" s="1" t="s">
        <v>3</v>
      </c>
      <c r="P643" s="1" t="str">
        <f>CONCATENATE(Table_Query_from_AMULTIQRY45[[#This Row],[WWHS]],"-",Table_Query_from_AMULTIQRY45[[#This Row],[LLOC]])</f>
        <v>E1-FG</v>
      </c>
      <c r="Q643" s="10">
        <f t="shared" ca="1" si="19"/>
        <v>45775</v>
      </c>
      <c r="R643" s="10"/>
      <c r="S643" s="28">
        <v>350</v>
      </c>
      <c r="T643" s="1" t="s">
        <v>2</v>
      </c>
      <c r="U643" s="1" t="s">
        <v>689</v>
      </c>
      <c r="V643" s="1">
        <v>20240910</v>
      </c>
      <c r="W643" s="8" t="s">
        <v>8442</v>
      </c>
      <c r="Z643" s="1"/>
      <c r="AA643" s="1"/>
      <c r="AC643" s="1"/>
      <c r="AD643" s="1"/>
      <c r="AE643" s="1"/>
      <c r="AF643" s="1"/>
    </row>
    <row r="644" spans="2:32" ht="12.75" x14ac:dyDescent="0.2">
      <c r="B644" s="1" t="s">
        <v>9150</v>
      </c>
      <c r="C644" s="10">
        <f t="shared" ca="1" si="18"/>
        <v>41705</v>
      </c>
      <c r="D644" s="4"/>
      <c r="E644" s="4" t="s">
        <v>8434</v>
      </c>
      <c r="F644" s="4" t="s">
        <v>1293</v>
      </c>
      <c r="G644" s="4"/>
      <c r="H644" s="4" t="str">
        <f>_xlfn.IFNA(VLOOKUP(Table_Query_from_AMULTIQRY45[[#This Row],[WPROD]],'Part# with New'!$A$1:$B$4347,2,0),Table_Query_from_AMULTIQRY45[[#This Row],[WPROD]])</f>
        <v>WPSS118163006D-PYX07W</v>
      </c>
      <c r="I644" s="4" t="s">
        <v>8436</v>
      </c>
      <c r="J644" s="1" t="s">
        <v>5</v>
      </c>
      <c r="L644" s="11">
        <v>0.15168000000000001</v>
      </c>
      <c r="M644" s="1"/>
      <c r="N644" s="1" t="s">
        <v>560</v>
      </c>
      <c r="P644" s="1" t="str">
        <f>CONCATENATE(Table_Query_from_AMULTIQRY45[[#This Row],[WWHS]],"-",Table_Query_from_AMULTIQRY45[[#This Row],[LLOC]])</f>
        <v>E1-FG</v>
      </c>
      <c r="Q644" s="10">
        <f t="shared" ca="1" si="19"/>
        <v>45775</v>
      </c>
      <c r="R644" s="10"/>
      <c r="S644" s="28">
        <v>40</v>
      </c>
      <c r="T644" s="1" t="s">
        <v>2</v>
      </c>
      <c r="U644" s="1" t="s">
        <v>690</v>
      </c>
      <c r="V644" s="1">
        <v>20140307</v>
      </c>
      <c r="W644" s="8" t="s">
        <v>8442</v>
      </c>
      <c r="Z644" s="1"/>
      <c r="AA644" s="1"/>
      <c r="AC644" s="1"/>
      <c r="AD644" s="1"/>
      <c r="AE644" s="1"/>
      <c r="AF644" s="1"/>
    </row>
    <row r="645" spans="2:32" ht="12.75" x14ac:dyDescent="0.2">
      <c r="B645" s="1" t="s">
        <v>9151</v>
      </c>
      <c r="C645" s="10">
        <f t="shared" ca="1" si="18"/>
        <v>45126</v>
      </c>
      <c r="D645" s="4"/>
      <c r="E645" s="4" t="s">
        <v>8434</v>
      </c>
      <c r="F645" s="4" t="s">
        <v>1293</v>
      </c>
      <c r="G645" s="4"/>
      <c r="H645" s="4" t="str">
        <f>_xlfn.IFNA(VLOOKUP(Table_Query_from_AMULTIQRY45[[#This Row],[WPROD]],'Part# with New'!$A$1:$B$4347,2,0),Table_Query_from_AMULTIQRY45[[#This Row],[WPROD]])</f>
        <v>WSNC061052210D-PZX40N</v>
      </c>
      <c r="I645" s="4" t="s">
        <v>8436</v>
      </c>
      <c r="J645" s="1" t="s">
        <v>5</v>
      </c>
      <c r="L645" s="11">
        <v>0.19514000000000001</v>
      </c>
      <c r="M645" s="1"/>
      <c r="N645" s="1" t="s">
        <v>6</v>
      </c>
      <c r="P645" s="1" t="str">
        <f>CONCATENATE(Table_Query_from_AMULTIQRY45[[#This Row],[WWHS]],"-",Table_Query_from_AMULTIQRY45[[#This Row],[LLOC]])</f>
        <v>E1-FG</v>
      </c>
      <c r="Q645" s="10">
        <f t="shared" ca="1" si="19"/>
        <v>45775</v>
      </c>
      <c r="R645" s="10"/>
      <c r="S645" s="28">
        <v>1448</v>
      </c>
      <c r="T645" s="1" t="s">
        <v>2</v>
      </c>
      <c r="U645" s="1" t="s">
        <v>691</v>
      </c>
      <c r="V645" s="1">
        <v>20230719</v>
      </c>
      <c r="W645" s="8" t="s">
        <v>8442</v>
      </c>
      <c r="Z645" s="1"/>
      <c r="AA645" s="1"/>
      <c r="AC645" s="1"/>
      <c r="AD645" s="1"/>
      <c r="AE645" s="1"/>
      <c r="AF645" s="1"/>
    </row>
    <row r="646" spans="2:32" ht="12.75" x14ac:dyDescent="0.2">
      <c r="B646" s="1" t="s">
        <v>9152</v>
      </c>
      <c r="C646" s="10">
        <f t="shared" ca="1" si="18"/>
        <v>43777</v>
      </c>
      <c r="D646" s="4"/>
      <c r="E646" s="4" t="s">
        <v>8434</v>
      </c>
      <c r="F646" s="4" t="s">
        <v>1293</v>
      </c>
      <c r="G646" s="4"/>
      <c r="H646" s="4" t="str">
        <f>_xlfn.IFNA(VLOOKUP(Table_Query_from_AMULTIQRY45[[#This Row],[WPROD]],'Part# with New'!$A$1:$B$4347,2,0),Table_Query_from_AMULTIQRY45[[#This Row],[WPROD]])</f>
        <v>WPOT307294025D-PGX25W</v>
      </c>
      <c r="I646" s="4" t="s">
        <v>8436</v>
      </c>
      <c r="J646" s="1" t="s">
        <v>5</v>
      </c>
      <c r="L646" s="11">
        <v>1.2909299999999999</v>
      </c>
      <c r="M646" s="1"/>
      <c r="N646" s="1" t="s">
        <v>3</v>
      </c>
      <c r="P646" s="1" t="str">
        <f>CONCATENATE(Table_Query_from_AMULTIQRY45[[#This Row],[WWHS]],"-",Table_Query_from_AMULTIQRY45[[#This Row],[LLOC]])</f>
        <v>E1-FG</v>
      </c>
      <c r="Q646" s="10">
        <f t="shared" ca="1" si="19"/>
        <v>45775</v>
      </c>
      <c r="R646" s="10"/>
      <c r="S646" s="28">
        <v>51</v>
      </c>
      <c r="T646" s="1" t="s">
        <v>2</v>
      </c>
      <c r="U646" s="1" t="s">
        <v>692</v>
      </c>
      <c r="V646" s="1">
        <v>20191108</v>
      </c>
      <c r="W646" s="8" t="s">
        <v>8442</v>
      </c>
      <c r="Z646" s="1"/>
      <c r="AA646" s="1"/>
      <c r="AC646" s="1"/>
      <c r="AD646" s="1"/>
      <c r="AE646" s="1"/>
      <c r="AF646" s="1"/>
    </row>
    <row r="647" spans="2:32" ht="12.75" x14ac:dyDescent="0.2">
      <c r="B647" s="1" t="s">
        <v>9153</v>
      </c>
      <c r="C647" s="10">
        <f t="shared" ref="C647:C710" ca="1" si="20">IFERROR(DATE(LEFT($V647,4),MID($V647,5,2),RIGHT($V647,2)),TODAY())</f>
        <v>44151</v>
      </c>
      <c r="D647" s="4"/>
      <c r="E647" s="4" t="s">
        <v>8434</v>
      </c>
      <c r="F647" s="4" t="s">
        <v>1293</v>
      </c>
      <c r="G647" s="4"/>
      <c r="H647" s="4" t="str">
        <f>_xlfn.IFNA(VLOOKUP(Table_Query_from_AMULTIQRY45[[#This Row],[WPROD]],'Part# with New'!$A$1:$B$4347,2,0),Table_Query_from_AMULTIQRY45[[#This Row],[WPROD]])</f>
        <v>WFFB187150017Q-PCG10K</v>
      </c>
      <c r="I647" s="4" t="s">
        <v>8436</v>
      </c>
      <c r="J647" s="1" t="s">
        <v>5</v>
      </c>
      <c r="L647" s="11">
        <v>0.26040999999999997</v>
      </c>
      <c r="M647" s="1"/>
      <c r="N647" s="1" t="s">
        <v>348</v>
      </c>
      <c r="P647" s="1" t="str">
        <f>CONCATENATE(Table_Query_from_AMULTIQRY45[[#This Row],[WWHS]],"-",Table_Query_from_AMULTIQRY45[[#This Row],[LLOC]])</f>
        <v>E1-FG</v>
      </c>
      <c r="Q647" s="10">
        <f t="shared" ref="Q647:Q710" ca="1" si="21">+TODAY()</f>
        <v>45775</v>
      </c>
      <c r="R647" s="10"/>
      <c r="S647" s="28">
        <v>76</v>
      </c>
      <c r="T647" s="1" t="s">
        <v>2</v>
      </c>
      <c r="U647" s="1" t="s">
        <v>693</v>
      </c>
      <c r="V647" s="1">
        <v>20201116</v>
      </c>
      <c r="W647" s="8" t="s">
        <v>8442</v>
      </c>
      <c r="Z647" s="1"/>
      <c r="AA647" s="1"/>
      <c r="AC647" s="1"/>
      <c r="AD647" s="1"/>
      <c r="AE647" s="1"/>
      <c r="AF647" s="1"/>
    </row>
    <row r="648" spans="2:32" ht="12.75" x14ac:dyDescent="0.2">
      <c r="B648" s="1" t="s">
        <v>9154</v>
      </c>
      <c r="C648" s="10">
        <f t="shared" ca="1" si="20"/>
        <v>44629</v>
      </c>
      <c r="D648" s="4"/>
      <c r="E648" s="4" t="s">
        <v>8434</v>
      </c>
      <c r="F648" s="4" t="s">
        <v>1293</v>
      </c>
      <c r="G648" s="4"/>
      <c r="H648" s="4" t="str">
        <f>_xlfn.IFNA(VLOOKUP(Table_Query_from_AMULTIQRY45[[#This Row],[WPROD]],'Part# with New'!$A$1:$B$4347,2,0),Table_Query_from_AMULTIQRY45[[#This Row],[WPROD]])</f>
        <v>WFFH297251023Q-PCG10K</v>
      </c>
      <c r="I648" s="4" t="s">
        <v>8436</v>
      </c>
      <c r="J648" s="1" t="s">
        <v>5</v>
      </c>
      <c r="L648" s="11">
        <v>0.54473000000000005</v>
      </c>
      <c r="M648" s="1"/>
      <c r="N648" s="1" t="s">
        <v>15</v>
      </c>
      <c r="P648" s="1" t="str">
        <f>CONCATENATE(Table_Query_from_AMULTIQRY45[[#This Row],[WWHS]],"-",Table_Query_from_AMULTIQRY45[[#This Row],[LLOC]])</f>
        <v>E1-FG</v>
      </c>
      <c r="Q648" s="10">
        <f t="shared" ca="1" si="21"/>
        <v>45775</v>
      </c>
      <c r="R648" s="10"/>
      <c r="S648" s="28">
        <v>130</v>
      </c>
      <c r="T648" s="1" t="s">
        <v>2</v>
      </c>
      <c r="U648" s="1" t="s">
        <v>694</v>
      </c>
      <c r="V648" s="1">
        <v>20220309</v>
      </c>
      <c r="W648" s="8" t="s">
        <v>8442</v>
      </c>
      <c r="Z648" s="1"/>
      <c r="AA648" s="1"/>
      <c r="AC648" s="1"/>
      <c r="AD648" s="1"/>
      <c r="AE648" s="1"/>
      <c r="AF648" s="1"/>
    </row>
    <row r="649" spans="2:32" ht="12.75" x14ac:dyDescent="0.2">
      <c r="B649" s="1" t="s">
        <v>9155</v>
      </c>
      <c r="C649" s="10">
        <f t="shared" ca="1" si="20"/>
        <v>45448</v>
      </c>
      <c r="D649" s="4"/>
      <c r="E649" s="4" t="s">
        <v>8434</v>
      </c>
      <c r="F649" s="4" t="s">
        <v>1293</v>
      </c>
      <c r="G649" s="4"/>
      <c r="H649" s="4" t="str">
        <f>_xlfn.IFNA(VLOOKUP(Table_Query_from_AMULTIQRY45[[#This Row],[WPROD]],'Part# with New'!$A$1:$B$4347,2,0),Table_Query_from_AMULTIQRY45[[#This Row],[WPROD]])</f>
        <v>WFFH355301027Q-PCG10K</v>
      </c>
      <c r="I649" s="4" t="s">
        <v>8436</v>
      </c>
      <c r="J649" s="1" t="s">
        <v>5</v>
      </c>
      <c r="L649" s="11">
        <v>0.83115000000000006</v>
      </c>
      <c r="M649" s="1"/>
      <c r="N649" s="1" t="s">
        <v>15</v>
      </c>
      <c r="P649" s="1" t="str">
        <f>CONCATENATE(Table_Query_from_AMULTIQRY45[[#This Row],[WWHS]],"-",Table_Query_from_AMULTIQRY45[[#This Row],[LLOC]])</f>
        <v>E1-FG</v>
      </c>
      <c r="Q649" s="10">
        <f t="shared" ca="1" si="21"/>
        <v>45775</v>
      </c>
      <c r="R649" s="10"/>
      <c r="S649" s="28">
        <v>110</v>
      </c>
      <c r="T649" s="1" t="s">
        <v>2</v>
      </c>
      <c r="U649" s="1" t="s">
        <v>695</v>
      </c>
      <c r="V649" s="1">
        <v>20240605</v>
      </c>
      <c r="W649" s="8" t="s">
        <v>8442</v>
      </c>
      <c r="Z649" s="1"/>
      <c r="AA649" s="1"/>
      <c r="AC649" s="1"/>
      <c r="AD649" s="1"/>
      <c r="AE649" s="1"/>
      <c r="AF649" s="1"/>
    </row>
    <row r="650" spans="2:32" ht="12.75" x14ac:dyDescent="0.2">
      <c r="B650" s="1" t="s">
        <v>9156</v>
      </c>
      <c r="C650" s="10">
        <f t="shared" ca="1" si="20"/>
        <v>45653</v>
      </c>
      <c r="D650" s="4"/>
      <c r="E650" s="4" t="s">
        <v>8434</v>
      </c>
      <c r="F650" s="4" t="s">
        <v>1293</v>
      </c>
      <c r="G650" s="4"/>
      <c r="H650" s="4" t="str">
        <f>_xlfn.IFNA(VLOOKUP(Table_Query_from_AMULTIQRY45[[#This Row],[WPROD]],'Part# with New'!$A$1:$B$4347,2,0),Table_Query_from_AMULTIQRY45[[#This Row],[WPROD]])</f>
        <v>WSNC485475017D-PXX00W</v>
      </c>
      <c r="I650" s="4" t="s">
        <v>8436</v>
      </c>
      <c r="J650" s="1" t="s">
        <v>5</v>
      </c>
      <c r="L650" s="11">
        <v>0.95091999999999999</v>
      </c>
      <c r="M650" s="1"/>
      <c r="N650" s="1" t="s">
        <v>6</v>
      </c>
      <c r="P650" s="1" t="str">
        <f>CONCATENATE(Table_Query_from_AMULTIQRY45[[#This Row],[WWHS]],"-",Table_Query_from_AMULTIQRY45[[#This Row],[LLOC]])</f>
        <v>E1-FG</v>
      </c>
      <c r="Q650" s="10">
        <f t="shared" ca="1" si="21"/>
        <v>45775</v>
      </c>
      <c r="R650" s="10"/>
      <c r="S650" s="28">
        <v>43</v>
      </c>
      <c r="T650" s="1" t="s">
        <v>2</v>
      </c>
      <c r="U650" s="1" t="s">
        <v>696</v>
      </c>
      <c r="V650" s="1">
        <v>20241227</v>
      </c>
      <c r="W650" s="8" t="s">
        <v>8442</v>
      </c>
      <c r="Z650" s="1"/>
      <c r="AA650" s="1"/>
      <c r="AC650" s="1"/>
      <c r="AD650" s="1"/>
      <c r="AE650" s="1"/>
      <c r="AF650" s="1"/>
    </row>
    <row r="651" spans="2:32" ht="12.75" x14ac:dyDescent="0.2">
      <c r="B651" s="1" t="s">
        <v>9157</v>
      </c>
      <c r="C651" s="10">
        <f t="shared" ca="1" si="20"/>
        <v>44841</v>
      </c>
      <c r="D651" s="4"/>
      <c r="E651" s="4" t="s">
        <v>8434</v>
      </c>
      <c r="F651" s="4" t="s">
        <v>1293</v>
      </c>
      <c r="G651" s="4"/>
      <c r="H651" s="4" t="str">
        <f>_xlfn.IFNA(VLOOKUP(Table_Query_from_AMULTIQRY45[[#This Row],[WPROD]],'Part# with New'!$A$1:$B$4347,2,0),Table_Query_from_AMULTIQRY45[[#This Row],[WPROD]])</f>
        <v>WFFB101089015Q-PGX25K</v>
      </c>
      <c r="I651" s="4" t="s">
        <v>8436</v>
      </c>
      <c r="J651" s="1" t="s">
        <v>5</v>
      </c>
      <c r="L651" s="11">
        <v>0.11398999999999999</v>
      </c>
      <c r="M651" s="1"/>
      <c r="N651" s="1" t="s">
        <v>348</v>
      </c>
      <c r="P651" s="1" t="str">
        <f>CONCATENATE(Table_Query_from_AMULTIQRY45[[#This Row],[WWHS]],"-",Table_Query_from_AMULTIQRY45[[#This Row],[LLOC]])</f>
        <v>E1-FG</v>
      </c>
      <c r="Q651" s="10">
        <f t="shared" ca="1" si="21"/>
        <v>45775</v>
      </c>
      <c r="R651" s="10"/>
      <c r="S651" s="28">
        <v>20530</v>
      </c>
      <c r="T651" s="1" t="s">
        <v>2</v>
      </c>
      <c r="U651" s="1" t="s">
        <v>697</v>
      </c>
      <c r="V651" s="1">
        <v>20221007</v>
      </c>
      <c r="W651" s="8" t="s">
        <v>8442</v>
      </c>
      <c r="Z651" s="1"/>
      <c r="AA651" s="1"/>
      <c r="AC651" s="1"/>
      <c r="AD651" s="1"/>
      <c r="AE651" s="1"/>
      <c r="AF651" s="1"/>
    </row>
    <row r="652" spans="2:32" ht="12.75" x14ac:dyDescent="0.2">
      <c r="B652" s="1" t="s">
        <v>9158</v>
      </c>
      <c r="C652" s="10">
        <f t="shared" ca="1" si="20"/>
        <v>45106</v>
      </c>
      <c r="D652" s="4"/>
      <c r="E652" s="4" t="s">
        <v>8434</v>
      </c>
      <c r="F652" s="4" t="s">
        <v>1293</v>
      </c>
      <c r="G652" s="4"/>
      <c r="H652" s="4" t="str">
        <f>_xlfn.IFNA(VLOOKUP(Table_Query_from_AMULTIQRY45[[#This Row],[WPROD]],'Part# with New'!$A$1:$B$4347,2,0),Table_Query_from_AMULTIQRY45[[#This Row],[WPROD]])</f>
        <v>WFFB111099015Q-PGX25W</v>
      </c>
      <c r="I652" s="4" t="s">
        <v>8436</v>
      </c>
      <c r="J652" s="1" t="s">
        <v>5</v>
      </c>
      <c r="L652" s="11">
        <v>0.11196</v>
      </c>
      <c r="M652" s="1"/>
      <c r="N652" s="1" t="s">
        <v>348</v>
      </c>
      <c r="P652" s="1" t="str">
        <f>CONCATENATE(Table_Query_from_AMULTIQRY45[[#This Row],[WWHS]],"-",Table_Query_from_AMULTIQRY45[[#This Row],[LLOC]])</f>
        <v>E1-FG</v>
      </c>
      <c r="Q652" s="10">
        <f t="shared" ca="1" si="21"/>
        <v>45775</v>
      </c>
      <c r="R652" s="10"/>
      <c r="S652" s="28">
        <v>34189</v>
      </c>
      <c r="T652" s="1" t="s">
        <v>2</v>
      </c>
      <c r="U652" s="1" t="s">
        <v>698</v>
      </c>
      <c r="V652" s="1">
        <v>20230629</v>
      </c>
      <c r="W652" s="8" t="s">
        <v>8442</v>
      </c>
      <c r="Z652" s="1"/>
      <c r="AA652" s="1"/>
      <c r="AC652" s="1"/>
      <c r="AD652" s="1"/>
      <c r="AE652" s="1"/>
      <c r="AF652" s="1"/>
    </row>
    <row r="653" spans="2:32" ht="12.75" x14ac:dyDescent="0.2">
      <c r="B653" s="1" t="s">
        <v>9159</v>
      </c>
      <c r="C653" s="10">
        <f t="shared" ca="1" si="20"/>
        <v>45681</v>
      </c>
      <c r="D653" s="4"/>
      <c r="E653" s="4" t="s">
        <v>8434</v>
      </c>
      <c r="F653" s="4" t="s">
        <v>1293</v>
      </c>
      <c r="G653" s="4"/>
      <c r="H653" s="4" t="str">
        <f>_xlfn.IFNA(VLOOKUP(Table_Query_from_AMULTIQRY45[[#This Row],[WPROD]],'Part# with New'!$A$1:$B$4347,2,0),Table_Query_from_AMULTIQRY45[[#This Row],[WPROD]])</f>
        <v>WSNC111092013D-PMX05K</v>
      </c>
      <c r="I653" s="4" t="s">
        <v>8436</v>
      </c>
      <c r="J653" s="1" t="s">
        <v>5</v>
      </c>
      <c r="L653" s="11">
        <v>0.28998000000000002</v>
      </c>
      <c r="M653" s="1"/>
      <c r="N653" s="1" t="s">
        <v>6</v>
      </c>
      <c r="P653" s="1" t="str">
        <f>CONCATENATE(Table_Query_from_AMULTIQRY45[[#This Row],[WWHS]],"-",Table_Query_from_AMULTIQRY45[[#This Row],[LLOC]])</f>
        <v>E1-FG</v>
      </c>
      <c r="Q653" s="10">
        <f t="shared" ca="1" si="21"/>
        <v>45775</v>
      </c>
      <c r="R653" s="10"/>
      <c r="S653" s="28">
        <v>83</v>
      </c>
      <c r="T653" s="1" t="s">
        <v>2</v>
      </c>
      <c r="U653" s="1" t="s">
        <v>699</v>
      </c>
      <c r="V653" s="1">
        <v>20250124</v>
      </c>
      <c r="W653" s="8" t="s">
        <v>8442</v>
      </c>
      <c r="Z653" s="1"/>
      <c r="AA653" s="1"/>
      <c r="AC653" s="1"/>
      <c r="AD653" s="1"/>
      <c r="AE653" s="1"/>
      <c r="AF653" s="1"/>
    </row>
    <row r="654" spans="2:32" ht="12.75" x14ac:dyDescent="0.2">
      <c r="B654" s="1" t="s">
        <v>9160</v>
      </c>
      <c r="C654" s="10">
        <f t="shared" ca="1" si="20"/>
        <v>45286</v>
      </c>
      <c r="D654" s="4"/>
      <c r="E654" s="4" t="s">
        <v>8434</v>
      </c>
      <c r="F654" s="4" t="s">
        <v>1293</v>
      </c>
      <c r="G654" s="4"/>
      <c r="H654" s="4" t="str">
        <f>_xlfn.IFNA(VLOOKUP(Table_Query_from_AMULTIQRY45[[#This Row],[WPROD]],'Part# with New'!$A$1:$B$4347,2,0),Table_Query_from_AMULTIQRY45[[#This Row],[WPROD]])</f>
        <v>WSMP092067012S-PGM05K</v>
      </c>
      <c r="I654" s="4" t="s">
        <v>8436</v>
      </c>
      <c r="J654" s="1" t="s">
        <v>5</v>
      </c>
      <c r="L654" s="11">
        <v>0.29607</v>
      </c>
      <c r="M654" s="1"/>
      <c r="N654" s="1" t="s">
        <v>18</v>
      </c>
      <c r="P654" s="1" t="str">
        <f>CONCATENATE(Table_Query_from_AMULTIQRY45[[#This Row],[WWHS]],"-",Table_Query_from_AMULTIQRY45[[#This Row],[LLOC]])</f>
        <v>E1-FG</v>
      </c>
      <c r="Q654" s="10">
        <f t="shared" ca="1" si="21"/>
        <v>45775</v>
      </c>
      <c r="R654" s="10"/>
      <c r="S654" s="28">
        <v>174</v>
      </c>
      <c r="T654" s="1" t="s">
        <v>2</v>
      </c>
      <c r="U654" s="1" t="s">
        <v>700</v>
      </c>
      <c r="V654" s="1">
        <v>20231226</v>
      </c>
      <c r="W654" s="8" t="s">
        <v>8442</v>
      </c>
      <c r="Z654" s="1"/>
      <c r="AA654" s="1"/>
      <c r="AC654" s="1"/>
      <c r="AD654" s="1"/>
      <c r="AE654" s="1"/>
      <c r="AF654" s="1"/>
    </row>
    <row r="655" spans="2:32" ht="12.75" x14ac:dyDescent="0.2">
      <c r="B655" s="1" t="s">
        <v>9161</v>
      </c>
      <c r="C655" s="10">
        <f t="shared" ca="1" si="20"/>
        <v>44602</v>
      </c>
      <c r="D655" s="4"/>
      <c r="E655" s="4" t="s">
        <v>8434</v>
      </c>
      <c r="F655" s="4" t="s">
        <v>1293</v>
      </c>
      <c r="G655" s="4"/>
      <c r="H655" s="4" t="str">
        <f>_xlfn.IFNA(VLOOKUP(Table_Query_from_AMULTIQRY45[[#This Row],[WPROD]],'Part# with New'!$A$1:$B$4347,2,0),Table_Query_from_AMULTIQRY45[[#This Row],[WPROD]])</f>
        <v>WPOT161145007D-PZF30N</v>
      </c>
      <c r="I655" s="4" t="s">
        <v>8436</v>
      </c>
      <c r="J655" s="1" t="s">
        <v>5</v>
      </c>
      <c r="L655" s="11">
        <v>0.14557</v>
      </c>
      <c r="M655" s="1"/>
      <c r="N655" s="1" t="s">
        <v>3</v>
      </c>
      <c r="P655" s="1" t="str">
        <f>CONCATENATE(Table_Query_from_AMULTIQRY45[[#This Row],[WWHS]],"-",Table_Query_from_AMULTIQRY45[[#This Row],[LLOC]])</f>
        <v>E1-FG</v>
      </c>
      <c r="Q655" s="10">
        <f t="shared" ca="1" si="21"/>
        <v>45775</v>
      </c>
      <c r="R655" s="10"/>
      <c r="S655" s="28">
        <v>278</v>
      </c>
      <c r="T655" s="1" t="s">
        <v>2</v>
      </c>
      <c r="U655" s="1" t="s">
        <v>701</v>
      </c>
      <c r="V655" s="1">
        <v>20220210</v>
      </c>
      <c r="W655" s="8" t="s">
        <v>8442</v>
      </c>
      <c r="Z655" s="1"/>
      <c r="AA655" s="1"/>
      <c r="AC655" s="1"/>
      <c r="AD655" s="1"/>
      <c r="AE655" s="1"/>
      <c r="AF655" s="1"/>
    </row>
    <row r="656" spans="2:32" ht="12.75" x14ac:dyDescent="0.2">
      <c r="B656" s="1" t="s">
        <v>9162</v>
      </c>
      <c r="C656" s="10">
        <f t="shared" ca="1" si="20"/>
        <v>45250</v>
      </c>
      <c r="D656" s="4"/>
      <c r="E656" s="4" t="s">
        <v>8434</v>
      </c>
      <c r="F656" s="4" t="s">
        <v>1293</v>
      </c>
      <c r="G656" s="4"/>
      <c r="H656" s="4" t="str">
        <f>_xlfn.IFNA(VLOOKUP(Table_Query_from_AMULTIQRY45[[#This Row],[WPROD]],'Part# with New'!$A$1:$B$4347,2,0),Table_Query_from_AMULTIQRY45[[#This Row],[WPROD]])</f>
        <v>WSMP157143013Z-PAR10K</v>
      </c>
      <c r="I656" s="4" t="s">
        <v>8436</v>
      </c>
      <c r="J656" s="1" t="s">
        <v>5</v>
      </c>
      <c r="L656" s="11">
        <v>0.44228000000000001</v>
      </c>
      <c r="M656" s="1"/>
      <c r="N656" s="1" t="s">
        <v>18</v>
      </c>
      <c r="P656" s="1" t="str">
        <f>CONCATENATE(Table_Query_from_AMULTIQRY45[[#This Row],[WWHS]],"-",Table_Query_from_AMULTIQRY45[[#This Row],[LLOC]])</f>
        <v>E1-FG</v>
      </c>
      <c r="Q656" s="10">
        <f t="shared" ca="1" si="21"/>
        <v>45775</v>
      </c>
      <c r="R656" s="10"/>
      <c r="S656" s="28">
        <v>112</v>
      </c>
      <c r="T656" s="1" t="s">
        <v>2</v>
      </c>
      <c r="U656" s="1" t="s">
        <v>702</v>
      </c>
      <c r="V656" s="1">
        <v>20231120</v>
      </c>
      <c r="W656" s="8" t="s">
        <v>8442</v>
      </c>
      <c r="Z656" s="1"/>
      <c r="AA656" s="1"/>
      <c r="AC656" s="1"/>
      <c r="AD656" s="1"/>
      <c r="AE656" s="1"/>
      <c r="AF656" s="1"/>
    </row>
    <row r="657" spans="2:32" ht="12.75" x14ac:dyDescent="0.2">
      <c r="B657" s="1" t="s">
        <v>9163</v>
      </c>
      <c r="C657" s="10">
        <f t="shared" ca="1" si="20"/>
        <v>45768</v>
      </c>
      <c r="D657" s="4"/>
      <c r="E657" s="4" t="s">
        <v>8434</v>
      </c>
      <c r="F657" s="4" t="s">
        <v>1293</v>
      </c>
      <c r="G657" s="4"/>
      <c r="H657" s="4" t="str">
        <f>_xlfn.IFNA(VLOOKUP(Table_Query_from_AMULTIQRY45[[#This Row],[WPROD]],'Part# with New'!$A$1:$B$4347,2,0),Table_Query_from_AMULTIQRY45[[#This Row],[WPROD]])</f>
        <v>WFFL079015008L-PGM15K</v>
      </c>
      <c r="I657" s="4" t="s">
        <v>8436</v>
      </c>
      <c r="J657" s="1" t="s">
        <v>5</v>
      </c>
      <c r="L657" s="11">
        <v>7.3999999999999996E-2</v>
      </c>
      <c r="M657" s="1"/>
      <c r="N657" s="1" t="s">
        <v>346</v>
      </c>
      <c r="P657" s="1" t="str">
        <f>CONCATENATE(Table_Query_from_AMULTIQRY45[[#This Row],[WWHS]],"-",Table_Query_from_AMULTIQRY45[[#This Row],[LLOC]])</f>
        <v>E1-FG</v>
      </c>
      <c r="Q657" s="10">
        <f t="shared" ca="1" si="21"/>
        <v>45775</v>
      </c>
      <c r="R657" s="10"/>
      <c r="S657" s="28">
        <v>3684</v>
      </c>
      <c r="T657" s="1" t="s">
        <v>2</v>
      </c>
      <c r="U657" s="1" t="s">
        <v>703</v>
      </c>
      <c r="V657" s="1">
        <v>20250421</v>
      </c>
      <c r="W657" s="8" t="s">
        <v>8442</v>
      </c>
      <c r="Z657" s="1"/>
      <c r="AA657" s="1"/>
      <c r="AC657" s="1"/>
      <c r="AD657" s="1"/>
      <c r="AE657" s="1"/>
      <c r="AF657" s="1"/>
    </row>
    <row r="658" spans="2:32" ht="12.75" x14ac:dyDescent="0.2">
      <c r="B658" s="1" t="s">
        <v>9164</v>
      </c>
      <c r="C658" s="10">
        <f t="shared" ca="1" si="20"/>
        <v>45511</v>
      </c>
      <c r="D658" s="4"/>
      <c r="E658" s="4" t="s">
        <v>8434</v>
      </c>
      <c r="F658" s="4" t="s">
        <v>1293</v>
      </c>
      <c r="G658" s="4"/>
      <c r="H658" s="4" t="str">
        <f>_xlfn.IFNA(VLOOKUP(Table_Query_from_AMULTIQRY45[[#This Row],[WPROD]],'Part# with New'!$A$1:$B$4347,2,0),Table_Query_from_AMULTIQRY45[[#This Row],[WPROD]])</f>
        <v>WSOR052022013D-DU075Y</v>
      </c>
      <c r="I658" s="4" t="s">
        <v>8436</v>
      </c>
      <c r="J658" s="1" t="s">
        <v>5</v>
      </c>
      <c r="L658" s="11">
        <v>0.38706000000000002</v>
      </c>
      <c r="M658" s="1"/>
      <c r="N658" s="1" t="s">
        <v>480</v>
      </c>
      <c r="P658" s="1" t="str">
        <f>CONCATENATE(Table_Query_from_AMULTIQRY45[[#This Row],[WWHS]],"-",Table_Query_from_AMULTIQRY45[[#This Row],[LLOC]])</f>
        <v>E1-FG</v>
      </c>
      <c r="Q658" s="10">
        <f t="shared" ca="1" si="21"/>
        <v>45775</v>
      </c>
      <c r="R658" s="10"/>
      <c r="S658" s="28">
        <v>918</v>
      </c>
      <c r="T658" s="1" t="s">
        <v>2</v>
      </c>
      <c r="U658" s="1" t="s">
        <v>704</v>
      </c>
      <c r="V658" s="1">
        <v>20240807</v>
      </c>
      <c r="W658" s="8" t="s">
        <v>8442</v>
      </c>
      <c r="Z658" s="1"/>
      <c r="AA658" s="1"/>
      <c r="AC658" s="1"/>
      <c r="AD658" s="1"/>
      <c r="AE658" s="1"/>
      <c r="AF658" s="1"/>
    </row>
    <row r="659" spans="2:32" ht="12.75" x14ac:dyDescent="0.2">
      <c r="B659" s="1" t="s">
        <v>9165</v>
      </c>
      <c r="C659" s="10">
        <f t="shared" ca="1" si="20"/>
        <v>45761</v>
      </c>
      <c r="D659" s="4"/>
      <c r="E659" s="4" t="s">
        <v>8434</v>
      </c>
      <c r="F659" s="4" t="s">
        <v>1293</v>
      </c>
      <c r="G659" s="4"/>
      <c r="H659" s="4" t="str">
        <f>_xlfn.IFNA(VLOOKUP(Table_Query_from_AMULTIQRY45[[#This Row],[WPROD]],'Part# with New'!$A$1:$B$4347,2,0),Table_Query_from_AMULTIQRY45[[#This Row],[WPROD]])</f>
        <v>WPOT341327011D-GGX15B</v>
      </c>
      <c r="I659" s="4" t="s">
        <v>8436</v>
      </c>
      <c r="J659" s="1" t="s">
        <v>5</v>
      </c>
      <c r="L659" s="11">
        <v>0.37497999999999998</v>
      </c>
      <c r="M659" s="1"/>
      <c r="N659" s="1" t="s">
        <v>3</v>
      </c>
      <c r="P659" s="1" t="str">
        <f>CONCATENATE(Table_Query_from_AMULTIQRY45[[#This Row],[WWHS]],"-",Table_Query_from_AMULTIQRY45[[#This Row],[LLOC]])</f>
        <v>E1-FG</v>
      </c>
      <c r="Q659" s="10">
        <f t="shared" ca="1" si="21"/>
        <v>45775</v>
      </c>
      <c r="R659" s="10"/>
      <c r="S659" s="28">
        <v>70</v>
      </c>
      <c r="T659" s="1" t="s">
        <v>2</v>
      </c>
      <c r="U659" s="1" t="s">
        <v>705</v>
      </c>
      <c r="V659" s="1">
        <v>20250414</v>
      </c>
      <c r="W659" s="8" t="s">
        <v>8442</v>
      </c>
      <c r="Z659" s="1"/>
      <c r="AA659" s="1"/>
      <c r="AC659" s="1"/>
      <c r="AD659" s="1"/>
      <c r="AE659" s="1"/>
      <c r="AF659" s="1"/>
    </row>
    <row r="660" spans="2:32" ht="12.75" x14ac:dyDescent="0.2">
      <c r="B660" s="1" t="s">
        <v>9166</v>
      </c>
      <c r="C660" s="10">
        <f t="shared" ca="1" si="20"/>
        <v>44083</v>
      </c>
      <c r="D660" s="4"/>
      <c r="E660" s="4" t="s">
        <v>8434</v>
      </c>
      <c r="F660" s="4" t="s">
        <v>1293</v>
      </c>
      <c r="G660" s="4"/>
      <c r="H660" s="4" t="str">
        <f>_xlfn.IFNA(VLOOKUP(Table_Query_from_AMULTIQRY45[[#This Row],[WPROD]],'Part# with New'!$A$1:$B$4347,2,0),Table_Query_from_AMULTIQRY45[[#This Row],[WPROD]])</f>
        <v>WSNC022008006D-PXX00W</v>
      </c>
      <c r="I660" s="4" t="s">
        <v>8436</v>
      </c>
      <c r="J660" s="1" t="s">
        <v>5</v>
      </c>
      <c r="L660" s="11">
        <v>0.27122000000000002</v>
      </c>
      <c r="M660" s="1"/>
      <c r="N660" s="1" t="s">
        <v>6</v>
      </c>
      <c r="P660" s="1" t="str">
        <f>CONCATENATE(Table_Query_from_AMULTIQRY45[[#This Row],[WWHS]],"-",Table_Query_from_AMULTIQRY45[[#This Row],[LLOC]])</f>
        <v>E1-FG</v>
      </c>
      <c r="Q660" s="10">
        <f t="shared" ca="1" si="21"/>
        <v>45775</v>
      </c>
      <c r="R660" s="10"/>
      <c r="S660" s="28">
        <v>200</v>
      </c>
      <c r="T660" s="1" t="s">
        <v>2</v>
      </c>
      <c r="U660" s="1" t="s">
        <v>706</v>
      </c>
      <c r="V660" s="1">
        <v>20200909</v>
      </c>
      <c r="W660" s="8" t="s">
        <v>8442</v>
      </c>
      <c r="Z660" s="1"/>
      <c r="AA660" s="1"/>
      <c r="AC660" s="1"/>
      <c r="AD660" s="1"/>
      <c r="AE660" s="1"/>
      <c r="AF660" s="1"/>
    </row>
    <row r="661" spans="2:32" ht="12.75" x14ac:dyDescent="0.2">
      <c r="B661" s="1" t="s">
        <v>9167</v>
      </c>
      <c r="C661" s="10">
        <f t="shared" ca="1" si="20"/>
        <v>45706</v>
      </c>
      <c r="D661" s="4"/>
      <c r="E661" s="4" t="s">
        <v>8434</v>
      </c>
      <c r="F661" s="4" t="s">
        <v>1293</v>
      </c>
      <c r="G661" s="4"/>
      <c r="H661" s="4" t="str">
        <f>_xlfn.IFNA(VLOOKUP(Table_Query_from_AMULTIQRY45[[#This Row],[WPROD]],'Part# with New'!$A$1:$B$4347,2,0),Table_Query_from_AMULTIQRY45[[#This Row],[WPROD]])</f>
        <v>WPOS049039004S-PCR23K</v>
      </c>
      <c r="I661" s="4" t="s">
        <v>8436</v>
      </c>
      <c r="J661" s="1" t="s">
        <v>5</v>
      </c>
      <c r="L661" s="11">
        <v>0.13991999999999999</v>
      </c>
      <c r="M661" s="1"/>
      <c r="N661" s="1" t="s">
        <v>18</v>
      </c>
      <c r="P661" s="1" t="str">
        <f>CONCATENATE(Table_Query_from_AMULTIQRY45[[#This Row],[WWHS]],"-",Table_Query_from_AMULTIQRY45[[#This Row],[LLOC]])</f>
        <v>E1-FG</v>
      </c>
      <c r="Q661" s="10">
        <f t="shared" ca="1" si="21"/>
        <v>45775</v>
      </c>
      <c r="R661" s="10"/>
      <c r="S661" s="28">
        <v>170</v>
      </c>
      <c r="T661" s="1" t="s">
        <v>2</v>
      </c>
      <c r="U661" s="1" t="s">
        <v>707</v>
      </c>
      <c r="V661" s="1">
        <v>20250218</v>
      </c>
      <c r="W661" s="8" t="s">
        <v>8442</v>
      </c>
      <c r="Z661" s="1"/>
      <c r="AA661" s="1"/>
      <c r="AC661" s="1"/>
      <c r="AD661" s="1"/>
      <c r="AE661" s="1"/>
      <c r="AF661" s="1"/>
    </row>
    <row r="662" spans="2:32" ht="12.75" x14ac:dyDescent="0.2">
      <c r="B662" s="1" t="s">
        <v>9168</v>
      </c>
      <c r="C662" s="10">
        <f t="shared" ca="1" si="20"/>
        <v>45440</v>
      </c>
      <c r="D662" s="4"/>
      <c r="E662" s="4" t="s">
        <v>8434</v>
      </c>
      <c r="F662" s="4" t="s">
        <v>1293</v>
      </c>
      <c r="G662" s="4"/>
      <c r="H662" s="4" t="str">
        <f>_xlfn.IFNA(VLOOKUP(Table_Query_from_AMULTIQRY45[[#This Row],[WPROD]],'Part# with New'!$A$1:$B$4347,2,0),Table_Query_from_AMULTIQRY45[[#This Row],[WPROD]])</f>
        <v>WSOR065034016D-DU075Y</v>
      </c>
      <c r="I662" s="4" t="s">
        <v>8436</v>
      </c>
      <c r="J662" s="1" t="s">
        <v>5</v>
      </c>
      <c r="L662" s="11">
        <v>0.31881999999999999</v>
      </c>
      <c r="M662" s="1"/>
      <c r="N662" s="1" t="s">
        <v>480</v>
      </c>
      <c r="P662" s="1" t="str">
        <f>CONCATENATE(Table_Query_from_AMULTIQRY45[[#This Row],[WWHS]],"-",Table_Query_from_AMULTIQRY45[[#This Row],[LLOC]])</f>
        <v>E1-FG</v>
      </c>
      <c r="Q662" s="10">
        <f t="shared" ca="1" si="21"/>
        <v>45775</v>
      </c>
      <c r="R662" s="10"/>
      <c r="S662" s="28">
        <v>49</v>
      </c>
      <c r="T662" s="1" t="s">
        <v>2</v>
      </c>
      <c r="U662" s="1" t="s">
        <v>708</v>
      </c>
      <c r="V662" s="1">
        <v>20240528</v>
      </c>
      <c r="W662" s="8" t="s">
        <v>8442</v>
      </c>
      <c r="Z662" s="1"/>
      <c r="AA662" s="1"/>
      <c r="AC662" s="1"/>
      <c r="AD662" s="1"/>
      <c r="AE662" s="1"/>
      <c r="AF662" s="1"/>
    </row>
    <row r="663" spans="2:32" ht="12.75" x14ac:dyDescent="0.2">
      <c r="B663" s="1" t="s">
        <v>9169</v>
      </c>
      <c r="C663" s="10">
        <f t="shared" ca="1" si="20"/>
        <v>45679</v>
      </c>
      <c r="D663" s="4"/>
      <c r="E663" s="4" t="s">
        <v>8434</v>
      </c>
      <c r="F663" s="4" t="s">
        <v>1293</v>
      </c>
      <c r="G663" s="4"/>
      <c r="H663" s="4" t="str">
        <f>_xlfn.IFNA(VLOOKUP(Table_Query_from_AMULTIQRY45[[#This Row],[WPROD]],'Part# with New'!$A$1:$B$4347,2,0),Table_Query_from_AMULTIQRY45[[#This Row],[WPROD]])</f>
        <v>WPOT059044003D-PXX00W</v>
      </c>
      <c r="I663" s="4" t="s">
        <v>8436</v>
      </c>
      <c r="J663" s="1" t="s">
        <v>5</v>
      </c>
      <c r="L663" s="11">
        <v>5.6329999999999998E-2</v>
      </c>
      <c r="M663" s="1"/>
      <c r="N663" s="1" t="s">
        <v>3</v>
      </c>
      <c r="P663" s="1" t="str">
        <f>CONCATENATE(Table_Query_from_AMULTIQRY45[[#This Row],[WWHS]],"-",Table_Query_from_AMULTIQRY45[[#This Row],[LLOC]])</f>
        <v>E1-FG</v>
      </c>
      <c r="Q663" s="10">
        <f t="shared" ca="1" si="21"/>
        <v>45775</v>
      </c>
      <c r="R663" s="10"/>
      <c r="S663" s="28">
        <v>241</v>
      </c>
      <c r="T663" s="1" t="s">
        <v>2</v>
      </c>
      <c r="U663" s="1" t="s">
        <v>709</v>
      </c>
      <c r="V663" s="1">
        <v>20250122</v>
      </c>
      <c r="W663" s="8" t="s">
        <v>8442</v>
      </c>
      <c r="Z663" s="1"/>
      <c r="AA663" s="1"/>
      <c r="AC663" s="1"/>
      <c r="AD663" s="1"/>
      <c r="AE663" s="1"/>
      <c r="AF663" s="1"/>
    </row>
    <row r="664" spans="2:32" ht="12.75" x14ac:dyDescent="0.2">
      <c r="B664" s="1" t="s">
        <v>9170</v>
      </c>
      <c r="C664" s="10">
        <f t="shared" ca="1" si="20"/>
        <v>45673</v>
      </c>
      <c r="D664" s="4"/>
      <c r="E664" s="4" t="s">
        <v>8434</v>
      </c>
      <c r="F664" s="4" t="s">
        <v>1293</v>
      </c>
      <c r="G664" s="4"/>
      <c r="H664" s="4" t="str">
        <f>_xlfn.IFNA(VLOOKUP(Table_Query_from_AMULTIQRY45[[#This Row],[WPROD]],'Part# with New'!$A$1:$B$4347,2,0),Table_Query_from_AMULTIQRY45[[#This Row],[WPROD]])</f>
        <v>WSNC043017004Q-PNX15W</v>
      </c>
      <c r="I664" s="4" t="s">
        <v>8436</v>
      </c>
      <c r="J664" s="1" t="s">
        <v>5</v>
      </c>
      <c r="L664" s="11">
        <v>0.21925</v>
      </c>
      <c r="M664" s="1"/>
      <c r="N664" s="1" t="s">
        <v>6</v>
      </c>
      <c r="P664" s="1" t="str">
        <f>CONCATENATE(Table_Query_from_AMULTIQRY45[[#This Row],[WWHS]],"-",Table_Query_from_AMULTIQRY45[[#This Row],[LLOC]])</f>
        <v>E1-FG</v>
      </c>
      <c r="Q664" s="10">
        <f t="shared" ca="1" si="21"/>
        <v>45775</v>
      </c>
      <c r="R664" s="10"/>
      <c r="S664" s="28">
        <v>100</v>
      </c>
      <c r="T664" s="1" t="s">
        <v>2</v>
      </c>
      <c r="U664" s="1" t="s">
        <v>710</v>
      </c>
      <c r="V664" s="1">
        <v>20250116</v>
      </c>
      <c r="W664" s="8" t="s">
        <v>8442</v>
      </c>
      <c r="Z664" s="1"/>
      <c r="AA664" s="1"/>
      <c r="AC664" s="1"/>
      <c r="AD664" s="1"/>
      <c r="AE664" s="1"/>
      <c r="AF664" s="1"/>
    </row>
    <row r="665" spans="2:32" ht="12.75" x14ac:dyDescent="0.2">
      <c r="B665" s="1" t="s">
        <v>9171</v>
      </c>
      <c r="C665" s="10">
        <f t="shared" ca="1" si="20"/>
        <v>45574</v>
      </c>
      <c r="D665" s="4"/>
      <c r="E665" s="4" t="s">
        <v>8434</v>
      </c>
      <c r="F665" s="4" t="s">
        <v>1293</v>
      </c>
      <c r="G665" s="4"/>
      <c r="H665" s="4" t="str">
        <f>_xlfn.IFNA(VLOOKUP(Table_Query_from_AMULTIQRY45[[#This Row],[WPROD]],'Part# with New'!$A$1:$B$4347,2,0),Table_Query_from_AMULTIQRY45[[#This Row],[WPROD]])</f>
        <v>WPOS299256006S-PGX15W</v>
      </c>
      <c r="I665" s="4" t="s">
        <v>8436</v>
      </c>
      <c r="J665" s="1" t="s">
        <v>5</v>
      </c>
      <c r="L665" s="11">
        <v>0.41849999999999998</v>
      </c>
      <c r="M665" s="1"/>
      <c r="N665" s="1" t="s">
        <v>389</v>
      </c>
      <c r="P665" s="1" t="str">
        <f>CONCATENATE(Table_Query_from_AMULTIQRY45[[#This Row],[WWHS]],"-",Table_Query_from_AMULTIQRY45[[#This Row],[LLOC]])</f>
        <v>E1-FG</v>
      </c>
      <c r="Q665" s="10">
        <f t="shared" ca="1" si="21"/>
        <v>45775</v>
      </c>
      <c r="R665" s="10"/>
      <c r="S665" s="28">
        <v>1395</v>
      </c>
      <c r="T665" s="1" t="s">
        <v>2</v>
      </c>
      <c r="U665" s="1" t="s">
        <v>711</v>
      </c>
      <c r="V665" s="1">
        <v>20241009</v>
      </c>
      <c r="W665" s="8" t="s">
        <v>8442</v>
      </c>
      <c r="Z665" s="1"/>
      <c r="AA665" s="1"/>
      <c r="AC665" s="1"/>
      <c r="AD665" s="1"/>
      <c r="AE665" s="1"/>
      <c r="AF665" s="1"/>
    </row>
    <row r="666" spans="2:32" ht="12.75" x14ac:dyDescent="0.2">
      <c r="B666" s="1" t="s">
        <v>9172</v>
      </c>
      <c r="C666" s="10">
        <f t="shared" ca="1" si="20"/>
        <v>45517</v>
      </c>
      <c r="D666" s="4"/>
      <c r="E666" s="4" t="s">
        <v>8434</v>
      </c>
      <c r="F666" s="4" t="s">
        <v>1293</v>
      </c>
      <c r="G666" s="4"/>
      <c r="H666" s="4" t="str">
        <f>_xlfn.IFNA(VLOOKUP(Table_Query_from_AMULTIQRY45[[#This Row],[WPROD]],'Part# with New'!$A$1:$B$4347,2,0),Table_Query_from_AMULTIQRY45[[#This Row],[WPROD]])</f>
        <v>WPOT073062005D-PGX15W</v>
      </c>
      <c r="I666" s="4" t="s">
        <v>8436</v>
      </c>
      <c r="J666" s="1" t="s">
        <v>5</v>
      </c>
      <c r="L666" s="11">
        <v>6.9699999999999998E-2</v>
      </c>
      <c r="M666" s="1"/>
      <c r="N666" s="1" t="s">
        <v>3</v>
      </c>
      <c r="P666" s="1" t="str">
        <f>CONCATENATE(Table_Query_from_AMULTIQRY45[[#This Row],[WWHS]],"-",Table_Query_from_AMULTIQRY45[[#This Row],[LLOC]])</f>
        <v>E1-FG</v>
      </c>
      <c r="Q666" s="10">
        <f t="shared" ca="1" si="21"/>
        <v>45775</v>
      </c>
      <c r="R666" s="10"/>
      <c r="S666" s="28">
        <v>11</v>
      </c>
      <c r="T666" s="1" t="s">
        <v>2</v>
      </c>
      <c r="U666" s="1" t="s">
        <v>712</v>
      </c>
      <c r="V666" s="1">
        <v>20240813</v>
      </c>
      <c r="W666" s="8" t="s">
        <v>8442</v>
      </c>
      <c r="Z666" s="1"/>
      <c r="AA666" s="1"/>
      <c r="AC666" s="1"/>
      <c r="AD666" s="1"/>
      <c r="AE666" s="1"/>
      <c r="AF666" s="1"/>
    </row>
    <row r="667" spans="2:32" ht="12.75" x14ac:dyDescent="0.2">
      <c r="B667" s="1" t="s">
        <v>9173</v>
      </c>
      <c r="C667" s="10">
        <f t="shared" ca="1" si="20"/>
        <v>45590</v>
      </c>
      <c r="D667" s="4"/>
      <c r="E667" s="4" t="s">
        <v>8434</v>
      </c>
      <c r="F667" s="4" t="s">
        <v>1293</v>
      </c>
      <c r="G667" s="4"/>
      <c r="H667" s="4" t="str">
        <f>_xlfn.IFNA(VLOOKUP(Table_Query_from_AMULTIQRY45[[#This Row],[WPROD]],'Part# with New'!$A$1:$B$4347,2,0),Table_Query_from_AMULTIQRY45[[#This Row],[WPROD]])</f>
        <v>WSMP111091014D-PMX05K</v>
      </c>
      <c r="I667" s="4" t="s">
        <v>8436</v>
      </c>
      <c r="J667" s="1" t="s">
        <v>5</v>
      </c>
      <c r="L667" s="11">
        <v>0.46784999999999999</v>
      </c>
      <c r="M667" s="1"/>
      <c r="N667" s="1" t="s">
        <v>18</v>
      </c>
      <c r="P667" s="1" t="str">
        <f>CONCATENATE(Table_Query_from_AMULTIQRY45[[#This Row],[WWHS]],"-",Table_Query_from_AMULTIQRY45[[#This Row],[LLOC]])</f>
        <v>E1-FG</v>
      </c>
      <c r="Q667" s="10">
        <f t="shared" ca="1" si="21"/>
        <v>45775</v>
      </c>
      <c r="R667" s="10"/>
      <c r="S667" s="28">
        <v>94</v>
      </c>
      <c r="T667" s="1" t="s">
        <v>2</v>
      </c>
      <c r="U667" s="1" t="s">
        <v>713</v>
      </c>
      <c r="V667" s="1">
        <v>20241025</v>
      </c>
      <c r="W667" s="8" t="s">
        <v>8442</v>
      </c>
      <c r="Z667" s="1"/>
      <c r="AA667" s="1"/>
      <c r="AC667" s="1"/>
      <c r="AD667" s="1"/>
      <c r="AE667" s="1"/>
      <c r="AF667" s="1"/>
    </row>
    <row r="668" spans="2:32" ht="12.75" x14ac:dyDescent="0.2">
      <c r="B668" s="1" t="s">
        <v>9174</v>
      </c>
      <c r="C668" s="10">
        <f t="shared" ca="1" si="20"/>
        <v>45511</v>
      </c>
      <c r="D668" s="4"/>
      <c r="E668" s="4" t="s">
        <v>8434</v>
      </c>
      <c r="F668" s="4" t="s">
        <v>1293</v>
      </c>
      <c r="G668" s="4"/>
      <c r="H668" s="4" t="str">
        <f>_xlfn.IFNA(VLOOKUP(Table_Query_from_AMULTIQRY45[[#This Row],[WPROD]],'Part# with New'!$A$1:$B$4347,2,0),Table_Query_from_AMULTIQRY45[[#This Row],[WPROD]])</f>
        <v>WSMP775750062D-PCR23K</v>
      </c>
      <c r="I668" s="4" t="s">
        <v>8436</v>
      </c>
      <c r="J668" s="1" t="s">
        <v>5</v>
      </c>
      <c r="L668" s="11">
        <v>11.908580000000001</v>
      </c>
      <c r="M668" s="1"/>
      <c r="N668" s="1" t="s">
        <v>18</v>
      </c>
      <c r="P668" s="1" t="str">
        <f>CONCATENATE(Table_Query_from_AMULTIQRY45[[#This Row],[WWHS]],"-",Table_Query_from_AMULTIQRY45[[#This Row],[LLOC]])</f>
        <v>E1-FG</v>
      </c>
      <c r="Q668" s="10">
        <f t="shared" ca="1" si="21"/>
        <v>45775</v>
      </c>
      <c r="R668" s="10"/>
      <c r="S668" s="28">
        <v>3</v>
      </c>
      <c r="T668" s="1" t="s">
        <v>2</v>
      </c>
      <c r="U668" s="1" t="s">
        <v>714</v>
      </c>
      <c r="V668" s="1">
        <v>20240807</v>
      </c>
      <c r="W668" s="8" t="s">
        <v>8442</v>
      </c>
      <c r="Z668" s="1"/>
      <c r="AA668" s="1"/>
      <c r="AC668" s="1"/>
      <c r="AD668" s="1"/>
      <c r="AE668" s="1"/>
      <c r="AF668" s="1"/>
    </row>
    <row r="669" spans="2:32" ht="12.75" x14ac:dyDescent="0.2">
      <c r="B669" s="1" t="s">
        <v>9175</v>
      </c>
      <c r="C669" s="10">
        <f t="shared" ca="1" si="20"/>
        <v>44490</v>
      </c>
      <c r="D669" s="4"/>
      <c r="E669" s="4" t="s">
        <v>8434</v>
      </c>
      <c r="F669" s="4" t="s">
        <v>1293</v>
      </c>
      <c r="G669" s="4"/>
      <c r="H669" s="4" t="str">
        <f>_xlfn.IFNA(VLOOKUP(Table_Query_from_AMULTIQRY45[[#This Row],[WPROD]],'Part# with New'!$A$1:$B$4347,2,0),Table_Query_from_AMULTIQRY45[[#This Row],[WPROD]])</f>
        <v>WSMP540350170L-PSX05S</v>
      </c>
      <c r="I669" s="4" t="s">
        <v>8436</v>
      </c>
      <c r="J669" s="1" t="s">
        <v>5</v>
      </c>
      <c r="L669" s="11">
        <v>33.70928</v>
      </c>
      <c r="M669" s="1"/>
      <c r="N669" s="1" t="s">
        <v>18</v>
      </c>
      <c r="P669" s="1" t="str">
        <f>CONCATENATE(Table_Query_from_AMULTIQRY45[[#This Row],[WWHS]],"-",Table_Query_from_AMULTIQRY45[[#This Row],[LLOC]])</f>
        <v>E1-FG</v>
      </c>
      <c r="Q669" s="10">
        <f t="shared" ca="1" si="21"/>
        <v>45775</v>
      </c>
      <c r="R669" s="10"/>
      <c r="S669" s="28">
        <v>17</v>
      </c>
      <c r="T669" s="1" t="s">
        <v>2</v>
      </c>
      <c r="U669" s="1" t="s">
        <v>715</v>
      </c>
      <c r="V669" s="1">
        <v>20211021</v>
      </c>
      <c r="W669" s="8" t="s">
        <v>8442</v>
      </c>
      <c r="Z669" s="1"/>
      <c r="AA669" s="1"/>
      <c r="AC669" s="1"/>
      <c r="AD669" s="1"/>
      <c r="AE669" s="1"/>
      <c r="AF669" s="1"/>
    </row>
    <row r="670" spans="2:32" ht="12.75" x14ac:dyDescent="0.2">
      <c r="B670" s="1" t="s">
        <v>9176</v>
      </c>
      <c r="C670" s="10">
        <f t="shared" ca="1" si="20"/>
        <v>45540</v>
      </c>
      <c r="D670" s="4"/>
      <c r="E670" s="4" t="s">
        <v>8434</v>
      </c>
      <c r="F670" s="4" t="s">
        <v>1293</v>
      </c>
      <c r="G670" s="4"/>
      <c r="H670" s="4" t="str">
        <f>_xlfn.IFNA(VLOOKUP(Table_Query_from_AMULTIQRY45[[#This Row],[WPROD]],'Part# with New'!$A$1:$B$4347,2,0),Table_Query_from_AMULTIQRY45[[#This Row],[WPROD]])</f>
        <v>WSNC144120013D-PMX05K</v>
      </c>
      <c r="I670" s="4" t="s">
        <v>8436</v>
      </c>
      <c r="J670" s="1" t="s">
        <v>5</v>
      </c>
      <c r="L670" s="11">
        <v>0.31935000000000002</v>
      </c>
      <c r="M670" s="1"/>
      <c r="N670" s="1" t="s">
        <v>6</v>
      </c>
      <c r="P670" s="1" t="str">
        <f>CONCATENATE(Table_Query_from_AMULTIQRY45[[#This Row],[WWHS]],"-",Table_Query_from_AMULTIQRY45[[#This Row],[LLOC]])</f>
        <v>E1-FG</v>
      </c>
      <c r="Q670" s="10">
        <f t="shared" ca="1" si="21"/>
        <v>45775</v>
      </c>
      <c r="R670" s="10"/>
      <c r="S670" s="28">
        <v>117</v>
      </c>
      <c r="T670" s="1" t="s">
        <v>2</v>
      </c>
      <c r="U670" s="1" t="s">
        <v>716</v>
      </c>
      <c r="V670" s="1">
        <v>20240905</v>
      </c>
      <c r="W670" s="8" t="s">
        <v>8442</v>
      </c>
      <c r="Z670" s="1"/>
      <c r="AA670" s="1"/>
      <c r="AC670" s="1"/>
      <c r="AD670" s="1"/>
      <c r="AE670" s="1"/>
      <c r="AF670" s="1"/>
    </row>
    <row r="671" spans="2:32" ht="12.75" x14ac:dyDescent="0.2">
      <c r="B671" s="1" t="s">
        <v>9177</v>
      </c>
      <c r="C671" s="10">
        <f t="shared" ca="1" si="20"/>
        <v>45678</v>
      </c>
      <c r="D671" s="4"/>
      <c r="E671" s="4" t="s">
        <v>8434</v>
      </c>
      <c r="F671" s="4" t="s">
        <v>1293</v>
      </c>
      <c r="G671" s="4"/>
      <c r="H671" s="4" t="str">
        <f>_xlfn.IFNA(VLOOKUP(Table_Query_from_AMULTIQRY45[[#This Row],[WPROD]],'Part# with New'!$A$1:$B$4347,2,0),Table_Query_from_AMULTIQRY45[[#This Row],[WPROD]])</f>
        <v>WSOR194171006D-BK20FN</v>
      </c>
      <c r="I671" s="4" t="s">
        <v>8436</v>
      </c>
      <c r="J671" s="1" t="s">
        <v>5</v>
      </c>
      <c r="L671" s="11">
        <v>1.91987</v>
      </c>
      <c r="M671" s="1"/>
      <c r="N671" s="1" t="s">
        <v>480</v>
      </c>
      <c r="P671" s="1" t="str">
        <f>CONCATENATE(Table_Query_from_AMULTIQRY45[[#This Row],[WWHS]],"-",Table_Query_from_AMULTIQRY45[[#This Row],[LLOC]])</f>
        <v>E1-FG</v>
      </c>
      <c r="Q671" s="10">
        <f t="shared" ca="1" si="21"/>
        <v>45775</v>
      </c>
      <c r="R671" s="10"/>
      <c r="S671" s="28">
        <v>93</v>
      </c>
      <c r="T671" s="1" t="s">
        <v>2</v>
      </c>
      <c r="U671" s="1" t="s">
        <v>717</v>
      </c>
      <c r="V671" s="1">
        <v>20250121</v>
      </c>
      <c r="W671" s="8" t="s">
        <v>8442</v>
      </c>
      <c r="Z671" s="1"/>
      <c r="AA671" s="1"/>
      <c r="AC671" s="1"/>
      <c r="AD671" s="1"/>
      <c r="AE671" s="1"/>
      <c r="AF671" s="1"/>
    </row>
    <row r="672" spans="2:32" ht="12.75" x14ac:dyDescent="0.2">
      <c r="B672" s="1" t="s">
        <v>9178</v>
      </c>
      <c r="C672" s="10">
        <f t="shared" ca="1" si="20"/>
        <v>43777</v>
      </c>
      <c r="D672" s="4"/>
      <c r="E672" s="4" t="s">
        <v>8434</v>
      </c>
      <c r="F672" s="4" t="s">
        <v>1293</v>
      </c>
      <c r="G672" s="4"/>
      <c r="H672" s="4" t="str">
        <f>_xlfn.IFNA(VLOOKUP(Table_Query_from_AMULTIQRY45[[#This Row],[WPROD]],'Part# with New'!$A$1:$B$4347,2,0),Table_Query_from_AMULTIQRY45[[#This Row],[WPROD]])</f>
        <v>WSNC308294025D-PGX25W</v>
      </c>
      <c r="I672" s="4" t="s">
        <v>8436</v>
      </c>
      <c r="J672" s="1" t="s">
        <v>5</v>
      </c>
      <c r="L672" s="11">
        <v>2.21679</v>
      </c>
      <c r="M672" s="1"/>
      <c r="N672" s="1" t="s">
        <v>6</v>
      </c>
      <c r="P672" s="1" t="str">
        <f>CONCATENATE(Table_Query_from_AMULTIQRY45[[#This Row],[WWHS]],"-",Table_Query_from_AMULTIQRY45[[#This Row],[LLOC]])</f>
        <v>E1-FG</v>
      </c>
      <c r="Q672" s="10">
        <f t="shared" ca="1" si="21"/>
        <v>45775</v>
      </c>
      <c r="R672" s="10"/>
      <c r="S672" s="28">
        <v>32</v>
      </c>
      <c r="T672" s="1" t="s">
        <v>2</v>
      </c>
      <c r="U672" s="1" t="s">
        <v>718</v>
      </c>
      <c r="V672" s="1">
        <v>20191108</v>
      </c>
      <c r="W672" s="8" t="s">
        <v>8442</v>
      </c>
      <c r="Z672" s="1"/>
      <c r="AA672" s="1"/>
      <c r="AC672" s="1"/>
      <c r="AD672" s="1"/>
      <c r="AE672" s="1"/>
      <c r="AF672" s="1"/>
    </row>
    <row r="673" spans="2:32" ht="12.75" x14ac:dyDescent="0.2">
      <c r="B673" s="1" t="s">
        <v>9179</v>
      </c>
      <c r="C673" s="10">
        <f t="shared" ca="1" si="20"/>
        <v>45607</v>
      </c>
      <c r="D673" s="4"/>
      <c r="E673" s="4" t="s">
        <v>8434</v>
      </c>
      <c r="F673" s="4" t="s">
        <v>1293</v>
      </c>
      <c r="G673" s="4"/>
      <c r="H673" s="4" t="str">
        <f>_xlfn.IFNA(VLOOKUP(Table_Query_from_AMULTIQRY45[[#This Row],[WPROD]],'Part# with New'!$A$1:$B$4347,2,0),Table_Query_from_AMULTIQRY45[[#This Row],[WPROD]])</f>
        <v>WSNC068062007D-MFX15N</v>
      </c>
      <c r="I673" s="4" t="s">
        <v>8436</v>
      </c>
      <c r="J673" s="1" t="s">
        <v>5</v>
      </c>
      <c r="L673" s="11">
        <v>9.3020000000000005E-2</v>
      </c>
      <c r="M673" s="1"/>
      <c r="N673" s="1" t="s">
        <v>6</v>
      </c>
      <c r="P673" s="1" t="str">
        <f>CONCATENATE(Table_Query_from_AMULTIQRY45[[#This Row],[WWHS]],"-",Table_Query_from_AMULTIQRY45[[#This Row],[LLOC]])</f>
        <v>E1-FG</v>
      </c>
      <c r="Q673" s="10">
        <f t="shared" ca="1" si="21"/>
        <v>45775</v>
      </c>
      <c r="R673" s="10"/>
      <c r="S673" s="28">
        <v>933</v>
      </c>
      <c r="T673" s="1" t="s">
        <v>2</v>
      </c>
      <c r="U673" s="1" t="s">
        <v>719</v>
      </c>
      <c r="V673" s="1">
        <v>20241111</v>
      </c>
      <c r="W673" s="8" t="s">
        <v>8442</v>
      </c>
      <c r="Z673" s="1"/>
      <c r="AA673" s="1"/>
      <c r="AC673" s="1"/>
      <c r="AD673" s="1"/>
      <c r="AE673" s="1"/>
      <c r="AF673" s="1"/>
    </row>
    <row r="674" spans="2:32" ht="12.75" x14ac:dyDescent="0.2">
      <c r="B674" s="1" t="s">
        <v>9180</v>
      </c>
      <c r="C674" s="10">
        <f t="shared" ca="1" si="20"/>
        <v>45630</v>
      </c>
      <c r="D674" s="4"/>
      <c r="E674" s="4" t="s">
        <v>8434</v>
      </c>
      <c r="F674" s="4" t="s">
        <v>1293</v>
      </c>
      <c r="G674" s="4"/>
      <c r="H674" s="4" t="str">
        <f>_xlfn.IFNA(VLOOKUP(Table_Query_from_AMULTIQRY45[[#This Row],[WPROD]],'Part# with New'!$A$1:$B$4347,2,0),Table_Query_from_AMULTIQRY45[[#This Row],[WPROD]])</f>
        <v>23640</v>
      </c>
      <c r="I674" s="4" t="s">
        <v>8436</v>
      </c>
      <c r="J674" s="1" t="s">
        <v>5</v>
      </c>
      <c r="L674" s="11">
        <v>0.19602</v>
      </c>
      <c r="M674" s="1"/>
      <c r="N674" s="1" t="s">
        <v>6</v>
      </c>
      <c r="P674" s="1" t="str">
        <f>CONCATENATE(Table_Query_from_AMULTIQRY45[[#This Row],[WWHS]],"-",Table_Query_from_AMULTIQRY45[[#This Row],[LLOC]])</f>
        <v>E1-FG</v>
      </c>
      <c r="Q674" s="10">
        <f t="shared" ca="1" si="21"/>
        <v>45775</v>
      </c>
      <c r="R674" s="10"/>
      <c r="S674" s="28">
        <v>197</v>
      </c>
      <c r="T674" s="1" t="s">
        <v>2</v>
      </c>
      <c r="U674" s="1" t="s">
        <v>720</v>
      </c>
      <c r="V674" s="1">
        <v>20241204</v>
      </c>
      <c r="W674" s="8" t="s">
        <v>8442</v>
      </c>
      <c r="Z674" s="1"/>
      <c r="AA674" s="1"/>
      <c r="AC674" s="1"/>
      <c r="AD674" s="1"/>
      <c r="AE674" s="1"/>
      <c r="AF674" s="1"/>
    </row>
    <row r="675" spans="2:32" ht="12.75" x14ac:dyDescent="0.2">
      <c r="B675" s="1" t="s">
        <v>9181</v>
      </c>
      <c r="C675" s="10">
        <f t="shared" ca="1" si="20"/>
        <v>45729</v>
      </c>
      <c r="D675" s="4"/>
      <c r="E675" s="4" t="s">
        <v>8434</v>
      </c>
      <c r="F675" s="4" t="s">
        <v>1293</v>
      </c>
      <c r="G675" s="4"/>
      <c r="H675" s="4" t="str">
        <f>_xlfn.IFNA(VLOOKUP(Table_Query_from_AMULTIQRY45[[#This Row],[WPROD]],'Part# with New'!$A$1:$B$4347,2,0),Table_Query_from_AMULTIQRY45[[#This Row],[WPROD]])</f>
        <v>WSNC068060007D-PCF18K</v>
      </c>
      <c r="I675" s="4" t="s">
        <v>8436</v>
      </c>
      <c r="J675" s="1" t="s">
        <v>5</v>
      </c>
      <c r="L675" s="11">
        <v>0.15654000000000001</v>
      </c>
      <c r="M675" s="1"/>
      <c r="N675" s="1" t="s">
        <v>6</v>
      </c>
      <c r="P675" s="1" t="str">
        <f>CONCATENATE(Table_Query_from_AMULTIQRY45[[#This Row],[WWHS]],"-",Table_Query_from_AMULTIQRY45[[#This Row],[LLOC]])</f>
        <v>E1-FG</v>
      </c>
      <c r="Q675" s="10">
        <f t="shared" ca="1" si="21"/>
        <v>45775</v>
      </c>
      <c r="R675" s="10"/>
      <c r="S675" s="28">
        <v>1806</v>
      </c>
      <c r="T675" s="1" t="s">
        <v>2</v>
      </c>
      <c r="U675" s="1" t="s">
        <v>721</v>
      </c>
      <c r="V675" s="1">
        <v>20250313</v>
      </c>
      <c r="W675" s="8" t="s">
        <v>8442</v>
      </c>
      <c r="Z675" s="1"/>
      <c r="AA675" s="1"/>
      <c r="AC675" s="1"/>
      <c r="AD675" s="1"/>
      <c r="AE675" s="1"/>
      <c r="AF675" s="1"/>
    </row>
    <row r="676" spans="2:32" ht="12.75" x14ac:dyDescent="0.2">
      <c r="B676" s="1" t="s">
        <v>9182</v>
      </c>
      <c r="C676" s="10">
        <f t="shared" ca="1" si="20"/>
        <v>45596</v>
      </c>
      <c r="D676" s="4"/>
      <c r="E676" s="4" t="s">
        <v>8434</v>
      </c>
      <c r="F676" s="4" t="s">
        <v>1293</v>
      </c>
      <c r="G676" s="4"/>
      <c r="H676" s="4" t="str">
        <f>_xlfn.IFNA(VLOOKUP(Table_Query_from_AMULTIQRY45[[#This Row],[WPROD]],'Part# with New'!$A$1:$B$4347,2,0),Table_Query_from_AMULTIQRY45[[#This Row],[WPROD]])</f>
        <v>WPOT332287006D-MSX50S</v>
      </c>
      <c r="I676" s="4" t="s">
        <v>8436</v>
      </c>
      <c r="J676" s="1" t="s">
        <v>5</v>
      </c>
      <c r="L676" s="11">
        <v>0.74607999999999997</v>
      </c>
      <c r="M676" s="1"/>
      <c r="N676" s="1" t="s">
        <v>6</v>
      </c>
      <c r="P676" s="1" t="str">
        <f>CONCATENATE(Table_Query_from_AMULTIQRY45[[#This Row],[WWHS]],"-",Table_Query_from_AMULTIQRY45[[#This Row],[LLOC]])</f>
        <v>E1-FG</v>
      </c>
      <c r="Q676" s="10">
        <f t="shared" ca="1" si="21"/>
        <v>45775</v>
      </c>
      <c r="R676" s="10"/>
      <c r="S676" s="28">
        <v>77</v>
      </c>
      <c r="T676" s="1" t="s">
        <v>2</v>
      </c>
      <c r="U676" s="1" t="s">
        <v>722</v>
      </c>
      <c r="V676" s="1">
        <v>20241031</v>
      </c>
      <c r="W676" s="8" t="s">
        <v>8442</v>
      </c>
      <c r="Z676" s="1"/>
      <c r="AA676" s="1"/>
      <c r="AC676" s="1"/>
      <c r="AD676" s="1"/>
      <c r="AE676" s="1"/>
      <c r="AF676" s="1"/>
    </row>
    <row r="677" spans="2:32" ht="12.75" x14ac:dyDescent="0.2">
      <c r="B677" s="1" t="s">
        <v>9183</v>
      </c>
      <c r="C677" s="10">
        <f t="shared" ca="1" si="20"/>
        <v>45161</v>
      </c>
      <c r="D677" s="4"/>
      <c r="E677" s="4" t="s">
        <v>8434</v>
      </c>
      <c r="F677" s="4" t="s">
        <v>1293</v>
      </c>
      <c r="G677" s="4"/>
      <c r="H677" s="4" t="str">
        <f>_xlfn.IFNA(VLOOKUP(Table_Query_from_AMULTIQRY45[[#This Row],[WPROD]],'Part# with New'!$A$1:$B$4347,2,0),Table_Query_from_AMULTIQRY45[[#This Row],[WPROD]])</f>
        <v>WSOR174137018D-BA19DN</v>
      </c>
      <c r="I677" s="4" t="s">
        <v>8436</v>
      </c>
      <c r="J677" s="1" t="s">
        <v>5</v>
      </c>
      <c r="L677" s="11">
        <v>1.06545</v>
      </c>
      <c r="M677" s="1"/>
      <c r="N677" s="1" t="s">
        <v>480</v>
      </c>
      <c r="P677" s="1" t="str">
        <f>CONCATENATE(Table_Query_from_AMULTIQRY45[[#This Row],[WWHS]],"-",Table_Query_from_AMULTIQRY45[[#This Row],[LLOC]])</f>
        <v>E1-FG</v>
      </c>
      <c r="Q677" s="10">
        <f t="shared" ca="1" si="21"/>
        <v>45775</v>
      </c>
      <c r="R677" s="10"/>
      <c r="S677" s="28">
        <v>120</v>
      </c>
      <c r="T677" s="1" t="s">
        <v>2</v>
      </c>
      <c r="U677" s="1" t="s">
        <v>723</v>
      </c>
      <c r="V677" s="1">
        <v>20230823</v>
      </c>
      <c r="W677" s="8" t="s">
        <v>8442</v>
      </c>
      <c r="Z677" s="1"/>
      <c r="AA677" s="1"/>
      <c r="AC677" s="1"/>
      <c r="AD677" s="1"/>
      <c r="AE677" s="1"/>
      <c r="AF677" s="1"/>
    </row>
    <row r="678" spans="2:32" ht="12.75" x14ac:dyDescent="0.2">
      <c r="B678" s="1" t="s">
        <v>9184</v>
      </c>
      <c r="C678" s="10">
        <f t="shared" ca="1" si="20"/>
        <v>45722</v>
      </c>
      <c r="D678" s="4"/>
      <c r="E678" s="4" t="s">
        <v>8434</v>
      </c>
      <c r="F678" s="4" t="s">
        <v>1293</v>
      </c>
      <c r="G678" s="4"/>
      <c r="H678" s="4" t="str">
        <f>_xlfn.IFNA(VLOOKUP(Table_Query_from_AMULTIQRY45[[#This Row],[WPROD]],'Part# with New'!$A$1:$B$4347,2,0),Table_Query_from_AMULTIQRY45[[#This Row],[WPROD]])</f>
        <v>WSNC067040029D-PXX00W</v>
      </c>
      <c r="I678" s="4" t="s">
        <v>8436</v>
      </c>
      <c r="J678" s="1" t="s">
        <v>5</v>
      </c>
      <c r="L678" s="11">
        <v>0.44864999999999999</v>
      </c>
      <c r="M678" s="1"/>
      <c r="N678" s="1" t="s">
        <v>6</v>
      </c>
      <c r="P678" s="1" t="str">
        <f>CONCATENATE(Table_Query_from_AMULTIQRY45[[#This Row],[WWHS]],"-",Table_Query_from_AMULTIQRY45[[#This Row],[LLOC]])</f>
        <v>E1-FG</v>
      </c>
      <c r="Q678" s="10">
        <f t="shared" ca="1" si="21"/>
        <v>45775</v>
      </c>
      <c r="R678" s="10"/>
      <c r="S678" s="28">
        <v>7</v>
      </c>
      <c r="T678" s="1" t="s">
        <v>2</v>
      </c>
      <c r="U678" s="1" t="s">
        <v>724</v>
      </c>
      <c r="V678" s="1">
        <v>20250306</v>
      </c>
      <c r="W678" s="8" t="s">
        <v>8442</v>
      </c>
      <c r="Z678" s="1"/>
      <c r="AA678" s="1"/>
      <c r="AC678" s="1"/>
      <c r="AD678" s="1"/>
      <c r="AE678" s="1"/>
      <c r="AF678" s="1"/>
    </row>
    <row r="679" spans="2:32" ht="12.75" x14ac:dyDescent="0.2">
      <c r="B679" s="1" t="s">
        <v>9185</v>
      </c>
      <c r="C679" s="10">
        <f t="shared" ca="1" si="20"/>
        <v>45520</v>
      </c>
      <c r="D679" s="4"/>
      <c r="E679" s="4" t="s">
        <v>8434</v>
      </c>
      <c r="F679" s="4" t="s">
        <v>1293</v>
      </c>
      <c r="G679" s="4"/>
      <c r="H679" s="4" t="str">
        <f>_xlfn.IFNA(VLOOKUP(Table_Query_from_AMULTIQRY45[[#This Row],[WPROD]],'Part# with New'!$A$1:$B$4347,2,0),Table_Query_from_AMULTIQRY45[[#This Row],[WPROD]])</f>
        <v>WSMP562407035Q-PSX50S</v>
      </c>
      <c r="I679" s="4" t="s">
        <v>8436</v>
      </c>
      <c r="J679" s="1" t="s">
        <v>5</v>
      </c>
      <c r="L679" s="11">
        <v>12.929399999999999</v>
      </c>
      <c r="M679" s="1"/>
      <c r="N679" s="1" t="s">
        <v>18</v>
      </c>
      <c r="P679" s="1" t="str">
        <f>CONCATENATE(Table_Query_from_AMULTIQRY45[[#This Row],[WWHS]],"-",Table_Query_from_AMULTIQRY45[[#This Row],[LLOC]])</f>
        <v>E1-FG</v>
      </c>
      <c r="Q679" s="10">
        <f t="shared" ca="1" si="21"/>
        <v>45775</v>
      </c>
      <c r="R679" s="10"/>
      <c r="S679" s="28">
        <v>15</v>
      </c>
      <c r="T679" s="1" t="s">
        <v>2</v>
      </c>
      <c r="U679" s="1" t="s">
        <v>725</v>
      </c>
      <c r="V679" s="1">
        <v>20240816</v>
      </c>
      <c r="W679" s="8" t="s">
        <v>8442</v>
      </c>
      <c r="Z679" s="1"/>
      <c r="AA679" s="1"/>
      <c r="AC679" s="1"/>
      <c r="AD679" s="1"/>
      <c r="AE679" s="1"/>
      <c r="AF679" s="1"/>
    </row>
    <row r="680" spans="2:32" ht="12.75" x14ac:dyDescent="0.2">
      <c r="B680" s="1" t="s">
        <v>9186</v>
      </c>
      <c r="C680" s="10">
        <f t="shared" ca="1" si="20"/>
        <v>43552</v>
      </c>
      <c r="D680" s="4"/>
      <c r="E680" s="4" t="s">
        <v>8434</v>
      </c>
      <c r="F680" s="4" t="s">
        <v>1293</v>
      </c>
      <c r="G680" s="4"/>
      <c r="H680" s="4" t="str">
        <f>_xlfn.IFNA(VLOOKUP(Table_Query_from_AMULTIQRY45[[#This Row],[WPROD]],'Part# with New'!$A$1:$B$4347,2,0),Table_Query_from_AMULTIQRY45[[#This Row],[WPROD]])</f>
        <v>WPOT276237009D-PXX00W</v>
      </c>
      <c r="I680" s="4" t="s">
        <v>8436</v>
      </c>
      <c r="J680" s="1" t="s">
        <v>5</v>
      </c>
      <c r="L680" s="11">
        <v>0.30432999999999999</v>
      </c>
      <c r="M680" s="1"/>
      <c r="N680" s="1" t="s">
        <v>3</v>
      </c>
      <c r="P680" s="1" t="str">
        <f>CONCATENATE(Table_Query_from_AMULTIQRY45[[#This Row],[WWHS]],"-",Table_Query_from_AMULTIQRY45[[#This Row],[LLOC]])</f>
        <v>E1-FG</v>
      </c>
      <c r="Q680" s="10">
        <f t="shared" ca="1" si="21"/>
        <v>45775</v>
      </c>
      <c r="R680" s="10"/>
      <c r="S680" s="28">
        <v>159</v>
      </c>
      <c r="T680" s="1" t="s">
        <v>2</v>
      </c>
      <c r="U680" s="1" t="s">
        <v>726</v>
      </c>
      <c r="V680" s="1">
        <v>20190328</v>
      </c>
      <c r="W680" s="8" t="s">
        <v>8442</v>
      </c>
      <c r="Z680" s="1"/>
      <c r="AA680" s="1"/>
      <c r="AC680" s="1"/>
      <c r="AD680" s="1"/>
      <c r="AE680" s="1"/>
      <c r="AF680" s="1"/>
    </row>
    <row r="681" spans="2:32" ht="12.75" x14ac:dyDescent="0.2">
      <c r="B681" s="1" t="s">
        <v>9187</v>
      </c>
      <c r="C681" s="10">
        <f t="shared" ca="1" si="20"/>
        <v>45734</v>
      </c>
      <c r="D681" s="4"/>
      <c r="E681" s="4" t="s">
        <v>8434</v>
      </c>
      <c r="F681" s="4" t="s">
        <v>1293</v>
      </c>
      <c r="G681" s="4"/>
      <c r="H681" s="4" t="str">
        <f>_xlfn.IFNA(VLOOKUP(Table_Query_from_AMULTIQRY45[[#This Row],[WPROD]],'Part# with New'!$A$1:$B$4347,2,0),Table_Query_from_AMULTIQRY45[[#This Row],[WPROD]])</f>
        <v>WSOR025000037D-DV050N</v>
      </c>
      <c r="I681" s="4" t="s">
        <v>8436</v>
      </c>
      <c r="J681" s="1" t="s">
        <v>5</v>
      </c>
      <c r="L681" s="11">
        <v>0.66112000000000004</v>
      </c>
      <c r="M681" s="1"/>
      <c r="N681" s="1" t="s">
        <v>480</v>
      </c>
      <c r="P681" s="1" t="str">
        <f>CONCATENATE(Table_Query_from_AMULTIQRY45[[#This Row],[WWHS]],"-",Table_Query_from_AMULTIQRY45[[#This Row],[LLOC]])</f>
        <v>E1-FG</v>
      </c>
      <c r="Q681" s="10">
        <f t="shared" ca="1" si="21"/>
        <v>45775</v>
      </c>
      <c r="R681" s="10"/>
      <c r="S681" s="28">
        <v>27</v>
      </c>
      <c r="T681" s="1" t="s">
        <v>2</v>
      </c>
      <c r="U681" s="1" t="s">
        <v>727</v>
      </c>
      <c r="V681" s="1">
        <v>20250318</v>
      </c>
      <c r="W681" s="8" t="s">
        <v>8442</v>
      </c>
      <c r="Z681" s="1"/>
      <c r="AA681" s="1"/>
      <c r="AC681" s="1"/>
      <c r="AD681" s="1"/>
      <c r="AE681" s="1"/>
      <c r="AF681" s="1"/>
    </row>
    <row r="682" spans="2:32" ht="12.75" x14ac:dyDescent="0.2">
      <c r="B682" s="1" t="s">
        <v>9188</v>
      </c>
      <c r="C682" s="10">
        <f t="shared" ca="1" si="20"/>
        <v>43616</v>
      </c>
      <c r="D682" s="4"/>
      <c r="E682" s="4" t="s">
        <v>8434</v>
      </c>
      <c r="F682" s="4" t="s">
        <v>1293</v>
      </c>
      <c r="G682" s="4"/>
      <c r="H682" s="4" t="str">
        <f>_xlfn.IFNA(VLOOKUP(Table_Query_from_AMULTIQRY45[[#This Row],[WPROD]],'Part# with New'!$A$1:$B$4347,2,0),Table_Query_from_AMULTIQRY45[[#This Row],[WPROD]])</f>
        <v>WSOR276264011D-DU300N</v>
      </c>
      <c r="I682" s="4" t="s">
        <v>8436</v>
      </c>
      <c r="J682" s="1" t="s">
        <v>5</v>
      </c>
      <c r="L682" s="11">
        <v>0.60241999999999996</v>
      </c>
      <c r="M682" s="1"/>
      <c r="N682" s="1" t="s">
        <v>480</v>
      </c>
      <c r="P682" s="1" t="str">
        <f>CONCATENATE(Table_Query_from_AMULTIQRY45[[#This Row],[WWHS]],"-",Table_Query_from_AMULTIQRY45[[#This Row],[LLOC]])</f>
        <v>E1-FG</v>
      </c>
      <c r="Q682" s="10">
        <f t="shared" ca="1" si="21"/>
        <v>45775</v>
      </c>
      <c r="R682" s="10"/>
      <c r="S682" s="28">
        <v>58</v>
      </c>
      <c r="T682" s="1" t="s">
        <v>2</v>
      </c>
      <c r="U682" s="1" t="s">
        <v>728</v>
      </c>
      <c r="V682" s="1">
        <v>20190531</v>
      </c>
      <c r="W682" s="8" t="s">
        <v>8442</v>
      </c>
      <c r="Z682" s="1"/>
      <c r="AA682" s="1"/>
      <c r="AC682" s="1"/>
      <c r="AD682" s="1"/>
      <c r="AE682" s="1"/>
      <c r="AF682" s="1"/>
    </row>
    <row r="683" spans="2:32" ht="12.75" x14ac:dyDescent="0.2">
      <c r="B683" s="1" t="s">
        <v>9189</v>
      </c>
      <c r="C683" s="10">
        <f t="shared" ca="1" si="20"/>
        <v>43614</v>
      </c>
      <c r="D683" s="4"/>
      <c r="E683" s="4" t="s">
        <v>8434</v>
      </c>
      <c r="F683" s="4" t="s">
        <v>1293</v>
      </c>
      <c r="G683" s="4"/>
      <c r="H683" s="4" t="str">
        <f>_xlfn.IFNA(VLOOKUP(Table_Query_from_AMULTIQRY45[[#This Row],[WPROD]],'Part# with New'!$A$1:$B$4347,2,0),Table_Query_from_AMULTIQRY45[[#This Row],[WPROD]])</f>
        <v>WSOR231220011D-DU250N</v>
      </c>
      <c r="I683" s="4" t="s">
        <v>8436</v>
      </c>
      <c r="J683" s="1" t="s">
        <v>5</v>
      </c>
      <c r="L683" s="11">
        <v>0.53668000000000005</v>
      </c>
      <c r="M683" s="1"/>
      <c r="N683" s="1" t="s">
        <v>480</v>
      </c>
      <c r="P683" s="1" t="str">
        <f>CONCATENATE(Table_Query_from_AMULTIQRY45[[#This Row],[WWHS]],"-",Table_Query_from_AMULTIQRY45[[#This Row],[LLOC]])</f>
        <v>E1-FG</v>
      </c>
      <c r="Q683" s="10">
        <f t="shared" ca="1" si="21"/>
        <v>45775</v>
      </c>
      <c r="R683" s="10"/>
      <c r="S683" s="28">
        <v>36</v>
      </c>
      <c r="T683" s="1" t="s">
        <v>2</v>
      </c>
      <c r="U683" s="1" t="s">
        <v>729</v>
      </c>
      <c r="V683" s="1">
        <v>20190529</v>
      </c>
      <c r="W683" s="8" t="s">
        <v>8442</v>
      </c>
      <c r="Z683" s="1"/>
      <c r="AA683" s="1"/>
      <c r="AC683" s="1"/>
      <c r="AD683" s="1"/>
      <c r="AE683" s="1"/>
      <c r="AF683" s="1"/>
    </row>
    <row r="684" spans="2:32" ht="12.75" x14ac:dyDescent="0.2">
      <c r="B684" s="1" t="s">
        <v>9190</v>
      </c>
      <c r="C684" s="10">
        <f t="shared" ca="1" si="20"/>
        <v>45196</v>
      </c>
      <c r="D684" s="4"/>
      <c r="E684" s="4" t="s">
        <v>8434</v>
      </c>
      <c r="F684" s="4" t="s">
        <v>1293</v>
      </c>
      <c r="G684" s="4"/>
      <c r="H684" s="4" t="str">
        <f>_xlfn.IFNA(VLOOKUP(Table_Query_from_AMULTIQRY45[[#This Row],[WPROD]],'Part# with New'!$A$1:$B$4347,2,0),Table_Query_from_AMULTIQRY45[[#This Row],[WPROD]])</f>
        <v>WSNC125098012D-PXX00W</v>
      </c>
      <c r="I684" s="4" t="s">
        <v>8436</v>
      </c>
      <c r="J684" s="1" t="s">
        <v>5</v>
      </c>
      <c r="L684" s="11">
        <v>0.45356000000000002</v>
      </c>
      <c r="M684" s="1"/>
      <c r="N684" s="1" t="s">
        <v>6</v>
      </c>
      <c r="P684" s="1" t="str">
        <f>CONCATENATE(Table_Query_from_AMULTIQRY45[[#This Row],[WWHS]],"-",Table_Query_from_AMULTIQRY45[[#This Row],[LLOC]])</f>
        <v>E1-FG</v>
      </c>
      <c r="Q684" s="10">
        <f t="shared" ca="1" si="21"/>
        <v>45775</v>
      </c>
      <c r="R684" s="10"/>
      <c r="S684" s="28">
        <v>39</v>
      </c>
      <c r="T684" s="1" t="s">
        <v>2</v>
      </c>
      <c r="U684" s="1" t="s">
        <v>730</v>
      </c>
      <c r="V684" s="1">
        <v>20230927</v>
      </c>
      <c r="W684" s="8" t="s">
        <v>8442</v>
      </c>
      <c r="Z684" s="1"/>
      <c r="AA684" s="1"/>
      <c r="AC684" s="1"/>
      <c r="AD684" s="1"/>
      <c r="AE684" s="1"/>
      <c r="AF684" s="1"/>
    </row>
    <row r="685" spans="2:32" ht="12.75" x14ac:dyDescent="0.2">
      <c r="B685" s="1" t="s">
        <v>9191</v>
      </c>
      <c r="C685" s="10">
        <f t="shared" ca="1" si="20"/>
        <v>45769</v>
      </c>
      <c r="D685" s="4"/>
      <c r="E685" s="4" t="s">
        <v>8434</v>
      </c>
      <c r="F685" s="4" t="s">
        <v>1293</v>
      </c>
      <c r="G685" s="4"/>
      <c r="H685" s="4" t="str">
        <f>_xlfn.IFNA(VLOOKUP(Table_Query_from_AMULTIQRY45[[#This Row],[WPROD]],'Part# with New'!$A$1:$B$4347,2,0),Table_Query_from_AMULTIQRY45[[#This Row],[WPROD]])</f>
        <v>WSNC113068028Q-MXX00W</v>
      </c>
      <c r="I685" s="4" t="s">
        <v>8436</v>
      </c>
      <c r="J685" s="1" t="s">
        <v>5</v>
      </c>
      <c r="L685" s="11">
        <v>0.53900000000000003</v>
      </c>
      <c r="M685" s="1"/>
      <c r="N685" s="1" t="s">
        <v>6</v>
      </c>
      <c r="P685" s="1" t="str">
        <f>CONCATENATE(Table_Query_from_AMULTIQRY45[[#This Row],[WWHS]],"-",Table_Query_from_AMULTIQRY45[[#This Row],[LLOC]])</f>
        <v>E1-FG</v>
      </c>
      <c r="Q685" s="10">
        <f t="shared" ca="1" si="21"/>
        <v>45775</v>
      </c>
      <c r="R685" s="10"/>
      <c r="S685" s="28">
        <v>744</v>
      </c>
      <c r="T685" s="1" t="s">
        <v>2</v>
      </c>
      <c r="U685" s="1" t="s">
        <v>731</v>
      </c>
      <c r="V685" s="1">
        <v>20250422</v>
      </c>
      <c r="W685" s="8" t="s">
        <v>8442</v>
      </c>
      <c r="Z685" s="1"/>
      <c r="AA685" s="1"/>
      <c r="AC685" s="1"/>
      <c r="AD685" s="1"/>
      <c r="AE685" s="1"/>
      <c r="AF685" s="1"/>
    </row>
    <row r="686" spans="2:32" ht="12.75" x14ac:dyDescent="0.2">
      <c r="B686" s="1" t="s">
        <v>9192</v>
      </c>
      <c r="C686" s="10">
        <f t="shared" ca="1" si="20"/>
        <v>45348</v>
      </c>
      <c r="D686" s="4"/>
      <c r="E686" s="4" t="s">
        <v>8434</v>
      </c>
      <c r="F686" s="4" t="s">
        <v>1293</v>
      </c>
      <c r="G686" s="4"/>
      <c r="H686" s="4" t="str">
        <f>_xlfn.IFNA(VLOOKUP(Table_Query_from_AMULTIQRY45[[#This Row],[WPROD]],'Part# with New'!$A$1:$B$4347,2,0),Table_Query_from_AMULTIQRY45[[#This Row],[WPROD]])</f>
        <v>WPOT041037005D-MXX00T</v>
      </c>
      <c r="I686" s="4" t="s">
        <v>8436</v>
      </c>
      <c r="J686" s="1" t="s">
        <v>5</v>
      </c>
      <c r="L686" s="11">
        <v>6.028E-2</v>
      </c>
      <c r="M686" s="1"/>
      <c r="N686" s="1" t="s">
        <v>3</v>
      </c>
      <c r="P686" s="1" t="str">
        <f>CONCATENATE(Table_Query_from_AMULTIQRY45[[#This Row],[WWHS]],"-",Table_Query_from_AMULTIQRY45[[#This Row],[LLOC]])</f>
        <v>E1-FG</v>
      </c>
      <c r="Q686" s="10">
        <f t="shared" ca="1" si="21"/>
        <v>45775</v>
      </c>
      <c r="R686" s="10"/>
      <c r="S686" s="28">
        <v>158</v>
      </c>
      <c r="T686" s="1" t="s">
        <v>2</v>
      </c>
      <c r="U686" s="1" t="s">
        <v>732</v>
      </c>
      <c r="V686" s="1">
        <v>20240226</v>
      </c>
      <c r="W686" s="8" t="s">
        <v>8442</v>
      </c>
      <c r="Z686" s="1"/>
      <c r="AA686" s="1"/>
      <c r="AC686" s="1"/>
      <c r="AD686" s="1"/>
      <c r="AE686" s="1"/>
      <c r="AF686" s="1"/>
    </row>
    <row r="687" spans="2:32" ht="12.75" x14ac:dyDescent="0.2">
      <c r="B687" s="1" t="s">
        <v>9193</v>
      </c>
      <c r="C687" s="10">
        <f t="shared" ca="1" si="20"/>
        <v>45155</v>
      </c>
      <c r="D687" s="4"/>
      <c r="E687" s="4" t="s">
        <v>8434</v>
      </c>
      <c r="F687" s="4" t="s">
        <v>1293</v>
      </c>
      <c r="G687" s="4"/>
      <c r="H687" s="4" t="str">
        <f>_xlfn.IFNA(VLOOKUP(Table_Query_from_AMULTIQRY45[[#This Row],[WPROD]],'Part# with New'!$A$1:$B$4347,2,0),Table_Query_from_AMULTIQRY45[[#This Row],[WPROD]])</f>
        <v>WSLD568480020D-MSX50S</v>
      </c>
      <c r="I687" s="4" t="s">
        <v>8436</v>
      </c>
      <c r="J687" s="1" t="s">
        <v>5</v>
      </c>
      <c r="L687" s="11">
        <v>1.66631</v>
      </c>
      <c r="M687" s="1"/>
      <c r="N687" s="1" t="s">
        <v>328</v>
      </c>
      <c r="P687" s="1" t="str">
        <f>CONCATENATE(Table_Query_from_AMULTIQRY45[[#This Row],[WWHS]],"-",Table_Query_from_AMULTIQRY45[[#This Row],[LLOC]])</f>
        <v>E1-FG</v>
      </c>
      <c r="Q687" s="10">
        <f t="shared" ca="1" si="21"/>
        <v>45775</v>
      </c>
      <c r="R687" s="10"/>
      <c r="S687" s="28">
        <v>14</v>
      </c>
      <c r="T687" s="1" t="s">
        <v>2</v>
      </c>
      <c r="U687" s="1" t="s">
        <v>733</v>
      </c>
      <c r="V687" s="1">
        <v>20230817</v>
      </c>
      <c r="W687" s="8" t="s">
        <v>8442</v>
      </c>
      <c r="Z687" s="1"/>
      <c r="AA687" s="1"/>
      <c r="AC687" s="1"/>
      <c r="AD687" s="1"/>
      <c r="AE687" s="1"/>
      <c r="AF687" s="1"/>
    </row>
    <row r="688" spans="2:32" ht="12.75" x14ac:dyDescent="0.2">
      <c r="B688" s="1" t="s">
        <v>9194</v>
      </c>
      <c r="C688" s="10">
        <f t="shared" ca="1" si="20"/>
        <v>45547</v>
      </c>
      <c r="D688" s="4"/>
      <c r="E688" s="4" t="s">
        <v>8434</v>
      </c>
      <c r="F688" s="4" t="s">
        <v>1293</v>
      </c>
      <c r="G688" s="4"/>
      <c r="H688" s="4" t="str">
        <f>_xlfn.IFNA(VLOOKUP(Table_Query_from_AMULTIQRY45[[#This Row],[WPROD]],'Part# with New'!$A$1:$B$4347,2,0),Table_Query_from_AMULTIQRY45[[#This Row],[WPROD]])</f>
        <v>WPOT101087008D-PGX15W</v>
      </c>
      <c r="I688" s="4" t="s">
        <v>8436</v>
      </c>
      <c r="J688" s="1" t="s">
        <v>5</v>
      </c>
      <c r="L688" s="11">
        <v>0.10647</v>
      </c>
      <c r="M688" s="1"/>
      <c r="N688" s="1" t="s">
        <v>3</v>
      </c>
      <c r="P688" s="1" t="str">
        <f>CONCATENATE(Table_Query_from_AMULTIQRY45[[#This Row],[WWHS]],"-",Table_Query_from_AMULTIQRY45[[#This Row],[LLOC]])</f>
        <v>E1-FG</v>
      </c>
      <c r="Q688" s="10">
        <f t="shared" ca="1" si="21"/>
        <v>45775</v>
      </c>
      <c r="R688" s="10"/>
      <c r="S688" s="28">
        <v>891</v>
      </c>
      <c r="T688" s="1" t="s">
        <v>2</v>
      </c>
      <c r="U688" s="1" t="s">
        <v>734</v>
      </c>
      <c r="V688" s="1">
        <v>20240912</v>
      </c>
      <c r="W688" s="8" t="s">
        <v>8442</v>
      </c>
      <c r="Z688" s="1"/>
      <c r="AA688" s="1"/>
      <c r="AC688" s="1"/>
      <c r="AD688" s="1"/>
      <c r="AE688" s="1"/>
      <c r="AF688" s="1"/>
    </row>
    <row r="689" spans="2:32" ht="12.75" x14ac:dyDescent="0.2">
      <c r="B689" s="1" t="s">
        <v>9195</v>
      </c>
      <c r="C689" s="10">
        <f t="shared" ca="1" si="20"/>
        <v>44993</v>
      </c>
      <c r="D689" s="4"/>
      <c r="E689" s="4" t="s">
        <v>8434</v>
      </c>
      <c r="F689" s="4" t="s">
        <v>1293</v>
      </c>
      <c r="G689" s="4"/>
      <c r="H689" s="4" t="str">
        <f>_xlfn.IFNA(VLOOKUP(Table_Query_from_AMULTIQRY45[[#This Row],[WPROD]],'Part# with New'!$A$1:$B$4347,2,0),Table_Query_from_AMULTIQRY45[[#This Row],[WPROD]])</f>
        <v>WSNC109099017Q-MXX00T</v>
      </c>
      <c r="I689" s="4" t="s">
        <v>8436</v>
      </c>
      <c r="J689" s="1" t="s">
        <v>5</v>
      </c>
      <c r="L689" s="11">
        <v>0.36864999999999998</v>
      </c>
      <c r="M689" s="1"/>
      <c r="N689" s="1" t="s">
        <v>6</v>
      </c>
      <c r="P689" s="1" t="str">
        <f>CONCATENATE(Table_Query_from_AMULTIQRY45[[#This Row],[WWHS]],"-",Table_Query_from_AMULTIQRY45[[#This Row],[LLOC]])</f>
        <v>E1-FG</v>
      </c>
      <c r="Q689" s="10">
        <f t="shared" ca="1" si="21"/>
        <v>45775</v>
      </c>
      <c r="R689" s="10"/>
      <c r="S689" s="28">
        <v>180</v>
      </c>
      <c r="T689" s="1" t="s">
        <v>2</v>
      </c>
      <c r="U689" s="1" t="s">
        <v>735</v>
      </c>
      <c r="V689" s="1">
        <v>20230308</v>
      </c>
      <c r="W689" s="8" t="s">
        <v>8442</v>
      </c>
      <c r="Z689" s="1"/>
      <c r="AA689" s="1"/>
      <c r="AC689" s="1"/>
      <c r="AD689" s="1"/>
      <c r="AE689" s="1"/>
      <c r="AF689" s="1"/>
    </row>
    <row r="690" spans="2:32" ht="12.75" x14ac:dyDescent="0.2">
      <c r="B690" s="1" t="s">
        <v>9196</v>
      </c>
      <c r="C690" s="10">
        <f t="shared" ca="1" si="20"/>
        <v>43439</v>
      </c>
      <c r="D690" s="4"/>
      <c r="E690" s="4" t="s">
        <v>8434</v>
      </c>
      <c r="F690" s="4" t="s">
        <v>1293</v>
      </c>
      <c r="G690" s="4"/>
      <c r="H690" s="4" t="str">
        <f>_xlfn.IFNA(VLOOKUP(Table_Query_from_AMULTIQRY45[[#This Row],[WPROD]],'Part# with New'!$A$1:$B$4347,2,0),Table_Query_from_AMULTIQRY45[[#This Row],[WPROD]])</f>
        <v>WSMP026000026D-PXX00W</v>
      </c>
      <c r="I690" s="4" t="s">
        <v>8436</v>
      </c>
      <c r="J690" s="1" t="s">
        <v>5</v>
      </c>
      <c r="L690" s="11">
        <v>0.53461999999999998</v>
      </c>
      <c r="M690" s="1"/>
      <c r="N690" s="1" t="s">
        <v>18</v>
      </c>
      <c r="P690" s="1" t="str">
        <f>CONCATENATE(Table_Query_from_AMULTIQRY45[[#This Row],[WWHS]],"-",Table_Query_from_AMULTIQRY45[[#This Row],[LLOC]])</f>
        <v>E1-FG</v>
      </c>
      <c r="Q690" s="10">
        <f t="shared" ca="1" si="21"/>
        <v>45775</v>
      </c>
      <c r="R690" s="10"/>
      <c r="S690" s="28">
        <v>68</v>
      </c>
      <c r="T690" s="1" t="s">
        <v>2</v>
      </c>
      <c r="U690" s="1" t="s">
        <v>736</v>
      </c>
      <c r="V690" s="1">
        <v>20181205</v>
      </c>
      <c r="W690" s="8" t="s">
        <v>8442</v>
      </c>
      <c r="Z690" s="1"/>
      <c r="AA690" s="1"/>
      <c r="AC690" s="1"/>
      <c r="AD690" s="1"/>
      <c r="AE690" s="1"/>
      <c r="AF690" s="1"/>
    </row>
    <row r="691" spans="2:32" ht="12.75" x14ac:dyDescent="0.2">
      <c r="B691" s="1" t="s">
        <v>9197</v>
      </c>
      <c r="C691" s="10">
        <f t="shared" ca="1" si="20"/>
        <v>45618</v>
      </c>
      <c r="D691" s="4"/>
      <c r="E691" s="4" t="s">
        <v>8434</v>
      </c>
      <c r="F691" s="4" t="s">
        <v>1293</v>
      </c>
      <c r="G691" s="4"/>
      <c r="H691" s="4" t="str">
        <f>_xlfn.IFNA(VLOOKUP(Table_Query_from_AMULTIQRY45[[#This Row],[WPROD]],'Part# with New'!$A$1:$B$4347,2,0),Table_Query_from_AMULTIQRY45[[#This Row],[WPROD]])</f>
        <v>WSMP322306039B-PYX07N</v>
      </c>
      <c r="I691" s="4" t="s">
        <v>8436</v>
      </c>
      <c r="J691" s="1" t="s">
        <v>5</v>
      </c>
      <c r="L691" s="11">
        <v>2.24512</v>
      </c>
      <c r="M691" s="1"/>
      <c r="N691" s="1" t="s">
        <v>18</v>
      </c>
      <c r="P691" s="1" t="str">
        <f>CONCATENATE(Table_Query_from_AMULTIQRY45[[#This Row],[WWHS]],"-",Table_Query_from_AMULTIQRY45[[#This Row],[LLOC]])</f>
        <v>E1-FG</v>
      </c>
      <c r="Q691" s="10">
        <f t="shared" ca="1" si="21"/>
        <v>45775</v>
      </c>
      <c r="R691" s="10"/>
      <c r="S691" s="28">
        <v>216</v>
      </c>
      <c r="T691" s="1" t="s">
        <v>2</v>
      </c>
      <c r="U691" s="1" t="s">
        <v>737</v>
      </c>
      <c r="V691" s="1">
        <v>20241122</v>
      </c>
      <c r="W691" s="8" t="s">
        <v>8442</v>
      </c>
      <c r="Z691" s="1"/>
      <c r="AA691" s="1"/>
      <c r="AC691" s="1"/>
      <c r="AD691" s="1"/>
      <c r="AE691" s="1"/>
      <c r="AF691" s="1"/>
    </row>
    <row r="692" spans="2:32" ht="12.75" x14ac:dyDescent="0.2">
      <c r="B692" s="1" t="s">
        <v>9198</v>
      </c>
      <c r="C692" s="10">
        <f t="shared" ca="1" si="20"/>
        <v>45716</v>
      </c>
      <c r="D692" s="4"/>
      <c r="E692" s="4" t="s">
        <v>8434</v>
      </c>
      <c r="F692" s="4" t="s">
        <v>1293</v>
      </c>
      <c r="G692" s="4"/>
      <c r="H692" s="4" t="str">
        <f>_xlfn.IFNA(VLOOKUP(Table_Query_from_AMULTIQRY45[[#This Row],[WPROD]],'Part# with New'!$A$1:$B$4347,2,0),Table_Query_from_AMULTIQRY45[[#This Row],[WPROD]])</f>
        <v>WFFH402288020D-PXX00W</v>
      </c>
      <c r="I692" s="4" t="s">
        <v>8436</v>
      </c>
      <c r="J692" s="1" t="s">
        <v>5</v>
      </c>
      <c r="L692" s="11">
        <v>0.67379999999999995</v>
      </c>
      <c r="M692" s="1"/>
      <c r="N692" s="1" t="s">
        <v>15</v>
      </c>
      <c r="P692" s="1" t="str">
        <f>CONCATENATE(Table_Query_from_AMULTIQRY45[[#This Row],[WWHS]],"-",Table_Query_from_AMULTIQRY45[[#This Row],[LLOC]])</f>
        <v>E1-FG</v>
      </c>
      <c r="Q692" s="10">
        <f t="shared" ca="1" si="21"/>
        <v>45775</v>
      </c>
      <c r="R692" s="10"/>
      <c r="S692" s="28">
        <v>85</v>
      </c>
      <c r="T692" s="1" t="s">
        <v>2</v>
      </c>
      <c r="U692" s="1" t="s">
        <v>738</v>
      </c>
      <c r="V692" s="1">
        <v>20250228</v>
      </c>
      <c r="W692" s="8" t="s">
        <v>8442</v>
      </c>
      <c r="Z692" s="1"/>
      <c r="AA692" s="1"/>
      <c r="AC692" s="1"/>
      <c r="AD692" s="1"/>
      <c r="AE692" s="1"/>
      <c r="AF692" s="1"/>
    </row>
    <row r="693" spans="2:32" ht="12.75" x14ac:dyDescent="0.2">
      <c r="B693" s="1" t="s">
        <v>9199</v>
      </c>
      <c r="C693" s="10">
        <f t="shared" ca="1" si="20"/>
        <v>45716</v>
      </c>
      <c r="D693" s="4"/>
      <c r="E693" s="4" t="s">
        <v>8434</v>
      </c>
      <c r="F693" s="4" t="s">
        <v>1293</v>
      </c>
      <c r="G693" s="4"/>
      <c r="H693" s="4" t="str">
        <f>_xlfn.IFNA(VLOOKUP(Table_Query_from_AMULTIQRY45[[#This Row],[WPROD]],'Part# with New'!$A$1:$B$4347,2,0),Table_Query_from_AMULTIQRY45[[#This Row],[WPROD]])</f>
        <v>WSNC351337026Q-MXX00T</v>
      </c>
      <c r="I693" s="4" t="s">
        <v>8436</v>
      </c>
      <c r="J693" s="1" t="s">
        <v>5</v>
      </c>
      <c r="L693" s="11">
        <v>1.4169499999999999</v>
      </c>
      <c r="M693" s="1"/>
      <c r="N693" s="1" t="s">
        <v>6</v>
      </c>
      <c r="P693" s="1" t="str">
        <f>CONCATENATE(Table_Query_from_AMULTIQRY45[[#This Row],[WWHS]],"-",Table_Query_from_AMULTIQRY45[[#This Row],[LLOC]])</f>
        <v>E1-FG</v>
      </c>
      <c r="Q693" s="10">
        <f t="shared" ca="1" si="21"/>
        <v>45775</v>
      </c>
      <c r="R693" s="10"/>
      <c r="S693" s="28">
        <v>56</v>
      </c>
      <c r="T693" s="1" t="s">
        <v>2</v>
      </c>
      <c r="U693" s="1" t="s">
        <v>739</v>
      </c>
      <c r="V693" s="1">
        <v>20250228</v>
      </c>
      <c r="W693" s="8" t="s">
        <v>8442</v>
      </c>
      <c r="Z693" s="1"/>
      <c r="AA693" s="1"/>
      <c r="AC693" s="1"/>
      <c r="AD693" s="1"/>
      <c r="AE693" s="1"/>
      <c r="AF693" s="1"/>
    </row>
    <row r="694" spans="2:32" ht="12.75" x14ac:dyDescent="0.2">
      <c r="B694" s="1" t="s">
        <v>9200</v>
      </c>
      <c r="C694" s="10">
        <f t="shared" ca="1" si="20"/>
        <v>45362</v>
      </c>
      <c r="D694" s="4"/>
      <c r="E694" s="4" t="s">
        <v>8434</v>
      </c>
      <c r="F694" s="4" t="s">
        <v>1293</v>
      </c>
      <c r="G694" s="4"/>
      <c r="H694" s="4" t="str">
        <f>_xlfn.IFNA(VLOOKUP(Table_Query_from_AMULTIQRY45[[#This Row],[WPROD]],'Part# with New'!$A$1:$B$4347,2,0),Table_Query_from_AMULTIQRY45[[#This Row],[WPROD]])</f>
        <v>WPOS081056004S-PXX00W</v>
      </c>
      <c r="I694" s="4" t="s">
        <v>8436</v>
      </c>
      <c r="J694" s="1" t="s">
        <v>5</v>
      </c>
      <c r="L694" s="11">
        <v>0.11045000000000001</v>
      </c>
      <c r="M694" s="1"/>
      <c r="N694" s="1" t="s">
        <v>389</v>
      </c>
      <c r="P694" s="1" t="str">
        <f>CONCATENATE(Table_Query_from_AMULTIQRY45[[#This Row],[WWHS]],"-",Table_Query_from_AMULTIQRY45[[#This Row],[LLOC]])</f>
        <v>E1-FG</v>
      </c>
      <c r="Q694" s="10">
        <f t="shared" ca="1" si="21"/>
        <v>45775</v>
      </c>
      <c r="R694" s="10"/>
      <c r="S694" s="28">
        <v>378</v>
      </c>
      <c r="T694" s="1" t="s">
        <v>2</v>
      </c>
      <c r="U694" s="1" t="s">
        <v>740</v>
      </c>
      <c r="V694" s="1">
        <v>20240311</v>
      </c>
      <c r="W694" s="8" t="s">
        <v>8442</v>
      </c>
      <c r="Z694" s="1"/>
      <c r="AA694" s="1"/>
      <c r="AC694" s="1"/>
      <c r="AD694" s="1"/>
      <c r="AE694" s="1"/>
      <c r="AF694" s="1"/>
    </row>
    <row r="695" spans="2:32" ht="12.75" x14ac:dyDescent="0.2">
      <c r="B695" s="1" t="s">
        <v>9201</v>
      </c>
      <c r="C695" s="10">
        <f t="shared" ca="1" si="20"/>
        <v>44424</v>
      </c>
      <c r="D695" s="4"/>
      <c r="E695" s="4" t="s">
        <v>8434</v>
      </c>
      <c r="F695" s="4" t="s">
        <v>1293</v>
      </c>
      <c r="G695" s="4"/>
      <c r="H695" s="4" t="str">
        <f>_xlfn.IFNA(VLOOKUP(Table_Query_from_AMULTIQRY45[[#This Row],[WPROD]],'Part# with New'!$A$1:$B$4347,2,0),Table_Query_from_AMULTIQRY45[[#This Row],[WPROD]])</f>
        <v>WSNC200175007D-PCR23K</v>
      </c>
      <c r="I695" s="4" t="s">
        <v>8436</v>
      </c>
      <c r="J695" s="1" t="s">
        <v>5</v>
      </c>
      <c r="L695" s="11">
        <v>0.22065000000000001</v>
      </c>
      <c r="M695" s="1"/>
      <c r="N695" s="1" t="s">
        <v>6</v>
      </c>
      <c r="P695" s="1" t="str">
        <f>CONCATENATE(Table_Query_from_AMULTIQRY45[[#This Row],[WWHS]],"-",Table_Query_from_AMULTIQRY45[[#This Row],[LLOC]])</f>
        <v>E1-FG</v>
      </c>
      <c r="Q695" s="10">
        <f t="shared" ca="1" si="21"/>
        <v>45775</v>
      </c>
      <c r="R695" s="10"/>
      <c r="S695" s="28">
        <v>35</v>
      </c>
      <c r="T695" s="1" t="s">
        <v>2</v>
      </c>
      <c r="U695" s="1" t="s">
        <v>741</v>
      </c>
      <c r="V695" s="1">
        <v>20210816</v>
      </c>
      <c r="W695" s="8" t="s">
        <v>8442</v>
      </c>
      <c r="Z695" s="1"/>
      <c r="AA695" s="1"/>
      <c r="AC695" s="1"/>
      <c r="AD695" s="1"/>
      <c r="AE695" s="1"/>
      <c r="AF695" s="1"/>
    </row>
    <row r="696" spans="2:32" ht="12.75" x14ac:dyDescent="0.2">
      <c r="B696" s="1" t="s">
        <v>9202</v>
      </c>
      <c r="C696" s="10">
        <f t="shared" ca="1" si="20"/>
        <v>45756</v>
      </c>
      <c r="D696" s="4"/>
      <c r="E696" s="4" t="s">
        <v>8434</v>
      </c>
      <c r="F696" s="4" t="s">
        <v>1293</v>
      </c>
      <c r="G696" s="4"/>
      <c r="H696" s="4" t="str">
        <f>_xlfn.IFNA(VLOOKUP(Table_Query_from_AMULTIQRY45[[#This Row],[WPROD]],'Part# with New'!$A$1:$B$4347,2,0),Table_Query_from_AMULTIQRY45[[#This Row],[WPROD]])</f>
        <v>23727</v>
      </c>
      <c r="I696" s="4" t="s">
        <v>8436</v>
      </c>
      <c r="J696" s="1" t="s">
        <v>5</v>
      </c>
      <c r="L696" s="11">
        <v>0.11090999999999999</v>
      </c>
      <c r="M696" s="1"/>
      <c r="N696" s="1" t="s">
        <v>15</v>
      </c>
      <c r="P696" s="1" t="str">
        <f>CONCATENATE(Table_Query_from_AMULTIQRY45[[#This Row],[WWHS]],"-",Table_Query_from_AMULTIQRY45[[#This Row],[LLOC]])</f>
        <v>E1-FG</v>
      </c>
      <c r="Q696" s="10">
        <f t="shared" ca="1" si="21"/>
        <v>45775</v>
      </c>
      <c r="R696" s="10"/>
      <c r="S696" s="28">
        <v>74</v>
      </c>
      <c r="T696" s="1" t="s">
        <v>2</v>
      </c>
      <c r="U696" s="1" t="s">
        <v>742</v>
      </c>
      <c r="V696" s="1">
        <v>20250409</v>
      </c>
      <c r="W696" s="8" t="s">
        <v>8442</v>
      </c>
      <c r="Z696" s="1"/>
      <c r="AA696" s="1"/>
      <c r="AC696" s="1"/>
      <c r="AD696" s="1"/>
      <c r="AE696" s="1"/>
      <c r="AF696" s="1"/>
    </row>
    <row r="697" spans="2:32" ht="12.75" x14ac:dyDescent="0.2">
      <c r="B697" s="1" t="s">
        <v>9203</v>
      </c>
      <c r="C697" s="10">
        <f t="shared" ca="1" si="20"/>
        <v>45331</v>
      </c>
      <c r="D697" s="4"/>
      <c r="E697" s="4" t="s">
        <v>8434</v>
      </c>
      <c r="F697" s="4" t="s">
        <v>1293</v>
      </c>
      <c r="G697" s="4"/>
      <c r="H697" s="4" t="str">
        <f>_xlfn.IFNA(VLOOKUP(Table_Query_from_AMULTIQRY45[[#This Row],[WPROD]],'Part# with New'!$A$1:$B$4347,2,0),Table_Query_from_AMULTIQRY45[[#This Row],[WPROD]])</f>
        <v>WPOT313302010D-PGX25W</v>
      </c>
      <c r="I697" s="4" t="s">
        <v>8436</v>
      </c>
      <c r="J697" s="1" t="s">
        <v>5</v>
      </c>
      <c r="L697" s="11">
        <v>0.38738</v>
      </c>
      <c r="M697" s="1"/>
      <c r="N697" s="1" t="s">
        <v>3</v>
      </c>
      <c r="P697" s="1" t="str">
        <f>CONCATENATE(Table_Query_from_AMULTIQRY45[[#This Row],[WWHS]],"-",Table_Query_from_AMULTIQRY45[[#This Row],[LLOC]])</f>
        <v>E1-FG</v>
      </c>
      <c r="Q697" s="10">
        <f t="shared" ca="1" si="21"/>
        <v>45775</v>
      </c>
      <c r="R697" s="10"/>
      <c r="S697" s="28">
        <v>288</v>
      </c>
      <c r="T697" s="1" t="s">
        <v>2</v>
      </c>
      <c r="U697" s="1" t="s">
        <v>743</v>
      </c>
      <c r="V697" s="1">
        <v>20240209</v>
      </c>
      <c r="W697" s="8" t="s">
        <v>8442</v>
      </c>
      <c r="Z697" s="1"/>
      <c r="AA697" s="1"/>
      <c r="AC697" s="1"/>
      <c r="AD697" s="1"/>
      <c r="AE697" s="1"/>
      <c r="AF697" s="1"/>
    </row>
    <row r="698" spans="2:32" ht="12.75" x14ac:dyDescent="0.2">
      <c r="B698" s="1" t="s">
        <v>9204</v>
      </c>
      <c r="C698" s="10">
        <f t="shared" ca="1" si="20"/>
        <v>43500</v>
      </c>
      <c r="D698" s="4"/>
      <c r="E698" s="4" t="s">
        <v>8434</v>
      </c>
      <c r="F698" s="4" t="s">
        <v>1293</v>
      </c>
      <c r="G698" s="4"/>
      <c r="H698" s="4" t="str">
        <f>_xlfn.IFNA(VLOOKUP(Table_Query_from_AMULTIQRY45[[#This Row],[WPROD]],'Part# with New'!$A$1:$B$4347,2,0),Table_Query_from_AMULTIQRY45[[#This Row],[WPROD]])</f>
        <v>WSMP464350170L-PSX05S</v>
      </c>
      <c r="I698" s="4" t="s">
        <v>8436</v>
      </c>
      <c r="J698" s="1" t="s">
        <v>5</v>
      </c>
      <c r="L698" s="11">
        <v>34.740940000000002</v>
      </c>
      <c r="M698" s="1"/>
      <c r="N698" s="1" t="s">
        <v>11</v>
      </c>
      <c r="P698" s="1" t="str">
        <f>CONCATENATE(Table_Query_from_AMULTIQRY45[[#This Row],[WWHS]],"-",Table_Query_from_AMULTIQRY45[[#This Row],[LLOC]])</f>
        <v>E1-FG</v>
      </c>
      <c r="Q698" s="10">
        <f t="shared" ca="1" si="21"/>
        <v>45775</v>
      </c>
      <c r="R698" s="10"/>
      <c r="S698" s="28">
        <v>11</v>
      </c>
      <c r="T698" s="1" t="s">
        <v>2</v>
      </c>
      <c r="U698" s="1" t="s">
        <v>744</v>
      </c>
      <c r="V698" s="1">
        <v>20190204</v>
      </c>
      <c r="W698" s="8" t="s">
        <v>8442</v>
      </c>
      <c r="Z698" s="1"/>
      <c r="AA698" s="1"/>
      <c r="AC698" s="1"/>
      <c r="AD698" s="1"/>
      <c r="AE698" s="1"/>
      <c r="AF698" s="1"/>
    </row>
    <row r="699" spans="2:32" ht="12.75" x14ac:dyDescent="0.2">
      <c r="B699" s="1" t="s">
        <v>9205</v>
      </c>
      <c r="C699" s="10">
        <f t="shared" ca="1" si="20"/>
        <v>43742</v>
      </c>
      <c r="D699" s="4"/>
      <c r="E699" s="4" t="s">
        <v>8434</v>
      </c>
      <c r="F699" s="4" t="s">
        <v>1293</v>
      </c>
      <c r="G699" s="4"/>
      <c r="H699" s="4" t="str">
        <f>_xlfn.IFNA(VLOOKUP(Table_Query_from_AMULTIQRY45[[#This Row],[WPROD]],'Part# with New'!$A$1:$B$4347,2,0),Table_Query_from_AMULTIQRY45[[#This Row],[WPROD]])</f>
        <v>WFFH304236018D-PSB50B</v>
      </c>
      <c r="I699" s="4" t="s">
        <v>8436</v>
      </c>
      <c r="J699" s="1" t="s">
        <v>5</v>
      </c>
      <c r="L699" s="11">
        <v>0.87358000000000002</v>
      </c>
      <c r="M699" s="1"/>
      <c r="N699" s="1" t="s">
        <v>15</v>
      </c>
      <c r="P699" s="1" t="str">
        <f>CONCATENATE(Table_Query_from_AMULTIQRY45[[#This Row],[WWHS]],"-",Table_Query_from_AMULTIQRY45[[#This Row],[LLOC]])</f>
        <v>E1-FG</v>
      </c>
      <c r="Q699" s="10">
        <f t="shared" ca="1" si="21"/>
        <v>45775</v>
      </c>
      <c r="R699" s="10"/>
      <c r="S699" s="28">
        <v>156</v>
      </c>
      <c r="T699" s="1" t="s">
        <v>2</v>
      </c>
      <c r="U699" s="1" t="s">
        <v>745</v>
      </c>
      <c r="V699" s="1">
        <v>20191004</v>
      </c>
      <c r="W699" s="8" t="s">
        <v>8442</v>
      </c>
      <c r="Z699" s="1"/>
      <c r="AA699" s="1"/>
      <c r="AC699" s="1"/>
      <c r="AD699" s="1"/>
      <c r="AE699" s="1"/>
      <c r="AF699" s="1"/>
    </row>
    <row r="700" spans="2:32" ht="12.75" x14ac:dyDescent="0.2">
      <c r="B700" s="1" t="s">
        <v>9206</v>
      </c>
      <c r="C700" s="10">
        <f t="shared" ca="1" si="20"/>
        <v>45212</v>
      </c>
      <c r="D700" s="4"/>
      <c r="E700" s="4" t="s">
        <v>8434</v>
      </c>
      <c r="F700" s="4" t="s">
        <v>1293</v>
      </c>
      <c r="G700" s="4"/>
      <c r="H700" s="4" t="str">
        <f>_xlfn.IFNA(VLOOKUP(Table_Query_from_AMULTIQRY45[[#This Row],[WPROD]],'Part# with New'!$A$1:$B$4347,2,0),Table_Query_from_AMULTIQRY45[[#This Row],[WPROD]])</f>
        <v>WSOR087068009D-DA100N</v>
      </c>
      <c r="I700" s="4" t="s">
        <v>8436</v>
      </c>
      <c r="J700" s="1" t="s">
        <v>5</v>
      </c>
      <c r="L700" s="11">
        <v>0.23993999999999999</v>
      </c>
      <c r="M700" s="1"/>
      <c r="N700" s="1" t="s">
        <v>480</v>
      </c>
      <c r="P700" s="1" t="str">
        <f>CONCATENATE(Table_Query_from_AMULTIQRY45[[#This Row],[WWHS]],"-",Table_Query_from_AMULTIQRY45[[#This Row],[LLOC]])</f>
        <v>E1-FG</v>
      </c>
      <c r="Q700" s="10">
        <f t="shared" ca="1" si="21"/>
        <v>45775</v>
      </c>
      <c r="R700" s="10"/>
      <c r="S700" s="28">
        <v>368</v>
      </c>
      <c r="T700" s="1" t="s">
        <v>2</v>
      </c>
      <c r="U700" s="1" t="s">
        <v>746</v>
      </c>
      <c r="V700" s="1">
        <v>20231013</v>
      </c>
      <c r="W700" s="8" t="s">
        <v>8442</v>
      </c>
      <c r="Z700" s="1"/>
      <c r="AA700" s="1"/>
      <c r="AC700" s="1"/>
      <c r="AD700" s="1"/>
      <c r="AE700" s="1"/>
      <c r="AF700" s="1"/>
    </row>
    <row r="701" spans="2:32" ht="12.75" x14ac:dyDescent="0.2">
      <c r="B701" s="1" t="s">
        <v>9207</v>
      </c>
      <c r="C701" s="10">
        <f t="shared" ca="1" si="20"/>
        <v>45558</v>
      </c>
      <c r="D701" s="4"/>
      <c r="E701" s="4" t="s">
        <v>8434</v>
      </c>
      <c r="F701" s="4" t="s">
        <v>1293</v>
      </c>
      <c r="G701" s="4"/>
      <c r="H701" s="4" t="str">
        <f>_xlfn.IFNA(VLOOKUP(Table_Query_from_AMULTIQRY45[[#This Row],[WPROD]],'Part# with New'!$A$1:$B$4347,2,0),Table_Query_from_AMULTIQRY45[[#This Row],[WPROD]])</f>
        <v>WSNC281258012D-MXX00W</v>
      </c>
      <c r="I701" s="4" t="s">
        <v>8436</v>
      </c>
      <c r="J701" s="1" t="s">
        <v>5</v>
      </c>
      <c r="L701" s="11">
        <v>1.0976399999999999</v>
      </c>
      <c r="M701" s="1"/>
      <c r="N701" s="1" t="s">
        <v>6</v>
      </c>
      <c r="P701" s="1" t="str">
        <f>CONCATENATE(Table_Query_from_AMULTIQRY45[[#This Row],[WWHS]],"-",Table_Query_from_AMULTIQRY45[[#This Row],[LLOC]])</f>
        <v>E1-FG</v>
      </c>
      <c r="Q701" s="10">
        <f t="shared" ca="1" si="21"/>
        <v>45775</v>
      </c>
      <c r="R701" s="10"/>
      <c r="S701" s="28">
        <v>38</v>
      </c>
      <c r="T701" s="1" t="s">
        <v>2</v>
      </c>
      <c r="U701" s="1" t="s">
        <v>747</v>
      </c>
      <c r="V701" s="1">
        <v>20240923</v>
      </c>
      <c r="W701" s="8" t="s">
        <v>8442</v>
      </c>
      <c r="Z701" s="1"/>
      <c r="AA701" s="1"/>
      <c r="AC701" s="1"/>
      <c r="AD701" s="1"/>
      <c r="AE701" s="1"/>
      <c r="AF701" s="1"/>
    </row>
    <row r="702" spans="2:32" ht="12.75" x14ac:dyDescent="0.2">
      <c r="B702" s="1" t="s">
        <v>9208</v>
      </c>
      <c r="C702" s="10">
        <f t="shared" ca="1" si="20"/>
        <v>45709</v>
      </c>
      <c r="D702" s="4"/>
      <c r="E702" s="4" t="s">
        <v>8434</v>
      </c>
      <c r="F702" s="4" t="s">
        <v>1293</v>
      </c>
      <c r="G702" s="4"/>
      <c r="H702" s="4" t="str">
        <f>_xlfn.IFNA(VLOOKUP(Table_Query_from_AMULTIQRY45[[#This Row],[WPROD]],'Part# with New'!$A$1:$B$4347,2,0),Table_Query_from_AMULTIQRY45[[#This Row],[WPROD]])</f>
        <v>WSNC206181011D-MXX00W</v>
      </c>
      <c r="I702" s="4" t="s">
        <v>8436</v>
      </c>
      <c r="J702" s="1" t="s">
        <v>5</v>
      </c>
      <c r="L702" s="11">
        <v>1.0296000000000001</v>
      </c>
      <c r="M702" s="1"/>
      <c r="N702" s="1" t="s">
        <v>6</v>
      </c>
      <c r="P702" s="1" t="str">
        <f>CONCATENATE(Table_Query_from_AMULTIQRY45[[#This Row],[WWHS]],"-",Table_Query_from_AMULTIQRY45[[#This Row],[LLOC]])</f>
        <v>E1-FG</v>
      </c>
      <c r="Q702" s="10">
        <f t="shared" ca="1" si="21"/>
        <v>45775</v>
      </c>
      <c r="R702" s="10"/>
      <c r="S702" s="28">
        <v>72</v>
      </c>
      <c r="T702" s="1" t="s">
        <v>2</v>
      </c>
      <c r="U702" s="1" t="s">
        <v>748</v>
      </c>
      <c r="V702" s="1">
        <v>20250221</v>
      </c>
      <c r="W702" s="8" t="s">
        <v>8442</v>
      </c>
      <c r="Z702" s="1"/>
      <c r="AA702" s="1"/>
      <c r="AC702" s="1"/>
      <c r="AD702" s="1"/>
      <c r="AE702" s="1"/>
      <c r="AF702" s="1"/>
    </row>
    <row r="703" spans="2:32" ht="12.75" x14ac:dyDescent="0.2">
      <c r="B703" s="1" t="s">
        <v>9209</v>
      </c>
      <c r="C703" s="10">
        <f t="shared" ca="1" si="20"/>
        <v>43809</v>
      </c>
      <c r="D703" s="4"/>
      <c r="E703" s="4" t="s">
        <v>8434</v>
      </c>
      <c r="F703" s="4" t="s">
        <v>1293</v>
      </c>
      <c r="G703" s="4"/>
      <c r="H703" s="4" t="str">
        <f>_xlfn.IFNA(VLOOKUP(Table_Query_from_AMULTIQRY45[[#This Row],[WPROD]],'Part# with New'!$A$1:$B$4347,2,0),Table_Query_from_AMULTIQRY45[[#This Row],[WPROD]])</f>
        <v>WSOR137081006D-DF150N</v>
      </c>
      <c r="I703" s="4" t="s">
        <v>8436</v>
      </c>
      <c r="J703" s="1" t="s">
        <v>5</v>
      </c>
      <c r="L703" s="11">
        <v>0.44456000000000001</v>
      </c>
      <c r="M703" s="1"/>
      <c r="N703" s="1" t="s">
        <v>480</v>
      </c>
      <c r="P703" s="1" t="str">
        <f>CONCATENATE(Table_Query_from_AMULTIQRY45[[#This Row],[WWHS]],"-",Table_Query_from_AMULTIQRY45[[#This Row],[LLOC]])</f>
        <v>E1-FG</v>
      </c>
      <c r="Q703" s="10">
        <f t="shared" ca="1" si="21"/>
        <v>45775</v>
      </c>
      <c r="R703" s="10"/>
      <c r="S703" s="28">
        <v>87</v>
      </c>
      <c r="T703" s="1" t="s">
        <v>2</v>
      </c>
      <c r="U703" s="1" t="s">
        <v>749</v>
      </c>
      <c r="V703" s="1">
        <v>20191210</v>
      </c>
      <c r="W703" s="8" t="s">
        <v>8442</v>
      </c>
      <c r="Z703" s="1"/>
      <c r="AA703" s="1"/>
      <c r="AC703" s="1"/>
      <c r="AD703" s="1"/>
      <c r="AE703" s="1"/>
      <c r="AF703" s="1"/>
    </row>
    <row r="704" spans="2:32" ht="12.75" x14ac:dyDescent="0.2">
      <c r="B704" s="1" t="s">
        <v>9210</v>
      </c>
      <c r="C704" s="10">
        <f t="shared" ca="1" si="20"/>
        <v>45645</v>
      </c>
      <c r="D704" s="4"/>
      <c r="E704" s="4" t="s">
        <v>8434</v>
      </c>
      <c r="F704" s="4" t="s">
        <v>1293</v>
      </c>
      <c r="G704" s="4"/>
      <c r="H704" s="4" t="str">
        <f>_xlfn.IFNA(VLOOKUP(Table_Query_from_AMULTIQRY45[[#This Row],[WPROD]],'Part# with New'!$A$1:$B$4347,2,0),Table_Query_from_AMULTIQRY45[[#This Row],[WPROD]])</f>
        <v>WFFL062044005D-PGX15W</v>
      </c>
      <c r="I704" s="4" t="s">
        <v>8436</v>
      </c>
      <c r="J704" s="1" t="s">
        <v>5</v>
      </c>
      <c r="L704" s="11">
        <v>0.13286999999999999</v>
      </c>
      <c r="M704" s="1"/>
      <c r="N704" s="1" t="s">
        <v>346</v>
      </c>
      <c r="P704" s="1" t="str">
        <f>CONCATENATE(Table_Query_from_AMULTIQRY45[[#This Row],[WWHS]],"-",Table_Query_from_AMULTIQRY45[[#This Row],[LLOC]])</f>
        <v>E1-FG</v>
      </c>
      <c r="Q704" s="10">
        <f t="shared" ca="1" si="21"/>
        <v>45775</v>
      </c>
      <c r="R704" s="10"/>
      <c r="S704" s="28">
        <v>59166</v>
      </c>
      <c r="T704" s="1" t="s">
        <v>2</v>
      </c>
      <c r="U704" s="1" t="s">
        <v>750</v>
      </c>
      <c r="V704" s="1">
        <v>20241219</v>
      </c>
      <c r="W704" s="8" t="s">
        <v>8442</v>
      </c>
      <c r="Z704" s="1"/>
      <c r="AA704" s="1"/>
      <c r="AC704" s="1"/>
      <c r="AD704" s="1"/>
      <c r="AE704" s="1"/>
      <c r="AF704" s="1"/>
    </row>
    <row r="705" spans="2:32" ht="12.75" x14ac:dyDescent="0.2">
      <c r="B705" s="1" t="s">
        <v>9211</v>
      </c>
      <c r="C705" s="10">
        <f t="shared" ca="1" si="20"/>
        <v>45453</v>
      </c>
      <c r="D705" s="4"/>
      <c r="E705" s="4" t="s">
        <v>8434</v>
      </c>
      <c r="F705" s="4" t="s">
        <v>1293</v>
      </c>
      <c r="G705" s="4"/>
      <c r="H705" s="4" t="str">
        <f>_xlfn.IFNA(VLOOKUP(Table_Query_from_AMULTIQRY45[[#This Row],[WPROD]],'Part# with New'!$A$1:$B$4347,2,0),Table_Query_from_AMULTIQRY45[[#This Row],[WPROD]])</f>
        <v>WSNC188163011D-MXX00W</v>
      </c>
      <c r="I705" s="4" t="s">
        <v>8436</v>
      </c>
      <c r="J705" s="1" t="s">
        <v>5</v>
      </c>
      <c r="L705" s="11">
        <v>0.71089999999999998</v>
      </c>
      <c r="M705" s="1"/>
      <c r="N705" s="1" t="s">
        <v>6</v>
      </c>
      <c r="P705" s="1" t="str">
        <f>CONCATENATE(Table_Query_from_AMULTIQRY45[[#This Row],[WWHS]],"-",Table_Query_from_AMULTIQRY45[[#This Row],[LLOC]])</f>
        <v>E1-FG</v>
      </c>
      <c r="Q705" s="10">
        <f t="shared" ca="1" si="21"/>
        <v>45775</v>
      </c>
      <c r="R705" s="10"/>
      <c r="S705" s="28">
        <v>48</v>
      </c>
      <c r="T705" s="1" t="s">
        <v>2</v>
      </c>
      <c r="U705" s="1" t="s">
        <v>751</v>
      </c>
      <c r="V705" s="1">
        <v>20240610</v>
      </c>
      <c r="W705" s="8" t="s">
        <v>8442</v>
      </c>
      <c r="Z705" s="1"/>
      <c r="AA705" s="1"/>
      <c r="AC705" s="1"/>
      <c r="AD705" s="1"/>
      <c r="AE705" s="1"/>
      <c r="AF705" s="1"/>
    </row>
    <row r="706" spans="2:32" ht="12.75" x14ac:dyDescent="0.2">
      <c r="B706" s="1" t="s">
        <v>9212</v>
      </c>
      <c r="C706" s="10">
        <f t="shared" ca="1" si="20"/>
        <v>45225</v>
      </c>
      <c r="D706" s="4"/>
      <c r="E706" s="4" t="s">
        <v>8434</v>
      </c>
      <c r="F706" s="4" t="s">
        <v>1293</v>
      </c>
      <c r="G706" s="4"/>
      <c r="H706" s="4" t="str">
        <f>_xlfn.IFNA(VLOOKUP(Table_Query_from_AMULTIQRY45[[#This Row],[WPROD]],'Part# with New'!$A$1:$B$4347,2,0),Table_Query_from_AMULTIQRY45[[#This Row],[WPROD]])</f>
        <v>WFFL035000011D-PXX00W</v>
      </c>
      <c r="I706" s="4" t="s">
        <v>8436</v>
      </c>
      <c r="J706" s="1" t="s">
        <v>5</v>
      </c>
      <c r="L706" s="11">
        <v>0.16628999999999999</v>
      </c>
      <c r="M706" s="1"/>
      <c r="N706" s="1" t="s">
        <v>346</v>
      </c>
      <c r="P706" s="1" t="str">
        <f>CONCATENATE(Table_Query_from_AMULTIQRY45[[#This Row],[WWHS]],"-",Table_Query_from_AMULTIQRY45[[#This Row],[LLOC]])</f>
        <v>E1-FG</v>
      </c>
      <c r="Q706" s="10">
        <f t="shared" ca="1" si="21"/>
        <v>45775</v>
      </c>
      <c r="R706" s="10"/>
      <c r="S706" s="28">
        <v>1465</v>
      </c>
      <c r="T706" s="1" t="s">
        <v>2</v>
      </c>
      <c r="U706" s="1" t="s">
        <v>752</v>
      </c>
      <c r="V706" s="1">
        <v>20231026</v>
      </c>
      <c r="W706" s="8" t="s">
        <v>8442</v>
      </c>
      <c r="Z706" s="1"/>
      <c r="AA706" s="1"/>
      <c r="AC706" s="1"/>
      <c r="AD706" s="1"/>
      <c r="AE706" s="1"/>
      <c r="AF706" s="1"/>
    </row>
    <row r="707" spans="2:32" ht="12.75" x14ac:dyDescent="0.2">
      <c r="B707" s="1" t="s">
        <v>9213</v>
      </c>
      <c r="C707" s="10">
        <f t="shared" ca="1" si="20"/>
        <v>45412</v>
      </c>
      <c r="D707" s="4"/>
      <c r="E707" s="4" t="s">
        <v>8434</v>
      </c>
      <c r="F707" s="4" t="s">
        <v>1293</v>
      </c>
      <c r="G707" s="4"/>
      <c r="H707" s="4" t="str">
        <f>_xlfn.IFNA(VLOOKUP(Table_Query_from_AMULTIQRY45[[#This Row],[WPROD]],'Part# with New'!$A$1:$B$4347,2,0),Table_Query_from_AMULTIQRY45[[#This Row],[WPROD]])</f>
        <v>WPOT036033007D-MXX00T</v>
      </c>
      <c r="I707" s="4" t="s">
        <v>8436</v>
      </c>
      <c r="J707" s="1" t="s">
        <v>5</v>
      </c>
      <c r="L707" s="11">
        <v>8.0049999999999996E-2</v>
      </c>
      <c r="M707" s="1"/>
      <c r="N707" s="1" t="s">
        <v>3</v>
      </c>
      <c r="P707" s="1" t="str">
        <f>CONCATENATE(Table_Query_from_AMULTIQRY45[[#This Row],[WWHS]],"-",Table_Query_from_AMULTIQRY45[[#This Row],[LLOC]])</f>
        <v>E1-FG</v>
      </c>
      <c r="Q707" s="10">
        <f t="shared" ca="1" si="21"/>
        <v>45775</v>
      </c>
      <c r="R707" s="10"/>
      <c r="S707" s="28">
        <v>247</v>
      </c>
      <c r="T707" s="1" t="s">
        <v>2</v>
      </c>
      <c r="U707" s="1" t="s">
        <v>753</v>
      </c>
      <c r="V707" s="1">
        <v>20240430</v>
      </c>
      <c r="W707" s="8" t="s">
        <v>8442</v>
      </c>
      <c r="Z707" s="1"/>
      <c r="AA707" s="1"/>
      <c r="AC707" s="1"/>
      <c r="AD707" s="1"/>
      <c r="AE707" s="1"/>
      <c r="AF707" s="1"/>
    </row>
    <row r="708" spans="2:32" ht="12.75" x14ac:dyDescent="0.2">
      <c r="B708" s="1" t="s">
        <v>9214</v>
      </c>
      <c r="C708" s="10">
        <f t="shared" ca="1" si="20"/>
        <v>45127</v>
      </c>
      <c r="D708" s="4"/>
      <c r="E708" s="4" t="s">
        <v>8434</v>
      </c>
      <c r="F708" s="4" t="s">
        <v>1293</v>
      </c>
      <c r="G708" s="4"/>
      <c r="H708" s="4" t="str">
        <f>_xlfn.IFNA(VLOOKUP(Table_Query_from_AMULTIQRY45[[#This Row],[WPROD]],'Part# with New'!$A$1:$B$4347,2,0),Table_Query_from_AMULTIQRY45[[#This Row],[WPROD]])</f>
        <v>WSMP402372023D-PYX07N</v>
      </c>
      <c r="I708" s="4" t="s">
        <v>8436</v>
      </c>
      <c r="J708" s="1" t="s">
        <v>5</v>
      </c>
      <c r="L708" s="11">
        <v>1.36307</v>
      </c>
      <c r="M708" s="1"/>
      <c r="N708" s="1" t="s">
        <v>18</v>
      </c>
      <c r="P708" s="1" t="str">
        <f>CONCATENATE(Table_Query_from_AMULTIQRY45[[#This Row],[WWHS]],"-",Table_Query_from_AMULTIQRY45[[#This Row],[LLOC]])</f>
        <v>E1-FG</v>
      </c>
      <c r="Q708" s="10">
        <f t="shared" ca="1" si="21"/>
        <v>45775</v>
      </c>
      <c r="R708" s="10"/>
      <c r="S708" s="28">
        <v>143</v>
      </c>
      <c r="T708" s="1" t="s">
        <v>2</v>
      </c>
      <c r="U708" s="1" t="s">
        <v>754</v>
      </c>
      <c r="V708" s="1">
        <v>20230720</v>
      </c>
      <c r="W708" s="8" t="s">
        <v>8442</v>
      </c>
      <c r="Z708" s="1"/>
      <c r="AA708" s="1"/>
      <c r="AC708" s="1"/>
      <c r="AD708" s="1"/>
      <c r="AE708" s="1"/>
      <c r="AF708" s="1"/>
    </row>
    <row r="709" spans="2:32" ht="12.75" x14ac:dyDescent="0.2">
      <c r="B709" s="1" t="s">
        <v>9215</v>
      </c>
      <c r="C709" s="10">
        <f t="shared" ca="1" si="20"/>
        <v>45482</v>
      </c>
      <c r="D709" s="4"/>
      <c r="E709" s="4" t="s">
        <v>8434</v>
      </c>
      <c r="F709" s="4" t="s">
        <v>1293</v>
      </c>
      <c r="G709" s="4"/>
      <c r="H709" s="4" t="str">
        <f>_xlfn.IFNA(VLOOKUP(Table_Query_from_AMULTIQRY45[[#This Row],[WPROD]],'Part# with New'!$A$1:$B$4347,2,0),Table_Query_from_AMULTIQRY45[[#This Row],[WPROD]])</f>
        <v>WSNC080063011D-PGX15W</v>
      </c>
      <c r="I709" s="4" t="s">
        <v>8436</v>
      </c>
      <c r="J709" s="1" t="s">
        <v>5</v>
      </c>
      <c r="L709" s="11">
        <v>0.33227000000000001</v>
      </c>
      <c r="M709" s="1"/>
      <c r="N709" s="1" t="s">
        <v>6</v>
      </c>
      <c r="P709" s="1" t="str">
        <f>CONCATENATE(Table_Query_from_AMULTIQRY45[[#This Row],[WWHS]],"-",Table_Query_from_AMULTIQRY45[[#This Row],[LLOC]])</f>
        <v>E1-FG</v>
      </c>
      <c r="Q709" s="10">
        <f t="shared" ca="1" si="21"/>
        <v>45775</v>
      </c>
      <c r="R709" s="10"/>
      <c r="S709" s="28">
        <v>128</v>
      </c>
      <c r="T709" s="1" t="s">
        <v>2</v>
      </c>
      <c r="U709" s="1" t="s">
        <v>755</v>
      </c>
      <c r="V709" s="1">
        <v>20240709</v>
      </c>
      <c r="W709" s="8" t="s">
        <v>8442</v>
      </c>
      <c r="Z709" s="1"/>
      <c r="AA709" s="1"/>
      <c r="AC709" s="1"/>
      <c r="AD709" s="1"/>
      <c r="AE709" s="1"/>
      <c r="AF709" s="1"/>
    </row>
    <row r="710" spans="2:32" ht="12.75" x14ac:dyDescent="0.2">
      <c r="B710" s="1" t="s">
        <v>9216</v>
      </c>
      <c r="C710" s="10">
        <f t="shared" ca="1" si="20"/>
        <v>45488</v>
      </c>
      <c r="D710" s="4"/>
      <c r="E710" s="4" t="s">
        <v>8434</v>
      </c>
      <c r="F710" s="4" t="s">
        <v>1293</v>
      </c>
      <c r="G710" s="4"/>
      <c r="H710" s="4" t="str">
        <f>_xlfn.IFNA(VLOOKUP(Table_Query_from_AMULTIQRY45[[#This Row],[WPROD]],'Part# with New'!$A$1:$B$4347,2,0),Table_Query_from_AMULTIQRY45[[#This Row],[WPROD]])</f>
        <v>WSNC125106027D-PGX15W</v>
      </c>
      <c r="I710" s="4" t="s">
        <v>8436</v>
      </c>
      <c r="J710" s="1" t="s">
        <v>5</v>
      </c>
      <c r="L710" s="11">
        <v>0.56884000000000001</v>
      </c>
      <c r="M710" s="1"/>
      <c r="N710" s="1" t="s">
        <v>6</v>
      </c>
      <c r="P710" s="1" t="str">
        <f>CONCATENATE(Table_Query_from_AMULTIQRY45[[#This Row],[WWHS]],"-",Table_Query_from_AMULTIQRY45[[#This Row],[LLOC]])</f>
        <v>E1-FG</v>
      </c>
      <c r="Q710" s="10">
        <f t="shared" ca="1" si="21"/>
        <v>45775</v>
      </c>
      <c r="R710" s="10"/>
      <c r="S710" s="28">
        <v>44</v>
      </c>
      <c r="T710" s="1" t="s">
        <v>2</v>
      </c>
      <c r="U710" s="1" t="s">
        <v>756</v>
      </c>
      <c r="V710" s="1">
        <v>20240715</v>
      </c>
      <c r="W710" s="8" t="s">
        <v>8442</v>
      </c>
      <c r="Z710" s="1"/>
      <c r="AA710" s="1"/>
      <c r="AC710" s="1"/>
      <c r="AD710" s="1"/>
      <c r="AE710" s="1"/>
      <c r="AF710" s="1"/>
    </row>
    <row r="711" spans="2:32" ht="12.75" x14ac:dyDescent="0.2">
      <c r="B711" s="1" t="s">
        <v>9217</v>
      </c>
      <c r="C711" s="10">
        <f t="shared" ref="C711:C774" ca="1" si="22">IFERROR(DATE(LEFT($V711,4),MID($V711,5,2),RIGHT($V711,2)),TODAY())</f>
        <v>45498</v>
      </c>
      <c r="D711" s="4"/>
      <c r="E711" s="4" t="s">
        <v>8434</v>
      </c>
      <c r="F711" s="4" t="s">
        <v>1293</v>
      </c>
      <c r="G711" s="4"/>
      <c r="H711" s="4" t="str">
        <f>_xlfn.IFNA(VLOOKUP(Table_Query_from_AMULTIQRY45[[#This Row],[WPROD]],'Part# with New'!$A$1:$B$4347,2,0),Table_Query_from_AMULTIQRY45[[#This Row],[WPROD]])</f>
        <v>WSMP099074006Z-PXX00W</v>
      </c>
      <c r="I711" s="4" t="s">
        <v>8436</v>
      </c>
      <c r="J711" s="1" t="s">
        <v>5</v>
      </c>
      <c r="L711" s="11">
        <v>0.18978999999999999</v>
      </c>
      <c r="M711" s="1"/>
      <c r="N711" s="1" t="s">
        <v>18</v>
      </c>
      <c r="P711" s="1" t="str">
        <f>CONCATENATE(Table_Query_from_AMULTIQRY45[[#This Row],[WWHS]],"-",Table_Query_from_AMULTIQRY45[[#This Row],[LLOC]])</f>
        <v>E1-FG</v>
      </c>
      <c r="Q711" s="10">
        <f t="shared" ref="Q711:Q774" ca="1" si="23">+TODAY()</f>
        <v>45775</v>
      </c>
      <c r="R711" s="10"/>
      <c r="S711" s="28">
        <v>237</v>
      </c>
      <c r="T711" s="1" t="s">
        <v>2</v>
      </c>
      <c r="U711" s="1" t="s">
        <v>757</v>
      </c>
      <c r="V711" s="1">
        <v>20240725</v>
      </c>
      <c r="W711" s="8" t="s">
        <v>8442</v>
      </c>
      <c r="Z711" s="1"/>
      <c r="AA711" s="1"/>
      <c r="AC711" s="1"/>
      <c r="AD711" s="1"/>
      <c r="AE711" s="1"/>
      <c r="AF711" s="1"/>
    </row>
    <row r="712" spans="2:32" ht="12.75" x14ac:dyDescent="0.2">
      <c r="B712" s="1" t="s">
        <v>9218</v>
      </c>
      <c r="C712" s="10">
        <f t="shared" ca="1" si="22"/>
        <v>45735</v>
      </c>
      <c r="D712" s="4"/>
      <c r="E712" s="4" t="s">
        <v>8434</v>
      </c>
      <c r="F712" s="4" t="s">
        <v>1293</v>
      </c>
      <c r="G712" s="4"/>
      <c r="H712" s="4" t="str">
        <f>_xlfn.IFNA(VLOOKUP(Table_Query_from_AMULTIQRY45[[#This Row],[WPROD]],'Part# with New'!$A$1:$B$4347,2,0),Table_Query_from_AMULTIQRY45[[#This Row],[WPROD]])</f>
        <v>WSNC045022013D-PRX10K</v>
      </c>
      <c r="I712" s="4" t="s">
        <v>8436</v>
      </c>
      <c r="J712" s="1" t="s">
        <v>5</v>
      </c>
      <c r="L712" s="11">
        <v>0.34671000000000002</v>
      </c>
      <c r="M712" s="1"/>
      <c r="N712" s="1" t="s">
        <v>6</v>
      </c>
      <c r="P712" s="1" t="str">
        <f>CONCATENATE(Table_Query_from_AMULTIQRY45[[#This Row],[WWHS]],"-",Table_Query_from_AMULTIQRY45[[#This Row],[LLOC]])</f>
        <v>E1-FG</v>
      </c>
      <c r="Q712" s="10">
        <f t="shared" ca="1" si="23"/>
        <v>45775</v>
      </c>
      <c r="R712" s="10"/>
      <c r="S712" s="28">
        <v>95</v>
      </c>
      <c r="T712" s="1" t="s">
        <v>2</v>
      </c>
      <c r="U712" s="1" t="s">
        <v>758</v>
      </c>
      <c r="V712" s="1">
        <v>20250319</v>
      </c>
      <c r="W712" s="8" t="s">
        <v>8442</v>
      </c>
      <c r="Z712" s="1"/>
      <c r="AA712" s="1"/>
      <c r="AC712" s="1"/>
      <c r="AD712" s="1"/>
      <c r="AE712" s="1"/>
      <c r="AF712" s="1"/>
    </row>
    <row r="713" spans="2:32" ht="12.75" x14ac:dyDescent="0.2">
      <c r="B713" s="1" t="s">
        <v>9219</v>
      </c>
      <c r="C713" s="10">
        <f t="shared" ca="1" si="22"/>
        <v>44909</v>
      </c>
      <c r="D713" s="4"/>
      <c r="E713" s="4" t="s">
        <v>8434</v>
      </c>
      <c r="F713" s="4" t="s">
        <v>1293</v>
      </c>
      <c r="G713" s="4"/>
      <c r="H713" s="4" t="str">
        <f>_xlfn.IFNA(VLOOKUP(Table_Query_from_AMULTIQRY45[[#This Row],[WPROD]],'Part# with New'!$A$1:$B$4347,2,0),Table_Query_from_AMULTIQRY45[[#This Row],[WPROD]])</f>
        <v>WSNC149123012D-PXX00W</v>
      </c>
      <c r="I713" s="4" t="s">
        <v>8436</v>
      </c>
      <c r="J713" s="1" t="s">
        <v>5</v>
      </c>
      <c r="L713" s="11">
        <v>0.41913</v>
      </c>
      <c r="M713" s="1"/>
      <c r="N713" s="1" t="s">
        <v>6</v>
      </c>
      <c r="P713" s="1" t="str">
        <f>CONCATENATE(Table_Query_from_AMULTIQRY45[[#This Row],[WWHS]],"-",Table_Query_from_AMULTIQRY45[[#This Row],[LLOC]])</f>
        <v>E1-FG</v>
      </c>
      <c r="Q713" s="10">
        <f t="shared" ca="1" si="23"/>
        <v>45775</v>
      </c>
      <c r="R713" s="10"/>
      <c r="S713" s="28">
        <v>32</v>
      </c>
      <c r="T713" s="1" t="s">
        <v>2</v>
      </c>
      <c r="U713" s="1" t="s">
        <v>759</v>
      </c>
      <c r="V713" s="1">
        <v>20221214</v>
      </c>
      <c r="W713" s="8" t="s">
        <v>8442</v>
      </c>
      <c r="Z713" s="1"/>
      <c r="AA713" s="1"/>
      <c r="AC713" s="1"/>
      <c r="AD713" s="1"/>
      <c r="AE713" s="1"/>
      <c r="AF713" s="1"/>
    </row>
    <row r="714" spans="2:32" ht="12.75" x14ac:dyDescent="0.2">
      <c r="B714" s="1" t="s">
        <v>9220</v>
      </c>
      <c r="C714" s="10">
        <f t="shared" ca="1" si="22"/>
        <v>45638</v>
      </c>
      <c r="D714" s="4"/>
      <c r="E714" s="4" t="s">
        <v>8434</v>
      </c>
      <c r="F714" s="4" t="s">
        <v>1293</v>
      </c>
      <c r="G714" s="4"/>
      <c r="H714" s="4" t="str">
        <f>_xlfn.IFNA(VLOOKUP(Table_Query_from_AMULTIQRY45[[#This Row],[WPROD]],'Part# with New'!$A$1:$B$4347,2,0),Table_Query_from_AMULTIQRY45[[#This Row],[WPROD]])</f>
        <v>WSMP424421049S-MPC10K</v>
      </c>
      <c r="I714" s="4" t="s">
        <v>8436</v>
      </c>
      <c r="J714" s="1" t="s">
        <v>5</v>
      </c>
      <c r="L714" s="11">
        <v>4.5257899999999998</v>
      </c>
      <c r="M714" s="1"/>
      <c r="N714" s="1" t="s">
        <v>18</v>
      </c>
      <c r="P714" s="1" t="str">
        <f>CONCATENATE(Table_Query_from_AMULTIQRY45[[#This Row],[WWHS]],"-",Table_Query_from_AMULTIQRY45[[#This Row],[LLOC]])</f>
        <v>E1-FG</v>
      </c>
      <c r="Q714" s="10">
        <f t="shared" ca="1" si="23"/>
        <v>45775</v>
      </c>
      <c r="R714" s="10"/>
      <c r="S714" s="28">
        <v>5</v>
      </c>
      <c r="T714" s="1" t="s">
        <v>2</v>
      </c>
      <c r="U714" s="1" t="s">
        <v>760</v>
      </c>
      <c r="V714" s="1">
        <v>20241212</v>
      </c>
      <c r="W714" s="8" t="s">
        <v>8442</v>
      </c>
      <c r="Z714" s="1"/>
      <c r="AA714" s="1"/>
      <c r="AC714" s="1"/>
      <c r="AD714" s="1"/>
      <c r="AE714" s="1"/>
      <c r="AF714" s="1"/>
    </row>
    <row r="715" spans="2:32" ht="12.75" x14ac:dyDescent="0.2">
      <c r="B715" s="1" t="s">
        <v>9221</v>
      </c>
      <c r="C715" s="10">
        <f t="shared" ca="1" si="22"/>
        <v>45407</v>
      </c>
      <c r="D715" s="4"/>
      <c r="E715" s="4" t="s">
        <v>8434</v>
      </c>
      <c r="F715" s="4" t="s">
        <v>1293</v>
      </c>
      <c r="G715" s="4"/>
      <c r="H715" s="4" t="str">
        <f>_xlfn.IFNA(VLOOKUP(Table_Query_from_AMULTIQRY45[[#This Row],[WPROD]],'Part# with New'!$A$1:$B$4347,2,0),Table_Query_from_AMULTIQRY45[[#This Row],[WPROD]])</f>
        <v>WSMPS2C2L12MPC</v>
      </c>
      <c r="I715" s="4" t="s">
        <v>8436</v>
      </c>
      <c r="J715" s="1" t="s">
        <v>5</v>
      </c>
      <c r="L715" s="11">
        <v>9.41493</v>
      </c>
      <c r="M715" s="1"/>
      <c r="N715" s="1" t="s">
        <v>18</v>
      </c>
      <c r="P715" s="1" t="str">
        <f>CONCATENATE(Table_Query_from_AMULTIQRY45[[#This Row],[WWHS]],"-",Table_Query_from_AMULTIQRY45[[#This Row],[LLOC]])</f>
        <v>E1-FG</v>
      </c>
      <c r="Q715" s="10">
        <f t="shared" ca="1" si="23"/>
        <v>45775</v>
      </c>
      <c r="R715" s="10"/>
      <c r="S715" s="28">
        <v>24</v>
      </c>
      <c r="T715" s="1" t="s">
        <v>2</v>
      </c>
      <c r="U715" s="1" t="s">
        <v>761</v>
      </c>
      <c r="V715" s="1">
        <v>20240425</v>
      </c>
      <c r="W715" s="8" t="s">
        <v>8442</v>
      </c>
      <c r="Z715" s="1"/>
      <c r="AA715" s="1"/>
      <c r="AC715" s="1"/>
      <c r="AD715" s="1"/>
      <c r="AE715" s="1"/>
      <c r="AF715" s="1"/>
    </row>
    <row r="716" spans="2:32" ht="12.75" x14ac:dyDescent="0.2">
      <c r="B716" s="1" t="s">
        <v>9222</v>
      </c>
      <c r="C716" s="10">
        <f t="shared" ca="1" si="22"/>
        <v>45638</v>
      </c>
      <c r="D716" s="4"/>
      <c r="E716" s="4" t="s">
        <v>8434</v>
      </c>
      <c r="F716" s="4" t="s">
        <v>1293</v>
      </c>
      <c r="G716" s="4"/>
      <c r="H716" s="4" t="str">
        <f>_xlfn.IFNA(VLOOKUP(Table_Query_from_AMULTIQRY45[[#This Row],[WPROD]],'Part# with New'!$A$1:$B$4347,2,0),Table_Query_from_AMULTIQRY45[[#This Row],[WPROD]])</f>
        <v>WSMP112099049D-MPC10K</v>
      </c>
      <c r="I716" s="4" t="s">
        <v>8436</v>
      </c>
      <c r="J716" s="1" t="s">
        <v>5</v>
      </c>
      <c r="L716" s="11">
        <v>0.90910999999999997</v>
      </c>
      <c r="M716" s="1"/>
      <c r="N716" s="1" t="s">
        <v>18</v>
      </c>
      <c r="P716" s="1" t="str">
        <f>CONCATENATE(Table_Query_from_AMULTIQRY45[[#This Row],[WWHS]],"-",Table_Query_from_AMULTIQRY45[[#This Row],[LLOC]])</f>
        <v>E1-FG</v>
      </c>
      <c r="Q716" s="10">
        <f t="shared" ca="1" si="23"/>
        <v>45775</v>
      </c>
      <c r="R716" s="10"/>
      <c r="S716" s="28">
        <v>82</v>
      </c>
      <c r="T716" s="1" t="s">
        <v>2</v>
      </c>
      <c r="U716" s="1" t="s">
        <v>762</v>
      </c>
      <c r="V716" s="1">
        <v>20241212</v>
      </c>
      <c r="W716" s="8" t="s">
        <v>8442</v>
      </c>
      <c r="Z716" s="1"/>
      <c r="AA716" s="1"/>
      <c r="AC716" s="1"/>
      <c r="AD716" s="1"/>
      <c r="AE716" s="1"/>
      <c r="AF716" s="1"/>
    </row>
    <row r="717" spans="2:32" ht="12.75" x14ac:dyDescent="0.2">
      <c r="B717" s="1" t="s">
        <v>9223</v>
      </c>
      <c r="C717" s="10">
        <f t="shared" ca="1" si="22"/>
        <v>45638</v>
      </c>
      <c r="D717" s="4"/>
      <c r="E717" s="4" t="s">
        <v>8434</v>
      </c>
      <c r="F717" s="4" t="s">
        <v>1293</v>
      </c>
      <c r="G717" s="4"/>
      <c r="H717" s="4" t="str">
        <f>_xlfn.IFNA(VLOOKUP(Table_Query_from_AMULTIQRY45[[#This Row],[WPROD]],'Part# with New'!$A$1:$B$4347,2,0),Table_Query_from_AMULTIQRY45[[#This Row],[WPROD]])</f>
        <v>WSMP056045049S-MPC10K</v>
      </c>
      <c r="I717" s="4" t="s">
        <v>8436</v>
      </c>
      <c r="J717" s="1" t="s">
        <v>5</v>
      </c>
      <c r="L717" s="11">
        <v>0.75080000000000002</v>
      </c>
      <c r="M717" s="1"/>
      <c r="N717" s="1" t="s">
        <v>18</v>
      </c>
      <c r="P717" s="1" t="str">
        <f>CONCATENATE(Table_Query_from_AMULTIQRY45[[#This Row],[WWHS]],"-",Table_Query_from_AMULTIQRY45[[#This Row],[LLOC]])</f>
        <v>E1-FG</v>
      </c>
      <c r="Q717" s="10">
        <f t="shared" ca="1" si="23"/>
        <v>45775</v>
      </c>
      <c r="R717" s="10"/>
      <c r="S717" s="28">
        <v>27</v>
      </c>
      <c r="T717" s="1" t="s">
        <v>2</v>
      </c>
      <c r="U717" s="1" t="s">
        <v>763</v>
      </c>
      <c r="V717" s="1">
        <v>20241212</v>
      </c>
      <c r="W717" s="8" t="s">
        <v>8442</v>
      </c>
      <c r="Z717" s="1"/>
      <c r="AA717" s="1"/>
      <c r="AC717" s="1"/>
      <c r="AD717" s="1"/>
      <c r="AE717" s="1"/>
      <c r="AF717" s="1"/>
    </row>
    <row r="718" spans="2:32" ht="12.75" x14ac:dyDescent="0.2">
      <c r="B718" s="1" t="s">
        <v>9224</v>
      </c>
      <c r="C718" s="10">
        <f t="shared" ca="1" si="22"/>
        <v>45653</v>
      </c>
      <c r="D718" s="4"/>
      <c r="E718" s="4" t="s">
        <v>8434</v>
      </c>
      <c r="F718" s="4" t="s">
        <v>1293</v>
      </c>
      <c r="G718" s="4"/>
      <c r="H718" s="4" t="str">
        <f>_xlfn.IFNA(VLOOKUP(Table_Query_from_AMULTIQRY45[[#This Row],[WPROD]],'Part# with New'!$A$1:$B$4347,2,0),Table_Query_from_AMULTIQRY45[[#This Row],[WPROD]])</f>
        <v>WSNC201179011D-PGM15K</v>
      </c>
      <c r="I718" s="4" t="s">
        <v>8436</v>
      </c>
      <c r="J718" s="1" t="s">
        <v>5</v>
      </c>
      <c r="L718" s="11">
        <v>0.42270000000000002</v>
      </c>
      <c r="M718" s="1"/>
      <c r="N718" s="1" t="s">
        <v>6</v>
      </c>
      <c r="P718" s="1" t="str">
        <f>CONCATENATE(Table_Query_from_AMULTIQRY45[[#This Row],[WWHS]],"-",Table_Query_from_AMULTIQRY45[[#This Row],[LLOC]])</f>
        <v>E1-FG</v>
      </c>
      <c r="Q718" s="10">
        <f t="shared" ca="1" si="23"/>
        <v>45775</v>
      </c>
      <c r="R718" s="10"/>
      <c r="S718" s="28">
        <v>139</v>
      </c>
      <c r="T718" s="1" t="s">
        <v>2</v>
      </c>
      <c r="U718" s="1" t="s">
        <v>764</v>
      </c>
      <c r="V718" s="1">
        <v>20241227</v>
      </c>
      <c r="W718" s="8" t="s">
        <v>8442</v>
      </c>
      <c r="Z718" s="1"/>
      <c r="AA718" s="1"/>
      <c r="AC718" s="1"/>
      <c r="AD718" s="1"/>
      <c r="AE718" s="1"/>
      <c r="AF718" s="1"/>
    </row>
    <row r="719" spans="2:32" ht="12.75" x14ac:dyDescent="0.2">
      <c r="B719" s="1" t="s">
        <v>9225</v>
      </c>
      <c r="C719" s="10">
        <f t="shared" ca="1" si="22"/>
        <v>45656</v>
      </c>
      <c r="D719" s="4"/>
      <c r="E719" s="4" t="s">
        <v>8434</v>
      </c>
      <c r="F719" s="4" t="s">
        <v>1293</v>
      </c>
      <c r="G719" s="4"/>
      <c r="H719" s="4" t="str">
        <f>_xlfn.IFNA(VLOOKUP(Table_Query_from_AMULTIQRY45[[#This Row],[WPROD]],'Part# with New'!$A$1:$B$4347,2,0),Table_Query_from_AMULTIQRY45[[#This Row],[WPROD]])</f>
        <v>WSMP148090026D-PCR23K</v>
      </c>
      <c r="I719" s="4" t="s">
        <v>8436</v>
      </c>
      <c r="J719" s="1" t="s">
        <v>5</v>
      </c>
      <c r="L719" s="11">
        <v>1.48899</v>
      </c>
      <c r="M719" s="1"/>
      <c r="N719" s="1" t="s">
        <v>18</v>
      </c>
      <c r="P719" s="1" t="str">
        <f>CONCATENATE(Table_Query_from_AMULTIQRY45[[#This Row],[WWHS]],"-",Table_Query_from_AMULTIQRY45[[#This Row],[LLOC]])</f>
        <v>E1-FG</v>
      </c>
      <c r="Q719" s="10">
        <f t="shared" ca="1" si="23"/>
        <v>45775</v>
      </c>
      <c r="R719" s="10"/>
      <c r="S719" s="28">
        <v>21</v>
      </c>
      <c r="T719" s="1" t="s">
        <v>2</v>
      </c>
      <c r="U719" s="1" t="s">
        <v>765</v>
      </c>
      <c r="V719" s="1">
        <v>20241230</v>
      </c>
      <c r="W719" s="8" t="s">
        <v>8442</v>
      </c>
      <c r="Z719" s="1"/>
      <c r="AA719" s="1"/>
      <c r="AC719" s="1"/>
      <c r="AD719" s="1"/>
      <c r="AE719" s="1"/>
      <c r="AF719" s="1"/>
    </row>
    <row r="720" spans="2:32" ht="12.75" x14ac:dyDescent="0.2">
      <c r="B720" s="1" t="s">
        <v>9226</v>
      </c>
      <c r="C720" s="10">
        <f t="shared" ca="1" si="22"/>
        <v>45716</v>
      </c>
      <c r="D720" s="4"/>
      <c r="E720" s="4" t="s">
        <v>8434</v>
      </c>
      <c r="F720" s="4" t="s">
        <v>1293</v>
      </c>
      <c r="G720" s="4"/>
      <c r="H720" s="4" t="str">
        <f>_xlfn.IFNA(VLOOKUP(Table_Query_from_AMULTIQRY45[[#This Row],[WPROD]],'Part# with New'!$A$1:$B$4347,2,0),Table_Query_from_AMULTIQRY45[[#This Row],[WPROD]])</f>
        <v>WSNC201174013D-PCR23K</v>
      </c>
      <c r="I720" s="4" t="s">
        <v>8436</v>
      </c>
      <c r="J720" s="1" t="s">
        <v>5</v>
      </c>
      <c r="L720" s="11">
        <v>0.66495000000000004</v>
      </c>
      <c r="M720" s="1"/>
      <c r="N720" s="1" t="s">
        <v>6</v>
      </c>
      <c r="P720" s="1" t="str">
        <f>CONCATENATE(Table_Query_from_AMULTIQRY45[[#This Row],[WWHS]],"-",Table_Query_from_AMULTIQRY45[[#This Row],[LLOC]])</f>
        <v>E1-FG</v>
      </c>
      <c r="Q720" s="10">
        <f t="shared" ca="1" si="23"/>
        <v>45775</v>
      </c>
      <c r="R720" s="10"/>
      <c r="S720" s="28">
        <v>177</v>
      </c>
      <c r="T720" s="1" t="s">
        <v>2</v>
      </c>
      <c r="U720" s="1" t="s">
        <v>766</v>
      </c>
      <c r="V720" s="1">
        <v>20250228</v>
      </c>
      <c r="W720" s="8" t="s">
        <v>8442</v>
      </c>
      <c r="Z720" s="1"/>
      <c r="AA720" s="1"/>
      <c r="AC720" s="1"/>
      <c r="AD720" s="1"/>
      <c r="AE720" s="1"/>
      <c r="AF720" s="1"/>
    </row>
    <row r="721" spans="2:32" ht="12.75" x14ac:dyDescent="0.2">
      <c r="B721" s="1" t="s">
        <v>9227</v>
      </c>
      <c r="C721" s="10">
        <f t="shared" ca="1" si="22"/>
        <v>45628</v>
      </c>
      <c r="D721" s="4"/>
      <c r="E721" s="4" t="s">
        <v>8434</v>
      </c>
      <c r="F721" s="4" t="s">
        <v>1293</v>
      </c>
      <c r="G721" s="4"/>
      <c r="H721" s="4" t="str">
        <f>_xlfn.IFNA(VLOOKUP(Table_Query_from_AMULTIQRY45[[#This Row],[WPROD]],'Part# with New'!$A$1:$B$4347,2,0),Table_Query_from_AMULTIQRY45[[#This Row],[WPROD]])</f>
        <v>WSMP183155012D-MXX00T</v>
      </c>
      <c r="I721" s="4" t="s">
        <v>8436</v>
      </c>
      <c r="J721" s="1" t="s">
        <v>5</v>
      </c>
      <c r="L721" s="11">
        <v>1.0921099999999999</v>
      </c>
      <c r="M721" s="1"/>
      <c r="N721" s="1" t="s">
        <v>18</v>
      </c>
      <c r="P721" s="1" t="str">
        <f>CONCATENATE(Table_Query_from_AMULTIQRY45[[#This Row],[WWHS]],"-",Table_Query_from_AMULTIQRY45[[#This Row],[LLOC]])</f>
        <v>E1-FG</v>
      </c>
      <c r="Q721" s="10">
        <f t="shared" ca="1" si="23"/>
        <v>45775</v>
      </c>
      <c r="R721" s="10"/>
      <c r="S721" s="28">
        <v>459</v>
      </c>
      <c r="T721" s="1" t="s">
        <v>2</v>
      </c>
      <c r="U721" s="1" t="s">
        <v>768</v>
      </c>
      <c r="V721" s="1">
        <v>20241202</v>
      </c>
      <c r="W721" s="8" t="s">
        <v>8442</v>
      </c>
      <c r="Z721" s="1"/>
      <c r="AA721" s="1"/>
      <c r="AC721" s="1"/>
      <c r="AD721" s="1"/>
      <c r="AE721" s="1"/>
      <c r="AF721" s="1"/>
    </row>
    <row r="722" spans="2:32" ht="12.75" x14ac:dyDescent="0.2">
      <c r="B722" s="1" t="s">
        <v>9228</v>
      </c>
      <c r="C722" s="10">
        <f t="shared" ca="1" si="22"/>
        <v>45100</v>
      </c>
      <c r="D722" s="4"/>
      <c r="E722" s="4" t="s">
        <v>8434</v>
      </c>
      <c r="F722" s="4" t="s">
        <v>1293</v>
      </c>
      <c r="G722" s="4"/>
      <c r="H722" s="4" t="str">
        <f>_xlfn.IFNA(VLOOKUP(Table_Query_from_AMULTIQRY45[[#This Row],[WPROD]],'Part# with New'!$A$1:$B$4347,2,0),Table_Query_from_AMULTIQRY45[[#This Row],[WPROD]])</f>
        <v>WSOR030008024D-DU050Y</v>
      </c>
      <c r="I722" s="4" t="s">
        <v>8436</v>
      </c>
      <c r="J722" s="1" t="s">
        <v>5</v>
      </c>
      <c r="L722" s="11">
        <v>0.91288999999999998</v>
      </c>
      <c r="M722" s="1"/>
      <c r="N722" s="1" t="s">
        <v>480</v>
      </c>
      <c r="P722" s="1" t="str">
        <f>CONCATENATE(Table_Query_from_AMULTIQRY45[[#This Row],[WWHS]],"-",Table_Query_from_AMULTIQRY45[[#This Row],[LLOC]])</f>
        <v>E1-FG</v>
      </c>
      <c r="Q722" s="10">
        <f t="shared" ca="1" si="23"/>
        <v>45775</v>
      </c>
      <c r="R722" s="10"/>
      <c r="S722" s="28">
        <v>83</v>
      </c>
      <c r="T722" s="1" t="s">
        <v>2</v>
      </c>
      <c r="U722" s="1" t="s">
        <v>769</v>
      </c>
      <c r="V722" s="1">
        <v>20230623</v>
      </c>
      <c r="W722" s="8" t="s">
        <v>8442</v>
      </c>
      <c r="Z722" s="1"/>
      <c r="AA722" s="1"/>
      <c r="AC722" s="1"/>
      <c r="AD722" s="1"/>
      <c r="AE722" s="1"/>
      <c r="AF722" s="1"/>
    </row>
    <row r="723" spans="2:32" ht="12.75" x14ac:dyDescent="0.2">
      <c r="B723" s="1" t="s">
        <v>9229</v>
      </c>
      <c r="C723" s="10">
        <f t="shared" ca="1" si="22"/>
        <v>45372</v>
      </c>
      <c r="D723" s="4"/>
      <c r="E723" s="4" t="s">
        <v>8434</v>
      </c>
      <c r="F723" s="4" t="s">
        <v>1293</v>
      </c>
      <c r="G723" s="4"/>
      <c r="H723" s="4" t="str">
        <f>_xlfn.IFNA(VLOOKUP(Table_Query_from_AMULTIQRY45[[#This Row],[WPROD]],'Part# with New'!$A$1:$B$4347,2,0),Table_Query_from_AMULTIQRY45[[#This Row],[WPROD]])</f>
        <v>WPOT171160004D-PGX15W</v>
      </c>
      <c r="I723" s="4" t="s">
        <v>8436</v>
      </c>
      <c r="J723" s="1" t="s">
        <v>5</v>
      </c>
      <c r="L723" s="11">
        <v>9.1209999999999999E-2</v>
      </c>
      <c r="M723" s="1"/>
      <c r="N723" s="1" t="s">
        <v>3</v>
      </c>
      <c r="P723" s="1" t="str">
        <f>CONCATENATE(Table_Query_from_AMULTIQRY45[[#This Row],[WWHS]],"-",Table_Query_from_AMULTIQRY45[[#This Row],[LLOC]])</f>
        <v>E1-FG</v>
      </c>
      <c r="Q723" s="10">
        <f t="shared" ca="1" si="23"/>
        <v>45775</v>
      </c>
      <c r="R723" s="10"/>
      <c r="S723" s="28">
        <v>226</v>
      </c>
      <c r="T723" s="1" t="s">
        <v>2</v>
      </c>
      <c r="U723" s="1" t="s">
        <v>770</v>
      </c>
      <c r="V723" s="1">
        <v>20240321</v>
      </c>
      <c r="W723" s="8" t="s">
        <v>8442</v>
      </c>
      <c r="Z723" s="1"/>
      <c r="AA723" s="1"/>
      <c r="AC723" s="1"/>
      <c r="AD723" s="1"/>
      <c r="AE723" s="1"/>
      <c r="AF723" s="1"/>
    </row>
    <row r="724" spans="2:32" ht="12.75" x14ac:dyDescent="0.2">
      <c r="B724" s="1" t="s">
        <v>9230</v>
      </c>
      <c r="C724" s="10">
        <f t="shared" ca="1" si="22"/>
        <v>45063</v>
      </c>
      <c r="D724" s="4"/>
      <c r="E724" s="4" t="s">
        <v>8434</v>
      </c>
      <c r="F724" s="4" t="s">
        <v>1293</v>
      </c>
      <c r="G724" s="4"/>
      <c r="H724" s="4" t="str">
        <f>_xlfn.IFNA(VLOOKUP(Table_Query_from_AMULTIQRY45[[#This Row],[WPROD]],'Part# with New'!$A$1:$B$4347,2,0),Table_Query_from_AMULTIQRY45[[#This Row],[WPROD]])</f>
        <v>WSMP219194087S-PGX25R</v>
      </c>
      <c r="I724" s="4" t="s">
        <v>8436</v>
      </c>
      <c r="J724" s="1" t="s">
        <v>5</v>
      </c>
      <c r="L724" s="11">
        <v>2.9040400000000002</v>
      </c>
      <c r="M724" s="1"/>
      <c r="N724" s="1" t="s">
        <v>18</v>
      </c>
      <c r="P724" s="1" t="str">
        <f>CONCATENATE(Table_Query_from_AMULTIQRY45[[#This Row],[WWHS]],"-",Table_Query_from_AMULTIQRY45[[#This Row],[LLOC]])</f>
        <v>E1-FG</v>
      </c>
      <c r="Q724" s="10">
        <f t="shared" ca="1" si="23"/>
        <v>45775</v>
      </c>
      <c r="R724" s="10"/>
      <c r="S724" s="28">
        <v>66</v>
      </c>
      <c r="T724" s="1" t="s">
        <v>2</v>
      </c>
      <c r="U724" s="1" t="s">
        <v>771</v>
      </c>
      <c r="V724" s="1">
        <v>20230517</v>
      </c>
      <c r="W724" s="8" t="s">
        <v>8442</v>
      </c>
      <c r="Z724" s="1"/>
      <c r="AA724" s="1"/>
      <c r="AC724" s="1"/>
      <c r="AD724" s="1"/>
      <c r="AE724" s="1"/>
      <c r="AF724" s="1"/>
    </row>
    <row r="725" spans="2:32" ht="12.75" x14ac:dyDescent="0.2">
      <c r="B725" s="1" t="s">
        <v>9231</v>
      </c>
      <c r="C725" s="10">
        <f t="shared" ca="1" si="22"/>
        <v>45013</v>
      </c>
      <c r="D725" s="4"/>
      <c r="E725" s="4" t="s">
        <v>8434</v>
      </c>
      <c r="F725" s="4" t="s">
        <v>1293</v>
      </c>
      <c r="G725" s="4"/>
      <c r="H725" s="4" t="str">
        <f>_xlfn.IFNA(VLOOKUP(Table_Query_from_AMULTIQRY45[[#This Row],[WPROD]],'Part# with New'!$A$1:$B$4347,2,0),Table_Query_from_AMULTIQRY45[[#This Row],[WPROD]])</f>
        <v>WSMP475450025D-PGX25R</v>
      </c>
      <c r="I725" s="4" t="s">
        <v>8436</v>
      </c>
      <c r="J725" s="1" t="s">
        <v>5</v>
      </c>
      <c r="L725" s="11">
        <v>2.3724799999999999</v>
      </c>
      <c r="M725" s="1"/>
      <c r="N725" s="1" t="s">
        <v>18</v>
      </c>
      <c r="P725" s="1" t="str">
        <f>CONCATENATE(Table_Query_from_AMULTIQRY45[[#This Row],[WWHS]],"-",Table_Query_from_AMULTIQRY45[[#This Row],[LLOC]])</f>
        <v>E1-FG</v>
      </c>
      <c r="Q725" s="10">
        <f t="shared" ca="1" si="23"/>
        <v>45775</v>
      </c>
      <c r="R725" s="10"/>
      <c r="S725" s="28">
        <v>19</v>
      </c>
      <c r="T725" s="1" t="s">
        <v>2</v>
      </c>
      <c r="U725" s="1" t="s">
        <v>772</v>
      </c>
      <c r="V725" s="1">
        <v>20230328</v>
      </c>
      <c r="W725" s="8" t="s">
        <v>8442</v>
      </c>
      <c r="Z725" s="1"/>
      <c r="AA725" s="1"/>
      <c r="AC725" s="1"/>
      <c r="AD725" s="1"/>
      <c r="AE725" s="1"/>
      <c r="AF725" s="1"/>
    </row>
    <row r="726" spans="2:32" ht="12.75" x14ac:dyDescent="0.2">
      <c r="B726" s="1" t="s">
        <v>9232</v>
      </c>
      <c r="C726" s="10">
        <f t="shared" ca="1" si="22"/>
        <v>44438</v>
      </c>
      <c r="D726" s="4"/>
      <c r="E726" s="4" t="s">
        <v>8434</v>
      </c>
      <c r="F726" s="4" t="s">
        <v>1293</v>
      </c>
      <c r="G726" s="4"/>
      <c r="H726" s="4" t="str">
        <f>_xlfn.IFNA(VLOOKUP(Table_Query_from_AMULTIQRY45[[#This Row],[WPROD]],'Part# with New'!$A$1:$B$4347,2,0),Table_Query_from_AMULTIQRY45[[#This Row],[WPROD]])</f>
        <v>WSMP136065015D-DV150N</v>
      </c>
      <c r="I726" s="4" t="s">
        <v>8436</v>
      </c>
      <c r="J726" s="1" t="s">
        <v>5</v>
      </c>
      <c r="L726" s="11">
        <v>0.67820000000000003</v>
      </c>
      <c r="M726" s="1"/>
      <c r="N726" s="1" t="s">
        <v>18</v>
      </c>
      <c r="P726" s="1" t="str">
        <f>CONCATENATE(Table_Query_from_AMULTIQRY45[[#This Row],[WWHS]],"-",Table_Query_from_AMULTIQRY45[[#This Row],[LLOC]])</f>
        <v>E1-FG</v>
      </c>
      <c r="Q726" s="10">
        <f t="shared" ca="1" si="23"/>
        <v>45775</v>
      </c>
      <c r="R726" s="10"/>
      <c r="S726" s="28">
        <v>40</v>
      </c>
      <c r="T726" s="1" t="s">
        <v>2</v>
      </c>
      <c r="U726" s="1" t="s">
        <v>773</v>
      </c>
      <c r="V726" s="1">
        <v>20210830</v>
      </c>
      <c r="W726" s="8" t="s">
        <v>8442</v>
      </c>
      <c r="Z726" s="1"/>
      <c r="AA726" s="1"/>
      <c r="AC726" s="1"/>
      <c r="AD726" s="1"/>
      <c r="AE726" s="1"/>
      <c r="AF726" s="1"/>
    </row>
    <row r="727" spans="2:32" ht="12.75" x14ac:dyDescent="0.2">
      <c r="B727" s="1" t="s">
        <v>9233</v>
      </c>
      <c r="C727" s="10">
        <f t="shared" ca="1" si="22"/>
        <v>45772</v>
      </c>
      <c r="D727" s="4"/>
      <c r="E727" s="4" t="s">
        <v>8434</v>
      </c>
      <c r="F727" s="4" t="s">
        <v>1293</v>
      </c>
      <c r="G727" s="4"/>
      <c r="H727" s="4" t="str">
        <f>_xlfn.IFNA(VLOOKUP(Table_Query_from_AMULTIQRY45[[#This Row],[WPROD]],'Part# with New'!$A$1:$B$4347,2,0),Table_Query_from_AMULTIQRY45[[#This Row],[WPROD]])</f>
        <v>WSNC240202021D-MXX00W</v>
      </c>
      <c r="I727" s="4" t="s">
        <v>8436</v>
      </c>
      <c r="J727" s="1" t="s">
        <v>5</v>
      </c>
      <c r="L727" s="11">
        <v>0.81589999999999996</v>
      </c>
      <c r="M727" s="1"/>
      <c r="N727" s="1" t="s">
        <v>6</v>
      </c>
      <c r="P727" s="1" t="str">
        <f>CONCATENATE(Table_Query_from_AMULTIQRY45[[#This Row],[WWHS]],"-",Table_Query_from_AMULTIQRY45[[#This Row],[LLOC]])</f>
        <v>E1-FG</v>
      </c>
      <c r="Q727" s="10">
        <f t="shared" ca="1" si="23"/>
        <v>45775</v>
      </c>
      <c r="R727" s="10"/>
      <c r="S727" s="28">
        <v>1059</v>
      </c>
      <c r="T727" s="1" t="s">
        <v>2</v>
      </c>
      <c r="U727" s="1" t="s">
        <v>6830</v>
      </c>
      <c r="V727" s="1">
        <v>20250425</v>
      </c>
      <c r="W727" s="8" t="s">
        <v>8442</v>
      </c>
      <c r="Z727" s="1"/>
      <c r="AA727" s="1"/>
      <c r="AC727" s="1"/>
      <c r="AD727" s="1"/>
      <c r="AE727" s="1"/>
      <c r="AF727" s="1"/>
    </row>
    <row r="728" spans="2:32" ht="12.75" x14ac:dyDescent="0.2">
      <c r="B728" s="1" t="s">
        <v>9234</v>
      </c>
      <c r="C728" s="10">
        <f t="shared" ca="1" si="22"/>
        <v>44242</v>
      </c>
      <c r="D728" s="4"/>
      <c r="E728" s="4" t="s">
        <v>8434</v>
      </c>
      <c r="F728" s="4" t="s">
        <v>1293</v>
      </c>
      <c r="G728" s="4"/>
      <c r="H728" s="4" t="str">
        <f>_xlfn.IFNA(VLOOKUP(Table_Query_from_AMULTIQRY45[[#This Row],[WPROD]],'Part# with New'!$A$1:$B$4347,2,0),Table_Query_from_AMULTIQRY45[[#This Row],[WPROD]])</f>
        <v>WPOT129117006Q-PRX10K</v>
      </c>
      <c r="I728" s="4" t="s">
        <v>8436</v>
      </c>
      <c r="J728" s="1" t="s">
        <v>5</v>
      </c>
      <c r="L728" s="11">
        <v>8.9050000000000004E-2</v>
      </c>
      <c r="M728" s="1"/>
      <c r="N728" s="1" t="s">
        <v>3</v>
      </c>
      <c r="P728" s="1" t="str">
        <f>CONCATENATE(Table_Query_from_AMULTIQRY45[[#This Row],[WWHS]],"-",Table_Query_from_AMULTIQRY45[[#This Row],[LLOC]])</f>
        <v>E1-FG</v>
      </c>
      <c r="Q728" s="10">
        <f t="shared" ca="1" si="23"/>
        <v>45775</v>
      </c>
      <c r="R728" s="10"/>
      <c r="S728" s="28">
        <v>455</v>
      </c>
      <c r="T728" s="1" t="s">
        <v>2</v>
      </c>
      <c r="U728" s="1" t="s">
        <v>774</v>
      </c>
      <c r="V728" s="1">
        <v>20210215</v>
      </c>
      <c r="W728" s="8" t="s">
        <v>8442</v>
      </c>
      <c r="Z728" s="1"/>
      <c r="AA728" s="1"/>
      <c r="AC728" s="1"/>
      <c r="AD728" s="1"/>
      <c r="AE728" s="1"/>
      <c r="AF728" s="1"/>
    </row>
    <row r="729" spans="2:32" ht="12.75" x14ac:dyDescent="0.2">
      <c r="B729" s="1" t="s">
        <v>9235</v>
      </c>
      <c r="C729" s="10">
        <f t="shared" ca="1" si="22"/>
        <v>43312</v>
      </c>
      <c r="D729" s="4"/>
      <c r="E729" s="4" t="s">
        <v>8434</v>
      </c>
      <c r="F729" s="4" t="s">
        <v>1293</v>
      </c>
      <c r="G729" s="4"/>
      <c r="H729" s="4" t="str">
        <f>_xlfn.IFNA(VLOOKUP(Table_Query_from_AMULTIQRY45[[#This Row],[WPROD]],'Part# with New'!$A$1:$B$4347,2,0),Table_Query_from_AMULTIQRY45[[#This Row],[WPROD]])</f>
        <v>WSSL468384020D-PXX00W</v>
      </c>
      <c r="I729" s="4" t="s">
        <v>8436</v>
      </c>
      <c r="J729" s="1" t="s">
        <v>5</v>
      </c>
      <c r="L729" s="11">
        <v>0.92517000000000005</v>
      </c>
      <c r="M729" s="1"/>
      <c r="N729" s="1" t="s">
        <v>13</v>
      </c>
      <c r="P729" s="1" t="str">
        <f>CONCATENATE(Table_Query_from_AMULTIQRY45[[#This Row],[WWHS]],"-",Table_Query_from_AMULTIQRY45[[#This Row],[LLOC]])</f>
        <v>E1-FG</v>
      </c>
      <c r="Q729" s="10">
        <f t="shared" ca="1" si="23"/>
        <v>45775</v>
      </c>
      <c r="R729" s="10"/>
      <c r="S729" s="28">
        <v>89</v>
      </c>
      <c r="T729" s="1" t="s">
        <v>2</v>
      </c>
      <c r="U729" s="1" t="s">
        <v>775</v>
      </c>
      <c r="V729" s="1">
        <v>20180731</v>
      </c>
      <c r="W729" s="8" t="s">
        <v>8442</v>
      </c>
      <c r="Z729" s="1"/>
      <c r="AA729" s="1"/>
      <c r="AC729" s="1"/>
      <c r="AD729" s="1"/>
      <c r="AE729" s="1"/>
      <c r="AF729" s="1"/>
    </row>
    <row r="730" spans="2:32" ht="12.75" x14ac:dyDescent="0.2">
      <c r="B730" s="1" t="s">
        <v>9236</v>
      </c>
      <c r="C730" s="10">
        <f t="shared" ca="1" si="22"/>
        <v>43396</v>
      </c>
      <c r="D730" s="4"/>
      <c r="E730" s="4" t="s">
        <v>8434</v>
      </c>
      <c r="F730" s="4" t="s">
        <v>1293</v>
      </c>
      <c r="G730" s="4"/>
      <c r="H730" s="4" t="str">
        <f>_xlfn.IFNA(VLOOKUP(Table_Query_from_AMULTIQRY45[[#This Row],[WPROD]],'Part# with New'!$A$1:$B$4347,2,0),Table_Query_from_AMULTIQRY45[[#This Row],[WPROD]])</f>
        <v>WPOT129117008Q-PGX15W</v>
      </c>
      <c r="I730" s="4" t="s">
        <v>8436</v>
      </c>
      <c r="J730" s="1" t="s">
        <v>5</v>
      </c>
      <c r="L730" s="11">
        <v>0.11856</v>
      </c>
      <c r="M730" s="1"/>
      <c r="N730" s="1" t="s">
        <v>3</v>
      </c>
      <c r="P730" s="1" t="str">
        <f>CONCATENATE(Table_Query_from_AMULTIQRY45[[#This Row],[WWHS]],"-",Table_Query_from_AMULTIQRY45[[#This Row],[LLOC]])</f>
        <v>E1-FG</v>
      </c>
      <c r="Q730" s="10">
        <f t="shared" ca="1" si="23"/>
        <v>45775</v>
      </c>
      <c r="R730" s="10"/>
      <c r="S730" s="28">
        <v>5056</v>
      </c>
      <c r="T730" s="1" t="s">
        <v>2</v>
      </c>
      <c r="U730" s="1" t="s">
        <v>776</v>
      </c>
      <c r="V730" s="1">
        <v>20181023</v>
      </c>
      <c r="W730" s="8" t="s">
        <v>8442</v>
      </c>
      <c r="Z730" s="1"/>
      <c r="AA730" s="1"/>
      <c r="AC730" s="1"/>
      <c r="AD730" s="1"/>
      <c r="AE730" s="1"/>
      <c r="AF730" s="1"/>
    </row>
    <row r="731" spans="2:32" ht="12.75" x14ac:dyDescent="0.2">
      <c r="B731" s="1" t="s">
        <v>9237</v>
      </c>
      <c r="C731" s="10">
        <f t="shared" ca="1" si="22"/>
        <v>44622</v>
      </c>
      <c r="D731" s="4"/>
      <c r="E731" s="4" t="s">
        <v>8434</v>
      </c>
      <c r="F731" s="4" t="s">
        <v>1293</v>
      </c>
      <c r="G731" s="4"/>
      <c r="H731" s="4" t="str">
        <f>_xlfn.IFNA(VLOOKUP(Table_Query_from_AMULTIQRY45[[#This Row],[WPROD]],'Part# with New'!$A$1:$B$4347,2,0),Table_Query_from_AMULTIQRY45[[#This Row],[WPROD]])</f>
        <v>WSNC163149008D-PRX10K</v>
      </c>
      <c r="I731" s="4" t="s">
        <v>8436</v>
      </c>
      <c r="J731" s="1" t="s">
        <v>5</v>
      </c>
      <c r="L731" s="11">
        <v>0.44718999999999998</v>
      </c>
      <c r="M731" s="1"/>
      <c r="N731" s="1" t="s">
        <v>6</v>
      </c>
      <c r="P731" s="1" t="str">
        <f>CONCATENATE(Table_Query_from_AMULTIQRY45[[#This Row],[WWHS]],"-",Table_Query_from_AMULTIQRY45[[#This Row],[LLOC]])</f>
        <v>E1-FG</v>
      </c>
      <c r="Q731" s="10">
        <f t="shared" ca="1" si="23"/>
        <v>45775</v>
      </c>
      <c r="R731" s="10"/>
      <c r="S731" s="28">
        <v>342</v>
      </c>
      <c r="T731" s="1" t="s">
        <v>2</v>
      </c>
      <c r="U731" s="1" t="s">
        <v>777</v>
      </c>
      <c r="V731" s="1">
        <v>20220302</v>
      </c>
      <c r="W731" s="8" t="s">
        <v>8442</v>
      </c>
      <c r="Z731" s="1"/>
      <c r="AA731" s="1"/>
      <c r="AC731" s="1"/>
      <c r="AD731" s="1"/>
      <c r="AE731" s="1"/>
      <c r="AF731" s="1"/>
    </row>
    <row r="732" spans="2:32" ht="12.75" x14ac:dyDescent="0.2">
      <c r="B732" s="1" t="s">
        <v>9238</v>
      </c>
      <c r="C732" s="10">
        <f t="shared" ca="1" si="22"/>
        <v>45001</v>
      </c>
      <c r="D732" s="4"/>
      <c r="E732" s="4" t="s">
        <v>8434</v>
      </c>
      <c r="F732" s="4" t="s">
        <v>1293</v>
      </c>
      <c r="G732" s="4"/>
      <c r="H732" s="4" t="str">
        <f>_xlfn.IFNA(VLOOKUP(Table_Query_from_AMULTIQRY45[[#This Row],[WPROD]],'Part# with New'!$A$1:$B$4347,2,0),Table_Query_from_AMULTIQRY45[[#This Row],[WPROD]])</f>
        <v>WSNC032012029D-DK037N</v>
      </c>
      <c r="I732" s="4" t="s">
        <v>8436</v>
      </c>
      <c r="J732" s="1" t="s">
        <v>5</v>
      </c>
      <c r="L732" s="11">
        <v>0.85718000000000005</v>
      </c>
      <c r="M732" s="1"/>
      <c r="N732" s="1" t="s">
        <v>480</v>
      </c>
      <c r="P732" s="1" t="str">
        <f>CONCATENATE(Table_Query_from_AMULTIQRY45[[#This Row],[WWHS]],"-",Table_Query_from_AMULTIQRY45[[#This Row],[LLOC]])</f>
        <v>E1-FG</v>
      </c>
      <c r="Q732" s="10">
        <f t="shared" ca="1" si="23"/>
        <v>45775</v>
      </c>
      <c r="R732" s="10"/>
      <c r="S732" s="28">
        <v>2041</v>
      </c>
      <c r="T732" s="1" t="s">
        <v>2</v>
      </c>
      <c r="U732" s="1" t="s">
        <v>778</v>
      </c>
      <c r="V732" s="1">
        <v>20230316</v>
      </c>
      <c r="W732" s="8" t="s">
        <v>8442</v>
      </c>
      <c r="Z732" s="1"/>
      <c r="AA732" s="1"/>
      <c r="AC732" s="1"/>
      <c r="AD732" s="1"/>
      <c r="AE732" s="1"/>
      <c r="AF732" s="1"/>
    </row>
    <row r="733" spans="2:32" ht="12.75" x14ac:dyDescent="0.2">
      <c r="B733" s="1" t="s">
        <v>9239</v>
      </c>
      <c r="C733" s="10">
        <f t="shared" ca="1" si="22"/>
        <v>45553</v>
      </c>
      <c r="D733" s="4"/>
      <c r="E733" s="4" t="s">
        <v>8434</v>
      </c>
      <c r="F733" s="4" t="s">
        <v>1293</v>
      </c>
      <c r="G733" s="4"/>
      <c r="H733" s="4" t="str">
        <f>_xlfn.IFNA(VLOOKUP(Table_Query_from_AMULTIQRY45[[#This Row],[WPROD]],'Part# with New'!$A$1:$B$4347,2,0),Table_Query_from_AMULTIQRY45[[#This Row],[WPROD]])</f>
        <v>WSOR037023006S-DV050N</v>
      </c>
      <c r="I733" s="4" t="s">
        <v>8436</v>
      </c>
      <c r="J733" s="1" t="s">
        <v>5</v>
      </c>
      <c r="L733" s="11">
        <v>0.27801999999999999</v>
      </c>
      <c r="M733" s="1"/>
      <c r="N733" s="1" t="s">
        <v>480</v>
      </c>
      <c r="P733" s="1" t="str">
        <f>CONCATENATE(Table_Query_from_AMULTIQRY45[[#This Row],[WWHS]],"-",Table_Query_from_AMULTIQRY45[[#This Row],[LLOC]])</f>
        <v>E1-FG</v>
      </c>
      <c r="Q733" s="10">
        <f t="shared" ca="1" si="23"/>
        <v>45775</v>
      </c>
      <c r="R733" s="10"/>
      <c r="S733" s="28">
        <v>96</v>
      </c>
      <c r="T733" s="1" t="s">
        <v>2</v>
      </c>
      <c r="U733" s="1" t="s">
        <v>779</v>
      </c>
      <c r="V733" s="1">
        <v>20240918</v>
      </c>
      <c r="W733" s="8" t="s">
        <v>8442</v>
      </c>
      <c r="Z733" s="1"/>
      <c r="AA733" s="1"/>
      <c r="AC733" s="1"/>
      <c r="AD733" s="1"/>
      <c r="AE733" s="1"/>
      <c r="AF733" s="1"/>
    </row>
    <row r="734" spans="2:32" ht="12.75" x14ac:dyDescent="0.2">
      <c r="B734" s="1" t="s">
        <v>9240</v>
      </c>
      <c r="C734" s="10">
        <f t="shared" ca="1" si="22"/>
        <v>45544</v>
      </c>
      <c r="D734" s="4"/>
      <c r="E734" s="4" t="s">
        <v>8434</v>
      </c>
      <c r="F734" s="4" t="s">
        <v>1293</v>
      </c>
      <c r="G734" s="4"/>
      <c r="H734" s="4" t="str">
        <f>_xlfn.IFNA(VLOOKUP(Table_Query_from_AMULTIQRY45[[#This Row],[WPROD]],'Part# with New'!$A$1:$B$4347,2,0),Table_Query_from_AMULTIQRY45[[#This Row],[WPROD]])</f>
        <v>WSOR030023013D-DP037W</v>
      </c>
      <c r="I734" s="4" t="s">
        <v>8436</v>
      </c>
      <c r="J734" s="1" t="s">
        <v>5</v>
      </c>
      <c r="L734" s="11">
        <v>0.26938000000000001</v>
      </c>
      <c r="M734" s="1"/>
      <c r="N734" s="1" t="s">
        <v>480</v>
      </c>
      <c r="P734" s="1" t="str">
        <f>CONCATENATE(Table_Query_from_AMULTIQRY45[[#This Row],[WWHS]],"-",Table_Query_from_AMULTIQRY45[[#This Row],[LLOC]])</f>
        <v>E1-FG</v>
      </c>
      <c r="Q734" s="10">
        <f t="shared" ca="1" si="23"/>
        <v>45775</v>
      </c>
      <c r="R734" s="10"/>
      <c r="S734" s="28">
        <v>320</v>
      </c>
      <c r="T734" s="1" t="s">
        <v>2</v>
      </c>
      <c r="U734" s="1" t="s">
        <v>780</v>
      </c>
      <c r="V734" s="1">
        <v>20240909</v>
      </c>
      <c r="W734" s="8" t="s">
        <v>8442</v>
      </c>
      <c r="Z734" s="1"/>
      <c r="AA734" s="1"/>
      <c r="AC734" s="1"/>
      <c r="AD734" s="1"/>
      <c r="AE734" s="1"/>
      <c r="AF734" s="1"/>
    </row>
    <row r="735" spans="2:32" ht="12.75" x14ac:dyDescent="0.2">
      <c r="B735" s="1" t="s">
        <v>9241</v>
      </c>
      <c r="C735" s="10">
        <f t="shared" ca="1" si="22"/>
        <v>45272</v>
      </c>
      <c r="D735" s="4"/>
      <c r="E735" s="4" t="s">
        <v>8434</v>
      </c>
      <c r="F735" s="4" t="s">
        <v>1293</v>
      </c>
      <c r="G735" s="4"/>
      <c r="H735" s="4" t="str">
        <f>_xlfn.IFNA(VLOOKUP(Table_Query_from_AMULTIQRY45[[#This Row],[WPROD]],'Part# with New'!$A$1:$B$4347,2,0),Table_Query_from_AMULTIQRY45[[#This Row],[WPROD]])</f>
        <v>WSOR025018003D-DJ030W</v>
      </c>
      <c r="I735" s="4" t="s">
        <v>8436</v>
      </c>
      <c r="J735" s="1" t="s">
        <v>5</v>
      </c>
      <c r="L735" s="11">
        <v>0.24368999999999999</v>
      </c>
      <c r="M735" s="1"/>
      <c r="N735" s="1" t="s">
        <v>480</v>
      </c>
      <c r="P735" s="1" t="str">
        <f>CONCATENATE(Table_Query_from_AMULTIQRY45[[#This Row],[WWHS]],"-",Table_Query_from_AMULTIQRY45[[#This Row],[LLOC]])</f>
        <v>E1-FG</v>
      </c>
      <c r="Q735" s="10">
        <f t="shared" ca="1" si="23"/>
        <v>45775</v>
      </c>
      <c r="R735" s="10"/>
      <c r="S735" s="28">
        <v>246</v>
      </c>
      <c r="T735" s="1" t="s">
        <v>2</v>
      </c>
      <c r="U735" s="1" t="s">
        <v>781</v>
      </c>
      <c r="V735" s="1">
        <v>20231212</v>
      </c>
      <c r="W735" s="8" t="s">
        <v>8442</v>
      </c>
      <c r="Z735" s="1"/>
      <c r="AA735" s="1"/>
      <c r="AC735" s="1"/>
      <c r="AD735" s="1"/>
      <c r="AE735" s="1"/>
      <c r="AF735" s="1"/>
    </row>
    <row r="736" spans="2:32" ht="12.75" x14ac:dyDescent="0.2">
      <c r="B736" s="1" t="s">
        <v>9242</v>
      </c>
      <c r="C736" s="10">
        <f t="shared" ca="1" si="22"/>
        <v>45401</v>
      </c>
      <c r="D736" s="4"/>
      <c r="E736" s="4" t="s">
        <v>8434</v>
      </c>
      <c r="F736" s="4" t="s">
        <v>1293</v>
      </c>
      <c r="G736" s="4"/>
      <c r="H736" s="4" t="str">
        <f>_xlfn.IFNA(VLOOKUP(Table_Query_from_AMULTIQRY45[[#This Row],[WPROD]],'Part# with New'!$A$1:$B$4347,2,0),Table_Query_from_AMULTIQRY45[[#This Row],[WPROD]])</f>
        <v>WSNC070030033D-PGM05K</v>
      </c>
      <c r="I736" s="4" t="s">
        <v>8436</v>
      </c>
      <c r="J736" s="1" t="s">
        <v>5</v>
      </c>
      <c r="L736" s="11">
        <v>0.65691999999999995</v>
      </c>
      <c r="M736" s="1"/>
      <c r="N736" s="1" t="s">
        <v>6</v>
      </c>
      <c r="P736" s="1" t="str">
        <f>CONCATENATE(Table_Query_from_AMULTIQRY45[[#This Row],[WWHS]],"-",Table_Query_from_AMULTIQRY45[[#This Row],[LLOC]])</f>
        <v>E1-FG</v>
      </c>
      <c r="Q736" s="10">
        <f t="shared" ca="1" si="23"/>
        <v>45775</v>
      </c>
      <c r="R736" s="10"/>
      <c r="S736" s="28">
        <v>186</v>
      </c>
      <c r="T736" s="1" t="s">
        <v>2</v>
      </c>
      <c r="U736" s="1" t="s">
        <v>782</v>
      </c>
      <c r="V736" s="1">
        <v>20240419</v>
      </c>
      <c r="W736" s="8" t="s">
        <v>8442</v>
      </c>
      <c r="Z736" s="1"/>
      <c r="AA736" s="1"/>
      <c r="AC736" s="1"/>
      <c r="AD736" s="1"/>
      <c r="AE736" s="1"/>
      <c r="AF736" s="1"/>
    </row>
    <row r="737" spans="2:32" ht="12.75" x14ac:dyDescent="0.2">
      <c r="B737" s="1" t="s">
        <v>9243</v>
      </c>
      <c r="C737" s="10">
        <f t="shared" ca="1" si="22"/>
        <v>45709</v>
      </c>
      <c r="D737" s="4"/>
      <c r="E737" s="4" t="s">
        <v>8434</v>
      </c>
      <c r="F737" s="4" t="s">
        <v>1293</v>
      </c>
      <c r="G737" s="4"/>
      <c r="H737" s="4" t="str">
        <f>_xlfn.IFNA(VLOOKUP(Table_Query_from_AMULTIQRY45[[#This Row],[WPROD]],'Part# with New'!$A$1:$B$4347,2,0),Table_Query_from_AMULTIQRY45[[#This Row],[WPROD]])</f>
        <v>WSNC036024008D-PMX05K</v>
      </c>
      <c r="I737" s="4" t="s">
        <v>8436</v>
      </c>
      <c r="J737" s="1" t="s">
        <v>5</v>
      </c>
      <c r="L737" s="11">
        <v>0.28684999999999999</v>
      </c>
      <c r="M737" s="1"/>
      <c r="N737" s="1" t="s">
        <v>6</v>
      </c>
      <c r="P737" s="1" t="str">
        <f>CONCATENATE(Table_Query_from_AMULTIQRY45[[#This Row],[WWHS]],"-",Table_Query_from_AMULTIQRY45[[#This Row],[LLOC]])</f>
        <v>E1-FG</v>
      </c>
      <c r="Q737" s="10">
        <f t="shared" ca="1" si="23"/>
        <v>45775</v>
      </c>
      <c r="R737" s="10"/>
      <c r="S737" s="28">
        <v>500</v>
      </c>
      <c r="T737" s="1" t="s">
        <v>2</v>
      </c>
      <c r="U737" s="1" t="s">
        <v>783</v>
      </c>
      <c r="V737" s="1">
        <v>20250221</v>
      </c>
      <c r="W737" s="8" t="s">
        <v>8442</v>
      </c>
      <c r="Z737" s="1"/>
      <c r="AA737" s="1"/>
      <c r="AC737" s="1"/>
      <c r="AD737" s="1"/>
      <c r="AE737" s="1"/>
      <c r="AF737" s="1"/>
    </row>
    <row r="738" spans="2:32" ht="12.75" x14ac:dyDescent="0.2">
      <c r="B738" s="1" t="s">
        <v>9244</v>
      </c>
      <c r="C738" s="10">
        <f t="shared" ca="1" si="22"/>
        <v>45033</v>
      </c>
      <c r="D738" s="4"/>
      <c r="E738" s="4" t="s">
        <v>8434</v>
      </c>
      <c r="F738" s="4" t="s">
        <v>1293</v>
      </c>
      <c r="G738" s="4"/>
      <c r="H738" s="4" t="str">
        <f>_xlfn.IFNA(VLOOKUP(Table_Query_from_AMULTIQRY45[[#This Row],[WPROD]],'Part# with New'!$A$1:$B$4347,2,0),Table_Query_from_AMULTIQRY45[[#This Row],[WPROD]])</f>
        <v>WSNC105098014D-PCX15K</v>
      </c>
      <c r="I738" s="4" t="s">
        <v>8436</v>
      </c>
      <c r="J738" s="1" t="s">
        <v>5</v>
      </c>
      <c r="L738" s="11">
        <v>0.20813000000000001</v>
      </c>
      <c r="M738" s="1"/>
      <c r="N738" s="1" t="s">
        <v>6</v>
      </c>
      <c r="P738" s="1" t="str">
        <f>CONCATENATE(Table_Query_from_AMULTIQRY45[[#This Row],[WWHS]],"-",Table_Query_from_AMULTIQRY45[[#This Row],[LLOC]])</f>
        <v>E1-FG</v>
      </c>
      <c r="Q738" s="10">
        <f t="shared" ca="1" si="23"/>
        <v>45775</v>
      </c>
      <c r="R738" s="10"/>
      <c r="S738" s="28">
        <v>67</v>
      </c>
      <c r="T738" s="1" t="s">
        <v>2</v>
      </c>
      <c r="U738" s="1" t="s">
        <v>784</v>
      </c>
      <c r="V738" s="1">
        <v>20230417</v>
      </c>
      <c r="W738" s="8" t="s">
        <v>8442</v>
      </c>
      <c r="Z738" s="1"/>
      <c r="AA738" s="1"/>
      <c r="AC738" s="1"/>
      <c r="AD738" s="1"/>
      <c r="AE738" s="1"/>
      <c r="AF738" s="1"/>
    </row>
    <row r="739" spans="2:32" ht="12.75" x14ac:dyDescent="0.2">
      <c r="B739" s="1" t="s">
        <v>9245</v>
      </c>
      <c r="C739" s="10">
        <f t="shared" ca="1" si="22"/>
        <v>44540</v>
      </c>
      <c r="D739" s="4"/>
      <c r="E739" s="4" t="s">
        <v>8434</v>
      </c>
      <c r="F739" s="4" t="s">
        <v>1293</v>
      </c>
      <c r="G739" s="4"/>
      <c r="H739" s="4" t="str">
        <f>_xlfn.IFNA(VLOOKUP(Table_Query_from_AMULTIQRY45[[#This Row],[WPROD]],'Part# with New'!$A$1:$B$4347,2,0),Table_Query_from_AMULTIQRY45[[#This Row],[WPROD]])</f>
        <v>23973</v>
      </c>
      <c r="I739" s="4" t="s">
        <v>8436</v>
      </c>
      <c r="J739" s="1" t="s">
        <v>5</v>
      </c>
      <c r="L739" s="11">
        <v>20.269169999999999</v>
      </c>
      <c r="M739" s="1"/>
      <c r="N739" s="1" t="s">
        <v>18</v>
      </c>
      <c r="P739" s="1" t="str">
        <f>CONCATENATE(Table_Query_from_AMULTIQRY45[[#This Row],[WWHS]],"-",Table_Query_from_AMULTIQRY45[[#This Row],[LLOC]])</f>
        <v>E1-FG</v>
      </c>
      <c r="Q739" s="10">
        <f t="shared" ca="1" si="23"/>
        <v>45775</v>
      </c>
      <c r="R739" s="10"/>
      <c r="S739" s="28">
        <v>16</v>
      </c>
      <c r="T739" s="1" t="s">
        <v>2</v>
      </c>
      <c r="U739" s="1" t="s">
        <v>785</v>
      </c>
      <c r="V739" s="1">
        <v>20211210</v>
      </c>
      <c r="W739" s="8" t="s">
        <v>8442</v>
      </c>
      <c r="Z739" s="1"/>
      <c r="AA739" s="1"/>
      <c r="AC739" s="1"/>
      <c r="AD739" s="1"/>
      <c r="AE739" s="1"/>
      <c r="AF739" s="1"/>
    </row>
    <row r="740" spans="2:32" ht="12.75" x14ac:dyDescent="0.2">
      <c r="B740" s="1" t="s">
        <v>9246</v>
      </c>
      <c r="C740" s="10">
        <f t="shared" ca="1" si="22"/>
        <v>43502</v>
      </c>
      <c r="D740" s="4"/>
      <c r="E740" s="4" t="s">
        <v>8434</v>
      </c>
      <c r="F740" s="4" t="s">
        <v>1293</v>
      </c>
      <c r="G740" s="4"/>
      <c r="H740" s="4" t="str">
        <f>_xlfn.IFNA(VLOOKUP(Table_Query_from_AMULTIQRY45[[#This Row],[WPROD]],'Part# with New'!$A$1:$B$4347,2,0),Table_Query_from_AMULTIQRY45[[#This Row],[WPROD]])</f>
        <v>WPOT176137006D-MSX50S</v>
      </c>
      <c r="I740" s="4" t="s">
        <v>8436</v>
      </c>
      <c r="J740" s="1" t="s">
        <v>5</v>
      </c>
      <c r="L740" s="11">
        <v>0.30542999999999998</v>
      </c>
      <c r="M740" s="1"/>
      <c r="N740" s="1" t="s">
        <v>3</v>
      </c>
      <c r="P740" s="1" t="str">
        <f>CONCATENATE(Table_Query_from_AMULTIQRY45[[#This Row],[WWHS]],"-",Table_Query_from_AMULTIQRY45[[#This Row],[LLOC]])</f>
        <v>E1-FG</v>
      </c>
      <c r="Q740" s="10">
        <f t="shared" ca="1" si="23"/>
        <v>45775</v>
      </c>
      <c r="R740" s="10"/>
      <c r="S740" s="28">
        <v>164</v>
      </c>
      <c r="T740" s="1" t="s">
        <v>2</v>
      </c>
      <c r="U740" s="1" t="s">
        <v>786</v>
      </c>
      <c r="V740" s="1">
        <v>20190206</v>
      </c>
      <c r="W740" s="8" t="s">
        <v>8442</v>
      </c>
      <c r="Z740" s="1"/>
      <c r="AA740" s="1"/>
      <c r="AC740" s="1"/>
      <c r="AD740" s="1"/>
      <c r="AE740" s="1"/>
      <c r="AF740" s="1"/>
    </row>
    <row r="741" spans="2:32" ht="12.75" x14ac:dyDescent="0.2">
      <c r="B741" s="1" t="s">
        <v>9247</v>
      </c>
      <c r="C741" s="10">
        <f t="shared" ca="1" si="22"/>
        <v>45736</v>
      </c>
      <c r="D741" s="4"/>
      <c r="E741" s="4" t="s">
        <v>8434</v>
      </c>
      <c r="F741" s="4" t="s">
        <v>1293</v>
      </c>
      <c r="G741" s="4"/>
      <c r="H741" s="4" t="str">
        <f>_xlfn.IFNA(VLOOKUP(Table_Query_from_AMULTIQRY45[[#This Row],[WPROD]],'Part# with New'!$A$1:$B$4347,2,0),Table_Query_from_AMULTIQRY45[[#This Row],[WPROD]])</f>
        <v>WPOT227188009D-MSX50S</v>
      </c>
      <c r="I741" s="4" t="s">
        <v>8436</v>
      </c>
      <c r="J741" s="1" t="s">
        <v>5</v>
      </c>
      <c r="L741" s="11">
        <v>0.52227000000000001</v>
      </c>
      <c r="M741" s="1"/>
      <c r="N741" s="1" t="s">
        <v>6</v>
      </c>
      <c r="P741" s="1" t="str">
        <f>CONCATENATE(Table_Query_from_AMULTIQRY45[[#This Row],[WWHS]],"-",Table_Query_from_AMULTIQRY45[[#This Row],[LLOC]])</f>
        <v>E1-FG</v>
      </c>
      <c r="Q741" s="10">
        <f t="shared" ca="1" si="23"/>
        <v>45775</v>
      </c>
      <c r="R741" s="10"/>
      <c r="S741" s="28">
        <v>53</v>
      </c>
      <c r="T741" s="1" t="s">
        <v>2</v>
      </c>
      <c r="U741" s="1" t="s">
        <v>787</v>
      </c>
      <c r="V741" s="1">
        <v>20250320</v>
      </c>
      <c r="W741" s="8" t="s">
        <v>8442</v>
      </c>
      <c r="Z741" s="1"/>
      <c r="AA741" s="1"/>
      <c r="AC741" s="1"/>
      <c r="AD741" s="1"/>
      <c r="AE741" s="1"/>
      <c r="AF741" s="1"/>
    </row>
    <row r="742" spans="2:32" ht="12.75" x14ac:dyDescent="0.2">
      <c r="B742" s="1" t="s">
        <v>9248</v>
      </c>
      <c r="C742" s="10">
        <f t="shared" ca="1" si="22"/>
        <v>45418</v>
      </c>
      <c r="D742" s="4"/>
      <c r="E742" s="4" t="s">
        <v>8434</v>
      </c>
      <c r="F742" s="4" t="s">
        <v>1293</v>
      </c>
      <c r="G742" s="4"/>
      <c r="H742" s="4" t="str">
        <f>_xlfn.IFNA(VLOOKUP(Table_Query_from_AMULTIQRY45[[#This Row],[WPROD]],'Part# with New'!$A$1:$B$4347,2,0),Table_Query_from_AMULTIQRY45[[#This Row],[WPROD]])</f>
        <v>WSNC156129014D-PPM15K</v>
      </c>
      <c r="I742" s="4" t="s">
        <v>8436</v>
      </c>
      <c r="J742" s="1" t="s">
        <v>5</v>
      </c>
      <c r="L742" s="11">
        <v>0.51554</v>
      </c>
      <c r="M742" s="1"/>
      <c r="N742" s="1" t="s">
        <v>6</v>
      </c>
      <c r="P742" s="1" t="str">
        <f>CONCATENATE(Table_Query_from_AMULTIQRY45[[#This Row],[WWHS]],"-",Table_Query_from_AMULTIQRY45[[#This Row],[LLOC]])</f>
        <v>E1-FG</v>
      </c>
      <c r="Q742" s="10">
        <f t="shared" ca="1" si="23"/>
        <v>45775</v>
      </c>
      <c r="R742" s="10"/>
      <c r="S742" s="28">
        <v>539</v>
      </c>
      <c r="T742" s="1" t="s">
        <v>2</v>
      </c>
      <c r="U742" s="1" t="s">
        <v>788</v>
      </c>
      <c r="V742" s="1">
        <v>20240506</v>
      </c>
      <c r="W742" s="8" t="s">
        <v>8442</v>
      </c>
      <c r="Z742" s="1"/>
      <c r="AA742" s="1"/>
      <c r="AC742" s="1"/>
      <c r="AD742" s="1"/>
      <c r="AE742" s="1"/>
      <c r="AF742" s="1"/>
    </row>
    <row r="743" spans="2:32" ht="12.75" x14ac:dyDescent="0.2">
      <c r="B743" s="1" t="s">
        <v>9249</v>
      </c>
      <c r="C743" s="10">
        <f t="shared" ca="1" si="22"/>
        <v>45349</v>
      </c>
      <c r="D743" s="4"/>
      <c r="E743" s="4" t="s">
        <v>8434</v>
      </c>
      <c r="F743" s="4" t="s">
        <v>1293</v>
      </c>
      <c r="G743" s="4"/>
      <c r="H743" s="4" t="str">
        <f>_xlfn.IFNA(VLOOKUP(Table_Query_from_AMULTIQRY45[[#This Row],[WPROD]],'Part# with New'!$A$1:$B$4347,2,0),Table_Query_from_AMULTIQRY45[[#This Row],[WPROD]])</f>
        <v>WSNC213201013D-DV225N</v>
      </c>
      <c r="I743" s="4" t="s">
        <v>8436</v>
      </c>
      <c r="J743" s="1" t="s">
        <v>5</v>
      </c>
      <c r="L743" s="11">
        <v>0.54159000000000002</v>
      </c>
      <c r="M743" s="1"/>
      <c r="N743" s="1" t="s">
        <v>480</v>
      </c>
      <c r="P743" s="1" t="str">
        <f>CONCATENATE(Table_Query_from_AMULTIQRY45[[#This Row],[WWHS]],"-",Table_Query_from_AMULTIQRY45[[#This Row],[LLOC]])</f>
        <v>E1-FG</v>
      </c>
      <c r="Q743" s="10">
        <f t="shared" ca="1" si="23"/>
        <v>45775</v>
      </c>
      <c r="R743" s="10"/>
      <c r="S743" s="28">
        <v>509</v>
      </c>
      <c r="T743" s="1" t="s">
        <v>2</v>
      </c>
      <c r="U743" s="1" t="s">
        <v>789</v>
      </c>
      <c r="V743" s="1">
        <v>20240227</v>
      </c>
      <c r="W743" s="8" t="s">
        <v>8442</v>
      </c>
      <c r="Z743" s="1"/>
      <c r="AA743" s="1"/>
      <c r="AC743" s="1"/>
      <c r="AD743" s="1"/>
      <c r="AE743" s="1"/>
      <c r="AF743" s="1"/>
    </row>
    <row r="744" spans="2:32" ht="12.75" x14ac:dyDescent="0.2">
      <c r="B744" s="1" t="s">
        <v>9250</v>
      </c>
      <c r="C744" s="10">
        <f t="shared" ca="1" si="22"/>
        <v>43545</v>
      </c>
      <c r="D744" s="4"/>
      <c r="E744" s="4" t="s">
        <v>8434</v>
      </c>
      <c r="F744" s="4" t="s">
        <v>1293</v>
      </c>
      <c r="G744" s="4"/>
      <c r="H744" s="4" t="str">
        <f>_xlfn.IFNA(VLOOKUP(Table_Query_from_AMULTIQRY45[[#This Row],[WPROD]],'Part# with New'!$A$1:$B$4347,2,0),Table_Query_from_AMULTIQRY45[[#This Row],[WPROD]])</f>
        <v>WSNC117090013D-PXX00W</v>
      </c>
      <c r="I744" s="4" t="s">
        <v>8436</v>
      </c>
      <c r="J744" s="1" t="s">
        <v>5</v>
      </c>
      <c r="L744" s="11">
        <v>0.53054999999999997</v>
      </c>
      <c r="M744" s="1"/>
      <c r="N744" s="1" t="s">
        <v>6</v>
      </c>
      <c r="P744" s="1" t="str">
        <f>CONCATENATE(Table_Query_from_AMULTIQRY45[[#This Row],[WWHS]],"-",Table_Query_from_AMULTIQRY45[[#This Row],[LLOC]])</f>
        <v>E1-FG</v>
      </c>
      <c r="Q744" s="10">
        <f t="shared" ca="1" si="23"/>
        <v>45775</v>
      </c>
      <c r="R744" s="10"/>
      <c r="S744" s="28">
        <v>90</v>
      </c>
      <c r="T744" s="1" t="s">
        <v>2</v>
      </c>
      <c r="U744" s="1" t="s">
        <v>790</v>
      </c>
      <c r="V744" s="1">
        <v>20190321</v>
      </c>
      <c r="W744" s="8" t="s">
        <v>8442</v>
      </c>
      <c r="Z744" s="1"/>
      <c r="AA744" s="1"/>
      <c r="AC744" s="1"/>
      <c r="AD744" s="1"/>
      <c r="AE744" s="1"/>
      <c r="AF744" s="1"/>
    </row>
    <row r="745" spans="2:32" ht="12.75" x14ac:dyDescent="0.2">
      <c r="B745" s="1" t="s">
        <v>9251</v>
      </c>
      <c r="C745" s="10">
        <f t="shared" ca="1" si="22"/>
        <v>43549</v>
      </c>
      <c r="D745" s="4"/>
      <c r="E745" s="4" t="s">
        <v>8434</v>
      </c>
      <c r="F745" s="4" t="s">
        <v>1293</v>
      </c>
      <c r="G745" s="4"/>
      <c r="H745" s="4" t="str">
        <f>_xlfn.IFNA(VLOOKUP(Table_Query_from_AMULTIQRY45[[#This Row],[WPROD]],'Part# with New'!$A$1:$B$4347,2,0),Table_Query_from_AMULTIQRY45[[#This Row],[WPROD]])</f>
        <v>WPOS238214004S-PXX00W</v>
      </c>
      <c r="I745" s="4" t="s">
        <v>8436</v>
      </c>
      <c r="J745" s="1" t="s">
        <v>5</v>
      </c>
      <c r="L745" s="11">
        <v>0.19833999999999999</v>
      </c>
      <c r="M745" s="1"/>
      <c r="N745" s="1" t="s">
        <v>3</v>
      </c>
      <c r="P745" s="1" t="str">
        <f>CONCATENATE(Table_Query_from_AMULTIQRY45[[#This Row],[WWHS]],"-",Table_Query_from_AMULTIQRY45[[#This Row],[LLOC]])</f>
        <v>E1-FG</v>
      </c>
      <c r="Q745" s="10">
        <f t="shared" ca="1" si="23"/>
        <v>45775</v>
      </c>
      <c r="R745" s="10"/>
      <c r="S745" s="28">
        <v>149</v>
      </c>
      <c r="T745" s="1" t="s">
        <v>2</v>
      </c>
      <c r="U745" s="1" t="s">
        <v>791</v>
      </c>
      <c r="V745" s="1">
        <v>20190325</v>
      </c>
      <c r="W745" s="8" t="s">
        <v>8442</v>
      </c>
      <c r="Z745" s="1"/>
      <c r="AA745" s="1"/>
      <c r="AC745" s="1"/>
      <c r="AD745" s="1"/>
      <c r="AE745" s="1"/>
      <c r="AF745" s="1"/>
    </row>
    <row r="746" spans="2:32" ht="12.75" x14ac:dyDescent="0.2">
      <c r="B746" s="1" t="s">
        <v>9252</v>
      </c>
      <c r="C746" s="10">
        <f t="shared" ca="1" si="22"/>
        <v>45062</v>
      </c>
      <c r="D746" s="4"/>
      <c r="E746" s="4" t="s">
        <v>8434</v>
      </c>
      <c r="F746" s="4" t="s">
        <v>1293</v>
      </c>
      <c r="G746" s="4"/>
      <c r="H746" s="4" t="str">
        <f>_xlfn.IFNA(VLOOKUP(Table_Query_from_AMULTIQRY45[[#This Row],[WPROD]],'Part# with New'!$A$1:$B$4347,2,0),Table_Query_from_AMULTIQRY45[[#This Row],[WPROD]])</f>
        <v>WSNC081032016D-PYM10W</v>
      </c>
      <c r="I746" s="4" t="s">
        <v>8436</v>
      </c>
      <c r="J746" s="1" t="s">
        <v>5</v>
      </c>
      <c r="L746" s="11">
        <v>0.49552000000000002</v>
      </c>
      <c r="M746" s="1"/>
      <c r="N746" s="1" t="s">
        <v>6</v>
      </c>
      <c r="P746" s="1" t="str">
        <f>CONCATENATE(Table_Query_from_AMULTIQRY45[[#This Row],[WWHS]],"-",Table_Query_from_AMULTIQRY45[[#This Row],[LLOC]])</f>
        <v>E1-FG</v>
      </c>
      <c r="Q746" s="10">
        <f t="shared" ca="1" si="23"/>
        <v>45775</v>
      </c>
      <c r="R746" s="10"/>
      <c r="S746" s="28">
        <v>127</v>
      </c>
      <c r="T746" s="1" t="s">
        <v>2</v>
      </c>
      <c r="U746" s="1" t="s">
        <v>792</v>
      </c>
      <c r="V746" s="1">
        <v>20230516</v>
      </c>
      <c r="W746" s="8" t="s">
        <v>8442</v>
      </c>
      <c r="Z746" s="1"/>
      <c r="AA746" s="1"/>
      <c r="AC746" s="1"/>
      <c r="AD746" s="1"/>
      <c r="AE746" s="1"/>
      <c r="AF746" s="1"/>
    </row>
    <row r="747" spans="2:32" ht="12.75" x14ac:dyDescent="0.2">
      <c r="B747" s="1" t="s">
        <v>9253</v>
      </c>
      <c r="C747" s="10">
        <f t="shared" ca="1" si="22"/>
        <v>45047</v>
      </c>
      <c r="D747" s="4"/>
      <c r="E747" s="4" t="s">
        <v>8434</v>
      </c>
      <c r="F747" s="4" t="s">
        <v>1293</v>
      </c>
      <c r="G747" s="4"/>
      <c r="H747" s="4" t="str">
        <f>_xlfn.IFNA(VLOOKUP(Table_Query_from_AMULTIQRY45[[#This Row],[WPROD]],'Part# with New'!$A$1:$B$4347,2,0),Table_Query_from_AMULTIQRY45[[#This Row],[WPROD]])</f>
        <v>WSNC086080017D-PXX00W</v>
      </c>
      <c r="I747" s="4" t="s">
        <v>8436</v>
      </c>
      <c r="J747" s="1" t="s">
        <v>5</v>
      </c>
      <c r="L747" s="11">
        <v>0.27210000000000001</v>
      </c>
      <c r="M747" s="1"/>
      <c r="N747" s="1" t="s">
        <v>6</v>
      </c>
      <c r="P747" s="1" t="str">
        <f>CONCATENATE(Table_Query_from_AMULTIQRY45[[#This Row],[WWHS]],"-",Table_Query_from_AMULTIQRY45[[#This Row],[LLOC]])</f>
        <v>E1-FG</v>
      </c>
      <c r="Q747" s="10">
        <f t="shared" ca="1" si="23"/>
        <v>45775</v>
      </c>
      <c r="R747" s="10"/>
      <c r="S747" s="28">
        <v>41</v>
      </c>
      <c r="T747" s="1" t="s">
        <v>2</v>
      </c>
      <c r="U747" s="1" t="s">
        <v>794</v>
      </c>
      <c r="V747" s="1">
        <v>20230501</v>
      </c>
      <c r="W747" s="8" t="s">
        <v>8442</v>
      </c>
      <c r="Z747" s="1"/>
      <c r="AA747" s="1"/>
      <c r="AC747" s="1"/>
      <c r="AD747" s="1"/>
      <c r="AE747" s="1"/>
      <c r="AF747" s="1"/>
    </row>
    <row r="748" spans="2:32" ht="12.75" x14ac:dyDescent="0.2">
      <c r="B748" s="1" t="s">
        <v>9254</v>
      </c>
      <c r="C748" s="10">
        <f t="shared" ca="1" si="22"/>
        <v>45769</v>
      </c>
      <c r="D748" s="4"/>
      <c r="E748" s="4" t="s">
        <v>8434</v>
      </c>
      <c r="F748" s="4" t="s">
        <v>1293</v>
      </c>
      <c r="G748" s="4"/>
      <c r="H748" s="4" t="str">
        <f>_xlfn.IFNA(VLOOKUP(Table_Query_from_AMULTIQRY45[[#This Row],[WPROD]],'Part# with New'!$A$1:$B$4347,2,0),Table_Query_from_AMULTIQRY45[[#This Row],[WPROD]])</f>
        <v>WPSM142131007D-PGX15B</v>
      </c>
      <c r="I748" s="4" t="s">
        <v>8436</v>
      </c>
      <c r="J748" s="1" t="s">
        <v>5</v>
      </c>
      <c r="L748" s="11">
        <v>9.8180000000000003E-2</v>
      </c>
      <c r="M748" s="1"/>
      <c r="N748" s="1" t="s">
        <v>3</v>
      </c>
      <c r="P748" s="1" t="str">
        <f>CONCATENATE(Table_Query_from_AMULTIQRY45[[#This Row],[WWHS]],"-",Table_Query_from_AMULTIQRY45[[#This Row],[LLOC]])</f>
        <v>E1-FG</v>
      </c>
      <c r="Q748" s="10">
        <f t="shared" ca="1" si="23"/>
        <v>45775</v>
      </c>
      <c r="R748" s="10"/>
      <c r="S748" s="28">
        <v>9347</v>
      </c>
      <c r="T748" s="1" t="s">
        <v>2</v>
      </c>
      <c r="U748" s="1" t="s">
        <v>795</v>
      </c>
      <c r="V748" s="1">
        <v>20250422</v>
      </c>
      <c r="W748" s="8" t="s">
        <v>8442</v>
      </c>
      <c r="Z748" s="1"/>
      <c r="AA748" s="1"/>
      <c r="AC748" s="1"/>
      <c r="AD748" s="1"/>
      <c r="AE748" s="1"/>
      <c r="AF748" s="1"/>
    </row>
    <row r="749" spans="2:32" ht="12.75" x14ac:dyDescent="0.2">
      <c r="B749" s="1" t="s">
        <v>9255</v>
      </c>
      <c r="C749" s="10">
        <f t="shared" ca="1" si="22"/>
        <v>45572</v>
      </c>
      <c r="D749" s="4"/>
      <c r="E749" s="4" t="s">
        <v>8434</v>
      </c>
      <c r="F749" s="4" t="s">
        <v>1293</v>
      </c>
      <c r="G749" s="4"/>
      <c r="H749" s="4" t="str">
        <f>_xlfn.IFNA(VLOOKUP(Table_Query_from_AMULTIQRY45[[#This Row],[WPROD]],'Part# with New'!$A$1:$B$4347,2,0),Table_Query_from_AMULTIQRY45[[#This Row],[WPROD]])</f>
        <v>WSMP098090019S-PZX40N</v>
      </c>
      <c r="I749" s="4" t="s">
        <v>8436</v>
      </c>
      <c r="J749" s="1" t="s">
        <v>5</v>
      </c>
      <c r="L749" s="11">
        <v>0.53049000000000002</v>
      </c>
      <c r="M749" s="1"/>
      <c r="N749" s="1" t="s">
        <v>18</v>
      </c>
      <c r="P749" s="1" t="str">
        <f>CONCATENATE(Table_Query_from_AMULTIQRY45[[#This Row],[WWHS]],"-",Table_Query_from_AMULTIQRY45[[#This Row],[LLOC]])</f>
        <v>E1-FG</v>
      </c>
      <c r="Q749" s="10">
        <f t="shared" ca="1" si="23"/>
        <v>45775</v>
      </c>
      <c r="R749" s="10"/>
      <c r="S749" s="28">
        <v>278</v>
      </c>
      <c r="T749" s="1" t="s">
        <v>2</v>
      </c>
      <c r="U749" s="1" t="s">
        <v>796</v>
      </c>
      <c r="V749" s="1">
        <v>20241007</v>
      </c>
      <c r="W749" s="8" t="s">
        <v>8442</v>
      </c>
      <c r="Z749" s="1"/>
      <c r="AA749" s="1"/>
      <c r="AC749" s="1"/>
      <c r="AD749" s="1"/>
      <c r="AE749" s="1"/>
      <c r="AF749" s="1"/>
    </row>
    <row r="750" spans="2:32" ht="12.75" x14ac:dyDescent="0.2">
      <c r="B750" s="1" t="s">
        <v>9256</v>
      </c>
      <c r="C750" s="10">
        <f t="shared" ca="1" si="22"/>
        <v>45061</v>
      </c>
      <c r="D750" s="4"/>
      <c r="E750" s="4" t="s">
        <v>8434</v>
      </c>
      <c r="F750" s="4" t="s">
        <v>1293</v>
      </c>
      <c r="G750" s="4"/>
      <c r="H750" s="4" t="str">
        <f>_xlfn.IFNA(VLOOKUP(Table_Query_from_AMULTIQRY45[[#This Row],[WPROD]],'Part# with New'!$A$1:$B$4347,2,0),Table_Query_from_AMULTIQRY45[[#This Row],[WPROD]])</f>
        <v>WPOS243228038S-PNM12S</v>
      </c>
      <c r="I750" s="4" t="s">
        <v>8436</v>
      </c>
      <c r="J750" s="1" t="s">
        <v>5</v>
      </c>
      <c r="L750" s="11">
        <v>1.17784</v>
      </c>
      <c r="M750" s="1"/>
      <c r="N750" s="1" t="s">
        <v>389</v>
      </c>
      <c r="P750" s="1" t="str">
        <f>CONCATENATE(Table_Query_from_AMULTIQRY45[[#This Row],[WWHS]],"-",Table_Query_from_AMULTIQRY45[[#This Row],[LLOC]])</f>
        <v>E1-FG</v>
      </c>
      <c r="Q750" s="10">
        <f t="shared" ca="1" si="23"/>
        <v>45775</v>
      </c>
      <c r="R750" s="10"/>
      <c r="S750" s="28">
        <v>113</v>
      </c>
      <c r="T750" s="1" t="s">
        <v>2</v>
      </c>
      <c r="U750" s="1" t="s">
        <v>797</v>
      </c>
      <c r="V750" s="1">
        <v>20230515</v>
      </c>
      <c r="W750" s="8" t="s">
        <v>8442</v>
      </c>
      <c r="Z750" s="1"/>
      <c r="AA750" s="1"/>
      <c r="AC750" s="1"/>
      <c r="AD750" s="1"/>
      <c r="AE750" s="1"/>
      <c r="AF750" s="1"/>
    </row>
    <row r="751" spans="2:32" ht="12.75" x14ac:dyDescent="0.2">
      <c r="B751" s="1" t="s">
        <v>9257</v>
      </c>
      <c r="C751" s="10">
        <f t="shared" ca="1" si="22"/>
        <v>43693</v>
      </c>
      <c r="D751" s="4"/>
      <c r="E751" s="4" t="s">
        <v>8434</v>
      </c>
      <c r="F751" s="4" t="s">
        <v>1293</v>
      </c>
      <c r="G751" s="4"/>
      <c r="H751" s="4" t="str">
        <f>_xlfn.IFNA(VLOOKUP(Table_Query_from_AMULTIQRY45[[#This Row],[WPROD]],'Part# with New'!$A$1:$B$4347,2,0),Table_Query_from_AMULTIQRY45[[#This Row],[WPROD]])</f>
        <v>WPOT190176008D-PZF30N</v>
      </c>
      <c r="I751" s="4" t="s">
        <v>8436</v>
      </c>
      <c r="J751" s="1" t="s">
        <v>5</v>
      </c>
      <c r="L751" s="11">
        <v>0.22270000000000001</v>
      </c>
      <c r="M751" s="1"/>
      <c r="N751" s="1" t="s">
        <v>3</v>
      </c>
      <c r="P751" s="1" t="str">
        <f>CONCATENATE(Table_Query_from_AMULTIQRY45[[#This Row],[WWHS]],"-",Table_Query_from_AMULTIQRY45[[#This Row],[LLOC]])</f>
        <v>E1-FG</v>
      </c>
      <c r="Q751" s="10">
        <f t="shared" ca="1" si="23"/>
        <v>45775</v>
      </c>
      <c r="R751" s="10"/>
      <c r="S751" s="28">
        <v>75</v>
      </c>
      <c r="T751" s="1" t="s">
        <v>2</v>
      </c>
      <c r="U751" s="1" t="s">
        <v>798</v>
      </c>
      <c r="V751" s="1">
        <v>20190816</v>
      </c>
      <c r="W751" s="8" t="s">
        <v>8442</v>
      </c>
      <c r="Z751" s="1"/>
      <c r="AA751" s="1"/>
      <c r="AC751" s="1"/>
      <c r="AD751" s="1"/>
      <c r="AE751" s="1"/>
      <c r="AF751" s="1"/>
    </row>
    <row r="752" spans="2:32" ht="12.75" x14ac:dyDescent="0.2">
      <c r="B752" s="1" t="s">
        <v>9258</v>
      </c>
      <c r="C752" s="10">
        <f t="shared" ca="1" si="22"/>
        <v>45400</v>
      </c>
      <c r="D752" s="4"/>
      <c r="E752" s="4" t="s">
        <v>8434</v>
      </c>
      <c r="F752" s="4" t="s">
        <v>1293</v>
      </c>
      <c r="G752" s="4"/>
      <c r="H752" s="4" t="str">
        <f>_xlfn.IFNA(VLOOKUP(Table_Query_from_AMULTIQRY45[[#This Row],[WPROD]],'Part# with New'!$A$1:$B$4347,2,0),Table_Query_from_AMULTIQRY45[[#This Row],[WPROD]])</f>
        <v>WPOS104088007S-PRX10K</v>
      </c>
      <c r="I752" s="4" t="s">
        <v>8436</v>
      </c>
      <c r="J752" s="1" t="s">
        <v>5</v>
      </c>
      <c r="L752" s="11">
        <v>0.17080999999999999</v>
      </c>
      <c r="M752" s="1"/>
      <c r="N752" s="1" t="s">
        <v>389</v>
      </c>
      <c r="P752" s="1" t="str">
        <f>CONCATENATE(Table_Query_from_AMULTIQRY45[[#This Row],[WWHS]],"-",Table_Query_from_AMULTIQRY45[[#This Row],[LLOC]])</f>
        <v>E1-FG</v>
      </c>
      <c r="Q752" s="10">
        <f t="shared" ca="1" si="23"/>
        <v>45775</v>
      </c>
      <c r="R752" s="10"/>
      <c r="S752" s="28">
        <v>745</v>
      </c>
      <c r="T752" s="1" t="s">
        <v>2</v>
      </c>
      <c r="U752" s="1" t="s">
        <v>799</v>
      </c>
      <c r="V752" s="1">
        <v>20240418</v>
      </c>
      <c r="W752" s="8" t="s">
        <v>8442</v>
      </c>
      <c r="Z752" s="1"/>
      <c r="AA752" s="1"/>
      <c r="AC752" s="1"/>
      <c r="AD752" s="1"/>
      <c r="AE752" s="1"/>
      <c r="AF752" s="1"/>
    </row>
    <row r="753" spans="2:32" ht="12.75" x14ac:dyDescent="0.2">
      <c r="B753" s="1" t="s">
        <v>9259</v>
      </c>
      <c r="C753" s="10">
        <f t="shared" ca="1" si="22"/>
        <v>45400</v>
      </c>
      <c r="D753" s="4"/>
      <c r="E753" s="4" t="s">
        <v>8434</v>
      </c>
      <c r="F753" s="4" t="s">
        <v>1293</v>
      </c>
      <c r="G753" s="4"/>
      <c r="H753" s="4" t="str">
        <f>_xlfn.IFNA(VLOOKUP(Table_Query_from_AMULTIQRY45[[#This Row],[WPROD]],'Part# with New'!$A$1:$B$4347,2,0),Table_Query_from_AMULTIQRY45[[#This Row],[WPROD]])</f>
        <v>WPOS186169008S-PRX10K</v>
      </c>
      <c r="I753" s="4" t="s">
        <v>8436</v>
      </c>
      <c r="J753" s="1" t="s">
        <v>5</v>
      </c>
      <c r="L753" s="11">
        <v>0.22187999999999999</v>
      </c>
      <c r="M753" s="1"/>
      <c r="N753" s="1" t="s">
        <v>389</v>
      </c>
      <c r="P753" s="1" t="str">
        <f>CONCATENATE(Table_Query_from_AMULTIQRY45[[#This Row],[WWHS]],"-",Table_Query_from_AMULTIQRY45[[#This Row],[LLOC]])</f>
        <v>E1-FG</v>
      </c>
      <c r="Q753" s="10">
        <f t="shared" ca="1" si="23"/>
        <v>45775</v>
      </c>
      <c r="R753" s="10"/>
      <c r="S753" s="28">
        <v>289</v>
      </c>
      <c r="T753" s="1" t="s">
        <v>2</v>
      </c>
      <c r="U753" s="1" t="s">
        <v>800</v>
      </c>
      <c r="V753" s="1">
        <v>20240418</v>
      </c>
      <c r="W753" s="8" t="s">
        <v>8442</v>
      </c>
      <c r="Z753" s="1"/>
      <c r="AA753" s="1"/>
      <c r="AC753" s="1"/>
      <c r="AD753" s="1"/>
      <c r="AE753" s="1"/>
      <c r="AF753" s="1"/>
    </row>
    <row r="754" spans="2:32" ht="12.75" x14ac:dyDescent="0.2">
      <c r="B754" s="1" t="s">
        <v>9260</v>
      </c>
      <c r="C754" s="10">
        <f t="shared" ca="1" si="22"/>
        <v>45400</v>
      </c>
      <c r="D754" s="4"/>
      <c r="E754" s="4" t="s">
        <v>8434</v>
      </c>
      <c r="F754" s="4" t="s">
        <v>1293</v>
      </c>
      <c r="G754" s="4"/>
      <c r="H754" s="4" t="str">
        <f>_xlfn.IFNA(VLOOKUP(Table_Query_from_AMULTIQRY45[[#This Row],[WPROD]],'Part# with New'!$A$1:$B$4347,2,0),Table_Query_from_AMULTIQRY45[[#This Row],[WPROD]])</f>
        <v>WPOS152136008S-PRX10K</v>
      </c>
      <c r="I754" s="4" t="s">
        <v>8436</v>
      </c>
      <c r="J754" s="1" t="s">
        <v>5</v>
      </c>
      <c r="L754" s="11">
        <v>0.19408</v>
      </c>
      <c r="M754" s="1"/>
      <c r="N754" s="1" t="s">
        <v>389</v>
      </c>
      <c r="P754" s="1" t="str">
        <f>CONCATENATE(Table_Query_from_AMULTIQRY45[[#This Row],[WWHS]],"-",Table_Query_from_AMULTIQRY45[[#This Row],[LLOC]])</f>
        <v>E1-FG</v>
      </c>
      <c r="Q754" s="10">
        <f t="shared" ca="1" si="23"/>
        <v>45775</v>
      </c>
      <c r="R754" s="10"/>
      <c r="S754" s="28">
        <v>410</v>
      </c>
      <c r="T754" s="1" t="s">
        <v>2</v>
      </c>
      <c r="U754" s="1" t="s">
        <v>801</v>
      </c>
      <c r="V754" s="1">
        <v>20240418</v>
      </c>
      <c r="W754" s="8" t="s">
        <v>8442</v>
      </c>
      <c r="Z754" s="1"/>
      <c r="AA754" s="1"/>
      <c r="AC754" s="1"/>
      <c r="AD754" s="1"/>
      <c r="AE754" s="1"/>
      <c r="AF754" s="1"/>
    </row>
    <row r="755" spans="2:32" ht="12.75" x14ac:dyDescent="0.2">
      <c r="B755" s="1" t="s">
        <v>9261</v>
      </c>
      <c r="C755" s="10">
        <f t="shared" ca="1" si="22"/>
        <v>45765</v>
      </c>
      <c r="D755" s="4"/>
      <c r="E755" s="4" t="s">
        <v>8434</v>
      </c>
      <c r="F755" s="4" t="s">
        <v>1293</v>
      </c>
      <c r="G755" s="4"/>
      <c r="H755" s="4" t="str">
        <f>_xlfn.IFNA(VLOOKUP(Table_Query_from_AMULTIQRY45[[#This Row],[WPROD]],'Part# with New'!$A$1:$B$4347,2,0),Table_Query_from_AMULTIQRY45[[#This Row],[WPROD]])</f>
        <v>WSMP072007004L-PGX15W</v>
      </c>
      <c r="I755" s="4" t="s">
        <v>8436</v>
      </c>
      <c r="J755" s="1" t="s">
        <v>5</v>
      </c>
      <c r="L755" s="11">
        <v>0.14680000000000001</v>
      </c>
      <c r="M755" s="1"/>
      <c r="N755" s="1" t="s">
        <v>18</v>
      </c>
      <c r="P755" s="1" t="str">
        <f>CONCATENATE(Table_Query_from_AMULTIQRY45[[#This Row],[WWHS]],"-",Table_Query_from_AMULTIQRY45[[#This Row],[LLOC]])</f>
        <v>E1-FG</v>
      </c>
      <c r="Q755" s="10">
        <f t="shared" ca="1" si="23"/>
        <v>45775</v>
      </c>
      <c r="R755" s="10"/>
      <c r="S755" s="28">
        <v>65191</v>
      </c>
      <c r="T755" s="1" t="s">
        <v>2</v>
      </c>
      <c r="U755" s="1" t="s">
        <v>802</v>
      </c>
      <c r="V755" s="1">
        <v>20250418</v>
      </c>
      <c r="W755" s="8" t="s">
        <v>8442</v>
      </c>
      <c r="Z755" s="1"/>
      <c r="AA755" s="1"/>
      <c r="AC755" s="1"/>
      <c r="AD755" s="1"/>
      <c r="AE755" s="1"/>
      <c r="AF755" s="1"/>
    </row>
    <row r="756" spans="2:32" ht="12.75" x14ac:dyDescent="0.2">
      <c r="B756" s="1" t="s">
        <v>9262</v>
      </c>
      <c r="C756" s="10">
        <f t="shared" ca="1" si="22"/>
        <v>45638</v>
      </c>
      <c r="D756" s="4"/>
      <c r="E756" s="4" t="s">
        <v>8434</v>
      </c>
      <c r="F756" s="4" t="s">
        <v>1293</v>
      </c>
      <c r="G756" s="4"/>
      <c r="H756" s="4" t="str">
        <f>_xlfn.IFNA(VLOOKUP(Table_Query_from_AMULTIQRY45[[#This Row],[WPROD]],'Part# with New'!$A$1:$B$4347,2,0),Table_Query_from_AMULTIQRY45[[#This Row],[WPROD]])</f>
        <v>WSMP090082019S-PZX40N</v>
      </c>
      <c r="I756" s="4" t="s">
        <v>8436</v>
      </c>
      <c r="J756" s="1" t="s">
        <v>5</v>
      </c>
      <c r="L756" s="11">
        <v>0.66400000000000003</v>
      </c>
      <c r="M756" s="1"/>
      <c r="N756" s="1" t="s">
        <v>18</v>
      </c>
      <c r="P756" s="1" t="str">
        <f>CONCATENATE(Table_Query_from_AMULTIQRY45[[#This Row],[WWHS]],"-",Table_Query_from_AMULTIQRY45[[#This Row],[LLOC]])</f>
        <v>E1-FG</v>
      </c>
      <c r="Q756" s="10">
        <f t="shared" ca="1" si="23"/>
        <v>45775</v>
      </c>
      <c r="R756" s="10"/>
      <c r="S756" s="28">
        <v>92</v>
      </c>
      <c r="T756" s="1" t="s">
        <v>2</v>
      </c>
      <c r="U756" s="1" t="s">
        <v>803</v>
      </c>
      <c r="V756" s="1">
        <v>20241212</v>
      </c>
      <c r="W756" s="8" t="s">
        <v>8442</v>
      </c>
      <c r="Z756" s="1"/>
      <c r="AA756" s="1"/>
      <c r="AC756" s="1"/>
      <c r="AD756" s="1"/>
      <c r="AE756" s="1"/>
      <c r="AF756" s="1"/>
    </row>
    <row r="757" spans="2:32" ht="12.75" x14ac:dyDescent="0.2">
      <c r="B757" s="1" t="s">
        <v>9263</v>
      </c>
      <c r="C757" s="10">
        <f t="shared" ca="1" si="22"/>
        <v>45772</v>
      </c>
      <c r="D757" s="4"/>
      <c r="E757" s="4" t="s">
        <v>8434</v>
      </c>
      <c r="F757" s="4" t="s">
        <v>1293</v>
      </c>
      <c r="G757" s="4"/>
      <c r="H757" s="4" t="str">
        <f>_xlfn.IFNA(VLOOKUP(Table_Query_from_AMULTIQRY45[[#This Row],[WPROD]],'Part# with New'!$A$1:$B$4347,2,0),Table_Query_from_AMULTIQRY45[[#This Row],[WPROD]])</f>
        <v>WPSM314301011D-PGX15B</v>
      </c>
      <c r="I757" s="4" t="s">
        <v>8436</v>
      </c>
      <c r="J757" s="1" t="s">
        <v>5</v>
      </c>
      <c r="L757" s="11">
        <v>0.23780000000000001</v>
      </c>
      <c r="M757" s="1"/>
      <c r="N757" s="1" t="s">
        <v>3</v>
      </c>
      <c r="P757" s="1" t="str">
        <f>CONCATENATE(Table_Query_from_AMULTIQRY45[[#This Row],[WWHS]],"-",Table_Query_from_AMULTIQRY45[[#This Row],[LLOC]])</f>
        <v>E1-FG</v>
      </c>
      <c r="Q757" s="10">
        <f t="shared" ca="1" si="23"/>
        <v>45775</v>
      </c>
      <c r="R757" s="10"/>
      <c r="S757" s="28">
        <v>229</v>
      </c>
      <c r="T757" s="1" t="s">
        <v>2</v>
      </c>
      <c r="U757" s="1" t="s">
        <v>804</v>
      </c>
      <c r="V757" s="1">
        <v>20250425</v>
      </c>
      <c r="W757" s="8" t="s">
        <v>8442</v>
      </c>
      <c r="Z757" s="1"/>
      <c r="AA757" s="1"/>
      <c r="AC757" s="1"/>
      <c r="AD757" s="1"/>
      <c r="AE757" s="1"/>
      <c r="AF757" s="1"/>
    </row>
    <row r="758" spans="2:32" ht="12.75" x14ac:dyDescent="0.2">
      <c r="B758" s="1" t="s">
        <v>9264</v>
      </c>
      <c r="C758" s="10">
        <f t="shared" ca="1" si="22"/>
        <v>45163</v>
      </c>
      <c r="D758" s="4"/>
      <c r="E758" s="4" t="s">
        <v>8434</v>
      </c>
      <c r="F758" s="4" t="s">
        <v>1293</v>
      </c>
      <c r="G758" s="4"/>
      <c r="H758" s="4" t="str">
        <f>_xlfn.IFNA(VLOOKUP(Table_Query_from_AMULTIQRY45[[#This Row],[WPROD]],'Part# with New'!$A$1:$B$4347,2,0),Table_Query_from_AMULTIQRY45[[#This Row],[WPROD]])</f>
        <v>WPOT095083006D-PXX00W</v>
      </c>
      <c r="I758" s="4" t="s">
        <v>8436</v>
      </c>
      <c r="J758" s="1" t="s">
        <v>5</v>
      </c>
      <c r="L758" s="11">
        <v>6.9559999999999997E-2</v>
      </c>
      <c r="M758" s="1"/>
      <c r="N758" s="1" t="s">
        <v>3</v>
      </c>
      <c r="P758" s="1" t="str">
        <f>CONCATENATE(Table_Query_from_AMULTIQRY45[[#This Row],[WWHS]],"-",Table_Query_from_AMULTIQRY45[[#This Row],[LLOC]])</f>
        <v>E1-FG</v>
      </c>
      <c r="Q758" s="10">
        <f t="shared" ca="1" si="23"/>
        <v>45775</v>
      </c>
      <c r="R758" s="10"/>
      <c r="S758" s="28">
        <v>631</v>
      </c>
      <c r="T758" s="1" t="s">
        <v>2</v>
      </c>
      <c r="U758" s="1" t="s">
        <v>805</v>
      </c>
      <c r="V758" s="1">
        <v>20230825</v>
      </c>
      <c r="W758" s="8" t="s">
        <v>8442</v>
      </c>
      <c r="Z758" s="1"/>
      <c r="AA758" s="1"/>
      <c r="AC758" s="1"/>
      <c r="AD758" s="1"/>
      <c r="AE758" s="1"/>
      <c r="AF758" s="1"/>
    </row>
    <row r="759" spans="2:32" ht="12.75" x14ac:dyDescent="0.2">
      <c r="B759" s="1" t="s">
        <v>9265</v>
      </c>
      <c r="C759" s="10">
        <f t="shared" ca="1" si="22"/>
        <v>45751</v>
      </c>
      <c r="D759" s="4"/>
      <c r="E759" s="4" t="s">
        <v>8434</v>
      </c>
      <c r="F759" s="4" t="s">
        <v>1293</v>
      </c>
      <c r="G759" s="4"/>
      <c r="H759" s="4" t="str">
        <f>_xlfn.IFNA(VLOOKUP(Table_Query_from_AMULTIQRY45[[#This Row],[WPROD]],'Part# with New'!$A$1:$B$4347,2,0),Table_Query_from_AMULTIQRY45[[#This Row],[WPROD]])</f>
        <v>WPOT044033008D-PXX00W</v>
      </c>
      <c r="I759" s="4" t="s">
        <v>8436</v>
      </c>
      <c r="J759" s="1" t="s">
        <v>5</v>
      </c>
      <c r="L759" s="11">
        <v>8.2199999999999995E-2</v>
      </c>
      <c r="M759" s="1"/>
      <c r="N759" s="1" t="s">
        <v>3</v>
      </c>
      <c r="P759" s="1" t="str">
        <f>CONCATENATE(Table_Query_from_AMULTIQRY45[[#This Row],[WWHS]],"-",Table_Query_from_AMULTIQRY45[[#This Row],[LLOC]])</f>
        <v>E1-FG</v>
      </c>
      <c r="Q759" s="10">
        <f t="shared" ca="1" si="23"/>
        <v>45775</v>
      </c>
      <c r="R759" s="10"/>
      <c r="S759" s="28">
        <v>527</v>
      </c>
      <c r="T759" s="1" t="s">
        <v>2</v>
      </c>
      <c r="U759" s="1" t="s">
        <v>806</v>
      </c>
      <c r="V759" s="1">
        <v>20250404</v>
      </c>
      <c r="W759" s="8" t="s">
        <v>8442</v>
      </c>
      <c r="Z759" s="1"/>
      <c r="AA759" s="1"/>
      <c r="AC759" s="1"/>
      <c r="AD759" s="1"/>
      <c r="AE759" s="1"/>
      <c r="AF759" s="1"/>
    </row>
    <row r="760" spans="2:32" ht="12.75" x14ac:dyDescent="0.2">
      <c r="B760" s="1" t="s">
        <v>9266</v>
      </c>
      <c r="C760" s="10">
        <f t="shared" ca="1" si="22"/>
        <v>45022</v>
      </c>
      <c r="D760" s="4"/>
      <c r="E760" s="4" t="s">
        <v>8434</v>
      </c>
      <c r="F760" s="4" t="s">
        <v>1293</v>
      </c>
      <c r="G760" s="4"/>
      <c r="H760" s="4" t="str">
        <f>_xlfn.IFNA(VLOOKUP(Table_Query_from_AMULTIQRY45[[#This Row],[WPROD]],'Part# with New'!$A$1:$B$4347,2,0),Table_Query_from_AMULTIQRY45[[#This Row],[WPROD]])</f>
        <v>WPOT053035007D-PGX15B</v>
      </c>
      <c r="I760" s="4" t="s">
        <v>8436</v>
      </c>
      <c r="J760" s="1" t="s">
        <v>5</v>
      </c>
      <c r="L760" s="11">
        <v>8.7459999999999996E-2</v>
      </c>
      <c r="M760" s="1"/>
      <c r="N760" s="1" t="s">
        <v>3</v>
      </c>
      <c r="P760" s="1" t="str">
        <f>CONCATENATE(Table_Query_from_AMULTIQRY45[[#This Row],[WWHS]],"-",Table_Query_from_AMULTIQRY45[[#This Row],[LLOC]])</f>
        <v>E1-FG</v>
      </c>
      <c r="Q760" s="10">
        <f t="shared" ca="1" si="23"/>
        <v>45775</v>
      </c>
      <c r="R760" s="10"/>
      <c r="S760" s="28">
        <v>3835</v>
      </c>
      <c r="T760" s="1" t="s">
        <v>2</v>
      </c>
      <c r="U760" s="1" t="s">
        <v>807</v>
      </c>
      <c r="V760" s="1">
        <v>20230406</v>
      </c>
      <c r="W760" s="8" t="s">
        <v>8442</v>
      </c>
      <c r="Z760" s="1"/>
      <c r="AA760" s="1"/>
      <c r="AC760" s="1"/>
      <c r="AD760" s="1"/>
      <c r="AE760" s="1"/>
      <c r="AF760" s="1"/>
    </row>
    <row r="761" spans="2:32" ht="12.75" x14ac:dyDescent="0.2">
      <c r="B761" s="1" t="s">
        <v>9267</v>
      </c>
      <c r="C761" s="10">
        <f t="shared" ca="1" si="22"/>
        <v>45118</v>
      </c>
      <c r="D761" s="4"/>
      <c r="E761" s="4" t="s">
        <v>8434</v>
      </c>
      <c r="F761" s="4" t="s">
        <v>1293</v>
      </c>
      <c r="G761" s="4"/>
      <c r="H761" s="4" t="str">
        <f>_xlfn.IFNA(VLOOKUP(Table_Query_from_AMULTIQRY45[[#This Row],[WPROD]],'Part# with New'!$A$1:$B$4347,2,0),Table_Query_from_AMULTIQRY45[[#This Row],[WPROD]])</f>
        <v>WPOT065055004D-PXX00W</v>
      </c>
      <c r="I761" s="4" t="s">
        <v>8436</v>
      </c>
      <c r="J761" s="1" t="s">
        <v>5</v>
      </c>
      <c r="L761" s="11">
        <v>4.904E-2</v>
      </c>
      <c r="M761" s="1"/>
      <c r="N761" s="1" t="s">
        <v>3</v>
      </c>
      <c r="P761" s="1" t="str">
        <f>CONCATENATE(Table_Query_from_AMULTIQRY45[[#This Row],[WWHS]],"-",Table_Query_from_AMULTIQRY45[[#This Row],[LLOC]])</f>
        <v>E1-FG</v>
      </c>
      <c r="Q761" s="10">
        <f t="shared" ca="1" si="23"/>
        <v>45775</v>
      </c>
      <c r="R761" s="10"/>
      <c r="S761" s="28">
        <v>1020</v>
      </c>
      <c r="T761" s="1" t="s">
        <v>2</v>
      </c>
      <c r="U761" s="1" t="s">
        <v>808</v>
      </c>
      <c r="V761" s="1">
        <v>20230711</v>
      </c>
      <c r="W761" s="8" t="s">
        <v>8442</v>
      </c>
      <c r="Z761" s="1"/>
      <c r="AA761" s="1"/>
      <c r="AC761" s="1"/>
      <c r="AD761" s="1"/>
      <c r="AE761" s="1"/>
      <c r="AF761" s="1"/>
    </row>
    <row r="762" spans="2:32" ht="12.75" x14ac:dyDescent="0.2">
      <c r="B762" s="1" t="s">
        <v>9268</v>
      </c>
      <c r="C762" s="10">
        <f t="shared" ca="1" si="22"/>
        <v>45460</v>
      </c>
      <c r="D762" s="4"/>
      <c r="E762" s="4" t="s">
        <v>8434</v>
      </c>
      <c r="F762" s="4" t="s">
        <v>1293</v>
      </c>
      <c r="G762" s="4"/>
      <c r="H762" s="4" t="str">
        <f>_xlfn.IFNA(VLOOKUP(Table_Query_from_AMULTIQRY45[[#This Row],[WPROD]],'Part# with New'!$A$1:$B$4347,2,0),Table_Query_from_AMULTIQRY45[[#This Row],[WPROD]])</f>
        <v>WPOT182168010D-PGX15A</v>
      </c>
      <c r="I762" s="4" t="s">
        <v>8436</v>
      </c>
      <c r="J762" s="1" t="s">
        <v>5</v>
      </c>
      <c r="L762" s="11">
        <v>0.19958000000000001</v>
      </c>
      <c r="M762" s="1"/>
      <c r="N762" s="1" t="s">
        <v>3</v>
      </c>
      <c r="P762" s="1" t="str">
        <f>CONCATENATE(Table_Query_from_AMULTIQRY45[[#This Row],[WWHS]],"-",Table_Query_from_AMULTIQRY45[[#This Row],[LLOC]])</f>
        <v>E1-FG</v>
      </c>
      <c r="Q762" s="10">
        <f t="shared" ca="1" si="23"/>
        <v>45775</v>
      </c>
      <c r="R762" s="10"/>
      <c r="S762" s="28">
        <v>113</v>
      </c>
      <c r="T762" s="1" t="s">
        <v>2</v>
      </c>
      <c r="U762" s="1" t="s">
        <v>809</v>
      </c>
      <c r="V762" s="1">
        <v>20240617</v>
      </c>
      <c r="W762" s="8" t="s">
        <v>8442</v>
      </c>
      <c r="Z762" s="1"/>
      <c r="AA762" s="1"/>
      <c r="AC762" s="1"/>
      <c r="AD762" s="1"/>
      <c r="AE762" s="1"/>
      <c r="AF762" s="1"/>
    </row>
    <row r="763" spans="2:32" ht="12.75" x14ac:dyDescent="0.2">
      <c r="B763" s="1" t="s">
        <v>9269</v>
      </c>
      <c r="C763" s="10">
        <f t="shared" ca="1" si="22"/>
        <v>45576</v>
      </c>
      <c r="D763" s="4"/>
      <c r="E763" s="4" t="s">
        <v>8434</v>
      </c>
      <c r="F763" s="4" t="s">
        <v>1293</v>
      </c>
      <c r="G763" s="4"/>
      <c r="H763" s="4" t="str">
        <f>_xlfn.IFNA(VLOOKUP(Table_Query_from_AMULTIQRY45[[#This Row],[WPROD]],'Part# with New'!$A$1:$B$4347,2,0),Table_Query_from_AMULTIQRY45[[#This Row],[WPROD]])</f>
        <v>WPOT150136007D-PGX15B</v>
      </c>
      <c r="I763" s="4" t="s">
        <v>8436</v>
      </c>
      <c r="J763" s="1" t="s">
        <v>5</v>
      </c>
      <c r="L763" s="11">
        <v>0.13483000000000001</v>
      </c>
      <c r="M763" s="1"/>
      <c r="N763" s="1" t="s">
        <v>3</v>
      </c>
      <c r="P763" s="1" t="str">
        <f>CONCATENATE(Table_Query_from_AMULTIQRY45[[#This Row],[WWHS]],"-",Table_Query_from_AMULTIQRY45[[#This Row],[LLOC]])</f>
        <v>E1-FG</v>
      </c>
      <c r="Q763" s="10">
        <f t="shared" ca="1" si="23"/>
        <v>45775</v>
      </c>
      <c r="R763" s="10"/>
      <c r="S763" s="28">
        <v>355</v>
      </c>
      <c r="T763" s="1" t="s">
        <v>2</v>
      </c>
      <c r="U763" s="1" t="s">
        <v>810</v>
      </c>
      <c r="V763" s="1">
        <v>20241011</v>
      </c>
      <c r="W763" s="8" t="s">
        <v>8442</v>
      </c>
      <c r="Z763" s="1"/>
      <c r="AA763" s="1"/>
      <c r="AC763" s="1"/>
      <c r="AD763" s="1"/>
      <c r="AE763" s="1"/>
      <c r="AF763" s="1"/>
    </row>
    <row r="764" spans="2:32" ht="12.75" x14ac:dyDescent="0.2">
      <c r="B764" s="1" t="s">
        <v>9270</v>
      </c>
      <c r="C764" s="10">
        <f t="shared" ca="1" si="22"/>
        <v>44761</v>
      </c>
      <c r="D764" s="4"/>
      <c r="E764" s="4" t="s">
        <v>8434</v>
      </c>
      <c r="F764" s="4" t="s">
        <v>1293</v>
      </c>
      <c r="G764" s="4"/>
      <c r="H764" s="4" t="str">
        <f>_xlfn.IFNA(VLOOKUP(Table_Query_from_AMULTIQRY45[[#This Row],[WPROD]],'Part# with New'!$A$1:$B$4347,2,0),Table_Query_from_AMULTIQRY45[[#This Row],[WPROD]])</f>
        <v>WSSL198088019D-PXX00W</v>
      </c>
      <c r="I764" s="4" t="s">
        <v>8436</v>
      </c>
      <c r="J764" s="1" t="s">
        <v>5</v>
      </c>
      <c r="L764" s="11">
        <v>0.41102</v>
      </c>
      <c r="M764" s="1"/>
      <c r="N764" s="1" t="s">
        <v>13</v>
      </c>
      <c r="P764" s="1" t="str">
        <f>CONCATENATE(Table_Query_from_AMULTIQRY45[[#This Row],[WWHS]],"-",Table_Query_from_AMULTIQRY45[[#This Row],[LLOC]])</f>
        <v>E1-FG</v>
      </c>
      <c r="Q764" s="10">
        <f t="shared" ca="1" si="23"/>
        <v>45775</v>
      </c>
      <c r="R764" s="10"/>
      <c r="S764" s="28">
        <v>713</v>
      </c>
      <c r="T764" s="1" t="s">
        <v>2</v>
      </c>
      <c r="U764" s="1" t="s">
        <v>811</v>
      </c>
      <c r="V764" s="1">
        <v>20220719</v>
      </c>
      <c r="W764" s="8" t="s">
        <v>8442</v>
      </c>
      <c r="Z764" s="1"/>
      <c r="AA764" s="1"/>
      <c r="AC764" s="1"/>
      <c r="AD764" s="1"/>
      <c r="AE764" s="1"/>
      <c r="AF764" s="1"/>
    </row>
    <row r="765" spans="2:32" ht="12.75" x14ac:dyDescent="0.2">
      <c r="B765" s="1" t="s">
        <v>9271</v>
      </c>
      <c r="C765" s="10">
        <f t="shared" ca="1" si="22"/>
        <v>44069</v>
      </c>
      <c r="D765" s="4"/>
      <c r="E765" s="4" t="s">
        <v>8434</v>
      </c>
      <c r="F765" s="4" t="s">
        <v>1293</v>
      </c>
      <c r="G765" s="4"/>
      <c r="H765" s="4" t="str">
        <f>_xlfn.IFNA(VLOOKUP(Table_Query_from_AMULTIQRY45[[#This Row],[WPROD]],'Part# with New'!$A$1:$B$4347,2,0),Table_Query_from_AMULTIQRY45[[#This Row],[WPROD]])</f>
        <v>WPOS037026004S-PXX00W</v>
      </c>
      <c r="I765" s="4" t="s">
        <v>8436</v>
      </c>
      <c r="J765" s="1" t="s">
        <v>5</v>
      </c>
      <c r="L765" s="11">
        <v>0.22736999999999999</v>
      </c>
      <c r="M765" s="1"/>
      <c r="N765" s="1" t="s">
        <v>3</v>
      </c>
      <c r="P765" s="1" t="str">
        <f>CONCATENATE(Table_Query_from_AMULTIQRY45[[#This Row],[WWHS]],"-",Table_Query_from_AMULTIQRY45[[#This Row],[LLOC]])</f>
        <v>E1-FG</v>
      </c>
      <c r="Q765" s="10">
        <f t="shared" ca="1" si="23"/>
        <v>45775</v>
      </c>
      <c r="R765" s="10"/>
      <c r="S765" s="28">
        <v>158</v>
      </c>
      <c r="T765" s="1" t="s">
        <v>2</v>
      </c>
      <c r="U765" s="1" t="s">
        <v>812</v>
      </c>
      <c r="V765" s="1">
        <v>20200826</v>
      </c>
      <c r="W765" s="8" t="s">
        <v>8442</v>
      </c>
      <c r="Z765" s="1"/>
      <c r="AA765" s="1"/>
      <c r="AC765" s="1"/>
      <c r="AD765" s="1"/>
      <c r="AE765" s="1"/>
      <c r="AF765" s="1"/>
    </row>
    <row r="766" spans="2:32" ht="12.75" x14ac:dyDescent="0.2">
      <c r="B766" s="1" t="s">
        <v>9272</v>
      </c>
      <c r="C766" s="10">
        <f t="shared" ca="1" si="22"/>
        <v>45330</v>
      </c>
      <c r="D766" s="4"/>
      <c r="E766" s="4" t="s">
        <v>8434</v>
      </c>
      <c r="F766" s="4" t="s">
        <v>1293</v>
      </c>
      <c r="G766" s="4"/>
      <c r="H766" s="4" t="str">
        <f>_xlfn.IFNA(VLOOKUP(Table_Query_from_AMULTIQRY45[[#This Row],[WPROD]],'Part# with New'!$A$1:$B$4347,2,0),Table_Query_from_AMULTIQRY45[[#This Row],[WPROD]])</f>
        <v>WPOT204139004Q-PCX15K</v>
      </c>
      <c r="I766" s="4" t="s">
        <v>8436</v>
      </c>
      <c r="J766" s="1" t="s">
        <v>5</v>
      </c>
      <c r="L766" s="11">
        <v>0.21504000000000001</v>
      </c>
      <c r="M766" s="1"/>
      <c r="N766" s="1" t="s">
        <v>3</v>
      </c>
      <c r="P766" s="1" t="str">
        <f>CONCATENATE(Table_Query_from_AMULTIQRY45[[#This Row],[WWHS]],"-",Table_Query_from_AMULTIQRY45[[#This Row],[LLOC]])</f>
        <v>E1-FG</v>
      </c>
      <c r="Q766" s="10">
        <f t="shared" ca="1" si="23"/>
        <v>45775</v>
      </c>
      <c r="R766" s="10"/>
      <c r="S766" s="28">
        <v>2674</v>
      </c>
      <c r="T766" s="1" t="s">
        <v>2</v>
      </c>
      <c r="U766" s="1" t="s">
        <v>813</v>
      </c>
      <c r="V766" s="1">
        <v>20240208</v>
      </c>
      <c r="W766" s="8" t="s">
        <v>8442</v>
      </c>
      <c r="Z766" s="1"/>
      <c r="AA766" s="1"/>
      <c r="AC766" s="1"/>
      <c r="AD766" s="1"/>
      <c r="AE766" s="1"/>
      <c r="AF766" s="1"/>
    </row>
    <row r="767" spans="2:32" ht="12.75" x14ac:dyDescent="0.2">
      <c r="B767" s="1" t="s">
        <v>9273</v>
      </c>
      <c r="C767" s="10">
        <f t="shared" ca="1" si="22"/>
        <v>44679</v>
      </c>
      <c r="D767" s="4"/>
      <c r="E767" s="4" t="s">
        <v>8434</v>
      </c>
      <c r="F767" s="4" t="s">
        <v>1293</v>
      </c>
      <c r="G767" s="4"/>
      <c r="H767" s="4" t="str">
        <f>_xlfn.IFNA(VLOOKUP(Table_Query_from_AMULTIQRY45[[#This Row],[WPROD]],'Part# with New'!$A$1:$B$4347,2,0),Table_Query_from_AMULTIQRY45[[#This Row],[WPROD]])</f>
        <v>WPOT161146007D-PGX15B</v>
      </c>
      <c r="I767" s="4" t="s">
        <v>8436</v>
      </c>
      <c r="J767" s="1" t="s">
        <v>5</v>
      </c>
      <c r="L767" s="11">
        <v>0.1193</v>
      </c>
      <c r="M767" s="1"/>
      <c r="N767" s="1" t="s">
        <v>3</v>
      </c>
      <c r="P767" s="1" t="str">
        <f>CONCATENATE(Table_Query_from_AMULTIQRY45[[#This Row],[WWHS]],"-",Table_Query_from_AMULTIQRY45[[#This Row],[LLOC]])</f>
        <v>E1-FG</v>
      </c>
      <c r="Q767" s="10">
        <f t="shared" ca="1" si="23"/>
        <v>45775</v>
      </c>
      <c r="R767" s="10"/>
      <c r="S767" s="28">
        <v>190</v>
      </c>
      <c r="T767" s="1" t="s">
        <v>2</v>
      </c>
      <c r="U767" s="1" t="s">
        <v>814</v>
      </c>
      <c r="V767" s="1">
        <v>20220428</v>
      </c>
      <c r="W767" s="8" t="s">
        <v>8442</v>
      </c>
      <c r="Z767" s="1"/>
      <c r="AA767" s="1"/>
      <c r="AC767" s="1"/>
      <c r="AD767" s="1"/>
      <c r="AE767" s="1"/>
      <c r="AF767" s="1"/>
    </row>
    <row r="768" spans="2:32" ht="12.75" x14ac:dyDescent="0.2">
      <c r="B768" s="1" t="s">
        <v>9274</v>
      </c>
      <c r="C768" s="10">
        <f t="shared" ca="1" si="22"/>
        <v>45660</v>
      </c>
      <c r="D768" s="4"/>
      <c r="E768" s="4" t="s">
        <v>8434</v>
      </c>
      <c r="F768" s="4" t="s">
        <v>1293</v>
      </c>
      <c r="G768" s="4"/>
      <c r="H768" s="4" t="str">
        <f>_xlfn.IFNA(VLOOKUP(Table_Query_from_AMULTIQRY45[[#This Row],[WPROD]],'Part# with New'!$A$1:$B$4347,2,0),Table_Query_from_AMULTIQRY45[[#This Row],[WPROD]])</f>
        <v>24098</v>
      </c>
      <c r="I768" s="4" t="s">
        <v>8436</v>
      </c>
      <c r="J768" s="1" t="s">
        <v>5</v>
      </c>
      <c r="L768" s="11">
        <v>0.15149000000000001</v>
      </c>
      <c r="M768" s="1"/>
      <c r="N768" s="1" t="s">
        <v>348</v>
      </c>
      <c r="P768" s="1" t="str">
        <f>CONCATENATE(Table_Query_from_AMULTIQRY45[[#This Row],[WWHS]],"-",Table_Query_from_AMULTIQRY45[[#This Row],[LLOC]])</f>
        <v>E1-FG</v>
      </c>
      <c r="Q768" s="10">
        <f t="shared" ca="1" si="23"/>
        <v>45775</v>
      </c>
      <c r="R768" s="10"/>
      <c r="S768" s="28">
        <v>348</v>
      </c>
      <c r="T768" s="1" t="s">
        <v>2</v>
      </c>
      <c r="U768" s="1" t="s">
        <v>815</v>
      </c>
      <c r="V768" s="1">
        <v>20250103</v>
      </c>
      <c r="W768" s="8" t="s">
        <v>8442</v>
      </c>
      <c r="Z768" s="1"/>
      <c r="AA768" s="1"/>
      <c r="AC768" s="1"/>
      <c r="AD768" s="1"/>
      <c r="AE768" s="1"/>
      <c r="AF768" s="1"/>
    </row>
    <row r="769" spans="2:32" ht="12.75" x14ac:dyDescent="0.2">
      <c r="B769" s="1" t="s">
        <v>9275</v>
      </c>
      <c r="C769" s="10">
        <f t="shared" ca="1" si="22"/>
        <v>45159</v>
      </c>
      <c r="D769" s="4"/>
      <c r="E769" s="4" t="s">
        <v>8434</v>
      </c>
      <c r="F769" s="4" t="s">
        <v>1293</v>
      </c>
      <c r="G769" s="4"/>
      <c r="H769" s="4" t="str">
        <f>_xlfn.IFNA(VLOOKUP(Table_Query_from_AMULTIQRY45[[#This Row],[WPROD]],'Part# with New'!$A$1:$B$4347,2,0),Table_Query_from_AMULTIQRY45[[#This Row],[WPROD]])</f>
        <v>24103</v>
      </c>
      <c r="I769" s="4" t="s">
        <v>8436</v>
      </c>
      <c r="J769" s="1" t="s">
        <v>5</v>
      </c>
      <c r="L769" s="11">
        <v>0.29476999999999998</v>
      </c>
      <c r="M769" s="1"/>
      <c r="N769" s="1" t="s">
        <v>348</v>
      </c>
      <c r="P769" s="1" t="str">
        <f>CONCATENATE(Table_Query_from_AMULTIQRY45[[#This Row],[WWHS]],"-",Table_Query_from_AMULTIQRY45[[#This Row],[LLOC]])</f>
        <v>E1-FG</v>
      </c>
      <c r="Q769" s="10">
        <f t="shared" ca="1" si="23"/>
        <v>45775</v>
      </c>
      <c r="R769" s="10"/>
      <c r="S769" s="28">
        <v>47</v>
      </c>
      <c r="T769" s="1" t="s">
        <v>2</v>
      </c>
      <c r="U769" s="1" t="s">
        <v>816</v>
      </c>
      <c r="V769" s="1">
        <v>20230821</v>
      </c>
      <c r="W769" s="8" t="s">
        <v>8442</v>
      </c>
      <c r="Z769" s="1"/>
      <c r="AA769" s="1"/>
      <c r="AC769" s="1"/>
      <c r="AD769" s="1"/>
      <c r="AE769" s="1"/>
      <c r="AF769" s="1"/>
    </row>
    <row r="770" spans="2:32" ht="12.75" x14ac:dyDescent="0.2">
      <c r="B770" s="1" t="s">
        <v>9276</v>
      </c>
      <c r="C770" s="10">
        <f t="shared" ca="1" si="22"/>
        <v>44057</v>
      </c>
      <c r="D770" s="4"/>
      <c r="E770" s="4" t="s">
        <v>8434</v>
      </c>
      <c r="F770" s="4" t="s">
        <v>1293</v>
      </c>
      <c r="G770" s="4"/>
      <c r="H770" s="4" t="str">
        <f>_xlfn.IFNA(VLOOKUP(Table_Query_from_AMULTIQRY45[[#This Row],[WPROD]],'Part# with New'!$A$1:$B$4347,2,0),Table_Query_from_AMULTIQRY45[[#This Row],[WPROD]])</f>
        <v>WPOS255237009S-PRX15K</v>
      </c>
      <c r="I770" s="4" t="s">
        <v>8436</v>
      </c>
      <c r="J770" s="1" t="s">
        <v>5</v>
      </c>
      <c r="L770" s="11">
        <v>0.38688</v>
      </c>
      <c r="M770" s="1"/>
      <c r="N770" s="1" t="s">
        <v>389</v>
      </c>
      <c r="P770" s="1" t="str">
        <f>CONCATENATE(Table_Query_from_AMULTIQRY45[[#This Row],[WWHS]],"-",Table_Query_from_AMULTIQRY45[[#This Row],[LLOC]])</f>
        <v>E1-FG</v>
      </c>
      <c r="Q770" s="10">
        <f t="shared" ca="1" si="23"/>
        <v>45775</v>
      </c>
      <c r="R770" s="10"/>
      <c r="S770" s="28">
        <v>626</v>
      </c>
      <c r="T770" s="1" t="s">
        <v>2</v>
      </c>
      <c r="U770" s="1" t="s">
        <v>817</v>
      </c>
      <c r="V770" s="1">
        <v>20200814</v>
      </c>
      <c r="W770" s="8" t="s">
        <v>8442</v>
      </c>
      <c r="Z770" s="1"/>
      <c r="AA770" s="1"/>
      <c r="AC770" s="1"/>
      <c r="AD770" s="1"/>
      <c r="AE770" s="1"/>
      <c r="AF770" s="1"/>
    </row>
    <row r="771" spans="2:32" ht="12.75" x14ac:dyDescent="0.2">
      <c r="B771" s="1" t="s">
        <v>9277</v>
      </c>
      <c r="C771" s="10">
        <f t="shared" ca="1" si="22"/>
        <v>45446</v>
      </c>
      <c r="D771" s="4"/>
      <c r="E771" s="4" t="s">
        <v>8434</v>
      </c>
      <c r="F771" s="4" t="s">
        <v>1293</v>
      </c>
      <c r="G771" s="4"/>
      <c r="H771" s="4" t="str">
        <f>_xlfn.IFNA(VLOOKUP(Table_Query_from_AMULTIQRY45[[#This Row],[WPROD]],'Part# with New'!$A$1:$B$4347,2,0),Table_Query_from_AMULTIQRY45[[#This Row],[WPROD]])</f>
        <v>WPSM266251007D-PCR23K</v>
      </c>
      <c r="I771" s="4" t="s">
        <v>8436</v>
      </c>
      <c r="J771" s="1" t="s">
        <v>5</v>
      </c>
      <c r="L771" s="11">
        <v>0.15062</v>
      </c>
      <c r="M771" s="1"/>
      <c r="N771" s="1" t="s">
        <v>326</v>
      </c>
      <c r="P771" s="1" t="str">
        <f>CONCATENATE(Table_Query_from_AMULTIQRY45[[#This Row],[WWHS]],"-",Table_Query_from_AMULTIQRY45[[#This Row],[LLOC]])</f>
        <v>E1-FG</v>
      </c>
      <c r="Q771" s="10">
        <f t="shared" ca="1" si="23"/>
        <v>45775</v>
      </c>
      <c r="R771" s="10"/>
      <c r="S771" s="28">
        <v>604</v>
      </c>
      <c r="T771" s="1" t="s">
        <v>2</v>
      </c>
      <c r="U771" s="1" t="s">
        <v>818</v>
      </c>
      <c r="V771" s="1">
        <v>20240603</v>
      </c>
      <c r="W771" s="8" t="s">
        <v>8442</v>
      </c>
      <c r="Z771" s="1"/>
      <c r="AA771" s="1"/>
      <c r="AC771" s="1"/>
      <c r="AD771" s="1"/>
      <c r="AE771" s="1"/>
      <c r="AF771" s="1"/>
    </row>
    <row r="772" spans="2:32" ht="12.75" x14ac:dyDescent="0.2">
      <c r="B772" s="1" t="s">
        <v>9278</v>
      </c>
      <c r="C772" s="10">
        <f t="shared" ca="1" si="22"/>
        <v>45762</v>
      </c>
      <c r="D772" s="4"/>
      <c r="E772" s="4" t="s">
        <v>8434</v>
      </c>
      <c r="F772" s="4" t="s">
        <v>1293</v>
      </c>
      <c r="G772" s="4"/>
      <c r="H772" s="4" t="str">
        <f>_xlfn.IFNA(VLOOKUP(Table_Query_from_AMULTIQRY45[[#This Row],[WPROD]],'Part# with New'!$A$1:$B$4347,2,0),Table_Query_from_AMULTIQRY45[[#This Row],[WPROD]])</f>
        <v>WPOT144132006D-PZF30N</v>
      </c>
      <c r="I772" s="4" t="s">
        <v>8436</v>
      </c>
      <c r="J772" s="1" t="s">
        <v>5</v>
      </c>
      <c r="L772" s="11">
        <v>0.12167</v>
      </c>
      <c r="M772" s="1"/>
      <c r="N772" s="1" t="s">
        <v>3</v>
      </c>
      <c r="P772" s="1" t="str">
        <f>CONCATENATE(Table_Query_from_AMULTIQRY45[[#This Row],[WWHS]],"-",Table_Query_from_AMULTIQRY45[[#This Row],[LLOC]])</f>
        <v>E1-FG</v>
      </c>
      <c r="Q772" s="10">
        <f t="shared" ca="1" si="23"/>
        <v>45775</v>
      </c>
      <c r="R772" s="10"/>
      <c r="S772" s="28">
        <v>1738</v>
      </c>
      <c r="T772" s="1" t="s">
        <v>2</v>
      </c>
      <c r="U772" s="1" t="s">
        <v>7102</v>
      </c>
      <c r="V772" s="1">
        <v>20250415</v>
      </c>
      <c r="W772" s="8" t="s">
        <v>8442</v>
      </c>
      <c r="Z772" s="1"/>
      <c r="AA772" s="1"/>
      <c r="AC772" s="1"/>
      <c r="AD772" s="1"/>
      <c r="AE772" s="1"/>
      <c r="AF772" s="1"/>
    </row>
    <row r="773" spans="2:32" ht="12.75" x14ac:dyDescent="0.2">
      <c r="B773" s="1" t="s">
        <v>9279</v>
      </c>
      <c r="C773" s="10">
        <f t="shared" ca="1" si="22"/>
        <v>45629</v>
      </c>
      <c r="D773" s="4"/>
      <c r="E773" s="4" t="s">
        <v>8434</v>
      </c>
      <c r="F773" s="4" t="s">
        <v>1293</v>
      </c>
      <c r="G773" s="4"/>
      <c r="H773" s="4" t="str">
        <f>_xlfn.IFNA(VLOOKUP(Table_Query_from_AMULTIQRY45[[#This Row],[WPROD]],'Part# with New'!$A$1:$B$4347,2,0),Table_Query_from_AMULTIQRY45[[#This Row],[WPROD]])</f>
        <v>WSNC405391009D-PGX15B</v>
      </c>
      <c r="I773" s="4" t="s">
        <v>8436</v>
      </c>
      <c r="J773" s="1" t="s">
        <v>5</v>
      </c>
      <c r="L773" s="11">
        <v>0.46333000000000002</v>
      </c>
      <c r="M773" s="1"/>
      <c r="N773" s="1" t="s">
        <v>6</v>
      </c>
      <c r="P773" s="1" t="str">
        <f>CONCATENATE(Table_Query_from_AMULTIQRY45[[#This Row],[WWHS]],"-",Table_Query_from_AMULTIQRY45[[#This Row],[LLOC]])</f>
        <v>E1-FG</v>
      </c>
      <c r="Q773" s="10">
        <f t="shared" ca="1" si="23"/>
        <v>45775</v>
      </c>
      <c r="R773" s="10"/>
      <c r="S773" s="28">
        <v>332</v>
      </c>
      <c r="T773" s="1" t="s">
        <v>2</v>
      </c>
      <c r="U773" s="1" t="s">
        <v>819</v>
      </c>
      <c r="V773" s="1">
        <v>20241203</v>
      </c>
      <c r="W773" s="8" t="s">
        <v>8442</v>
      </c>
      <c r="Z773" s="1"/>
      <c r="AA773" s="1"/>
      <c r="AC773" s="1"/>
      <c r="AD773" s="1"/>
      <c r="AE773" s="1"/>
      <c r="AF773" s="1"/>
    </row>
    <row r="774" spans="2:32" ht="12.75" x14ac:dyDescent="0.2">
      <c r="B774" s="1" t="s">
        <v>9280</v>
      </c>
      <c r="C774" s="10">
        <f t="shared" ca="1" si="22"/>
        <v>45476</v>
      </c>
      <c r="D774" s="4"/>
      <c r="E774" s="4" t="s">
        <v>8434</v>
      </c>
      <c r="F774" s="4" t="s">
        <v>1293</v>
      </c>
      <c r="G774" s="4"/>
      <c r="H774" s="4" t="str">
        <f>_xlfn.IFNA(VLOOKUP(Table_Query_from_AMULTIQRY45[[#This Row],[WPROD]],'Part# with New'!$A$1:$B$4347,2,0),Table_Query_from_AMULTIQRY45[[#This Row],[WPROD]])</f>
        <v>WPOT149135009D-PGX15B</v>
      </c>
      <c r="I774" s="4" t="s">
        <v>8436</v>
      </c>
      <c r="J774" s="1" t="s">
        <v>5</v>
      </c>
      <c r="L774" s="11">
        <v>0.16069</v>
      </c>
      <c r="M774" s="1"/>
      <c r="N774" s="1" t="s">
        <v>3</v>
      </c>
      <c r="P774" s="1" t="str">
        <f>CONCATENATE(Table_Query_from_AMULTIQRY45[[#This Row],[WWHS]],"-",Table_Query_from_AMULTIQRY45[[#This Row],[LLOC]])</f>
        <v>E1-FG</v>
      </c>
      <c r="Q774" s="10">
        <f t="shared" ca="1" si="23"/>
        <v>45775</v>
      </c>
      <c r="R774" s="10"/>
      <c r="S774" s="28">
        <v>537</v>
      </c>
      <c r="T774" s="1" t="s">
        <v>2</v>
      </c>
      <c r="U774" s="1" t="s">
        <v>820</v>
      </c>
      <c r="V774" s="1">
        <v>20240703</v>
      </c>
      <c r="W774" s="8" t="s">
        <v>8442</v>
      </c>
      <c r="Z774" s="1"/>
      <c r="AA774" s="1"/>
      <c r="AC774" s="1"/>
      <c r="AD774" s="1"/>
      <c r="AE774" s="1"/>
      <c r="AF774" s="1"/>
    </row>
    <row r="775" spans="2:32" ht="12.75" x14ac:dyDescent="0.2">
      <c r="B775" s="1" t="s">
        <v>9281</v>
      </c>
      <c r="C775" s="10">
        <f t="shared" ref="C775:C838" ca="1" si="24">IFERROR(DATE(LEFT($V775,4),MID($V775,5,2),RIGHT($V775,2)),TODAY())</f>
        <v>44757</v>
      </c>
      <c r="D775" s="4"/>
      <c r="E775" s="4" t="s">
        <v>8434</v>
      </c>
      <c r="F775" s="4" t="s">
        <v>1293</v>
      </c>
      <c r="G775" s="4"/>
      <c r="H775" s="4" t="str">
        <f>_xlfn.IFNA(VLOOKUP(Table_Query_from_AMULTIQRY45[[#This Row],[WPROD]],'Part# with New'!$A$1:$B$4347,2,0),Table_Query_from_AMULTIQRY45[[#This Row],[WPROD]])</f>
        <v>WPOS031021005Q-PGX25W</v>
      </c>
      <c r="I775" s="4" t="s">
        <v>8436</v>
      </c>
      <c r="J775" s="1" t="s">
        <v>5</v>
      </c>
      <c r="L775" s="11">
        <v>0.22597</v>
      </c>
      <c r="M775" s="1"/>
      <c r="N775" s="1" t="s">
        <v>389</v>
      </c>
      <c r="P775" s="1" t="str">
        <f>CONCATENATE(Table_Query_from_AMULTIQRY45[[#This Row],[WWHS]],"-",Table_Query_from_AMULTIQRY45[[#This Row],[LLOC]])</f>
        <v>E1-FG</v>
      </c>
      <c r="Q775" s="10">
        <f t="shared" ref="Q775:Q838" ca="1" si="25">+TODAY()</f>
        <v>45775</v>
      </c>
      <c r="R775" s="10"/>
      <c r="S775" s="28">
        <v>230</v>
      </c>
      <c r="T775" s="1" t="s">
        <v>2</v>
      </c>
      <c r="U775" s="1" t="s">
        <v>821</v>
      </c>
      <c r="V775" s="1">
        <v>20220715</v>
      </c>
      <c r="W775" s="8" t="s">
        <v>8442</v>
      </c>
      <c r="Z775" s="1"/>
      <c r="AA775" s="1"/>
      <c r="AC775" s="1"/>
      <c r="AD775" s="1"/>
      <c r="AE775" s="1"/>
      <c r="AF775" s="1"/>
    </row>
    <row r="776" spans="2:32" ht="12.75" x14ac:dyDescent="0.2">
      <c r="B776" s="1" t="s">
        <v>9282</v>
      </c>
      <c r="C776" s="10">
        <f t="shared" ca="1" si="24"/>
        <v>45512</v>
      </c>
      <c r="D776" s="4"/>
      <c r="E776" s="4" t="s">
        <v>8434</v>
      </c>
      <c r="F776" s="4" t="s">
        <v>1293</v>
      </c>
      <c r="G776" s="4"/>
      <c r="H776" s="4" t="str">
        <f>_xlfn.IFNA(VLOOKUP(Table_Query_from_AMULTIQRY45[[#This Row],[WPROD]],'Part# with New'!$A$1:$B$4347,2,0),Table_Query_from_AMULTIQRY45[[#This Row],[WPROD]])</f>
        <v>WSOR107100010D-DD125N</v>
      </c>
      <c r="I776" s="4" t="s">
        <v>8436</v>
      </c>
      <c r="J776" s="1" t="s">
        <v>5</v>
      </c>
      <c r="L776" s="11">
        <v>0.29238999999999998</v>
      </c>
      <c r="M776" s="1"/>
      <c r="N776" s="1" t="s">
        <v>480</v>
      </c>
      <c r="P776" s="1" t="str">
        <f>CONCATENATE(Table_Query_from_AMULTIQRY45[[#This Row],[WWHS]],"-",Table_Query_from_AMULTIQRY45[[#This Row],[LLOC]])</f>
        <v>E1-FG</v>
      </c>
      <c r="Q776" s="10">
        <f t="shared" ca="1" si="25"/>
        <v>45775</v>
      </c>
      <c r="R776" s="10"/>
      <c r="S776" s="28">
        <v>107</v>
      </c>
      <c r="T776" s="1" t="s">
        <v>2</v>
      </c>
      <c r="U776" s="1" t="s">
        <v>822</v>
      </c>
      <c r="V776" s="1">
        <v>20240808</v>
      </c>
      <c r="W776" s="8" t="s">
        <v>8442</v>
      </c>
      <c r="Z776" s="1"/>
      <c r="AA776" s="1"/>
      <c r="AC776" s="1"/>
      <c r="AD776" s="1"/>
      <c r="AE776" s="1"/>
      <c r="AF776" s="1"/>
    </row>
    <row r="777" spans="2:32" ht="12.75" x14ac:dyDescent="0.2">
      <c r="B777" s="1" t="s">
        <v>9283</v>
      </c>
      <c r="C777" s="10">
        <f t="shared" ca="1" si="24"/>
        <v>44145</v>
      </c>
      <c r="D777" s="4"/>
      <c r="E777" s="4" t="s">
        <v>8434</v>
      </c>
      <c r="F777" s="4" t="s">
        <v>1293</v>
      </c>
      <c r="G777" s="4"/>
      <c r="H777" s="4" t="str">
        <f>_xlfn.IFNA(VLOOKUP(Table_Query_from_AMULTIQRY45[[#This Row],[WPROD]],'Part# with New'!$A$1:$B$4347,2,0),Table_Query_from_AMULTIQRY45[[#This Row],[WPROD]])</f>
        <v>WSOR081075010D-DV087W</v>
      </c>
      <c r="I777" s="4" t="s">
        <v>8436</v>
      </c>
      <c r="J777" s="1" t="s">
        <v>5</v>
      </c>
      <c r="L777" s="11">
        <v>0.218</v>
      </c>
      <c r="M777" s="1"/>
      <c r="N777" s="1" t="s">
        <v>480</v>
      </c>
      <c r="P777" s="1" t="str">
        <f>CONCATENATE(Table_Query_from_AMULTIQRY45[[#This Row],[WWHS]],"-",Table_Query_from_AMULTIQRY45[[#This Row],[LLOC]])</f>
        <v>E1-FG</v>
      </c>
      <c r="Q777" s="10">
        <f t="shared" ca="1" si="25"/>
        <v>45775</v>
      </c>
      <c r="R777" s="10"/>
      <c r="S777" s="28">
        <v>93</v>
      </c>
      <c r="T777" s="1" t="s">
        <v>2</v>
      </c>
      <c r="U777" s="1" t="s">
        <v>823</v>
      </c>
      <c r="V777" s="1">
        <v>20201110</v>
      </c>
      <c r="W777" s="8" t="s">
        <v>8442</v>
      </c>
      <c r="Z777" s="1"/>
      <c r="AA777" s="1"/>
      <c r="AC777" s="1"/>
      <c r="AD777" s="1"/>
      <c r="AE777" s="1"/>
      <c r="AF777" s="1"/>
    </row>
    <row r="778" spans="2:32" ht="12.75" x14ac:dyDescent="0.2">
      <c r="B778" s="1" t="s">
        <v>9284</v>
      </c>
      <c r="C778" s="10">
        <f t="shared" ca="1" si="24"/>
        <v>45334</v>
      </c>
      <c r="D778" s="4"/>
      <c r="E778" s="4" t="s">
        <v>8434</v>
      </c>
      <c r="F778" s="4" t="s">
        <v>1293</v>
      </c>
      <c r="G778" s="4"/>
      <c r="H778" s="4" t="str">
        <f>_xlfn.IFNA(VLOOKUP(Table_Query_from_AMULTIQRY45[[#This Row],[WPROD]],'Part# with New'!$A$1:$B$4347,2,0),Table_Query_from_AMULTIQRY45[[#This Row],[WPROD]])</f>
        <v>WSMP167152007D-PAX10N</v>
      </c>
      <c r="I778" s="4" t="s">
        <v>8436</v>
      </c>
      <c r="J778" s="1" t="s">
        <v>5</v>
      </c>
      <c r="L778" s="11">
        <v>1.05244</v>
      </c>
      <c r="M778" s="1"/>
      <c r="N778" s="1" t="s">
        <v>18</v>
      </c>
      <c r="P778" s="1" t="str">
        <f>CONCATENATE(Table_Query_from_AMULTIQRY45[[#This Row],[WWHS]],"-",Table_Query_from_AMULTIQRY45[[#This Row],[LLOC]])</f>
        <v>E1-FG</v>
      </c>
      <c r="Q778" s="10">
        <f t="shared" ca="1" si="25"/>
        <v>45775</v>
      </c>
      <c r="R778" s="10"/>
      <c r="S778" s="28">
        <v>79</v>
      </c>
      <c r="T778" s="1" t="s">
        <v>2</v>
      </c>
      <c r="U778" s="1" t="s">
        <v>824</v>
      </c>
      <c r="V778" s="1">
        <v>20240212</v>
      </c>
      <c r="W778" s="8" t="s">
        <v>8442</v>
      </c>
      <c r="Z778" s="1"/>
      <c r="AA778" s="1"/>
      <c r="AC778" s="1"/>
      <c r="AD778" s="1"/>
      <c r="AE778" s="1"/>
      <c r="AF778" s="1"/>
    </row>
    <row r="779" spans="2:32" ht="12.75" x14ac:dyDescent="0.2">
      <c r="B779" s="1" t="s">
        <v>9285</v>
      </c>
      <c r="C779" s="10">
        <f t="shared" ca="1" si="24"/>
        <v>45617</v>
      </c>
      <c r="D779" s="4"/>
      <c r="E779" s="4" t="s">
        <v>8434</v>
      </c>
      <c r="F779" s="4" t="s">
        <v>1293</v>
      </c>
      <c r="G779" s="4"/>
      <c r="H779" s="4" t="str">
        <f>_xlfn.IFNA(VLOOKUP(Table_Query_from_AMULTIQRY45[[#This Row],[WPROD]],'Part# with New'!$A$1:$B$4347,2,0),Table_Query_from_AMULTIQRY45[[#This Row],[WPROD]])</f>
        <v>WPOT162106003D-PPM15K</v>
      </c>
      <c r="I779" s="4" t="s">
        <v>8436</v>
      </c>
      <c r="J779" s="1" t="s">
        <v>5</v>
      </c>
      <c r="L779" s="11">
        <v>9.0380000000000002E-2</v>
      </c>
      <c r="M779" s="1"/>
      <c r="N779" s="1" t="s">
        <v>6</v>
      </c>
      <c r="P779" s="1" t="str">
        <f>CONCATENATE(Table_Query_from_AMULTIQRY45[[#This Row],[WWHS]],"-",Table_Query_from_AMULTIQRY45[[#This Row],[LLOC]])</f>
        <v>E1-FG</v>
      </c>
      <c r="Q779" s="10">
        <f t="shared" ca="1" si="25"/>
        <v>45775</v>
      </c>
      <c r="R779" s="10"/>
      <c r="S779" s="28">
        <v>357</v>
      </c>
      <c r="T779" s="1" t="s">
        <v>2</v>
      </c>
      <c r="U779" s="1" t="s">
        <v>825</v>
      </c>
      <c r="V779" s="1">
        <v>20241121</v>
      </c>
      <c r="W779" s="8" t="s">
        <v>8442</v>
      </c>
      <c r="Z779" s="1"/>
      <c r="AA779" s="1"/>
      <c r="AC779" s="1"/>
      <c r="AD779" s="1"/>
      <c r="AE779" s="1"/>
      <c r="AF779" s="1"/>
    </row>
    <row r="780" spans="2:32" ht="12.75" x14ac:dyDescent="0.2">
      <c r="B780" s="1" t="s">
        <v>9286</v>
      </c>
      <c r="C780" s="10">
        <f t="shared" ca="1" si="24"/>
        <v>45348</v>
      </c>
      <c r="D780" s="4"/>
      <c r="E780" s="4" t="s">
        <v>8434</v>
      </c>
      <c r="F780" s="4" t="s">
        <v>1293</v>
      </c>
      <c r="G780" s="4"/>
      <c r="H780" s="4" t="str">
        <f>_xlfn.IFNA(VLOOKUP(Table_Query_from_AMULTIQRY45[[#This Row],[WPROD]],'Part# with New'!$A$1:$B$4347,2,0),Table_Query_from_AMULTIQRY45[[#This Row],[WPROD]])</f>
        <v>WSMP248166021D-DD250K</v>
      </c>
      <c r="I780" s="4" t="s">
        <v>8436</v>
      </c>
      <c r="J780" s="1" t="s">
        <v>5</v>
      </c>
      <c r="L780" s="11">
        <v>1.9650799999999999</v>
      </c>
      <c r="M780" s="1"/>
      <c r="N780" s="1" t="s">
        <v>18</v>
      </c>
      <c r="P780" s="1" t="str">
        <f>CONCATENATE(Table_Query_from_AMULTIQRY45[[#This Row],[WWHS]],"-",Table_Query_from_AMULTIQRY45[[#This Row],[LLOC]])</f>
        <v>E1-FG</v>
      </c>
      <c r="Q780" s="10">
        <f t="shared" ca="1" si="25"/>
        <v>45775</v>
      </c>
      <c r="R780" s="10"/>
      <c r="S780" s="28">
        <v>14</v>
      </c>
      <c r="T780" s="1" t="s">
        <v>2</v>
      </c>
      <c r="U780" s="1" t="s">
        <v>826</v>
      </c>
      <c r="V780" s="1">
        <v>20240226</v>
      </c>
      <c r="W780" s="8" t="s">
        <v>8442</v>
      </c>
      <c r="Z780" s="1"/>
      <c r="AA780" s="1"/>
      <c r="AC780" s="1"/>
      <c r="AD780" s="1"/>
      <c r="AE780" s="1"/>
      <c r="AF780" s="1"/>
    </row>
    <row r="781" spans="2:32" ht="12.75" x14ac:dyDescent="0.2">
      <c r="B781" s="1" t="s">
        <v>9287</v>
      </c>
      <c r="C781" s="10">
        <f t="shared" ca="1" si="24"/>
        <v>45195</v>
      </c>
      <c r="D781" s="4"/>
      <c r="E781" s="4" t="s">
        <v>8434</v>
      </c>
      <c r="F781" s="4" t="s">
        <v>1293</v>
      </c>
      <c r="G781" s="4"/>
      <c r="H781" s="4" t="str">
        <f>_xlfn.IFNA(VLOOKUP(Table_Query_from_AMULTIQRY45[[#This Row],[WPROD]],'Part# with New'!$A$1:$B$4347,2,0),Table_Query_from_AMULTIQRY45[[#This Row],[WPROD]])</f>
        <v>WPOT150141007D-PRX10K</v>
      </c>
      <c r="I781" s="4" t="s">
        <v>8436</v>
      </c>
      <c r="J781" s="1" t="s">
        <v>5</v>
      </c>
      <c r="L781" s="11">
        <v>0.11676</v>
      </c>
      <c r="M781" s="1"/>
      <c r="N781" s="1" t="s">
        <v>3</v>
      </c>
      <c r="P781" s="1" t="str">
        <f>CONCATENATE(Table_Query_from_AMULTIQRY45[[#This Row],[WWHS]],"-",Table_Query_from_AMULTIQRY45[[#This Row],[LLOC]])</f>
        <v>E1-FG</v>
      </c>
      <c r="Q781" s="10">
        <f t="shared" ca="1" si="25"/>
        <v>45775</v>
      </c>
      <c r="R781" s="10"/>
      <c r="S781" s="28">
        <v>250</v>
      </c>
      <c r="T781" s="1" t="s">
        <v>2</v>
      </c>
      <c r="U781" s="1" t="s">
        <v>827</v>
      </c>
      <c r="V781" s="1">
        <v>20230926</v>
      </c>
      <c r="W781" s="8" t="s">
        <v>8442</v>
      </c>
      <c r="Z781" s="1"/>
      <c r="AA781" s="1"/>
      <c r="AC781" s="1"/>
      <c r="AD781" s="1"/>
      <c r="AE781" s="1"/>
      <c r="AF781" s="1"/>
    </row>
    <row r="782" spans="2:32" ht="12.75" x14ac:dyDescent="0.2">
      <c r="B782" s="1" t="s">
        <v>9288</v>
      </c>
      <c r="C782" s="10">
        <f t="shared" ca="1" si="24"/>
        <v>45635</v>
      </c>
      <c r="D782" s="4"/>
      <c r="E782" s="4" t="s">
        <v>8434</v>
      </c>
      <c r="F782" s="4" t="s">
        <v>1293</v>
      </c>
      <c r="G782" s="4"/>
      <c r="H782" s="4" t="str">
        <f>_xlfn.IFNA(VLOOKUP(Table_Query_from_AMULTIQRY45[[#This Row],[WPROD]],'Part# with New'!$A$1:$B$4347,2,0),Table_Query_from_AMULTIQRY45[[#This Row],[WPROD]])</f>
        <v>24153</v>
      </c>
      <c r="I782" s="4" t="s">
        <v>8436</v>
      </c>
      <c r="J782" s="1" t="s">
        <v>5</v>
      </c>
      <c r="L782" s="11">
        <v>0.25635999999999998</v>
      </c>
      <c r="M782" s="1"/>
      <c r="N782" s="1" t="s">
        <v>6</v>
      </c>
      <c r="P782" s="1" t="str">
        <f>CONCATENATE(Table_Query_from_AMULTIQRY45[[#This Row],[WWHS]],"-",Table_Query_from_AMULTIQRY45[[#This Row],[LLOC]])</f>
        <v>E1-FG</v>
      </c>
      <c r="Q782" s="10">
        <f t="shared" ca="1" si="25"/>
        <v>45775</v>
      </c>
      <c r="R782" s="10"/>
      <c r="S782" s="28">
        <v>214</v>
      </c>
      <c r="T782" s="1" t="s">
        <v>2</v>
      </c>
      <c r="U782" s="1" t="s">
        <v>828</v>
      </c>
      <c r="V782" s="1">
        <v>20241209</v>
      </c>
      <c r="W782" s="8" t="s">
        <v>8442</v>
      </c>
      <c r="Z782" s="1"/>
      <c r="AA782" s="1"/>
      <c r="AC782" s="1"/>
      <c r="AD782" s="1"/>
      <c r="AE782" s="1"/>
      <c r="AF782" s="1"/>
    </row>
    <row r="783" spans="2:32" ht="12.75" x14ac:dyDescent="0.2">
      <c r="B783" s="1" t="s">
        <v>9289</v>
      </c>
      <c r="C783" s="10">
        <f t="shared" ca="1" si="24"/>
        <v>45616</v>
      </c>
      <c r="D783" s="4"/>
      <c r="E783" s="4" t="s">
        <v>8434</v>
      </c>
      <c r="F783" s="4" t="s">
        <v>1293</v>
      </c>
      <c r="G783" s="4"/>
      <c r="H783" s="4" t="str">
        <f>_xlfn.IFNA(VLOOKUP(Table_Query_from_AMULTIQRY45[[#This Row],[WPROD]],'Part# with New'!$A$1:$B$4347,2,0),Table_Query_from_AMULTIQRY45[[#This Row],[WPROD]])</f>
        <v>24156</v>
      </c>
      <c r="I783" s="4" t="s">
        <v>8436</v>
      </c>
      <c r="J783" s="1" t="s">
        <v>5</v>
      </c>
      <c r="L783" s="11">
        <v>0.29025000000000001</v>
      </c>
      <c r="M783" s="1"/>
      <c r="N783" s="1" t="s">
        <v>3</v>
      </c>
      <c r="P783" s="1" t="str">
        <f>CONCATENATE(Table_Query_from_AMULTIQRY45[[#This Row],[WWHS]],"-",Table_Query_from_AMULTIQRY45[[#This Row],[LLOC]])</f>
        <v>E1-FG</v>
      </c>
      <c r="Q783" s="10">
        <f t="shared" ca="1" si="25"/>
        <v>45775</v>
      </c>
      <c r="R783" s="10"/>
      <c r="S783" s="28">
        <v>294</v>
      </c>
      <c r="T783" s="1" t="s">
        <v>2</v>
      </c>
      <c r="U783" s="1" t="s">
        <v>829</v>
      </c>
      <c r="V783" s="1">
        <v>20241120</v>
      </c>
      <c r="W783" s="8" t="s">
        <v>8442</v>
      </c>
      <c r="Z783" s="1"/>
      <c r="AA783" s="1"/>
      <c r="AC783" s="1"/>
      <c r="AD783" s="1"/>
      <c r="AE783" s="1"/>
      <c r="AF783" s="1"/>
    </row>
    <row r="784" spans="2:32" ht="12.75" x14ac:dyDescent="0.2">
      <c r="B784" s="1" t="s">
        <v>9290</v>
      </c>
      <c r="C784" s="10">
        <f t="shared" ca="1" si="24"/>
        <v>45670</v>
      </c>
      <c r="D784" s="4"/>
      <c r="E784" s="4" t="s">
        <v>8434</v>
      </c>
      <c r="F784" s="4" t="s">
        <v>1293</v>
      </c>
      <c r="G784" s="4"/>
      <c r="H784" s="4" t="str">
        <f>_xlfn.IFNA(VLOOKUP(Table_Query_from_AMULTIQRY45[[#This Row],[WPROD]],'Part# with New'!$A$1:$B$4347,2,0),Table_Query_from_AMULTIQRY45[[#This Row],[WPROD]])</f>
        <v>24157</v>
      </c>
      <c r="I784" s="4" t="s">
        <v>8436</v>
      </c>
      <c r="J784" s="1" t="s">
        <v>5</v>
      </c>
      <c r="L784" s="11">
        <v>0.12016</v>
      </c>
      <c r="M784" s="1"/>
      <c r="N784" s="1" t="s">
        <v>6</v>
      </c>
      <c r="P784" s="1" t="str">
        <f>CONCATENATE(Table_Query_from_AMULTIQRY45[[#This Row],[WWHS]],"-",Table_Query_from_AMULTIQRY45[[#This Row],[LLOC]])</f>
        <v>E1-FG</v>
      </c>
      <c r="Q784" s="10">
        <f t="shared" ca="1" si="25"/>
        <v>45775</v>
      </c>
      <c r="R784" s="10"/>
      <c r="S784" s="28">
        <v>1771</v>
      </c>
      <c r="T784" s="1" t="s">
        <v>2</v>
      </c>
      <c r="U784" s="1" t="s">
        <v>830</v>
      </c>
      <c r="V784" s="1">
        <v>20250113</v>
      </c>
      <c r="W784" s="8" t="s">
        <v>8442</v>
      </c>
      <c r="Z784" s="1"/>
      <c r="AA784" s="1"/>
      <c r="AC784" s="1"/>
      <c r="AD784" s="1"/>
      <c r="AE784" s="1"/>
      <c r="AF784" s="1"/>
    </row>
    <row r="785" spans="2:32" ht="12.75" x14ac:dyDescent="0.2">
      <c r="B785" s="1" t="s">
        <v>9291</v>
      </c>
      <c r="C785" s="10">
        <f t="shared" ca="1" si="24"/>
        <v>45289</v>
      </c>
      <c r="D785" s="4"/>
      <c r="E785" s="4" t="s">
        <v>8434</v>
      </c>
      <c r="F785" s="4" t="s">
        <v>1293</v>
      </c>
      <c r="G785" s="4"/>
      <c r="H785" s="4" t="str">
        <f>_xlfn.IFNA(VLOOKUP(Table_Query_from_AMULTIQRY45[[#This Row],[WPROD]],'Part# with New'!$A$1:$B$4347,2,0),Table_Query_from_AMULTIQRY45[[#This Row],[WPROD]])</f>
        <v>24159</v>
      </c>
      <c r="I785" s="4" t="s">
        <v>8436</v>
      </c>
      <c r="J785" s="1" t="s">
        <v>5</v>
      </c>
      <c r="L785" s="11">
        <v>0.17171</v>
      </c>
      <c r="M785" s="1"/>
      <c r="N785" s="1" t="s">
        <v>3</v>
      </c>
      <c r="P785" s="1" t="str">
        <f>CONCATENATE(Table_Query_from_AMULTIQRY45[[#This Row],[WWHS]],"-",Table_Query_from_AMULTIQRY45[[#This Row],[LLOC]])</f>
        <v>E1-FG</v>
      </c>
      <c r="Q785" s="10">
        <f t="shared" ca="1" si="25"/>
        <v>45775</v>
      </c>
      <c r="R785" s="10"/>
      <c r="S785" s="28">
        <v>960</v>
      </c>
      <c r="T785" s="1" t="s">
        <v>2</v>
      </c>
      <c r="U785" s="1" t="s">
        <v>831</v>
      </c>
      <c r="V785" s="1">
        <v>20231229</v>
      </c>
      <c r="W785" s="8" t="s">
        <v>8442</v>
      </c>
      <c r="Z785" s="1"/>
      <c r="AA785" s="1"/>
      <c r="AC785" s="1"/>
      <c r="AD785" s="1"/>
      <c r="AE785" s="1"/>
      <c r="AF785" s="1"/>
    </row>
    <row r="786" spans="2:32" ht="12.75" x14ac:dyDescent="0.2">
      <c r="B786" s="1" t="s">
        <v>9292</v>
      </c>
      <c r="C786" s="10">
        <f t="shared" ca="1" si="24"/>
        <v>45721</v>
      </c>
      <c r="D786" s="4"/>
      <c r="E786" s="4" t="s">
        <v>8434</v>
      </c>
      <c r="F786" s="4" t="s">
        <v>1293</v>
      </c>
      <c r="G786" s="4"/>
      <c r="H786" s="4" t="str">
        <f>_xlfn.IFNA(VLOOKUP(Table_Query_from_AMULTIQRY45[[#This Row],[WPROD]],'Part# with New'!$A$1:$B$4347,2,0),Table_Query_from_AMULTIQRY45[[#This Row],[WPROD]])</f>
        <v>24160</v>
      </c>
      <c r="I786" s="4" t="s">
        <v>8436</v>
      </c>
      <c r="J786" s="1" t="s">
        <v>5</v>
      </c>
      <c r="L786" s="11">
        <v>0.34754000000000002</v>
      </c>
      <c r="M786" s="1"/>
      <c r="N786" s="1" t="s">
        <v>6</v>
      </c>
      <c r="P786" s="1" t="str">
        <f>CONCATENATE(Table_Query_from_AMULTIQRY45[[#This Row],[WWHS]],"-",Table_Query_from_AMULTIQRY45[[#This Row],[LLOC]])</f>
        <v>E1-FG</v>
      </c>
      <c r="Q786" s="10">
        <f t="shared" ca="1" si="25"/>
        <v>45775</v>
      </c>
      <c r="R786" s="10"/>
      <c r="S786" s="28">
        <v>263</v>
      </c>
      <c r="T786" s="1" t="s">
        <v>2</v>
      </c>
      <c r="U786" s="1" t="s">
        <v>832</v>
      </c>
      <c r="V786" s="1">
        <v>20250305</v>
      </c>
      <c r="W786" s="8" t="s">
        <v>8442</v>
      </c>
      <c r="Z786" s="1"/>
      <c r="AA786" s="1"/>
      <c r="AC786" s="1"/>
      <c r="AD786" s="1"/>
      <c r="AE786" s="1"/>
      <c r="AF786" s="1"/>
    </row>
    <row r="787" spans="2:32" ht="12.75" x14ac:dyDescent="0.2">
      <c r="B787" s="1" t="s">
        <v>9293</v>
      </c>
      <c r="C787" s="10">
        <f t="shared" ca="1" si="24"/>
        <v>45600</v>
      </c>
      <c r="D787" s="4"/>
      <c r="E787" s="4" t="s">
        <v>8434</v>
      </c>
      <c r="F787" s="4" t="s">
        <v>1293</v>
      </c>
      <c r="G787" s="4"/>
      <c r="H787" s="4" t="str">
        <f>_xlfn.IFNA(VLOOKUP(Table_Query_from_AMULTIQRY45[[#This Row],[WPROD]],'Part# with New'!$A$1:$B$4347,2,0),Table_Query_from_AMULTIQRY45[[#This Row],[WPROD]])</f>
        <v>24161</v>
      </c>
      <c r="I787" s="4" t="s">
        <v>8436</v>
      </c>
      <c r="J787" s="1" t="s">
        <v>5</v>
      </c>
      <c r="L787" s="11">
        <v>0.44235000000000002</v>
      </c>
      <c r="M787" s="1"/>
      <c r="N787" s="1" t="s">
        <v>6</v>
      </c>
      <c r="P787" s="1" t="str">
        <f>CONCATENATE(Table_Query_from_AMULTIQRY45[[#This Row],[WWHS]],"-",Table_Query_from_AMULTIQRY45[[#This Row],[LLOC]])</f>
        <v>E1-FG</v>
      </c>
      <c r="Q787" s="10">
        <f t="shared" ca="1" si="25"/>
        <v>45775</v>
      </c>
      <c r="R787" s="10"/>
      <c r="S787" s="28">
        <v>250</v>
      </c>
      <c r="T787" s="1" t="s">
        <v>2</v>
      </c>
      <c r="U787" s="1" t="s">
        <v>833</v>
      </c>
      <c r="V787" s="1">
        <v>20241104</v>
      </c>
      <c r="W787" s="8" t="s">
        <v>8442</v>
      </c>
      <c r="Z787" s="1"/>
      <c r="AA787" s="1"/>
      <c r="AC787" s="1"/>
      <c r="AD787" s="1"/>
      <c r="AE787" s="1"/>
      <c r="AF787" s="1"/>
    </row>
    <row r="788" spans="2:32" ht="12.75" x14ac:dyDescent="0.2">
      <c r="B788" s="1" t="s">
        <v>9294</v>
      </c>
      <c r="C788" s="10">
        <f t="shared" ca="1" si="24"/>
        <v>44616</v>
      </c>
      <c r="D788" s="4"/>
      <c r="E788" s="4" t="s">
        <v>8434</v>
      </c>
      <c r="F788" s="4" t="s">
        <v>1293</v>
      </c>
      <c r="G788" s="4"/>
      <c r="H788" s="4" t="str">
        <f>_xlfn.IFNA(VLOOKUP(Table_Query_from_AMULTIQRY45[[#This Row],[WPROD]],'Part# with New'!$A$1:$B$4347,2,0),Table_Query_from_AMULTIQRY45[[#This Row],[WPROD]])</f>
        <v>24168</v>
      </c>
      <c r="I788" s="4" t="s">
        <v>8436</v>
      </c>
      <c r="J788" s="1" t="s">
        <v>5</v>
      </c>
      <c r="L788" s="11">
        <v>2.6979500000000001</v>
      </c>
      <c r="M788" s="1"/>
      <c r="N788" s="1" t="s">
        <v>18</v>
      </c>
      <c r="P788" s="1" t="str">
        <f>CONCATENATE(Table_Query_from_AMULTIQRY45[[#This Row],[WWHS]],"-",Table_Query_from_AMULTIQRY45[[#This Row],[LLOC]])</f>
        <v>E1-FG</v>
      </c>
      <c r="Q788" s="10">
        <f t="shared" ca="1" si="25"/>
        <v>45775</v>
      </c>
      <c r="R788" s="10"/>
      <c r="S788" s="28">
        <v>6</v>
      </c>
      <c r="T788" s="1" t="s">
        <v>2</v>
      </c>
      <c r="U788" s="1" t="s">
        <v>834</v>
      </c>
      <c r="V788" s="1">
        <v>20220224</v>
      </c>
      <c r="W788" s="8" t="s">
        <v>8442</v>
      </c>
      <c r="Z788" s="1"/>
      <c r="AA788" s="1"/>
      <c r="AC788" s="1"/>
      <c r="AD788" s="1"/>
      <c r="AE788" s="1"/>
      <c r="AF788" s="1"/>
    </row>
    <row r="789" spans="2:32" ht="12.75" x14ac:dyDescent="0.2">
      <c r="B789" s="1" t="s">
        <v>9295</v>
      </c>
      <c r="C789" s="10">
        <f t="shared" ca="1" si="24"/>
        <v>45538</v>
      </c>
      <c r="D789" s="4"/>
      <c r="E789" s="4" t="s">
        <v>8434</v>
      </c>
      <c r="F789" s="4" t="s">
        <v>1293</v>
      </c>
      <c r="G789" s="4"/>
      <c r="H789" s="4" t="str">
        <f>_xlfn.IFNA(VLOOKUP(Table_Query_from_AMULTIQRY45[[#This Row],[WPROD]],'Part# with New'!$A$1:$B$4347,2,0),Table_Query_from_AMULTIQRY45[[#This Row],[WPROD]])</f>
        <v>24170</v>
      </c>
      <c r="I789" s="4" t="s">
        <v>8436</v>
      </c>
      <c r="J789" s="1" t="s">
        <v>5</v>
      </c>
      <c r="L789" s="11">
        <v>0.65229999999999999</v>
      </c>
      <c r="M789" s="1"/>
      <c r="N789" s="1" t="s">
        <v>6</v>
      </c>
      <c r="P789" s="1" t="str">
        <f>CONCATENATE(Table_Query_from_AMULTIQRY45[[#This Row],[WWHS]],"-",Table_Query_from_AMULTIQRY45[[#This Row],[LLOC]])</f>
        <v>E1-FG</v>
      </c>
      <c r="Q789" s="10">
        <f t="shared" ca="1" si="25"/>
        <v>45775</v>
      </c>
      <c r="R789" s="10"/>
      <c r="S789" s="28">
        <v>20</v>
      </c>
      <c r="T789" s="1" t="s">
        <v>2</v>
      </c>
      <c r="U789" s="1" t="s">
        <v>835</v>
      </c>
      <c r="V789" s="1">
        <v>20240903</v>
      </c>
      <c r="W789" s="8" t="s">
        <v>8442</v>
      </c>
      <c r="Z789" s="1"/>
      <c r="AA789" s="1"/>
      <c r="AC789" s="1"/>
      <c r="AD789" s="1"/>
      <c r="AE789" s="1"/>
      <c r="AF789" s="1"/>
    </row>
    <row r="790" spans="2:32" ht="12.75" x14ac:dyDescent="0.2">
      <c r="B790" s="1" t="s">
        <v>9296</v>
      </c>
      <c r="C790" s="10">
        <f t="shared" ca="1" si="24"/>
        <v>44691</v>
      </c>
      <c r="D790" s="4"/>
      <c r="E790" s="4" t="s">
        <v>8434</v>
      </c>
      <c r="F790" s="4" t="s">
        <v>1293</v>
      </c>
      <c r="G790" s="4"/>
      <c r="H790" s="4" t="str">
        <f>_xlfn.IFNA(VLOOKUP(Table_Query_from_AMULTIQRY45[[#This Row],[WPROD]],'Part# with New'!$A$1:$B$4347,2,0),Table_Query_from_AMULTIQRY45[[#This Row],[WPROD]])</f>
        <v>24176</v>
      </c>
      <c r="I790" s="4" t="s">
        <v>8436</v>
      </c>
      <c r="J790" s="1" t="s">
        <v>5</v>
      </c>
      <c r="L790" s="11">
        <v>0.24382000000000001</v>
      </c>
      <c r="M790" s="1"/>
      <c r="N790" s="1" t="s">
        <v>389</v>
      </c>
      <c r="P790" s="1" t="str">
        <f>CONCATENATE(Table_Query_from_AMULTIQRY45[[#This Row],[WWHS]],"-",Table_Query_from_AMULTIQRY45[[#This Row],[LLOC]])</f>
        <v>E1-FG</v>
      </c>
      <c r="Q790" s="10">
        <f t="shared" ca="1" si="25"/>
        <v>45775</v>
      </c>
      <c r="R790" s="10"/>
      <c r="S790" s="28">
        <v>50</v>
      </c>
      <c r="T790" s="1" t="s">
        <v>2</v>
      </c>
      <c r="U790" s="1" t="s">
        <v>836</v>
      </c>
      <c r="V790" s="1">
        <v>20220510</v>
      </c>
      <c r="W790" s="8" t="s">
        <v>8442</v>
      </c>
      <c r="Z790" s="1"/>
      <c r="AA790" s="1"/>
      <c r="AC790" s="1"/>
      <c r="AD790" s="1"/>
      <c r="AE790" s="1"/>
      <c r="AF790" s="1"/>
    </row>
    <row r="791" spans="2:32" ht="12.75" x14ac:dyDescent="0.2">
      <c r="B791" s="1" t="s">
        <v>9297</v>
      </c>
      <c r="C791" s="10">
        <f t="shared" ca="1" si="24"/>
        <v>44648</v>
      </c>
      <c r="D791" s="4"/>
      <c r="E791" s="4" t="s">
        <v>8434</v>
      </c>
      <c r="F791" s="4" t="s">
        <v>1293</v>
      </c>
      <c r="G791" s="4"/>
      <c r="H791" s="4" t="str">
        <f>_xlfn.IFNA(VLOOKUP(Table_Query_from_AMULTIQRY45[[#This Row],[WPROD]],'Part# with New'!$A$1:$B$4347,2,0),Table_Query_from_AMULTIQRY45[[#This Row],[WPROD]])</f>
        <v>24178</v>
      </c>
      <c r="I791" s="4" t="s">
        <v>8436</v>
      </c>
      <c r="J791" s="1" t="s">
        <v>5</v>
      </c>
      <c r="L791" s="11">
        <v>0.78968000000000005</v>
      </c>
      <c r="M791" s="1"/>
      <c r="N791" s="1" t="s">
        <v>6</v>
      </c>
      <c r="P791" s="1" t="str">
        <f>CONCATENATE(Table_Query_from_AMULTIQRY45[[#This Row],[WWHS]],"-",Table_Query_from_AMULTIQRY45[[#This Row],[LLOC]])</f>
        <v>E1-FG</v>
      </c>
      <c r="Q791" s="10">
        <f t="shared" ca="1" si="25"/>
        <v>45775</v>
      </c>
      <c r="R791" s="10"/>
      <c r="S791" s="28">
        <v>25</v>
      </c>
      <c r="T791" s="1" t="s">
        <v>2</v>
      </c>
      <c r="U791" s="1" t="s">
        <v>837</v>
      </c>
      <c r="V791" s="1">
        <v>20220328</v>
      </c>
      <c r="W791" s="8" t="s">
        <v>8442</v>
      </c>
      <c r="Z791" s="1"/>
      <c r="AA791" s="1"/>
      <c r="AC791" s="1"/>
      <c r="AD791" s="1"/>
      <c r="AE791" s="1"/>
      <c r="AF791" s="1"/>
    </row>
    <row r="792" spans="2:32" ht="12.75" x14ac:dyDescent="0.2">
      <c r="B792" s="1" t="s">
        <v>9298</v>
      </c>
      <c r="C792" s="10">
        <f t="shared" ca="1" si="24"/>
        <v>44721</v>
      </c>
      <c r="D792" s="4"/>
      <c r="E792" s="4" t="s">
        <v>8434</v>
      </c>
      <c r="F792" s="4" t="s">
        <v>1293</v>
      </c>
      <c r="G792" s="4"/>
      <c r="H792" s="4" t="str">
        <f>_xlfn.IFNA(VLOOKUP(Table_Query_from_AMULTIQRY45[[#This Row],[WPROD]],'Part# with New'!$A$1:$B$4347,2,0),Table_Query_from_AMULTIQRY45[[#This Row],[WPROD]])</f>
        <v>24180</v>
      </c>
      <c r="I792" s="4" t="s">
        <v>8436</v>
      </c>
      <c r="J792" s="1" t="s">
        <v>5</v>
      </c>
      <c r="L792" s="11">
        <v>2.19055</v>
      </c>
      <c r="M792" s="1"/>
      <c r="N792" s="1" t="s">
        <v>6</v>
      </c>
      <c r="P792" s="1" t="str">
        <f>CONCATENATE(Table_Query_from_AMULTIQRY45[[#This Row],[WWHS]],"-",Table_Query_from_AMULTIQRY45[[#This Row],[LLOC]])</f>
        <v>E1-FG</v>
      </c>
      <c r="Q792" s="10">
        <f t="shared" ca="1" si="25"/>
        <v>45775</v>
      </c>
      <c r="R792" s="10"/>
      <c r="S792" s="28">
        <v>36</v>
      </c>
      <c r="T792" s="1" t="s">
        <v>2</v>
      </c>
      <c r="U792" s="1" t="s">
        <v>838</v>
      </c>
      <c r="V792" s="1">
        <v>20220609</v>
      </c>
      <c r="W792" s="8" t="s">
        <v>8442</v>
      </c>
      <c r="Z792" s="1"/>
      <c r="AA792" s="1"/>
      <c r="AC792" s="1"/>
      <c r="AD792" s="1"/>
      <c r="AE792" s="1"/>
      <c r="AF792" s="1"/>
    </row>
    <row r="793" spans="2:32" ht="12.75" x14ac:dyDescent="0.2">
      <c r="B793" s="1" t="s">
        <v>9299</v>
      </c>
      <c r="C793" s="10">
        <f t="shared" ca="1" si="24"/>
        <v>45229</v>
      </c>
      <c r="D793" s="4"/>
      <c r="E793" s="4" t="s">
        <v>8434</v>
      </c>
      <c r="F793" s="4" t="s">
        <v>1293</v>
      </c>
      <c r="G793" s="4"/>
      <c r="H793" s="4" t="str">
        <f>_xlfn.IFNA(VLOOKUP(Table_Query_from_AMULTIQRY45[[#This Row],[WPROD]],'Part# with New'!$A$1:$B$4347,2,0),Table_Query_from_AMULTIQRY45[[#This Row],[WPROD]])</f>
        <v>24185</v>
      </c>
      <c r="I793" s="4" t="s">
        <v>8436</v>
      </c>
      <c r="J793" s="1" t="s">
        <v>5</v>
      </c>
      <c r="L793" s="11">
        <v>1.25335</v>
      </c>
      <c r="M793" s="1"/>
      <c r="N793" s="1" t="s">
        <v>15</v>
      </c>
      <c r="P793" s="1" t="str">
        <f>CONCATENATE(Table_Query_from_AMULTIQRY45[[#This Row],[WWHS]],"-",Table_Query_from_AMULTIQRY45[[#This Row],[LLOC]])</f>
        <v>E1-FG</v>
      </c>
      <c r="Q793" s="10">
        <f t="shared" ca="1" si="25"/>
        <v>45775</v>
      </c>
      <c r="R793" s="10"/>
      <c r="S793" s="28">
        <v>362</v>
      </c>
      <c r="T793" s="1" t="s">
        <v>2</v>
      </c>
      <c r="U793" s="1" t="s">
        <v>839</v>
      </c>
      <c r="V793" s="1">
        <v>20231030</v>
      </c>
      <c r="W793" s="8" t="s">
        <v>8442</v>
      </c>
      <c r="Z793" s="1"/>
      <c r="AA793" s="1"/>
      <c r="AC793" s="1"/>
      <c r="AD793" s="1"/>
      <c r="AE793" s="1"/>
      <c r="AF793" s="1"/>
    </row>
    <row r="794" spans="2:32" ht="12.75" x14ac:dyDescent="0.2">
      <c r="B794" s="1" t="s">
        <v>9300</v>
      </c>
      <c r="C794" s="10">
        <f t="shared" ca="1" si="24"/>
        <v>45645</v>
      </c>
      <c r="D794" s="4"/>
      <c r="E794" s="4" t="s">
        <v>8434</v>
      </c>
      <c r="F794" s="4" t="s">
        <v>1293</v>
      </c>
      <c r="G794" s="4"/>
      <c r="H794" s="4" t="str">
        <f>_xlfn.IFNA(VLOOKUP(Table_Query_from_AMULTIQRY45[[#This Row],[WPROD]],'Part# with New'!$A$1:$B$4347,2,0),Table_Query_from_AMULTIQRY45[[#This Row],[WPROD]])</f>
        <v>24186</v>
      </c>
      <c r="I794" s="4" t="s">
        <v>8436</v>
      </c>
      <c r="J794" s="1" t="s">
        <v>5</v>
      </c>
      <c r="L794" s="11">
        <v>1.2015400000000001</v>
      </c>
      <c r="M794" s="1"/>
      <c r="N794" s="1" t="s">
        <v>15</v>
      </c>
      <c r="P794" s="1" t="str">
        <f>CONCATENATE(Table_Query_from_AMULTIQRY45[[#This Row],[WWHS]],"-",Table_Query_from_AMULTIQRY45[[#This Row],[LLOC]])</f>
        <v>E1-FG</v>
      </c>
      <c r="Q794" s="10">
        <f t="shared" ca="1" si="25"/>
        <v>45775</v>
      </c>
      <c r="R794" s="10"/>
      <c r="S794" s="28">
        <v>16</v>
      </c>
      <c r="T794" s="1" t="s">
        <v>2</v>
      </c>
      <c r="U794" s="1" t="s">
        <v>840</v>
      </c>
      <c r="V794" s="1">
        <v>20241219</v>
      </c>
      <c r="W794" s="8" t="s">
        <v>8442</v>
      </c>
      <c r="Z794" s="1"/>
      <c r="AA794" s="1"/>
      <c r="AC794" s="1"/>
      <c r="AD794" s="1"/>
      <c r="AE794" s="1"/>
      <c r="AF794" s="1"/>
    </row>
    <row r="795" spans="2:32" ht="12.75" x14ac:dyDescent="0.2">
      <c r="B795" s="1" t="s">
        <v>9301</v>
      </c>
      <c r="C795" s="10">
        <f t="shared" ca="1" si="24"/>
        <v>44573</v>
      </c>
      <c r="D795" s="4"/>
      <c r="E795" s="4" t="s">
        <v>8434</v>
      </c>
      <c r="F795" s="4" t="s">
        <v>1293</v>
      </c>
      <c r="G795" s="4"/>
      <c r="H795" s="4" t="str">
        <f>_xlfn.IFNA(VLOOKUP(Table_Query_from_AMULTIQRY45[[#This Row],[WPROD]],'Part# with New'!$A$1:$B$4347,2,0),Table_Query_from_AMULTIQRY45[[#This Row],[WPROD]])</f>
        <v>24187</v>
      </c>
      <c r="I795" s="4" t="s">
        <v>8436</v>
      </c>
      <c r="J795" s="1" t="s">
        <v>5</v>
      </c>
      <c r="L795" s="11">
        <v>0.21082999999999999</v>
      </c>
      <c r="M795" s="1"/>
      <c r="N795" s="1" t="s">
        <v>3</v>
      </c>
      <c r="P795" s="1" t="str">
        <f>CONCATENATE(Table_Query_from_AMULTIQRY45[[#This Row],[WWHS]],"-",Table_Query_from_AMULTIQRY45[[#This Row],[LLOC]])</f>
        <v>E1-FG</v>
      </c>
      <c r="Q795" s="10">
        <f t="shared" ca="1" si="25"/>
        <v>45775</v>
      </c>
      <c r="R795" s="10"/>
      <c r="S795" s="28">
        <v>54</v>
      </c>
      <c r="T795" s="1" t="s">
        <v>2</v>
      </c>
      <c r="U795" s="1" t="s">
        <v>841</v>
      </c>
      <c r="V795" s="1">
        <v>20220112</v>
      </c>
      <c r="W795" s="8" t="s">
        <v>8442</v>
      </c>
      <c r="Z795" s="1"/>
      <c r="AA795" s="1"/>
      <c r="AC795" s="1"/>
      <c r="AD795" s="1"/>
      <c r="AE795" s="1"/>
      <c r="AF795" s="1"/>
    </row>
    <row r="796" spans="2:32" ht="12.75" x14ac:dyDescent="0.2">
      <c r="B796" s="1" t="s">
        <v>9302</v>
      </c>
      <c r="C796" s="10">
        <f t="shared" ca="1" si="24"/>
        <v>44762</v>
      </c>
      <c r="D796" s="4"/>
      <c r="E796" s="4" t="s">
        <v>8434</v>
      </c>
      <c r="F796" s="4" t="s">
        <v>1293</v>
      </c>
      <c r="G796" s="4"/>
      <c r="H796" s="4" t="str">
        <f>_xlfn.IFNA(VLOOKUP(Table_Query_from_AMULTIQRY45[[#This Row],[WPROD]],'Part# with New'!$A$1:$B$4347,2,0),Table_Query_from_AMULTIQRY45[[#This Row],[WPROD]])</f>
        <v>24190</v>
      </c>
      <c r="I796" s="4" t="s">
        <v>8436</v>
      </c>
      <c r="J796" s="1" t="s">
        <v>5</v>
      </c>
      <c r="L796" s="11">
        <v>0.13972999999999999</v>
      </c>
      <c r="M796" s="1"/>
      <c r="N796" s="1" t="s">
        <v>348</v>
      </c>
      <c r="P796" s="1" t="str">
        <f>CONCATENATE(Table_Query_from_AMULTIQRY45[[#This Row],[WWHS]],"-",Table_Query_from_AMULTIQRY45[[#This Row],[LLOC]])</f>
        <v>E1-FG</v>
      </c>
      <c r="Q796" s="10">
        <f t="shared" ca="1" si="25"/>
        <v>45775</v>
      </c>
      <c r="R796" s="10"/>
      <c r="S796" s="28">
        <v>309</v>
      </c>
      <c r="T796" s="1" t="s">
        <v>2</v>
      </c>
      <c r="U796" s="1" t="s">
        <v>842</v>
      </c>
      <c r="V796" s="1">
        <v>20220720</v>
      </c>
      <c r="W796" s="8" t="s">
        <v>8442</v>
      </c>
      <c r="Z796" s="1"/>
      <c r="AA796" s="1"/>
      <c r="AC796" s="1"/>
      <c r="AD796" s="1"/>
      <c r="AE796" s="1"/>
      <c r="AF796" s="1"/>
    </row>
    <row r="797" spans="2:32" ht="12.75" x14ac:dyDescent="0.2">
      <c r="B797" s="1" t="s">
        <v>9303</v>
      </c>
      <c r="C797" s="10">
        <f t="shared" ca="1" si="24"/>
        <v>44706</v>
      </c>
      <c r="D797" s="4"/>
      <c r="E797" s="4" t="s">
        <v>8434</v>
      </c>
      <c r="F797" s="4" t="s">
        <v>1293</v>
      </c>
      <c r="G797" s="4"/>
      <c r="H797" s="4" t="str">
        <f>_xlfn.IFNA(VLOOKUP(Table_Query_from_AMULTIQRY45[[#This Row],[WPROD]],'Part# with New'!$A$1:$B$4347,2,0),Table_Query_from_AMULTIQRY45[[#This Row],[WPROD]])</f>
        <v>24191</v>
      </c>
      <c r="I797" s="4" t="s">
        <v>8436</v>
      </c>
      <c r="J797" s="1" t="s">
        <v>5</v>
      </c>
      <c r="L797" s="11">
        <v>1.9276800000000001</v>
      </c>
      <c r="M797" s="1"/>
      <c r="N797" s="1" t="s">
        <v>6</v>
      </c>
      <c r="P797" s="1" t="str">
        <f>CONCATENATE(Table_Query_from_AMULTIQRY45[[#This Row],[WWHS]],"-",Table_Query_from_AMULTIQRY45[[#This Row],[LLOC]])</f>
        <v>E1-FG</v>
      </c>
      <c r="Q797" s="10">
        <f t="shared" ca="1" si="25"/>
        <v>45775</v>
      </c>
      <c r="R797" s="10"/>
      <c r="S797" s="28">
        <v>50</v>
      </c>
      <c r="T797" s="1" t="s">
        <v>2</v>
      </c>
      <c r="U797" s="1" t="s">
        <v>843</v>
      </c>
      <c r="V797" s="1">
        <v>20220525</v>
      </c>
      <c r="W797" s="8" t="s">
        <v>8442</v>
      </c>
      <c r="Z797" s="1"/>
      <c r="AA797" s="1"/>
      <c r="AC797" s="1"/>
      <c r="AD797" s="1"/>
      <c r="AE797" s="1"/>
      <c r="AF797" s="1"/>
    </row>
    <row r="798" spans="2:32" ht="12.75" x14ac:dyDescent="0.2">
      <c r="B798" s="1" t="s">
        <v>9304</v>
      </c>
      <c r="C798" s="10">
        <f t="shared" ca="1" si="24"/>
        <v>44557</v>
      </c>
      <c r="D798" s="4"/>
      <c r="E798" s="4" t="s">
        <v>8434</v>
      </c>
      <c r="F798" s="4" t="s">
        <v>1293</v>
      </c>
      <c r="G798" s="4"/>
      <c r="H798" s="4" t="str">
        <f>_xlfn.IFNA(VLOOKUP(Table_Query_from_AMULTIQRY45[[#This Row],[WPROD]],'Part# with New'!$A$1:$B$4347,2,0),Table_Query_from_AMULTIQRY45[[#This Row],[WPROD]])</f>
        <v>24195</v>
      </c>
      <c r="I798" s="4" t="s">
        <v>8436</v>
      </c>
      <c r="J798" s="1" t="s">
        <v>5</v>
      </c>
      <c r="L798" s="11">
        <v>0.11222</v>
      </c>
      <c r="M798" s="1"/>
      <c r="N798" s="1" t="s">
        <v>3</v>
      </c>
      <c r="P798" s="1" t="str">
        <f>CONCATENATE(Table_Query_from_AMULTIQRY45[[#This Row],[WWHS]],"-",Table_Query_from_AMULTIQRY45[[#This Row],[LLOC]])</f>
        <v>E1-FG</v>
      </c>
      <c r="Q798" s="10">
        <f t="shared" ca="1" si="25"/>
        <v>45775</v>
      </c>
      <c r="R798" s="10"/>
      <c r="S798" s="28">
        <v>216</v>
      </c>
      <c r="T798" s="1" t="s">
        <v>2</v>
      </c>
      <c r="U798" s="1" t="s">
        <v>844</v>
      </c>
      <c r="V798" s="1">
        <v>20211227</v>
      </c>
      <c r="W798" s="8" t="s">
        <v>8442</v>
      </c>
      <c r="Z798" s="1"/>
      <c r="AA798" s="1"/>
      <c r="AC798" s="1"/>
      <c r="AD798" s="1"/>
      <c r="AE798" s="1"/>
      <c r="AF798" s="1"/>
    </row>
    <row r="799" spans="2:32" ht="12.75" x14ac:dyDescent="0.2">
      <c r="B799" s="1" t="s">
        <v>9305</v>
      </c>
      <c r="C799" s="10">
        <f t="shared" ca="1" si="24"/>
        <v>44973</v>
      </c>
      <c r="D799" s="4"/>
      <c r="E799" s="4" t="s">
        <v>8434</v>
      </c>
      <c r="F799" s="4" t="s">
        <v>1293</v>
      </c>
      <c r="G799" s="4"/>
      <c r="H799" s="4" t="str">
        <f>_xlfn.IFNA(VLOOKUP(Table_Query_from_AMULTIQRY45[[#This Row],[WPROD]],'Part# with New'!$A$1:$B$4347,2,0),Table_Query_from_AMULTIQRY45[[#This Row],[WPROD]])</f>
        <v>24199</v>
      </c>
      <c r="I799" s="4" t="s">
        <v>8436</v>
      </c>
      <c r="J799" s="1" t="s">
        <v>5</v>
      </c>
      <c r="L799" s="11">
        <v>0.28843000000000002</v>
      </c>
      <c r="M799" s="1"/>
      <c r="N799" s="1" t="s">
        <v>480</v>
      </c>
      <c r="P799" s="1" t="str">
        <f>CONCATENATE(Table_Query_from_AMULTIQRY45[[#This Row],[WWHS]],"-",Table_Query_from_AMULTIQRY45[[#This Row],[LLOC]])</f>
        <v>E1-FG</v>
      </c>
      <c r="Q799" s="10">
        <f t="shared" ca="1" si="25"/>
        <v>45775</v>
      </c>
      <c r="R799" s="10"/>
      <c r="S799" s="28">
        <v>807</v>
      </c>
      <c r="T799" s="1" t="s">
        <v>2</v>
      </c>
      <c r="U799" s="1" t="s">
        <v>845</v>
      </c>
      <c r="V799" s="1">
        <v>20230216</v>
      </c>
      <c r="W799" s="8" t="s">
        <v>8442</v>
      </c>
      <c r="Z799" s="1"/>
      <c r="AA799" s="1"/>
      <c r="AC799" s="1"/>
      <c r="AD799" s="1"/>
      <c r="AE799" s="1"/>
      <c r="AF799" s="1"/>
    </row>
    <row r="800" spans="2:32" ht="12.75" x14ac:dyDescent="0.2">
      <c r="B800" s="1" t="s">
        <v>9306</v>
      </c>
      <c r="C800" s="10">
        <f t="shared" ca="1" si="24"/>
        <v>44649</v>
      </c>
      <c r="D800" s="4"/>
      <c r="E800" s="4" t="s">
        <v>8434</v>
      </c>
      <c r="F800" s="4" t="s">
        <v>1293</v>
      </c>
      <c r="G800" s="4"/>
      <c r="H800" s="4" t="str">
        <f>_xlfn.IFNA(VLOOKUP(Table_Query_from_AMULTIQRY45[[#This Row],[WPROD]],'Part# with New'!$A$1:$B$4347,2,0),Table_Query_from_AMULTIQRY45[[#This Row],[WPROD]])</f>
        <v>24201</v>
      </c>
      <c r="I800" s="4" t="s">
        <v>8436</v>
      </c>
      <c r="J800" s="1" t="s">
        <v>5</v>
      </c>
      <c r="L800" s="11">
        <v>0.14171</v>
      </c>
      <c r="M800" s="1"/>
      <c r="N800" s="1" t="s">
        <v>3</v>
      </c>
      <c r="P800" s="1" t="str">
        <f>CONCATENATE(Table_Query_from_AMULTIQRY45[[#This Row],[WWHS]],"-",Table_Query_from_AMULTIQRY45[[#This Row],[LLOC]])</f>
        <v>E1-FG</v>
      </c>
      <c r="Q800" s="10">
        <f t="shared" ca="1" si="25"/>
        <v>45775</v>
      </c>
      <c r="R800" s="10"/>
      <c r="S800" s="28">
        <v>49</v>
      </c>
      <c r="T800" s="1" t="s">
        <v>2</v>
      </c>
      <c r="U800" s="1" t="s">
        <v>846</v>
      </c>
      <c r="V800" s="1">
        <v>20220329</v>
      </c>
      <c r="W800" s="8" t="s">
        <v>8442</v>
      </c>
      <c r="Z800" s="1"/>
      <c r="AA800" s="1"/>
      <c r="AC800" s="1"/>
      <c r="AD800" s="1"/>
      <c r="AE800" s="1"/>
      <c r="AF800" s="1"/>
    </row>
    <row r="801" spans="2:32" ht="12.75" x14ac:dyDescent="0.2">
      <c r="B801" s="1" t="s">
        <v>9307</v>
      </c>
      <c r="C801" s="10">
        <f t="shared" ca="1" si="24"/>
        <v>44532</v>
      </c>
      <c r="D801" s="4"/>
      <c r="E801" s="4" t="s">
        <v>8434</v>
      </c>
      <c r="F801" s="4" t="s">
        <v>1293</v>
      </c>
      <c r="G801" s="4"/>
      <c r="H801" s="4" t="str">
        <f>_xlfn.IFNA(VLOOKUP(Table_Query_from_AMULTIQRY45[[#This Row],[WPROD]],'Part# with New'!$A$1:$B$4347,2,0),Table_Query_from_AMULTIQRY45[[#This Row],[WPROD]])</f>
        <v>24202</v>
      </c>
      <c r="I801" s="4" t="s">
        <v>8436</v>
      </c>
      <c r="J801" s="1" t="s">
        <v>5</v>
      </c>
      <c r="L801" s="11">
        <v>0.34254000000000001</v>
      </c>
      <c r="M801" s="1"/>
      <c r="N801" s="1" t="s">
        <v>6</v>
      </c>
      <c r="P801" s="1" t="str">
        <f>CONCATENATE(Table_Query_from_AMULTIQRY45[[#This Row],[WWHS]],"-",Table_Query_from_AMULTIQRY45[[#This Row],[LLOC]])</f>
        <v>E1-FG</v>
      </c>
      <c r="Q801" s="10">
        <f t="shared" ca="1" si="25"/>
        <v>45775</v>
      </c>
      <c r="R801" s="10"/>
      <c r="S801" s="28">
        <v>570</v>
      </c>
      <c r="T801" s="1" t="s">
        <v>2</v>
      </c>
      <c r="U801" s="1" t="s">
        <v>7230</v>
      </c>
      <c r="V801" s="1">
        <v>20211202</v>
      </c>
      <c r="W801" s="8" t="s">
        <v>8442</v>
      </c>
      <c r="Z801" s="1"/>
      <c r="AA801" s="1"/>
      <c r="AC801" s="1"/>
      <c r="AD801" s="1"/>
      <c r="AE801" s="1"/>
      <c r="AF801" s="1"/>
    </row>
    <row r="802" spans="2:32" ht="12.75" x14ac:dyDescent="0.2">
      <c r="B802" s="1" t="s">
        <v>9308</v>
      </c>
      <c r="C802" s="10">
        <f t="shared" ca="1" si="24"/>
        <v>44518</v>
      </c>
      <c r="D802" s="4"/>
      <c r="E802" s="4" t="s">
        <v>8434</v>
      </c>
      <c r="F802" s="4" t="s">
        <v>1293</v>
      </c>
      <c r="G802" s="4"/>
      <c r="H802" s="4" t="str">
        <f>_xlfn.IFNA(VLOOKUP(Table_Query_from_AMULTIQRY45[[#This Row],[WPROD]],'Part# with New'!$A$1:$B$4347,2,0),Table_Query_from_AMULTIQRY45[[#This Row],[WPROD]])</f>
        <v>24205</v>
      </c>
      <c r="I802" s="4" t="s">
        <v>8436</v>
      </c>
      <c r="J802" s="1" t="s">
        <v>5</v>
      </c>
      <c r="L802" s="11">
        <v>2.3378899999999998</v>
      </c>
      <c r="M802" s="1"/>
      <c r="N802" s="1" t="s">
        <v>6</v>
      </c>
      <c r="P802" s="1" t="str">
        <f>CONCATENATE(Table_Query_from_AMULTIQRY45[[#This Row],[WWHS]],"-",Table_Query_from_AMULTIQRY45[[#This Row],[LLOC]])</f>
        <v>E1-FG</v>
      </c>
      <c r="Q802" s="10">
        <f t="shared" ca="1" si="25"/>
        <v>45775</v>
      </c>
      <c r="R802" s="10"/>
      <c r="S802" s="28">
        <v>17</v>
      </c>
      <c r="T802" s="1" t="s">
        <v>2</v>
      </c>
      <c r="U802" s="1" t="s">
        <v>847</v>
      </c>
      <c r="V802" s="1">
        <v>20211118</v>
      </c>
      <c r="W802" s="8" t="s">
        <v>8442</v>
      </c>
      <c r="Z802" s="1"/>
      <c r="AA802" s="1"/>
      <c r="AC802" s="1"/>
      <c r="AD802" s="1"/>
      <c r="AE802" s="1"/>
      <c r="AF802" s="1"/>
    </row>
    <row r="803" spans="2:32" ht="12.75" x14ac:dyDescent="0.2">
      <c r="B803" s="1" t="s">
        <v>9309</v>
      </c>
      <c r="C803" s="10">
        <f t="shared" ca="1" si="24"/>
        <v>45757</v>
      </c>
      <c r="D803" s="4"/>
      <c r="E803" s="4" t="s">
        <v>8434</v>
      </c>
      <c r="F803" s="4" t="s">
        <v>1293</v>
      </c>
      <c r="G803" s="4"/>
      <c r="H803" s="4" t="str">
        <f>_xlfn.IFNA(VLOOKUP(Table_Query_from_AMULTIQRY45[[#This Row],[WPROD]],'Part# with New'!$A$1:$B$4347,2,0),Table_Query_from_AMULTIQRY45[[#This Row],[WPROD]])</f>
        <v>24213</v>
      </c>
      <c r="I803" s="4" t="s">
        <v>8436</v>
      </c>
      <c r="J803" s="1" t="s">
        <v>5</v>
      </c>
      <c r="L803" s="11">
        <v>0.18633</v>
      </c>
      <c r="M803" s="1"/>
      <c r="N803" s="1" t="s">
        <v>3</v>
      </c>
      <c r="P803" s="1" t="str">
        <f>CONCATENATE(Table_Query_from_AMULTIQRY45[[#This Row],[WWHS]],"-",Table_Query_from_AMULTIQRY45[[#This Row],[LLOC]])</f>
        <v>E1-FG</v>
      </c>
      <c r="Q803" s="10">
        <f t="shared" ca="1" si="25"/>
        <v>45775</v>
      </c>
      <c r="R803" s="10"/>
      <c r="S803" s="28">
        <v>84</v>
      </c>
      <c r="T803" s="1" t="s">
        <v>2</v>
      </c>
      <c r="U803" s="1" t="s">
        <v>848</v>
      </c>
      <c r="V803" s="1">
        <v>20250410</v>
      </c>
      <c r="W803" s="8" t="s">
        <v>8442</v>
      </c>
      <c r="Z803" s="1"/>
      <c r="AA803" s="1"/>
      <c r="AC803" s="1"/>
      <c r="AD803" s="1"/>
      <c r="AE803" s="1"/>
      <c r="AF803" s="1"/>
    </row>
    <row r="804" spans="2:32" ht="12.75" x14ac:dyDescent="0.2">
      <c r="B804" s="1" t="s">
        <v>9310</v>
      </c>
      <c r="C804" s="10">
        <f t="shared" ca="1" si="24"/>
        <v>44630</v>
      </c>
      <c r="D804" s="4"/>
      <c r="E804" s="4" t="s">
        <v>8434</v>
      </c>
      <c r="F804" s="4" t="s">
        <v>1293</v>
      </c>
      <c r="G804" s="4"/>
      <c r="H804" s="4" t="str">
        <f>_xlfn.IFNA(VLOOKUP(Table_Query_from_AMULTIQRY45[[#This Row],[WPROD]],'Part# with New'!$A$1:$B$4347,2,0),Table_Query_from_AMULTIQRY45[[#This Row],[WPROD]])</f>
        <v>24215</v>
      </c>
      <c r="I804" s="4" t="s">
        <v>8436</v>
      </c>
      <c r="J804" s="1" t="s">
        <v>5</v>
      </c>
      <c r="L804" s="11">
        <v>0.1356</v>
      </c>
      <c r="M804" s="1"/>
      <c r="N804" s="1" t="s">
        <v>3</v>
      </c>
      <c r="P804" s="1" t="str">
        <f>CONCATENATE(Table_Query_from_AMULTIQRY45[[#This Row],[WWHS]],"-",Table_Query_from_AMULTIQRY45[[#This Row],[LLOC]])</f>
        <v>E1-FG</v>
      </c>
      <c r="Q804" s="10">
        <f t="shared" ca="1" si="25"/>
        <v>45775</v>
      </c>
      <c r="R804" s="10"/>
      <c r="S804" s="28">
        <v>180</v>
      </c>
      <c r="T804" s="1" t="s">
        <v>2</v>
      </c>
      <c r="U804" s="1" t="s">
        <v>849</v>
      </c>
      <c r="V804" s="1">
        <v>20220310</v>
      </c>
      <c r="W804" s="8" t="s">
        <v>8442</v>
      </c>
      <c r="Z804" s="1"/>
      <c r="AA804" s="1"/>
      <c r="AC804" s="1"/>
      <c r="AD804" s="1"/>
      <c r="AE804" s="1"/>
      <c r="AF804" s="1"/>
    </row>
    <row r="805" spans="2:32" ht="12.75" x14ac:dyDescent="0.2">
      <c r="B805" s="1" t="s">
        <v>9311</v>
      </c>
      <c r="C805" s="10">
        <f t="shared" ca="1" si="24"/>
        <v>44606</v>
      </c>
      <c r="D805" s="4"/>
      <c r="E805" s="4" t="s">
        <v>8434</v>
      </c>
      <c r="F805" s="4" t="s">
        <v>1293</v>
      </c>
      <c r="G805" s="4"/>
      <c r="H805" s="4" t="str">
        <f>_xlfn.IFNA(VLOOKUP(Table_Query_from_AMULTIQRY45[[#This Row],[WPROD]],'Part# with New'!$A$1:$B$4347,2,0),Table_Query_from_AMULTIQRY45[[#This Row],[WPROD]])</f>
        <v>24216</v>
      </c>
      <c r="I805" s="4" t="s">
        <v>8436</v>
      </c>
      <c r="J805" s="1" t="s">
        <v>5</v>
      </c>
      <c r="L805" s="11">
        <v>0.15945000000000001</v>
      </c>
      <c r="M805" s="1"/>
      <c r="N805" s="1" t="s">
        <v>3</v>
      </c>
      <c r="P805" s="1" t="str">
        <f>CONCATENATE(Table_Query_from_AMULTIQRY45[[#This Row],[WWHS]],"-",Table_Query_from_AMULTIQRY45[[#This Row],[LLOC]])</f>
        <v>E1-FG</v>
      </c>
      <c r="Q805" s="10">
        <f t="shared" ca="1" si="25"/>
        <v>45775</v>
      </c>
      <c r="R805" s="10"/>
      <c r="S805" s="28">
        <v>328</v>
      </c>
      <c r="T805" s="1" t="s">
        <v>2</v>
      </c>
      <c r="U805" s="1" t="s">
        <v>850</v>
      </c>
      <c r="V805" s="1">
        <v>20220214</v>
      </c>
      <c r="W805" s="8" t="s">
        <v>8442</v>
      </c>
      <c r="Z805" s="1"/>
      <c r="AA805" s="1"/>
      <c r="AC805" s="1"/>
      <c r="AD805" s="1"/>
      <c r="AE805" s="1"/>
      <c r="AF805" s="1"/>
    </row>
    <row r="806" spans="2:32" ht="12.75" x14ac:dyDescent="0.2">
      <c r="B806" s="1" t="s">
        <v>9312</v>
      </c>
      <c r="C806" s="10">
        <f t="shared" ca="1" si="24"/>
        <v>45400</v>
      </c>
      <c r="D806" s="4"/>
      <c r="E806" s="4" t="s">
        <v>8434</v>
      </c>
      <c r="F806" s="4" t="s">
        <v>1293</v>
      </c>
      <c r="G806" s="4"/>
      <c r="H806" s="4" t="str">
        <f>_xlfn.IFNA(VLOOKUP(Table_Query_from_AMULTIQRY45[[#This Row],[WPROD]],'Part# with New'!$A$1:$B$4347,2,0),Table_Query_from_AMULTIQRY45[[#This Row],[WPROD]])</f>
        <v>24220</v>
      </c>
      <c r="I806" s="4" t="s">
        <v>8436</v>
      </c>
      <c r="J806" s="1" t="s">
        <v>5</v>
      </c>
      <c r="L806" s="11">
        <v>0.14791000000000001</v>
      </c>
      <c r="M806" s="1"/>
      <c r="N806" s="1" t="s">
        <v>3</v>
      </c>
      <c r="P806" s="1" t="str">
        <f>CONCATENATE(Table_Query_from_AMULTIQRY45[[#This Row],[WWHS]],"-",Table_Query_from_AMULTIQRY45[[#This Row],[LLOC]])</f>
        <v>E1-FG</v>
      </c>
      <c r="Q806" s="10">
        <f t="shared" ca="1" si="25"/>
        <v>45775</v>
      </c>
      <c r="R806" s="10"/>
      <c r="S806" s="28">
        <v>700</v>
      </c>
      <c r="T806" s="1" t="s">
        <v>2</v>
      </c>
      <c r="U806" s="1" t="s">
        <v>851</v>
      </c>
      <c r="V806" s="1">
        <v>20240418</v>
      </c>
      <c r="W806" s="8" t="s">
        <v>8442</v>
      </c>
      <c r="Z806" s="1"/>
      <c r="AA806" s="1"/>
      <c r="AC806" s="1"/>
      <c r="AD806" s="1"/>
      <c r="AE806" s="1"/>
      <c r="AF806" s="1"/>
    </row>
    <row r="807" spans="2:32" ht="12.75" x14ac:dyDescent="0.2">
      <c r="B807" s="1" t="s">
        <v>9313</v>
      </c>
      <c r="C807" s="10">
        <f t="shared" ca="1" si="24"/>
        <v>44979</v>
      </c>
      <c r="D807" s="4"/>
      <c r="E807" s="4" t="s">
        <v>8434</v>
      </c>
      <c r="F807" s="4" t="s">
        <v>1293</v>
      </c>
      <c r="G807" s="4"/>
      <c r="H807" s="4" t="str">
        <f>_xlfn.IFNA(VLOOKUP(Table_Query_from_AMULTIQRY45[[#This Row],[WPROD]],'Part# with New'!$A$1:$B$4347,2,0),Table_Query_from_AMULTIQRY45[[#This Row],[WPROD]])</f>
        <v>24224</v>
      </c>
      <c r="I807" s="4" t="s">
        <v>8436</v>
      </c>
      <c r="J807" s="1" t="s">
        <v>5</v>
      </c>
      <c r="L807" s="11">
        <v>0.56823000000000001</v>
      </c>
      <c r="M807" s="1"/>
      <c r="N807" s="1" t="s">
        <v>6</v>
      </c>
      <c r="P807" s="1" t="str">
        <f>CONCATENATE(Table_Query_from_AMULTIQRY45[[#This Row],[WWHS]],"-",Table_Query_from_AMULTIQRY45[[#This Row],[LLOC]])</f>
        <v>E1-FG</v>
      </c>
      <c r="Q807" s="10">
        <f t="shared" ca="1" si="25"/>
        <v>45775</v>
      </c>
      <c r="R807" s="10"/>
      <c r="S807" s="28">
        <v>64</v>
      </c>
      <c r="T807" s="1" t="s">
        <v>2</v>
      </c>
      <c r="U807" s="1" t="s">
        <v>852</v>
      </c>
      <c r="V807" s="1">
        <v>20230222</v>
      </c>
      <c r="W807" s="8" t="s">
        <v>8442</v>
      </c>
      <c r="Z807" s="1"/>
      <c r="AA807" s="1"/>
      <c r="AC807" s="1"/>
      <c r="AD807" s="1"/>
      <c r="AE807" s="1"/>
      <c r="AF807" s="1"/>
    </row>
    <row r="808" spans="2:32" ht="12.75" x14ac:dyDescent="0.2">
      <c r="B808" s="1" t="s">
        <v>9314</v>
      </c>
      <c r="C808" s="10">
        <f t="shared" ca="1" si="24"/>
        <v>45510</v>
      </c>
      <c r="D808" s="4"/>
      <c r="E808" s="4" t="s">
        <v>8434</v>
      </c>
      <c r="F808" s="4" t="s">
        <v>1293</v>
      </c>
      <c r="G808" s="4"/>
      <c r="H808" s="4" t="str">
        <f>_xlfn.IFNA(VLOOKUP(Table_Query_from_AMULTIQRY45[[#This Row],[WPROD]],'Part# with New'!$A$1:$B$4347,2,0),Table_Query_from_AMULTIQRY45[[#This Row],[WPROD]])</f>
        <v>24225</v>
      </c>
      <c r="I808" s="4" t="s">
        <v>8436</v>
      </c>
      <c r="J808" s="1" t="s">
        <v>5</v>
      </c>
      <c r="L808" s="11">
        <v>5.8930000000000003E-2</v>
      </c>
      <c r="M808" s="1"/>
      <c r="N808" s="1" t="s">
        <v>3</v>
      </c>
      <c r="P808" s="1" t="str">
        <f>CONCATENATE(Table_Query_from_AMULTIQRY45[[#This Row],[WWHS]],"-",Table_Query_from_AMULTIQRY45[[#This Row],[LLOC]])</f>
        <v>E1-FG</v>
      </c>
      <c r="Q808" s="10">
        <f t="shared" ca="1" si="25"/>
        <v>45775</v>
      </c>
      <c r="R808" s="10"/>
      <c r="S808" s="28">
        <v>750</v>
      </c>
      <c r="T808" s="1" t="s">
        <v>2</v>
      </c>
      <c r="U808" s="1" t="s">
        <v>853</v>
      </c>
      <c r="V808" s="1">
        <v>20240806</v>
      </c>
      <c r="W808" s="8" t="s">
        <v>8442</v>
      </c>
      <c r="Z808" s="1"/>
      <c r="AA808" s="1"/>
      <c r="AC808" s="1"/>
      <c r="AD808" s="1"/>
      <c r="AE808" s="1"/>
      <c r="AF808" s="1"/>
    </row>
    <row r="809" spans="2:32" ht="12.75" x14ac:dyDescent="0.2">
      <c r="B809" s="1" t="s">
        <v>9315</v>
      </c>
      <c r="C809" s="10">
        <f t="shared" ca="1" si="24"/>
        <v>44694</v>
      </c>
      <c r="D809" s="4"/>
      <c r="E809" s="4" t="s">
        <v>8434</v>
      </c>
      <c r="F809" s="4" t="s">
        <v>1293</v>
      </c>
      <c r="G809" s="4"/>
      <c r="H809" s="4" t="str">
        <f>_xlfn.IFNA(VLOOKUP(Table_Query_from_AMULTIQRY45[[#This Row],[WPROD]],'Part# with New'!$A$1:$B$4347,2,0),Table_Query_from_AMULTIQRY45[[#This Row],[WPROD]])</f>
        <v>24226</v>
      </c>
      <c r="I809" s="4" t="s">
        <v>8436</v>
      </c>
      <c r="J809" s="1" t="s">
        <v>5</v>
      </c>
      <c r="L809" s="11">
        <v>0.18597</v>
      </c>
      <c r="M809" s="1"/>
      <c r="N809" s="1" t="s">
        <v>18</v>
      </c>
      <c r="P809" s="1" t="str">
        <f>CONCATENATE(Table_Query_from_AMULTIQRY45[[#This Row],[WWHS]],"-",Table_Query_from_AMULTIQRY45[[#This Row],[LLOC]])</f>
        <v>E1-FG</v>
      </c>
      <c r="Q809" s="10">
        <f t="shared" ca="1" si="25"/>
        <v>45775</v>
      </c>
      <c r="R809" s="10"/>
      <c r="S809" s="28">
        <v>175</v>
      </c>
      <c r="T809" s="1" t="s">
        <v>2</v>
      </c>
      <c r="U809" s="1" t="s">
        <v>854</v>
      </c>
      <c r="V809" s="1">
        <v>20220513</v>
      </c>
      <c r="W809" s="8" t="s">
        <v>8442</v>
      </c>
      <c r="Z809" s="1"/>
      <c r="AA809" s="1"/>
      <c r="AC809" s="1"/>
      <c r="AD809" s="1"/>
      <c r="AE809" s="1"/>
      <c r="AF809" s="1"/>
    </row>
    <row r="810" spans="2:32" ht="12.75" x14ac:dyDescent="0.2">
      <c r="B810" s="1" t="s">
        <v>9316</v>
      </c>
      <c r="C810" s="10">
        <f t="shared" ca="1" si="24"/>
        <v>45394</v>
      </c>
      <c r="D810" s="4"/>
      <c r="E810" s="4" t="s">
        <v>8434</v>
      </c>
      <c r="F810" s="4" t="s">
        <v>1293</v>
      </c>
      <c r="G810" s="4"/>
      <c r="H810" s="4" t="str">
        <f>_xlfn.IFNA(VLOOKUP(Table_Query_from_AMULTIQRY45[[#This Row],[WPROD]],'Part# with New'!$A$1:$B$4347,2,0),Table_Query_from_AMULTIQRY45[[#This Row],[WPROD]])</f>
        <v>24230</v>
      </c>
      <c r="I810" s="4" t="s">
        <v>8436</v>
      </c>
      <c r="J810" s="1" t="s">
        <v>5</v>
      </c>
      <c r="L810" s="11">
        <v>0.18260000000000001</v>
      </c>
      <c r="M810" s="1"/>
      <c r="N810" s="1" t="s">
        <v>3</v>
      </c>
      <c r="P810" s="1" t="str">
        <f>CONCATENATE(Table_Query_from_AMULTIQRY45[[#This Row],[WWHS]],"-",Table_Query_from_AMULTIQRY45[[#This Row],[LLOC]])</f>
        <v>E1-FG</v>
      </c>
      <c r="Q810" s="10">
        <f t="shared" ca="1" si="25"/>
        <v>45775</v>
      </c>
      <c r="R810" s="10"/>
      <c r="S810" s="28">
        <v>568</v>
      </c>
      <c r="T810" s="1" t="s">
        <v>2</v>
      </c>
      <c r="U810" s="1" t="s">
        <v>855</v>
      </c>
      <c r="V810" s="1">
        <v>20240412</v>
      </c>
      <c r="W810" s="8" t="s">
        <v>8442</v>
      </c>
      <c r="Z810" s="1"/>
      <c r="AA810" s="1"/>
      <c r="AC810" s="1"/>
      <c r="AD810" s="1"/>
      <c r="AE810" s="1"/>
      <c r="AF810" s="1"/>
    </row>
    <row r="811" spans="2:32" ht="12.75" x14ac:dyDescent="0.2">
      <c r="B811" s="1" t="s">
        <v>9317</v>
      </c>
      <c r="C811" s="10">
        <f t="shared" ca="1" si="24"/>
        <v>45365</v>
      </c>
      <c r="D811" s="4"/>
      <c r="E811" s="4" t="s">
        <v>8434</v>
      </c>
      <c r="F811" s="4" t="s">
        <v>1293</v>
      </c>
      <c r="G811" s="4"/>
      <c r="H811" s="4" t="str">
        <f>_xlfn.IFNA(VLOOKUP(Table_Query_from_AMULTIQRY45[[#This Row],[WPROD]],'Part# with New'!$A$1:$B$4347,2,0),Table_Query_from_AMULTIQRY45[[#This Row],[WPROD]])</f>
        <v>24238</v>
      </c>
      <c r="I811" s="4" t="s">
        <v>8436</v>
      </c>
      <c r="J811" s="1" t="s">
        <v>5</v>
      </c>
      <c r="L811" s="11">
        <v>0.21676000000000001</v>
      </c>
      <c r="M811" s="1"/>
      <c r="N811" s="1" t="s">
        <v>3</v>
      </c>
      <c r="P811" s="1" t="str">
        <f>CONCATENATE(Table_Query_from_AMULTIQRY45[[#This Row],[WWHS]],"-",Table_Query_from_AMULTIQRY45[[#This Row],[LLOC]])</f>
        <v>E1-FG</v>
      </c>
      <c r="Q811" s="10">
        <f t="shared" ca="1" si="25"/>
        <v>45775</v>
      </c>
      <c r="R811" s="10"/>
      <c r="S811" s="28">
        <v>544</v>
      </c>
      <c r="T811" s="1" t="s">
        <v>2</v>
      </c>
      <c r="U811" s="1" t="s">
        <v>856</v>
      </c>
      <c r="V811" s="1">
        <v>20240314</v>
      </c>
      <c r="W811" s="8" t="s">
        <v>8442</v>
      </c>
      <c r="Z811" s="1"/>
      <c r="AA811" s="1"/>
      <c r="AC811" s="1"/>
      <c r="AD811" s="1"/>
      <c r="AE811" s="1"/>
      <c r="AF811" s="1"/>
    </row>
    <row r="812" spans="2:32" ht="12.75" x14ac:dyDescent="0.2">
      <c r="B812" s="1" t="s">
        <v>9318</v>
      </c>
      <c r="C812" s="10">
        <f t="shared" ca="1" si="24"/>
        <v>45482</v>
      </c>
      <c r="D812" s="4"/>
      <c r="E812" s="4" t="s">
        <v>8434</v>
      </c>
      <c r="F812" s="4" t="s">
        <v>1293</v>
      </c>
      <c r="G812" s="4"/>
      <c r="H812" s="4" t="str">
        <f>_xlfn.IFNA(VLOOKUP(Table_Query_from_AMULTIQRY45[[#This Row],[WPROD]],'Part# with New'!$A$1:$B$4347,2,0),Table_Query_from_AMULTIQRY45[[#This Row],[WPROD]])</f>
        <v>24239</v>
      </c>
      <c r="I812" s="4" t="s">
        <v>8436</v>
      </c>
      <c r="J812" s="1" t="s">
        <v>5</v>
      </c>
      <c r="L812" s="11">
        <v>0.15518999999999999</v>
      </c>
      <c r="M812" s="1"/>
      <c r="N812" s="1" t="s">
        <v>3</v>
      </c>
      <c r="P812" s="1" t="str">
        <f>CONCATENATE(Table_Query_from_AMULTIQRY45[[#This Row],[WWHS]],"-",Table_Query_from_AMULTIQRY45[[#This Row],[LLOC]])</f>
        <v>E1-FG</v>
      </c>
      <c r="Q812" s="10">
        <f t="shared" ca="1" si="25"/>
        <v>45775</v>
      </c>
      <c r="R812" s="10"/>
      <c r="S812" s="28">
        <v>218</v>
      </c>
      <c r="T812" s="1" t="s">
        <v>2</v>
      </c>
      <c r="U812" s="1" t="s">
        <v>857</v>
      </c>
      <c r="V812" s="1">
        <v>20240709</v>
      </c>
      <c r="W812" s="8" t="s">
        <v>8442</v>
      </c>
      <c r="Z812" s="1"/>
      <c r="AA812" s="1"/>
      <c r="AC812" s="1"/>
      <c r="AD812" s="1"/>
      <c r="AE812" s="1"/>
      <c r="AF812" s="1"/>
    </row>
    <row r="813" spans="2:32" ht="12.75" x14ac:dyDescent="0.2">
      <c r="B813" s="1" t="s">
        <v>9319</v>
      </c>
      <c r="C813" s="10">
        <f t="shared" ca="1" si="24"/>
        <v>45632</v>
      </c>
      <c r="D813" s="4"/>
      <c r="E813" s="4" t="s">
        <v>8434</v>
      </c>
      <c r="F813" s="4" t="s">
        <v>1293</v>
      </c>
      <c r="G813" s="4"/>
      <c r="H813" s="4" t="str">
        <f>_xlfn.IFNA(VLOOKUP(Table_Query_from_AMULTIQRY45[[#This Row],[WPROD]],'Part# with New'!$A$1:$B$4347,2,0),Table_Query_from_AMULTIQRY45[[#This Row],[WPROD]])</f>
        <v>24245</v>
      </c>
      <c r="I813" s="4" t="s">
        <v>8436</v>
      </c>
      <c r="J813" s="1" t="s">
        <v>5</v>
      </c>
      <c r="L813" s="11">
        <v>0.16589000000000001</v>
      </c>
      <c r="M813" s="1"/>
      <c r="N813" s="1" t="s">
        <v>18</v>
      </c>
      <c r="P813" s="1" t="str">
        <f>CONCATENATE(Table_Query_from_AMULTIQRY45[[#This Row],[WWHS]],"-",Table_Query_from_AMULTIQRY45[[#This Row],[LLOC]])</f>
        <v>E1-FG</v>
      </c>
      <c r="Q813" s="10">
        <f t="shared" ca="1" si="25"/>
        <v>45775</v>
      </c>
      <c r="R813" s="10"/>
      <c r="S813" s="28">
        <v>1089</v>
      </c>
      <c r="T813" s="1" t="s">
        <v>2</v>
      </c>
      <c r="U813" s="1" t="s">
        <v>858</v>
      </c>
      <c r="V813" s="1">
        <v>20241206</v>
      </c>
      <c r="W813" s="8" t="s">
        <v>8442</v>
      </c>
      <c r="Z813" s="1"/>
      <c r="AA813" s="1"/>
      <c r="AC813" s="1"/>
      <c r="AD813" s="1"/>
      <c r="AE813" s="1"/>
      <c r="AF813" s="1"/>
    </row>
    <row r="814" spans="2:32" ht="12.75" x14ac:dyDescent="0.2">
      <c r="B814" s="1" t="s">
        <v>9320</v>
      </c>
      <c r="C814" s="10">
        <f t="shared" ca="1" si="24"/>
        <v>45379</v>
      </c>
      <c r="D814" s="4"/>
      <c r="E814" s="4" t="s">
        <v>8434</v>
      </c>
      <c r="F814" s="4" t="s">
        <v>1293</v>
      </c>
      <c r="G814" s="4"/>
      <c r="H814" s="4" t="str">
        <f>_xlfn.IFNA(VLOOKUP(Table_Query_from_AMULTIQRY45[[#This Row],[WPROD]],'Part# with New'!$A$1:$B$4347,2,0),Table_Query_from_AMULTIQRY45[[#This Row],[WPROD]])</f>
        <v>24253</v>
      </c>
      <c r="I814" s="4" t="s">
        <v>8436</v>
      </c>
      <c r="J814" s="1" t="s">
        <v>5</v>
      </c>
      <c r="L814" s="11">
        <v>0.15543000000000001</v>
      </c>
      <c r="M814" s="1"/>
      <c r="N814" s="1" t="s">
        <v>560</v>
      </c>
      <c r="P814" s="1" t="str">
        <f>CONCATENATE(Table_Query_from_AMULTIQRY45[[#This Row],[WWHS]],"-",Table_Query_from_AMULTIQRY45[[#This Row],[LLOC]])</f>
        <v>E1-FG</v>
      </c>
      <c r="Q814" s="10">
        <f t="shared" ca="1" si="25"/>
        <v>45775</v>
      </c>
      <c r="R814" s="10"/>
      <c r="S814" s="28">
        <v>390</v>
      </c>
      <c r="T814" s="1" t="s">
        <v>2</v>
      </c>
      <c r="U814" s="1" t="s">
        <v>859</v>
      </c>
      <c r="V814" s="1">
        <v>20240328</v>
      </c>
      <c r="W814" s="8" t="s">
        <v>8442</v>
      </c>
      <c r="Z814" s="1"/>
      <c r="AA814" s="1"/>
      <c r="AC814" s="1"/>
      <c r="AD814" s="1"/>
      <c r="AE814" s="1"/>
      <c r="AF814" s="1"/>
    </row>
    <row r="815" spans="2:32" ht="12.75" x14ac:dyDescent="0.2">
      <c r="B815" s="1" t="s">
        <v>9321</v>
      </c>
      <c r="C815" s="10">
        <f t="shared" ca="1" si="24"/>
        <v>45495</v>
      </c>
      <c r="D815" s="4"/>
      <c r="E815" s="4" t="s">
        <v>8434</v>
      </c>
      <c r="F815" s="4" t="s">
        <v>1293</v>
      </c>
      <c r="G815" s="4"/>
      <c r="H815" s="4" t="str">
        <f>_xlfn.IFNA(VLOOKUP(Table_Query_from_AMULTIQRY45[[#This Row],[WPROD]],'Part# with New'!$A$1:$B$4347,2,0),Table_Query_from_AMULTIQRY45[[#This Row],[WPROD]])</f>
        <v>24256</v>
      </c>
      <c r="I815" s="4" t="s">
        <v>8436</v>
      </c>
      <c r="J815" s="1" t="s">
        <v>5</v>
      </c>
      <c r="L815" s="11">
        <v>0.11651</v>
      </c>
      <c r="M815" s="1"/>
      <c r="N815" s="1" t="s">
        <v>3</v>
      </c>
      <c r="P815" s="1" t="str">
        <f>CONCATENATE(Table_Query_from_AMULTIQRY45[[#This Row],[WWHS]],"-",Table_Query_from_AMULTIQRY45[[#This Row],[LLOC]])</f>
        <v>E1-FG</v>
      </c>
      <c r="Q815" s="10">
        <f t="shared" ca="1" si="25"/>
        <v>45775</v>
      </c>
      <c r="R815" s="10"/>
      <c r="S815" s="28">
        <v>472</v>
      </c>
      <c r="T815" s="1" t="s">
        <v>2</v>
      </c>
      <c r="U815" s="1" t="s">
        <v>860</v>
      </c>
      <c r="V815" s="1">
        <v>20240722</v>
      </c>
      <c r="W815" s="8" t="s">
        <v>8442</v>
      </c>
      <c r="Z815" s="1"/>
      <c r="AA815" s="1"/>
      <c r="AC815" s="1"/>
      <c r="AD815" s="1"/>
      <c r="AE815" s="1"/>
      <c r="AF815" s="1"/>
    </row>
    <row r="816" spans="2:32" ht="12.75" x14ac:dyDescent="0.2">
      <c r="B816" s="1" t="s">
        <v>9322</v>
      </c>
      <c r="C816" s="10">
        <f t="shared" ca="1" si="24"/>
        <v>44917</v>
      </c>
      <c r="D816" s="4"/>
      <c r="E816" s="4" t="s">
        <v>8434</v>
      </c>
      <c r="F816" s="4" t="s">
        <v>1293</v>
      </c>
      <c r="G816" s="4"/>
      <c r="H816" s="4" t="str">
        <f>_xlfn.IFNA(VLOOKUP(Table_Query_from_AMULTIQRY45[[#This Row],[WPROD]],'Part# with New'!$A$1:$B$4347,2,0),Table_Query_from_AMULTIQRY45[[#This Row],[WPROD]])</f>
        <v>24270</v>
      </c>
      <c r="I816" s="4" t="s">
        <v>8436</v>
      </c>
      <c r="J816" s="1" t="s">
        <v>5</v>
      </c>
      <c r="L816" s="11">
        <v>0.16880000000000001</v>
      </c>
      <c r="M816" s="1"/>
      <c r="N816" s="1" t="s">
        <v>389</v>
      </c>
      <c r="P816" s="1" t="str">
        <f>CONCATENATE(Table_Query_from_AMULTIQRY45[[#This Row],[WWHS]],"-",Table_Query_from_AMULTIQRY45[[#This Row],[LLOC]])</f>
        <v>E1-FG</v>
      </c>
      <c r="Q816" s="10">
        <f t="shared" ca="1" si="25"/>
        <v>45775</v>
      </c>
      <c r="R816" s="10"/>
      <c r="S816" s="28">
        <v>500</v>
      </c>
      <c r="T816" s="1" t="s">
        <v>2</v>
      </c>
      <c r="U816" s="1" t="s">
        <v>862</v>
      </c>
      <c r="V816" s="1">
        <v>20221222</v>
      </c>
      <c r="W816" s="8" t="s">
        <v>8442</v>
      </c>
      <c r="Z816" s="1"/>
      <c r="AA816" s="1"/>
      <c r="AC816" s="1"/>
      <c r="AD816" s="1"/>
      <c r="AE816" s="1"/>
      <c r="AF816" s="1"/>
    </row>
    <row r="817" spans="2:32" ht="12.75" x14ac:dyDescent="0.2">
      <c r="B817" s="1" t="s">
        <v>9323</v>
      </c>
      <c r="C817" s="10">
        <f t="shared" ca="1" si="24"/>
        <v>45610</v>
      </c>
      <c r="D817" s="4"/>
      <c r="E817" s="4" t="s">
        <v>8434</v>
      </c>
      <c r="F817" s="4" t="s">
        <v>1293</v>
      </c>
      <c r="G817" s="4"/>
      <c r="H817" s="4" t="str">
        <f>_xlfn.IFNA(VLOOKUP(Table_Query_from_AMULTIQRY45[[#This Row],[WPROD]],'Part# with New'!$A$1:$B$4347,2,0),Table_Query_from_AMULTIQRY45[[#This Row],[WPROD]])</f>
        <v>24274</v>
      </c>
      <c r="I817" s="4" t="s">
        <v>8436</v>
      </c>
      <c r="J817" s="1" t="s">
        <v>5</v>
      </c>
      <c r="L817" s="11">
        <v>0.14130000000000001</v>
      </c>
      <c r="M817" s="1"/>
      <c r="N817" s="1" t="s">
        <v>389</v>
      </c>
      <c r="P817" s="1" t="str">
        <f>CONCATENATE(Table_Query_from_AMULTIQRY45[[#This Row],[WWHS]],"-",Table_Query_from_AMULTIQRY45[[#This Row],[LLOC]])</f>
        <v>E1-FG</v>
      </c>
      <c r="Q817" s="10">
        <f t="shared" ca="1" si="25"/>
        <v>45775</v>
      </c>
      <c r="R817" s="10"/>
      <c r="S817" s="28">
        <v>40</v>
      </c>
      <c r="T817" s="1" t="s">
        <v>2</v>
      </c>
      <c r="U817" s="1" t="s">
        <v>863</v>
      </c>
      <c r="V817" s="1">
        <v>20241114</v>
      </c>
      <c r="W817" s="8" t="s">
        <v>8442</v>
      </c>
      <c r="Z817" s="1"/>
      <c r="AA817" s="1"/>
      <c r="AC817" s="1"/>
      <c r="AD817" s="1"/>
      <c r="AE817" s="1"/>
      <c r="AF817" s="1"/>
    </row>
    <row r="818" spans="2:32" ht="12.75" x14ac:dyDescent="0.2">
      <c r="B818" s="1" t="s">
        <v>9324</v>
      </c>
      <c r="C818" s="10">
        <f t="shared" ca="1" si="24"/>
        <v>45632</v>
      </c>
      <c r="D818" s="4"/>
      <c r="E818" s="4" t="s">
        <v>8434</v>
      </c>
      <c r="F818" s="4" t="s">
        <v>1293</v>
      </c>
      <c r="G818" s="4"/>
      <c r="H818" s="4" t="str">
        <f>_xlfn.IFNA(VLOOKUP(Table_Query_from_AMULTIQRY45[[#This Row],[WPROD]],'Part# with New'!$A$1:$B$4347,2,0),Table_Query_from_AMULTIQRY45[[#This Row],[WPROD]])</f>
        <v>24281</v>
      </c>
      <c r="I818" s="4" t="s">
        <v>8436</v>
      </c>
      <c r="J818" s="1" t="s">
        <v>5</v>
      </c>
      <c r="L818" s="11">
        <v>0.16053999999999999</v>
      </c>
      <c r="M818" s="1"/>
      <c r="N818" s="1" t="s">
        <v>560</v>
      </c>
      <c r="P818" s="1" t="str">
        <f>CONCATENATE(Table_Query_from_AMULTIQRY45[[#This Row],[WWHS]],"-",Table_Query_from_AMULTIQRY45[[#This Row],[LLOC]])</f>
        <v>E1-FG</v>
      </c>
      <c r="Q818" s="10">
        <f t="shared" ca="1" si="25"/>
        <v>45775</v>
      </c>
      <c r="R818" s="10"/>
      <c r="S818" s="28">
        <v>727</v>
      </c>
      <c r="T818" s="1" t="s">
        <v>2</v>
      </c>
      <c r="U818" s="1" t="s">
        <v>864</v>
      </c>
      <c r="V818" s="1">
        <v>20241206</v>
      </c>
      <c r="W818" s="8" t="s">
        <v>8442</v>
      </c>
      <c r="Z818" s="1"/>
      <c r="AA818" s="1"/>
      <c r="AC818" s="1"/>
      <c r="AD818" s="1"/>
      <c r="AE818" s="1"/>
      <c r="AF818" s="1"/>
    </row>
    <row r="819" spans="2:32" ht="12.75" x14ac:dyDescent="0.2">
      <c r="B819" s="1" t="s">
        <v>9325</v>
      </c>
      <c r="C819" s="10">
        <f t="shared" ca="1" si="24"/>
        <v>45610</v>
      </c>
      <c r="D819" s="4"/>
      <c r="E819" s="4" t="s">
        <v>8434</v>
      </c>
      <c r="F819" s="4" t="s">
        <v>1293</v>
      </c>
      <c r="G819" s="4"/>
      <c r="H819" s="4" t="str">
        <f>_xlfn.IFNA(VLOOKUP(Table_Query_from_AMULTIQRY45[[#This Row],[WPROD]],'Part# with New'!$A$1:$B$4347,2,0),Table_Query_from_AMULTIQRY45[[#This Row],[WPROD]])</f>
        <v>24282</v>
      </c>
      <c r="I819" s="4" t="s">
        <v>8436</v>
      </c>
      <c r="J819" s="1" t="s">
        <v>5</v>
      </c>
      <c r="L819" s="11">
        <v>0.13131000000000001</v>
      </c>
      <c r="M819" s="1"/>
      <c r="N819" s="1" t="s">
        <v>560</v>
      </c>
      <c r="P819" s="1" t="str">
        <f>CONCATENATE(Table_Query_from_AMULTIQRY45[[#This Row],[WWHS]],"-",Table_Query_from_AMULTIQRY45[[#This Row],[LLOC]])</f>
        <v>E1-FG</v>
      </c>
      <c r="Q819" s="10">
        <f t="shared" ca="1" si="25"/>
        <v>45775</v>
      </c>
      <c r="R819" s="10"/>
      <c r="S819" s="28">
        <v>6224</v>
      </c>
      <c r="T819" s="1" t="s">
        <v>2</v>
      </c>
      <c r="U819" s="1" t="s">
        <v>865</v>
      </c>
      <c r="V819" s="1">
        <v>20241114</v>
      </c>
      <c r="W819" s="8" t="s">
        <v>8442</v>
      </c>
      <c r="Z819" s="1"/>
      <c r="AA819" s="1"/>
      <c r="AC819" s="1"/>
      <c r="AD819" s="1"/>
      <c r="AE819" s="1"/>
      <c r="AF819" s="1"/>
    </row>
    <row r="820" spans="2:32" ht="12.75" x14ac:dyDescent="0.2">
      <c r="B820" s="1" t="s">
        <v>9326</v>
      </c>
      <c r="C820" s="10">
        <f t="shared" ca="1" si="24"/>
        <v>45730</v>
      </c>
      <c r="D820" s="4"/>
      <c r="E820" s="4" t="s">
        <v>8434</v>
      </c>
      <c r="F820" s="4" t="s">
        <v>1293</v>
      </c>
      <c r="G820" s="4"/>
      <c r="H820" s="4" t="str">
        <f>_xlfn.IFNA(VLOOKUP(Table_Query_from_AMULTIQRY45[[#This Row],[WPROD]],'Part# with New'!$A$1:$B$4347,2,0),Table_Query_from_AMULTIQRY45[[#This Row],[WPROD]])</f>
        <v>24287</v>
      </c>
      <c r="I820" s="4" t="s">
        <v>8436</v>
      </c>
      <c r="J820" s="1" t="s">
        <v>5</v>
      </c>
      <c r="L820" s="11">
        <v>0.11432</v>
      </c>
      <c r="M820" s="1"/>
      <c r="N820" s="1" t="s">
        <v>326</v>
      </c>
      <c r="P820" s="1" t="str">
        <f>CONCATENATE(Table_Query_from_AMULTIQRY45[[#This Row],[WWHS]],"-",Table_Query_from_AMULTIQRY45[[#This Row],[LLOC]])</f>
        <v>E1-FG</v>
      </c>
      <c r="Q820" s="10">
        <f t="shared" ca="1" si="25"/>
        <v>45775</v>
      </c>
      <c r="R820" s="10"/>
      <c r="S820" s="28">
        <v>1687</v>
      </c>
      <c r="T820" s="1" t="s">
        <v>2</v>
      </c>
      <c r="U820" s="1" t="s">
        <v>867</v>
      </c>
      <c r="V820" s="1">
        <v>20250314</v>
      </c>
      <c r="W820" s="8" t="s">
        <v>8442</v>
      </c>
      <c r="Z820" s="1"/>
      <c r="AA820" s="1"/>
      <c r="AC820" s="1"/>
      <c r="AD820" s="1"/>
      <c r="AE820" s="1"/>
      <c r="AF820" s="1"/>
    </row>
    <row r="821" spans="2:32" ht="12.75" x14ac:dyDescent="0.2">
      <c r="B821" s="1" t="s">
        <v>9327</v>
      </c>
      <c r="C821" s="10">
        <f t="shared" ca="1" si="24"/>
        <v>45064</v>
      </c>
      <c r="D821" s="4"/>
      <c r="E821" s="4" t="s">
        <v>8434</v>
      </c>
      <c r="F821" s="4" t="s">
        <v>1293</v>
      </c>
      <c r="G821" s="4"/>
      <c r="H821" s="4" t="str">
        <f>_xlfn.IFNA(VLOOKUP(Table_Query_from_AMULTIQRY45[[#This Row],[WPROD]],'Part# with New'!$A$1:$B$4347,2,0),Table_Query_from_AMULTIQRY45[[#This Row],[WPROD]])</f>
        <v>24295</v>
      </c>
      <c r="I821" s="4" t="s">
        <v>8436</v>
      </c>
      <c r="J821" s="1" t="s">
        <v>5</v>
      </c>
      <c r="L821" s="11">
        <v>0.24773000000000001</v>
      </c>
      <c r="M821" s="1"/>
      <c r="N821" s="1" t="s">
        <v>3</v>
      </c>
      <c r="P821" s="1" t="str">
        <f>CONCATENATE(Table_Query_from_AMULTIQRY45[[#This Row],[WWHS]],"-",Table_Query_from_AMULTIQRY45[[#This Row],[LLOC]])</f>
        <v>E1-FG</v>
      </c>
      <c r="Q821" s="10">
        <f t="shared" ca="1" si="25"/>
        <v>45775</v>
      </c>
      <c r="R821" s="10"/>
      <c r="S821" s="28">
        <v>52</v>
      </c>
      <c r="T821" s="1" t="s">
        <v>2</v>
      </c>
      <c r="U821" s="1" t="s">
        <v>868</v>
      </c>
      <c r="V821" s="1">
        <v>20230518</v>
      </c>
      <c r="W821" s="8" t="s">
        <v>8442</v>
      </c>
      <c r="Z821" s="1"/>
      <c r="AA821" s="1"/>
      <c r="AC821" s="1"/>
      <c r="AD821" s="1"/>
      <c r="AE821" s="1"/>
      <c r="AF821" s="1"/>
    </row>
    <row r="822" spans="2:32" ht="12.75" x14ac:dyDescent="0.2">
      <c r="B822" s="1" t="s">
        <v>9328</v>
      </c>
      <c r="C822" s="10">
        <f t="shared" ca="1" si="24"/>
        <v>44986</v>
      </c>
      <c r="D822" s="4"/>
      <c r="E822" s="4" t="s">
        <v>8434</v>
      </c>
      <c r="F822" s="4" t="s">
        <v>1293</v>
      </c>
      <c r="G822" s="4"/>
      <c r="H822" s="4" t="str">
        <f>_xlfn.IFNA(VLOOKUP(Table_Query_from_AMULTIQRY45[[#This Row],[WPROD]],'Part# with New'!$A$1:$B$4347,2,0),Table_Query_from_AMULTIQRY45[[#This Row],[WPROD]])</f>
        <v>24296</v>
      </c>
      <c r="I822" s="4" t="s">
        <v>8436</v>
      </c>
      <c r="J822" s="1" t="s">
        <v>5</v>
      </c>
      <c r="L822" s="11">
        <v>0.81489</v>
      </c>
      <c r="M822" s="1"/>
      <c r="N822" s="1" t="s">
        <v>6</v>
      </c>
      <c r="P822" s="1" t="str">
        <f>CONCATENATE(Table_Query_from_AMULTIQRY45[[#This Row],[WWHS]],"-",Table_Query_from_AMULTIQRY45[[#This Row],[LLOC]])</f>
        <v>E1-FG</v>
      </c>
      <c r="Q822" s="10">
        <f t="shared" ca="1" si="25"/>
        <v>45775</v>
      </c>
      <c r="R822" s="10"/>
      <c r="S822" s="28">
        <v>11</v>
      </c>
      <c r="T822" s="1" t="s">
        <v>2</v>
      </c>
      <c r="U822" s="1" t="s">
        <v>869</v>
      </c>
      <c r="V822" s="1">
        <v>20230301</v>
      </c>
      <c r="W822" s="8" t="s">
        <v>8442</v>
      </c>
      <c r="Z822" s="1"/>
      <c r="AA822" s="1"/>
      <c r="AC822" s="1"/>
      <c r="AD822" s="1"/>
      <c r="AE822" s="1"/>
      <c r="AF822" s="1"/>
    </row>
    <row r="823" spans="2:32" ht="12.75" x14ac:dyDescent="0.2">
      <c r="B823" s="1" t="s">
        <v>9329</v>
      </c>
      <c r="C823" s="10">
        <f t="shared" ca="1" si="24"/>
        <v>45085</v>
      </c>
      <c r="D823" s="4"/>
      <c r="E823" s="4" t="s">
        <v>8434</v>
      </c>
      <c r="F823" s="4" t="s">
        <v>1293</v>
      </c>
      <c r="G823" s="4"/>
      <c r="H823" s="4" t="str">
        <f>_xlfn.IFNA(VLOOKUP(Table_Query_from_AMULTIQRY45[[#This Row],[WPROD]],'Part# with New'!$A$1:$B$4347,2,0),Table_Query_from_AMULTIQRY45[[#This Row],[WPROD]])</f>
        <v>24304</v>
      </c>
      <c r="I823" s="4" t="s">
        <v>8436</v>
      </c>
      <c r="J823" s="1" t="s">
        <v>5</v>
      </c>
      <c r="L823" s="11">
        <v>9.7530000000000006E-2</v>
      </c>
      <c r="M823" s="1"/>
      <c r="N823" s="1" t="s">
        <v>326</v>
      </c>
      <c r="P823" s="1" t="str">
        <f>CONCATENATE(Table_Query_from_AMULTIQRY45[[#This Row],[WWHS]],"-",Table_Query_from_AMULTIQRY45[[#This Row],[LLOC]])</f>
        <v>E1-FG</v>
      </c>
      <c r="Q823" s="10">
        <f t="shared" ca="1" si="25"/>
        <v>45775</v>
      </c>
      <c r="R823" s="10"/>
      <c r="S823" s="28">
        <v>64</v>
      </c>
      <c r="T823" s="1" t="s">
        <v>2</v>
      </c>
      <c r="U823" s="1" t="s">
        <v>870</v>
      </c>
      <c r="V823" s="1">
        <v>20230608</v>
      </c>
      <c r="W823" s="8" t="s">
        <v>8442</v>
      </c>
      <c r="Z823" s="1"/>
      <c r="AA823" s="1"/>
      <c r="AC823" s="1"/>
      <c r="AD823" s="1"/>
      <c r="AE823" s="1"/>
      <c r="AF823" s="1"/>
    </row>
    <row r="824" spans="2:32" ht="12.75" x14ac:dyDescent="0.2">
      <c r="B824" s="1" t="s">
        <v>9330</v>
      </c>
      <c r="C824" s="10">
        <f t="shared" ca="1" si="24"/>
        <v>45211</v>
      </c>
      <c r="D824" s="4"/>
      <c r="E824" s="4" t="s">
        <v>8434</v>
      </c>
      <c r="F824" s="4" t="s">
        <v>1293</v>
      </c>
      <c r="G824" s="4"/>
      <c r="H824" s="4" t="str">
        <f>_xlfn.IFNA(VLOOKUP(Table_Query_from_AMULTIQRY45[[#This Row],[WPROD]],'Part# with New'!$A$1:$B$4347,2,0),Table_Query_from_AMULTIQRY45[[#This Row],[WPROD]])</f>
        <v>24306</v>
      </c>
      <c r="I824" s="4" t="s">
        <v>8436</v>
      </c>
      <c r="J824" s="1" t="s">
        <v>5</v>
      </c>
      <c r="L824" s="11">
        <v>1.41777</v>
      </c>
      <c r="M824" s="1"/>
      <c r="N824" s="1" t="s">
        <v>6</v>
      </c>
      <c r="P824" s="1" t="str">
        <f>CONCATENATE(Table_Query_from_AMULTIQRY45[[#This Row],[WWHS]],"-",Table_Query_from_AMULTIQRY45[[#This Row],[LLOC]])</f>
        <v>E1-FG</v>
      </c>
      <c r="Q824" s="10">
        <f t="shared" ca="1" si="25"/>
        <v>45775</v>
      </c>
      <c r="R824" s="10"/>
      <c r="S824" s="28">
        <v>2</v>
      </c>
      <c r="T824" s="1" t="s">
        <v>2</v>
      </c>
      <c r="U824" s="1" t="s">
        <v>871</v>
      </c>
      <c r="V824" s="1">
        <v>20231012</v>
      </c>
      <c r="W824" s="8" t="s">
        <v>8442</v>
      </c>
      <c r="Z824" s="1"/>
      <c r="AA824" s="1"/>
      <c r="AC824" s="1"/>
      <c r="AD824" s="1"/>
      <c r="AE824" s="1"/>
      <c r="AF824" s="1"/>
    </row>
    <row r="825" spans="2:32" ht="12.75" x14ac:dyDescent="0.2">
      <c r="B825" s="1" t="s">
        <v>9331</v>
      </c>
      <c r="C825" s="10">
        <f t="shared" ca="1" si="24"/>
        <v>45583</v>
      </c>
      <c r="D825" s="4"/>
      <c r="E825" s="4" t="s">
        <v>8434</v>
      </c>
      <c r="F825" s="4" t="s">
        <v>1293</v>
      </c>
      <c r="G825" s="4"/>
      <c r="H825" s="4" t="str">
        <f>_xlfn.IFNA(VLOOKUP(Table_Query_from_AMULTIQRY45[[#This Row],[WPROD]],'Part# with New'!$A$1:$B$4347,2,0),Table_Query_from_AMULTIQRY45[[#This Row],[WPROD]])</f>
        <v>24312</v>
      </c>
      <c r="I825" s="4" t="s">
        <v>8436</v>
      </c>
      <c r="J825" s="1" t="s">
        <v>5</v>
      </c>
      <c r="L825" s="11">
        <v>0.26573999999999998</v>
      </c>
      <c r="M825" s="1"/>
      <c r="N825" s="1" t="s">
        <v>3</v>
      </c>
      <c r="P825" s="1" t="str">
        <f>CONCATENATE(Table_Query_from_AMULTIQRY45[[#This Row],[WWHS]],"-",Table_Query_from_AMULTIQRY45[[#This Row],[LLOC]])</f>
        <v>E1-FG</v>
      </c>
      <c r="Q825" s="10">
        <f t="shared" ca="1" si="25"/>
        <v>45775</v>
      </c>
      <c r="R825" s="10"/>
      <c r="S825" s="28">
        <v>11765</v>
      </c>
      <c r="T825" s="1" t="s">
        <v>2</v>
      </c>
      <c r="U825" s="1" t="s">
        <v>872</v>
      </c>
      <c r="V825" s="1">
        <v>20241018</v>
      </c>
      <c r="W825" s="8" t="s">
        <v>8442</v>
      </c>
      <c r="Z825" s="1"/>
      <c r="AA825" s="1"/>
      <c r="AC825" s="1"/>
      <c r="AD825" s="1"/>
      <c r="AE825" s="1"/>
      <c r="AF825" s="1"/>
    </row>
    <row r="826" spans="2:32" ht="12.75" x14ac:dyDescent="0.2">
      <c r="B826" s="1" t="s">
        <v>9332</v>
      </c>
      <c r="C826" s="10">
        <f t="shared" ca="1" si="24"/>
        <v>45737</v>
      </c>
      <c r="D826" s="4"/>
      <c r="E826" s="4" t="s">
        <v>8434</v>
      </c>
      <c r="F826" s="4" t="s">
        <v>1293</v>
      </c>
      <c r="G826" s="4"/>
      <c r="H826" s="4" t="str">
        <f>_xlfn.IFNA(VLOOKUP(Table_Query_from_AMULTIQRY45[[#This Row],[WPROD]],'Part# with New'!$A$1:$B$4347,2,0),Table_Query_from_AMULTIQRY45[[#This Row],[WPROD]])</f>
        <v>24313</v>
      </c>
      <c r="I826" s="4" t="s">
        <v>8436</v>
      </c>
      <c r="J826" s="1" t="s">
        <v>5</v>
      </c>
      <c r="L826" s="11">
        <v>0.13957</v>
      </c>
      <c r="M826" s="1"/>
      <c r="N826" s="1" t="s">
        <v>389</v>
      </c>
      <c r="P826" s="1" t="str">
        <f>CONCATENATE(Table_Query_from_AMULTIQRY45[[#This Row],[WWHS]],"-",Table_Query_from_AMULTIQRY45[[#This Row],[LLOC]])</f>
        <v>E1-FG</v>
      </c>
      <c r="Q826" s="10">
        <f t="shared" ca="1" si="25"/>
        <v>45775</v>
      </c>
      <c r="R826" s="10"/>
      <c r="S826" s="28">
        <v>454.5</v>
      </c>
      <c r="T826" s="1" t="s">
        <v>2</v>
      </c>
      <c r="U826" s="1" t="s">
        <v>873</v>
      </c>
      <c r="V826" s="1">
        <v>20250321</v>
      </c>
      <c r="W826" s="8" t="s">
        <v>8442</v>
      </c>
      <c r="Z826" s="1"/>
      <c r="AA826" s="1"/>
      <c r="AC826" s="1"/>
      <c r="AD826" s="1"/>
      <c r="AE826" s="1"/>
      <c r="AF826" s="1"/>
    </row>
    <row r="827" spans="2:32" ht="12.75" x14ac:dyDescent="0.2">
      <c r="B827" s="1" t="s">
        <v>9333</v>
      </c>
      <c r="C827" s="10">
        <f t="shared" ca="1" si="24"/>
        <v>45163</v>
      </c>
      <c r="D827" s="4"/>
      <c r="E827" s="4" t="s">
        <v>8434</v>
      </c>
      <c r="F827" s="4" t="s">
        <v>1293</v>
      </c>
      <c r="G827" s="4"/>
      <c r="H827" s="4" t="str">
        <f>_xlfn.IFNA(VLOOKUP(Table_Query_from_AMULTIQRY45[[#This Row],[WPROD]],'Part# with New'!$A$1:$B$4347,2,0),Table_Query_from_AMULTIQRY45[[#This Row],[WPROD]])</f>
        <v>24316</v>
      </c>
      <c r="I827" s="4" t="s">
        <v>8436</v>
      </c>
      <c r="J827" s="1" t="s">
        <v>5</v>
      </c>
      <c r="L827" s="11">
        <v>0.17743</v>
      </c>
      <c r="M827" s="1"/>
      <c r="N827" s="1" t="s">
        <v>389</v>
      </c>
      <c r="P827" s="1" t="str">
        <f>CONCATENATE(Table_Query_from_AMULTIQRY45[[#This Row],[WWHS]],"-",Table_Query_from_AMULTIQRY45[[#This Row],[LLOC]])</f>
        <v>E1-FG</v>
      </c>
      <c r="Q827" s="10">
        <f t="shared" ca="1" si="25"/>
        <v>45775</v>
      </c>
      <c r="R827" s="10"/>
      <c r="S827" s="28">
        <v>427</v>
      </c>
      <c r="T827" s="1" t="s">
        <v>2</v>
      </c>
      <c r="U827" s="1" t="s">
        <v>874</v>
      </c>
      <c r="V827" s="1">
        <v>20230825</v>
      </c>
      <c r="W827" s="8" t="s">
        <v>8442</v>
      </c>
      <c r="Z827" s="1"/>
      <c r="AA827" s="1"/>
      <c r="AC827" s="1"/>
      <c r="AD827" s="1"/>
      <c r="AE827" s="1"/>
      <c r="AF827" s="1"/>
    </row>
    <row r="828" spans="2:32" ht="12.75" x14ac:dyDescent="0.2">
      <c r="B828" s="1" t="s">
        <v>9334</v>
      </c>
      <c r="C828" s="10">
        <f t="shared" ca="1" si="24"/>
        <v>45148</v>
      </c>
      <c r="D828" s="4"/>
      <c r="E828" s="4" t="s">
        <v>8434</v>
      </c>
      <c r="F828" s="4" t="s">
        <v>1293</v>
      </c>
      <c r="G828" s="4"/>
      <c r="H828" s="4" t="str">
        <f>_xlfn.IFNA(VLOOKUP(Table_Query_from_AMULTIQRY45[[#This Row],[WPROD]],'Part# with New'!$A$1:$B$4347,2,0),Table_Query_from_AMULTIQRY45[[#This Row],[WPROD]])</f>
        <v>24318</v>
      </c>
      <c r="I828" s="4" t="s">
        <v>8436</v>
      </c>
      <c r="J828" s="1" t="s">
        <v>5</v>
      </c>
      <c r="L828" s="11">
        <v>0.16961999999999999</v>
      </c>
      <c r="M828" s="1"/>
      <c r="N828" s="1" t="s">
        <v>389</v>
      </c>
      <c r="P828" s="1" t="str">
        <f>CONCATENATE(Table_Query_from_AMULTIQRY45[[#This Row],[WWHS]],"-",Table_Query_from_AMULTIQRY45[[#This Row],[LLOC]])</f>
        <v>E1-FG</v>
      </c>
      <c r="Q828" s="10">
        <f t="shared" ca="1" si="25"/>
        <v>45775</v>
      </c>
      <c r="R828" s="10"/>
      <c r="S828" s="28">
        <v>54</v>
      </c>
      <c r="T828" s="1" t="s">
        <v>2</v>
      </c>
      <c r="U828" s="1" t="s">
        <v>875</v>
      </c>
      <c r="V828" s="1">
        <v>20230810</v>
      </c>
      <c r="W828" s="8" t="s">
        <v>8442</v>
      </c>
      <c r="Z828" s="1"/>
      <c r="AA828" s="1"/>
      <c r="AC828" s="1"/>
      <c r="AD828" s="1"/>
      <c r="AE828" s="1"/>
      <c r="AF828" s="1"/>
    </row>
    <row r="829" spans="2:32" ht="12.75" x14ac:dyDescent="0.2">
      <c r="B829" s="1" t="s">
        <v>9335</v>
      </c>
      <c r="C829" s="10">
        <f t="shared" ca="1" si="24"/>
        <v>45407</v>
      </c>
      <c r="D829" s="4"/>
      <c r="E829" s="4" t="s">
        <v>8434</v>
      </c>
      <c r="F829" s="4" t="s">
        <v>1293</v>
      </c>
      <c r="G829" s="4"/>
      <c r="H829" s="4" t="str">
        <f>_xlfn.IFNA(VLOOKUP(Table_Query_from_AMULTIQRY45[[#This Row],[WPROD]],'Part# with New'!$A$1:$B$4347,2,0),Table_Query_from_AMULTIQRY45[[#This Row],[WPROD]])</f>
        <v>24319</v>
      </c>
      <c r="I829" s="4" t="s">
        <v>8436</v>
      </c>
      <c r="J829" s="1" t="s">
        <v>5</v>
      </c>
      <c r="L829" s="11">
        <v>0.12626999999999999</v>
      </c>
      <c r="M829" s="1"/>
      <c r="N829" s="1" t="s">
        <v>3</v>
      </c>
      <c r="P829" s="1" t="str">
        <f>CONCATENATE(Table_Query_from_AMULTIQRY45[[#This Row],[WWHS]],"-",Table_Query_from_AMULTIQRY45[[#This Row],[LLOC]])</f>
        <v>E1-FG</v>
      </c>
      <c r="Q829" s="10">
        <f t="shared" ca="1" si="25"/>
        <v>45775</v>
      </c>
      <c r="R829" s="10"/>
      <c r="S829" s="28">
        <v>530</v>
      </c>
      <c r="T829" s="1" t="s">
        <v>2</v>
      </c>
      <c r="U829" s="1" t="s">
        <v>876</v>
      </c>
      <c r="V829" s="1">
        <v>20240425</v>
      </c>
      <c r="W829" s="8" t="s">
        <v>8442</v>
      </c>
      <c r="Z829" s="1"/>
      <c r="AA829" s="1"/>
      <c r="AC829" s="1"/>
      <c r="AD829" s="1"/>
      <c r="AE829" s="1"/>
      <c r="AF829" s="1"/>
    </row>
    <row r="830" spans="2:32" ht="12.75" x14ac:dyDescent="0.2">
      <c r="B830" s="1" t="s">
        <v>9336</v>
      </c>
      <c r="C830" s="10">
        <f t="shared" ca="1" si="24"/>
        <v>45756</v>
      </c>
      <c r="D830" s="4"/>
      <c r="E830" s="4" t="s">
        <v>8434</v>
      </c>
      <c r="F830" s="4" t="s">
        <v>1293</v>
      </c>
      <c r="G830" s="4"/>
      <c r="H830" s="4" t="str">
        <f>_xlfn.IFNA(VLOOKUP(Table_Query_from_AMULTIQRY45[[#This Row],[WPROD]],'Part# with New'!$A$1:$B$4347,2,0),Table_Query_from_AMULTIQRY45[[#This Row],[WPROD]])</f>
        <v>24321</v>
      </c>
      <c r="I830" s="4" t="s">
        <v>8436</v>
      </c>
      <c r="J830" s="1" t="s">
        <v>5</v>
      </c>
      <c r="L830" s="11">
        <v>0.94571000000000005</v>
      </c>
      <c r="M830" s="1"/>
      <c r="N830" s="1" t="s">
        <v>6</v>
      </c>
      <c r="P830" s="1" t="str">
        <f>CONCATENATE(Table_Query_from_AMULTIQRY45[[#This Row],[WWHS]],"-",Table_Query_from_AMULTIQRY45[[#This Row],[LLOC]])</f>
        <v>E1-FG</v>
      </c>
      <c r="Q830" s="10">
        <f t="shared" ca="1" si="25"/>
        <v>45775</v>
      </c>
      <c r="R830" s="10"/>
      <c r="S830" s="28">
        <v>8</v>
      </c>
      <c r="T830" s="1" t="s">
        <v>2</v>
      </c>
      <c r="U830" s="1" t="s">
        <v>877</v>
      </c>
      <c r="V830" s="1">
        <v>20250409</v>
      </c>
      <c r="W830" s="8" t="s">
        <v>8442</v>
      </c>
      <c r="Z830" s="1"/>
      <c r="AA830" s="1"/>
      <c r="AC830" s="1"/>
      <c r="AD830" s="1"/>
      <c r="AE830" s="1"/>
      <c r="AF830" s="1"/>
    </row>
    <row r="831" spans="2:32" ht="12.75" x14ac:dyDescent="0.2">
      <c r="B831" s="1" t="s">
        <v>9337</v>
      </c>
      <c r="C831" s="10">
        <f t="shared" ca="1" si="24"/>
        <v>45618</v>
      </c>
      <c r="D831" s="4"/>
      <c r="E831" s="4" t="s">
        <v>8434</v>
      </c>
      <c r="F831" s="4" t="s">
        <v>1293</v>
      </c>
      <c r="G831" s="4"/>
      <c r="H831" s="4" t="str">
        <f>_xlfn.IFNA(VLOOKUP(Table_Query_from_AMULTIQRY45[[#This Row],[WPROD]],'Part# with New'!$A$1:$B$4347,2,0),Table_Query_from_AMULTIQRY45[[#This Row],[WPROD]])</f>
        <v>24322</v>
      </c>
      <c r="I831" s="4" t="s">
        <v>8436</v>
      </c>
      <c r="J831" s="1" t="s">
        <v>5</v>
      </c>
      <c r="L831" s="11">
        <v>0.18894</v>
      </c>
      <c r="M831" s="1"/>
      <c r="N831" s="1" t="s">
        <v>560</v>
      </c>
      <c r="P831" s="1" t="str">
        <f>CONCATENATE(Table_Query_from_AMULTIQRY45[[#This Row],[WWHS]],"-",Table_Query_from_AMULTIQRY45[[#This Row],[LLOC]])</f>
        <v>E1-FG</v>
      </c>
      <c r="Q831" s="10">
        <f t="shared" ca="1" si="25"/>
        <v>45775</v>
      </c>
      <c r="R831" s="10"/>
      <c r="S831" s="28">
        <v>156</v>
      </c>
      <c r="T831" s="1" t="s">
        <v>2</v>
      </c>
      <c r="U831" s="1" t="s">
        <v>878</v>
      </c>
      <c r="V831" s="1">
        <v>20241122</v>
      </c>
      <c r="W831" s="8" t="s">
        <v>8442</v>
      </c>
      <c r="Z831" s="1"/>
      <c r="AA831" s="1"/>
      <c r="AC831" s="1"/>
      <c r="AD831" s="1"/>
      <c r="AE831" s="1"/>
      <c r="AF831" s="1"/>
    </row>
    <row r="832" spans="2:32" ht="12.75" x14ac:dyDescent="0.2">
      <c r="B832" s="1" t="s">
        <v>9338</v>
      </c>
      <c r="C832" s="10">
        <f t="shared" ca="1" si="24"/>
        <v>45555</v>
      </c>
      <c r="D832" s="4"/>
      <c r="E832" s="4" t="s">
        <v>8434</v>
      </c>
      <c r="F832" s="4" t="s">
        <v>1293</v>
      </c>
      <c r="G832" s="4"/>
      <c r="H832" s="4" t="str">
        <f>_xlfn.IFNA(VLOOKUP(Table_Query_from_AMULTIQRY45[[#This Row],[WPROD]],'Part# with New'!$A$1:$B$4347,2,0),Table_Query_from_AMULTIQRY45[[#This Row],[WPROD]])</f>
        <v>24325</v>
      </c>
      <c r="I832" s="4" t="s">
        <v>8436</v>
      </c>
      <c r="J832" s="1" t="s">
        <v>5</v>
      </c>
      <c r="L832" s="11">
        <v>0.11378000000000001</v>
      </c>
      <c r="M832" s="1"/>
      <c r="N832" s="1" t="s">
        <v>6</v>
      </c>
      <c r="P832" s="1" t="str">
        <f>CONCATENATE(Table_Query_from_AMULTIQRY45[[#This Row],[WWHS]],"-",Table_Query_from_AMULTIQRY45[[#This Row],[LLOC]])</f>
        <v>E1-FG</v>
      </c>
      <c r="Q832" s="10">
        <f t="shared" ca="1" si="25"/>
        <v>45775</v>
      </c>
      <c r="R832" s="10"/>
      <c r="S832" s="28">
        <v>50</v>
      </c>
      <c r="T832" s="1" t="s">
        <v>2</v>
      </c>
      <c r="U832" s="1" t="s">
        <v>879</v>
      </c>
      <c r="V832" s="1">
        <v>20240920</v>
      </c>
      <c r="W832" s="8" t="s">
        <v>8442</v>
      </c>
      <c r="Z832" s="1"/>
      <c r="AA832" s="1"/>
      <c r="AC832" s="1"/>
      <c r="AD832" s="1"/>
      <c r="AE832" s="1"/>
      <c r="AF832" s="1"/>
    </row>
    <row r="833" spans="2:32" ht="12.75" x14ac:dyDescent="0.2">
      <c r="B833" s="1" t="s">
        <v>9339</v>
      </c>
      <c r="C833" s="10">
        <f t="shared" ca="1" si="24"/>
        <v>45169</v>
      </c>
      <c r="D833" s="4"/>
      <c r="E833" s="4" t="s">
        <v>8434</v>
      </c>
      <c r="F833" s="4" t="s">
        <v>1293</v>
      </c>
      <c r="G833" s="4"/>
      <c r="H833" s="4" t="str">
        <f>_xlfn.IFNA(VLOOKUP(Table_Query_from_AMULTIQRY45[[#This Row],[WPROD]],'Part# with New'!$A$1:$B$4347,2,0),Table_Query_from_AMULTIQRY45[[#This Row],[WPROD]])</f>
        <v>24326</v>
      </c>
      <c r="I833" s="4" t="s">
        <v>8436</v>
      </c>
      <c r="J833" s="1" t="s">
        <v>5</v>
      </c>
      <c r="L833" s="11">
        <v>0.17604</v>
      </c>
      <c r="M833" s="1"/>
      <c r="N833" s="1" t="s">
        <v>389</v>
      </c>
      <c r="P833" s="1" t="str">
        <f>CONCATENATE(Table_Query_from_AMULTIQRY45[[#This Row],[WWHS]],"-",Table_Query_from_AMULTIQRY45[[#This Row],[LLOC]])</f>
        <v>E1-FG</v>
      </c>
      <c r="Q833" s="10">
        <f t="shared" ca="1" si="25"/>
        <v>45775</v>
      </c>
      <c r="R833" s="10"/>
      <c r="S833" s="28">
        <v>761</v>
      </c>
      <c r="T833" s="1" t="s">
        <v>2</v>
      </c>
      <c r="U833" s="1" t="s">
        <v>880</v>
      </c>
      <c r="V833" s="1">
        <v>20230831</v>
      </c>
      <c r="W833" s="8" t="s">
        <v>8442</v>
      </c>
      <c r="Z833" s="1"/>
      <c r="AA833" s="1"/>
      <c r="AC833" s="1"/>
      <c r="AD833" s="1"/>
      <c r="AE833" s="1"/>
      <c r="AF833" s="1"/>
    </row>
    <row r="834" spans="2:32" ht="12.75" x14ac:dyDescent="0.2">
      <c r="B834" s="1" t="s">
        <v>9340</v>
      </c>
      <c r="C834" s="10">
        <f t="shared" ca="1" si="24"/>
        <v>45589</v>
      </c>
      <c r="D834" s="4"/>
      <c r="E834" s="4" t="s">
        <v>8434</v>
      </c>
      <c r="F834" s="4" t="s">
        <v>1293</v>
      </c>
      <c r="G834" s="4"/>
      <c r="H834" s="4" t="str">
        <f>_xlfn.IFNA(VLOOKUP(Table_Query_from_AMULTIQRY45[[#This Row],[WPROD]],'Part# with New'!$A$1:$B$4347,2,0),Table_Query_from_AMULTIQRY45[[#This Row],[WPROD]])</f>
        <v>24327</v>
      </c>
      <c r="I834" s="4" t="s">
        <v>8436</v>
      </c>
      <c r="J834" s="1" t="s">
        <v>5</v>
      </c>
      <c r="L834" s="11">
        <v>0.13997999999999999</v>
      </c>
      <c r="M834" s="1"/>
      <c r="N834" s="1" t="s">
        <v>389</v>
      </c>
      <c r="P834" s="1" t="str">
        <f>CONCATENATE(Table_Query_from_AMULTIQRY45[[#This Row],[WWHS]],"-",Table_Query_from_AMULTIQRY45[[#This Row],[LLOC]])</f>
        <v>E1-FG</v>
      </c>
      <c r="Q834" s="10">
        <f t="shared" ca="1" si="25"/>
        <v>45775</v>
      </c>
      <c r="R834" s="10"/>
      <c r="S834" s="28">
        <v>290</v>
      </c>
      <c r="T834" s="1" t="s">
        <v>2</v>
      </c>
      <c r="U834" s="1" t="s">
        <v>881</v>
      </c>
      <c r="V834" s="1">
        <v>20241024</v>
      </c>
      <c r="W834" s="8" t="s">
        <v>8442</v>
      </c>
      <c r="Z834" s="1"/>
      <c r="AA834" s="1"/>
      <c r="AC834" s="1"/>
      <c r="AD834" s="1"/>
      <c r="AE834" s="1"/>
      <c r="AF834" s="1"/>
    </row>
    <row r="835" spans="2:32" ht="12.75" x14ac:dyDescent="0.2">
      <c r="B835" s="1" t="s">
        <v>9341</v>
      </c>
      <c r="C835" s="10">
        <f t="shared" ca="1" si="24"/>
        <v>45769</v>
      </c>
      <c r="D835" s="4"/>
      <c r="E835" s="4" t="s">
        <v>8434</v>
      </c>
      <c r="F835" s="4" t="s">
        <v>1293</v>
      </c>
      <c r="G835" s="4"/>
      <c r="H835" s="4" t="str">
        <f>_xlfn.IFNA(VLOOKUP(Table_Query_from_AMULTIQRY45[[#This Row],[WPROD]],'Part# with New'!$A$1:$B$4347,2,0),Table_Query_from_AMULTIQRY45[[#This Row],[WPROD]])</f>
        <v>24330</v>
      </c>
      <c r="I835" s="4" t="s">
        <v>8436</v>
      </c>
      <c r="J835" s="1" t="s">
        <v>5</v>
      </c>
      <c r="L835" s="11">
        <v>0.16164000000000001</v>
      </c>
      <c r="M835" s="1"/>
      <c r="N835" s="1" t="s">
        <v>6</v>
      </c>
      <c r="P835" s="1" t="str">
        <f>CONCATENATE(Table_Query_from_AMULTIQRY45[[#This Row],[WWHS]],"-",Table_Query_from_AMULTIQRY45[[#This Row],[LLOC]])</f>
        <v>E1-FG</v>
      </c>
      <c r="Q835" s="10">
        <f t="shared" ca="1" si="25"/>
        <v>45775</v>
      </c>
      <c r="R835" s="10"/>
      <c r="S835" s="28">
        <v>2681</v>
      </c>
      <c r="T835" s="1" t="s">
        <v>2</v>
      </c>
      <c r="U835" s="1" t="s">
        <v>882</v>
      </c>
      <c r="V835" s="1">
        <v>20250422</v>
      </c>
      <c r="W835" s="8" t="s">
        <v>8442</v>
      </c>
      <c r="Z835" s="1"/>
      <c r="AA835" s="1"/>
      <c r="AC835" s="1"/>
      <c r="AD835" s="1"/>
      <c r="AE835" s="1"/>
      <c r="AF835" s="1"/>
    </row>
    <row r="836" spans="2:32" ht="12.75" x14ac:dyDescent="0.2">
      <c r="B836" s="1" t="s">
        <v>9342</v>
      </c>
      <c r="C836" s="10">
        <f t="shared" ca="1" si="24"/>
        <v>45176</v>
      </c>
      <c r="D836" s="4"/>
      <c r="E836" s="4" t="s">
        <v>8434</v>
      </c>
      <c r="F836" s="4" t="s">
        <v>1293</v>
      </c>
      <c r="G836" s="4"/>
      <c r="H836" s="4" t="str">
        <f>_xlfn.IFNA(VLOOKUP(Table_Query_from_AMULTIQRY45[[#This Row],[WPROD]],'Part# with New'!$A$1:$B$4347,2,0),Table_Query_from_AMULTIQRY45[[#This Row],[WPROD]])</f>
        <v>24331</v>
      </c>
      <c r="I836" s="4" t="s">
        <v>8436</v>
      </c>
      <c r="J836" s="1" t="s">
        <v>5</v>
      </c>
      <c r="L836" s="11">
        <v>0.17094000000000001</v>
      </c>
      <c r="M836" s="1"/>
      <c r="N836" s="1" t="s">
        <v>389</v>
      </c>
      <c r="P836" s="1" t="str">
        <f>CONCATENATE(Table_Query_from_AMULTIQRY45[[#This Row],[WWHS]],"-",Table_Query_from_AMULTIQRY45[[#This Row],[LLOC]])</f>
        <v>E1-FG</v>
      </c>
      <c r="Q836" s="10">
        <f t="shared" ca="1" si="25"/>
        <v>45775</v>
      </c>
      <c r="R836" s="10"/>
      <c r="S836" s="28">
        <v>228</v>
      </c>
      <c r="T836" s="1" t="s">
        <v>2</v>
      </c>
      <c r="U836" s="1" t="s">
        <v>883</v>
      </c>
      <c r="V836" s="1">
        <v>20230907</v>
      </c>
      <c r="W836" s="8" t="s">
        <v>8442</v>
      </c>
      <c r="Z836" s="1"/>
      <c r="AA836" s="1"/>
      <c r="AC836" s="1"/>
      <c r="AD836" s="1"/>
      <c r="AE836" s="1"/>
      <c r="AF836" s="1"/>
    </row>
    <row r="837" spans="2:32" ht="12.75" x14ac:dyDescent="0.2">
      <c r="B837" s="1" t="s">
        <v>9343</v>
      </c>
      <c r="C837" s="10">
        <f t="shared" ca="1" si="24"/>
        <v>45716</v>
      </c>
      <c r="D837" s="4"/>
      <c r="E837" s="4" t="s">
        <v>8434</v>
      </c>
      <c r="F837" s="4" t="s">
        <v>1293</v>
      </c>
      <c r="G837" s="4"/>
      <c r="H837" s="4" t="str">
        <f>_xlfn.IFNA(VLOOKUP(Table_Query_from_AMULTIQRY45[[#This Row],[WPROD]],'Part# with New'!$A$1:$B$4347,2,0),Table_Query_from_AMULTIQRY45[[#This Row],[WPROD]])</f>
        <v>24336</v>
      </c>
      <c r="I837" s="4" t="s">
        <v>8436</v>
      </c>
      <c r="J837" s="1" t="s">
        <v>5</v>
      </c>
      <c r="L837" s="11">
        <v>0.18862999999999999</v>
      </c>
      <c r="M837" s="1"/>
      <c r="N837" s="1" t="s">
        <v>389</v>
      </c>
      <c r="P837" s="1" t="str">
        <f>CONCATENATE(Table_Query_from_AMULTIQRY45[[#This Row],[WWHS]],"-",Table_Query_from_AMULTIQRY45[[#This Row],[LLOC]])</f>
        <v>E1-FG</v>
      </c>
      <c r="Q837" s="10">
        <f t="shared" ca="1" si="25"/>
        <v>45775</v>
      </c>
      <c r="R837" s="10"/>
      <c r="S837" s="28">
        <v>4778</v>
      </c>
      <c r="T837" s="1" t="s">
        <v>2</v>
      </c>
      <c r="U837" s="1" t="s">
        <v>884</v>
      </c>
      <c r="V837" s="1">
        <v>20250228</v>
      </c>
      <c r="W837" s="8" t="s">
        <v>8442</v>
      </c>
      <c r="Z837" s="1"/>
      <c r="AA837" s="1"/>
      <c r="AC837" s="1"/>
      <c r="AD837" s="1"/>
      <c r="AE837" s="1"/>
      <c r="AF837" s="1"/>
    </row>
    <row r="838" spans="2:32" ht="12.75" x14ac:dyDescent="0.2">
      <c r="B838" s="1" t="s">
        <v>9344</v>
      </c>
      <c r="C838" s="10">
        <f t="shared" ca="1" si="24"/>
        <v>45446</v>
      </c>
      <c r="D838" s="4"/>
      <c r="E838" s="4" t="s">
        <v>8434</v>
      </c>
      <c r="F838" s="4" t="s">
        <v>1293</v>
      </c>
      <c r="G838" s="4"/>
      <c r="H838" s="4" t="str">
        <f>_xlfn.IFNA(VLOOKUP(Table_Query_from_AMULTIQRY45[[#This Row],[WPROD]],'Part# with New'!$A$1:$B$4347,2,0),Table_Query_from_AMULTIQRY45[[#This Row],[WPROD]])</f>
        <v>24337</v>
      </c>
      <c r="I838" s="4" t="s">
        <v>8436</v>
      </c>
      <c r="J838" s="1" t="s">
        <v>5</v>
      </c>
      <c r="L838" s="11">
        <v>0.19649</v>
      </c>
      <c r="M838" s="1"/>
      <c r="N838" s="1" t="s">
        <v>560</v>
      </c>
      <c r="P838" s="1" t="str">
        <f>CONCATENATE(Table_Query_from_AMULTIQRY45[[#This Row],[WWHS]],"-",Table_Query_from_AMULTIQRY45[[#This Row],[LLOC]])</f>
        <v>E1-FG</v>
      </c>
      <c r="Q838" s="10">
        <f t="shared" ca="1" si="25"/>
        <v>45775</v>
      </c>
      <c r="R838" s="10"/>
      <c r="S838" s="28">
        <v>59</v>
      </c>
      <c r="T838" s="1" t="s">
        <v>2</v>
      </c>
      <c r="U838" s="1" t="s">
        <v>885</v>
      </c>
      <c r="V838" s="1">
        <v>20240603</v>
      </c>
      <c r="W838" s="8" t="s">
        <v>8442</v>
      </c>
      <c r="Z838" s="1"/>
      <c r="AA838" s="1"/>
      <c r="AC838" s="1"/>
      <c r="AD838" s="1"/>
      <c r="AE838" s="1"/>
      <c r="AF838" s="1"/>
    </row>
    <row r="839" spans="2:32" ht="12.75" x14ac:dyDescent="0.2">
      <c r="B839" s="1" t="s">
        <v>9345</v>
      </c>
      <c r="C839" s="10">
        <f t="shared" ref="C839:C902" ca="1" si="26">IFERROR(DATE(LEFT($V839,4),MID($V839,5,2),RIGHT($V839,2)),TODAY())</f>
        <v>45091</v>
      </c>
      <c r="D839" s="4"/>
      <c r="E839" s="4" t="s">
        <v>8434</v>
      </c>
      <c r="F839" s="4" t="s">
        <v>1293</v>
      </c>
      <c r="G839" s="4"/>
      <c r="H839" s="4" t="str">
        <f>_xlfn.IFNA(VLOOKUP(Table_Query_from_AMULTIQRY45[[#This Row],[WPROD]],'Part# with New'!$A$1:$B$4347,2,0),Table_Query_from_AMULTIQRY45[[#This Row],[WPROD]])</f>
        <v>24340</v>
      </c>
      <c r="I839" s="4" t="s">
        <v>8436</v>
      </c>
      <c r="J839" s="1" t="s">
        <v>5</v>
      </c>
      <c r="L839" s="11">
        <v>0.78132999999999997</v>
      </c>
      <c r="M839" s="1"/>
      <c r="N839" s="1" t="s">
        <v>18</v>
      </c>
      <c r="P839" s="1" t="str">
        <f>CONCATENATE(Table_Query_from_AMULTIQRY45[[#This Row],[WWHS]],"-",Table_Query_from_AMULTIQRY45[[#This Row],[LLOC]])</f>
        <v>E1-FG</v>
      </c>
      <c r="Q839" s="10">
        <f t="shared" ref="Q839:Q902" ca="1" si="27">+TODAY()</f>
        <v>45775</v>
      </c>
      <c r="R839" s="10"/>
      <c r="S839" s="28">
        <v>61</v>
      </c>
      <c r="T839" s="1" t="s">
        <v>2</v>
      </c>
      <c r="U839" s="1" t="s">
        <v>886</v>
      </c>
      <c r="V839" s="1">
        <v>20230614</v>
      </c>
      <c r="W839" s="8" t="s">
        <v>8442</v>
      </c>
      <c r="Z839" s="1"/>
      <c r="AA839" s="1"/>
      <c r="AC839" s="1"/>
      <c r="AD839" s="1"/>
      <c r="AE839" s="1"/>
      <c r="AF839" s="1"/>
    </row>
    <row r="840" spans="2:32" ht="12.75" x14ac:dyDescent="0.2">
      <c r="B840" s="1" t="s">
        <v>9346</v>
      </c>
      <c r="C840" s="10">
        <f t="shared" ca="1" si="26"/>
        <v>45156</v>
      </c>
      <c r="D840" s="4"/>
      <c r="E840" s="4" t="s">
        <v>8434</v>
      </c>
      <c r="F840" s="4" t="s">
        <v>1293</v>
      </c>
      <c r="G840" s="4"/>
      <c r="H840" s="4" t="str">
        <f>_xlfn.IFNA(VLOOKUP(Table_Query_from_AMULTIQRY45[[#This Row],[WPROD]],'Part# with New'!$A$1:$B$4347,2,0),Table_Query_from_AMULTIQRY45[[#This Row],[WPROD]])</f>
        <v>24341</v>
      </c>
      <c r="I840" s="4" t="s">
        <v>8436</v>
      </c>
      <c r="J840" s="1" t="s">
        <v>5</v>
      </c>
      <c r="L840" s="11">
        <v>6.1845499999999998</v>
      </c>
      <c r="M840" s="1"/>
      <c r="N840" s="1" t="s">
        <v>6</v>
      </c>
      <c r="P840" s="1" t="str">
        <f>CONCATENATE(Table_Query_from_AMULTIQRY45[[#This Row],[WWHS]],"-",Table_Query_from_AMULTIQRY45[[#This Row],[LLOC]])</f>
        <v>E1-FG</v>
      </c>
      <c r="Q840" s="10">
        <f t="shared" ca="1" si="27"/>
        <v>45775</v>
      </c>
      <c r="R840" s="10"/>
      <c r="S840" s="28">
        <v>15</v>
      </c>
      <c r="T840" s="1" t="s">
        <v>2</v>
      </c>
      <c r="U840" s="1" t="s">
        <v>887</v>
      </c>
      <c r="V840" s="1">
        <v>20230818</v>
      </c>
      <c r="W840" s="8" t="s">
        <v>8442</v>
      </c>
      <c r="Z840" s="1"/>
      <c r="AA840" s="1"/>
      <c r="AC840" s="1"/>
      <c r="AD840" s="1"/>
      <c r="AE840" s="1"/>
      <c r="AF840" s="1"/>
    </row>
    <row r="841" spans="2:32" ht="12.75" x14ac:dyDescent="0.2">
      <c r="B841" s="1" t="s">
        <v>9347</v>
      </c>
      <c r="C841" s="10">
        <f t="shared" ca="1" si="26"/>
        <v>45281</v>
      </c>
      <c r="D841" s="4"/>
      <c r="E841" s="4" t="s">
        <v>8434</v>
      </c>
      <c r="F841" s="4" t="s">
        <v>1293</v>
      </c>
      <c r="G841" s="4"/>
      <c r="H841" s="4" t="str">
        <f>_xlfn.IFNA(VLOOKUP(Table_Query_from_AMULTIQRY45[[#This Row],[WPROD]],'Part# with New'!$A$1:$B$4347,2,0),Table_Query_from_AMULTIQRY45[[#This Row],[WPROD]])</f>
        <v>24355</v>
      </c>
      <c r="I841" s="4" t="s">
        <v>8436</v>
      </c>
      <c r="J841" s="1" t="s">
        <v>5</v>
      </c>
      <c r="L841" s="11">
        <v>0.16707</v>
      </c>
      <c r="M841" s="1"/>
      <c r="N841" s="1" t="s">
        <v>389</v>
      </c>
      <c r="P841" s="1" t="str">
        <f>CONCATENATE(Table_Query_from_AMULTIQRY45[[#This Row],[WWHS]],"-",Table_Query_from_AMULTIQRY45[[#This Row],[LLOC]])</f>
        <v>E1-FG</v>
      </c>
      <c r="Q841" s="10">
        <f t="shared" ca="1" si="27"/>
        <v>45775</v>
      </c>
      <c r="R841" s="10"/>
      <c r="S841" s="28">
        <v>1515</v>
      </c>
      <c r="T841" s="1" t="s">
        <v>2</v>
      </c>
      <c r="U841" s="1" t="s">
        <v>888</v>
      </c>
      <c r="V841" s="1">
        <v>20231221</v>
      </c>
      <c r="W841" s="8" t="s">
        <v>8442</v>
      </c>
      <c r="Z841" s="1"/>
      <c r="AA841" s="1"/>
      <c r="AC841" s="1"/>
      <c r="AD841" s="1"/>
      <c r="AE841" s="1"/>
      <c r="AF841" s="1"/>
    </row>
    <row r="842" spans="2:32" ht="12.75" x14ac:dyDescent="0.2">
      <c r="B842" s="1" t="s">
        <v>9348</v>
      </c>
      <c r="C842" s="10">
        <f t="shared" ca="1" si="26"/>
        <v>45554</v>
      </c>
      <c r="D842" s="4"/>
      <c r="E842" s="4" t="s">
        <v>8434</v>
      </c>
      <c r="F842" s="4" t="s">
        <v>1293</v>
      </c>
      <c r="G842" s="4"/>
      <c r="H842" s="4" t="str">
        <f>_xlfn.IFNA(VLOOKUP(Table_Query_from_AMULTIQRY45[[#This Row],[WPROD]],'Part# with New'!$A$1:$B$4347,2,0),Table_Query_from_AMULTIQRY45[[#This Row],[WPROD]])</f>
        <v>24356</v>
      </c>
      <c r="I842" s="4" t="s">
        <v>8436</v>
      </c>
      <c r="J842" s="1" t="s">
        <v>5</v>
      </c>
      <c r="L842" s="11">
        <v>6.0032300000000003</v>
      </c>
      <c r="M842" s="1"/>
      <c r="N842" s="1" t="s">
        <v>646</v>
      </c>
      <c r="P842" s="1" t="str">
        <f>CONCATENATE(Table_Query_from_AMULTIQRY45[[#This Row],[WWHS]],"-",Table_Query_from_AMULTIQRY45[[#This Row],[LLOC]])</f>
        <v>E1-FG</v>
      </c>
      <c r="Q842" s="10">
        <f t="shared" ca="1" si="27"/>
        <v>45775</v>
      </c>
      <c r="R842" s="10"/>
      <c r="S842" s="28">
        <v>25</v>
      </c>
      <c r="T842" s="1" t="s">
        <v>2</v>
      </c>
      <c r="U842" s="1" t="s">
        <v>889</v>
      </c>
      <c r="V842" s="1">
        <v>20240919</v>
      </c>
      <c r="W842" s="8" t="s">
        <v>8442</v>
      </c>
      <c r="Z842" s="1"/>
      <c r="AA842" s="1"/>
      <c r="AC842" s="1"/>
      <c r="AD842" s="1"/>
      <c r="AE842" s="1"/>
      <c r="AF842" s="1"/>
    </row>
    <row r="843" spans="2:32" ht="12.75" x14ac:dyDescent="0.2">
      <c r="B843" s="1" t="s">
        <v>9349</v>
      </c>
      <c r="C843" s="10">
        <f t="shared" ca="1" si="26"/>
        <v>45553</v>
      </c>
      <c r="D843" s="4"/>
      <c r="E843" s="4" t="s">
        <v>8434</v>
      </c>
      <c r="F843" s="4" t="s">
        <v>1293</v>
      </c>
      <c r="G843" s="4"/>
      <c r="H843" s="4" t="str">
        <f>_xlfn.IFNA(VLOOKUP(Table_Query_from_AMULTIQRY45[[#This Row],[WPROD]],'Part# with New'!$A$1:$B$4347,2,0),Table_Query_from_AMULTIQRY45[[#This Row],[WPROD]])</f>
        <v>24357</v>
      </c>
      <c r="I843" s="4" t="s">
        <v>8436</v>
      </c>
      <c r="J843" s="1" t="s">
        <v>5</v>
      </c>
      <c r="L843" s="11">
        <v>13.85202</v>
      </c>
      <c r="M843" s="1"/>
      <c r="N843" s="1" t="s">
        <v>646</v>
      </c>
      <c r="P843" s="1" t="str">
        <f>CONCATENATE(Table_Query_from_AMULTIQRY45[[#This Row],[WWHS]],"-",Table_Query_from_AMULTIQRY45[[#This Row],[LLOC]])</f>
        <v>E1-FG</v>
      </c>
      <c r="Q843" s="10">
        <f t="shared" ca="1" si="27"/>
        <v>45775</v>
      </c>
      <c r="R843" s="10"/>
      <c r="S843" s="28">
        <v>33</v>
      </c>
      <c r="T843" s="1" t="s">
        <v>2</v>
      </c>
      <c r="U843" s="1" t="s">
        <v>890</v>
      </c>
      <c r="V843" s="1">
        <v>20240918</v>
      </c>
      <c r="W843" s="8" t="s">
        <v>8442</v>
      </c>
      <c r="Z843" s="1"/>
      <c r="AA843" s="1"/>
      <c r="AC843" s="1"/>
      <c r="AD843" s="1"/>
      <c r="AE843" s="1"/>
      <c r="AF843" s="1"/>
    </row>
    <row r="844" spans="2:32" ht="12.75" x14ac:dyDescent="0.2">
      <c r="B844" s="1" t="s">
        <v>9350</v>
      </c>
      <c r="C844" s="10">
        <f t="shared" ca="1" si="26"/>
        <v>45316</v>
      </c>
      <c r="D844" s="4"/>
      <c r="E844" s="4" t="s">
        <v>8434</v>
      </c>
      <c r="F844" s="4" t="s">
        <v>1293</v>
      </c>
      <c r="G844" s="4"/>
      <c r="H844" s="4" t="str">
        <f>_xlfn.IFNA(VLOOKUP(Table_Query_from_AMULTIQRY45[[#This Row],[WPROD]],'Part# with New'!$A$1:$B$4347,2,0),Table_Query_from_AMULTIQRY45[[#This Row],[WPROD]])</f>
        <v>24360</v>
      </c>
      <c r="I844" s="4" t="s">
        <v>8436</v>
      </c>
      <c r="J844" s="1" t="s">
        <v>5</v>
      </c>
      <c r="L844" s="11">
        <v>0.16045999999999999</v>
      </c>
      <c r="M844" s="1"/>
      <c r="N844" s="1" t="s">
        <v>389</v>
      </c>
      <c r="P844" s="1" t="str">
        <f>CONCATENATE(Table_Query_from_AMULTIQRY45[[#This Row],[WWHS]],"-",Table_Query_from_AMULTIQRY45[[#This Row],[LLOC]])</f>
        <v>E1-FG</v>
      </c>
      <c r="Q844" s="10">
        <f t="shared" ca="1" si="27"/>
        <v>45775</v>
      </c>
      <c r="R844" s="10"/>
      <c r="S844" s="28">
        <v>480</v>
      </c>
      <c r="T844" s="1" t="s">
        <v>2</v>
      </c>
      <c r="U844" s="1" t="s">
        <v>891</v>
      </c>
      <c r="V844" s="1">
        <v>20240125</v>
      </c>
      <c r="W844" s="8" t="s">
        <v>8442</v>
      </c>
      <c r="Z844" s="1"/>
      <c r="AA844" s="1"/>
      <c r="AC844" s="1"/>
      <c r="AD844" s="1"/>
      <c r="AE844" s="1"/>
      <c r="AF844" s="1"/>
    </row>
    <row r="845" spans="2:32" ht="12.75" x14ac:dyDescent="0.2">
      <c r="B845" s="1" t="s">
        <v>9351</v>
      </c>
      <c r="C845" s="10">
        <f t="shared" ca="1" si="26"/>
        <v>45737</v>
      </c>
      <c r="D845" s="4"/>
      <c r="E845" s="4" t="s">
        <v>8434</v>
      </c>
      <c r="F845" s="4" t="s">
        <v>1293</v>
      </c>
      <c r="G845" s="4"/>
      <c r="H845" s="4" t="str">
        <f>_xlfn.IFNA(VLOOKUP(Table_Query_from_AMULTIQRY45[[#This Row],[WPROD]],'Part# with New'!$A$1:$B$4347,2,0),Table_Query_from_AMULTIQRY45[[#This Row],[WPROD]])</f>
        <v>24361</v>
      </c>
      <c r="I845" s="4" t="s">
        <v>8436</v>
      </c>
      <c r="J845" s="1" t="s">
        <v>5</v>
      </c>
      <c r="L845" s="11">
        <v>0.20707999999999999</v>
      </c>
      <c r="M845" s="1"/>
      <c r="N845" s="1" t="s">
        <v>3</v>
      </c>
      <c r="P845" s="1" t="str">
        <f>CONCATENATE(Table_Query_from_AMULTIQRY45[[#This Row],[WWHS]],"-",Table_Query_from_AMULTIQRY45[[#This Row],[LLOC]])</f>
        <v>E1-FG</v>
      </c>
      <c r="Q845" s="10">
        <f t="shared" ca="1" si="27"/>
        <v>45775</v>
      </c>
      <c r="R845" s="10"/>
      <c r="S845" s="28">
        <v>295</v>
      </c>
      <c r="T845" s="1" t="s">
        <v>2</v>
      </c>
      <c r="U845" s="1" t="s">
        <v>892</v>
      </c>
      <c r="V845" s="1">
        <v>20250321</v>
      </c>
      <c r="W845" s="8" t="s">
        <v>8442</v>
      </c>
      <c r="Z845" s="1"/>
      <c r="AA845" s="1"/>
      <c r="AC845" s="1"/>
      <c r="AD845" s="1"/>
      <c r="AE845" s="1"/>
      <c r="AF845" s="1"/>
    </row>
    <row r="846" spans="2:32" ht="12.75" x14ac:dyDescent="0.2">
      <c r="B846" s="1" t="s">
        <v>9352</v>
      </c>
      <c r="C846" s="10">
        <f t="shared" ca="1" si="26"/>
        <v>45716</v>
      </c>
      <c r="D846" s="4"/>
      <c r="E846" s="4" t="s">
        <v>8434</v>
      </c>
      <c r="F846" s="4" t="s">
        <v>1293</v>
      </c>
      <c r="G846" s="4"/>
      <c r="H846" s="4" t="str">
        <f>_xlfn.IFNA(VLOOKUP(Table_Query_from_AMULTIQRY45[[#This Row],[WPROD]],'Part# with New'!$A$1:$B$4347,2,0),Table_Query_from_AMULTIQRY45[[#This Row],[WPROD]])</f>
        <v>24362</v>
      </c>
      <c r="I846" s="4" t="s">
        <v>8436</v>
      </c>
      <c r="J846" s="1" t="s">
        <v>5</v>
      </c>
      <c r="L846" s="11">
        <v>0.39729999999999999</v>
      </c>
      <c r="M846" s="1"/>
      <c r="N846" s="1" t="s">
        <v>6</v>
      </c>
      <c r="P846" s="1" t="str">
        <f>CONCATENATE(Table_Query_from_AMULTIQRY45[[#This Row],[WWHS]],"-",Table_Query_from_AMULTIQRY45[[#This Row],[LLOC]])</f>
        <v>E1-FG</v>
      </c>
      <c r="Q846" s="10">
        <f t="shared" ca="1" si="27"/>
        <v>45775</v>
      </c>
      <c r="R846" s="10"/>
      <c r="S846" s="28">
        <v>763</v>
      </c>
      <c r="T846" s="1" t="s">
        <v>2</v>
      </c>
      <c r="U846" s="1" t="s">
        <v>893</v>
      </c>
      <c r="V846" s="1">
        <v>20250228</v>
      </c>
      <c r="W846" s="8" t="s">
        <v>8442</v>
      </c>
      <c r="Z846" s="1"/>
      <c r="AA846" s="1"/>
      <c r="AC846" s="1"/>
      <c r="AD846" s="1"/>
      <c r="AE846" s="1"/>
      <c r="AF846" s="1"/>
    </row>
    <row r="847" spans="2:32" ht="12.75" x14ac:dyDescent="0.2">
      <c r="B847" s="1" t="s">
        <v>9353</v>
      </c>
      <c r="C847" s="10">
        <f t="shared" ca="1" si="26"/>
        <v>45226</v>
      </c>
      <c r="D847" s="4"/>
      <c r="E847" s="4" t="s">
        <v>8434</v>
      </c>
      <c r="F847" s="4" t="s">
        <v>1293</v>
      </c>
      <c r="G847" s="4"/>
      <c r="H847" s="4" t="str">
        <f>_xlfn.IFNA(VLOOKUP(Table_Query_from_AMULTIQRY45[[#This Row],[WPROD]],'Part# with New'!$A$1:$B$4347,2,0),Table_Query_from_AMULTIQRY45[[#This Row],[WPROD]])</f>
        <v>24367</v>
      </c>
      <c r="I847" s="4" t="s">
        <v>8436</v>
      </c>
      <c r="J847" s="1" t="s">
        <v>5</v>
      </c>
      <c r="L847" s="11">
        <v>1.1867099999999999</v>
      </c>
      <c r="M847" s="1"/>
      <c r="N847" s="1" t="s">
        <v>6</v>
      </c>
      <c r="P847" s="1" t="str">
        <f>CONCATENATE(Table_Query_from_AMULTIQRY45[[#This Row],[WWHS]],"-",Table_Query_from_AMULTIQRY45[[#This Row],[LLOC]])</f>
        <v>E1-FG</v>
      </c>
      <c r="Q847" s="10">
        <f t="shared" ca="1" si="27"/>
        <v>45775</v>
      </c>
      <c r="R847" s="10"/>
      <c r="S847" s="28">
        <v>12</v>
      </c>
      <c r="T847" s="1" t="s">
        <v>2</v>
      </c>
      <c r="U847" s="1" t="s">
        <v>894</v>
      </c>
      <c r="V847" s="1">
        <v>20231027</v>
      </c>
      <c r="W847" s="8" t="s">
        <v>8442</v>
      </c>
      <c r="Z847" s="1"/>
      <c r="AA847" s="1"/>
      <c r="AC847" s="1"/>
      <c r="AD847" s="1"/>
      <c r="AE847" s="1"/>
      <c r="AF847" s="1"/>
    </row>
    <row r="848" spans="2:32" ht="12.75" x14ac:dyDescent="0.2">
      <c r="B848" s="1" t="s">
        <v>9354</v>
      </c>
      <c r="C848" s="10">
        <f t="shared" ca="1" si="26"/>
        <v>45379</v>
      </c>
      <c r="D848" s="4"/>
      <c r="E848" s="4" t="s">
        <v>8434</v>
      </c>
      <c r="F848" s="4" t="s">
        <v>1293</v>
      </c>
      <c r="G848" s="4"/>
      <c r="H848" s="4" t="str">
        <f>_xlfn.IFNA(VLOOKUP(Table_Query_from_AMULTIQRY45[[#This Row],[WPROD]],'Part# with New'!$A$1:$B$4347,2,0),Table_Query_from_AMULTIQRY45[[#This Row],[WPROD]])</f>
        <v>24370</v>
      </c>
      <c r="I848" s="4" t="s">
        <v>8436</v>
      </c>
      <c r="J848" s="1" t="s">
        <v>5</v>
      </c>
      <c r="L848" s="11">
        <v>0.21315999999999999</v>
      </c>
      <c r="M848" s="1"/>
      <c r="N848" s="1" t="s">
        <v>389</v>
      </c>
      <c r="P848" s="1" t="str">
        <f>CONCATENATE(Table_Query_from_AMULTIQRY45[[#This Row],[WWHS]],"-",Table_Query_from_AMULTIQRY45[[#This Row],[LLOC]])</f>
        <v>E1-FG</v>
      </c>
      <c r="Q848" s="10">
        <f t="shared" ca="1" si="27"/>
        <v>45775</v>
      </c>
      <c r="R848" s="10"/>
      <c r="S848" s="28">
        <v>328</v>
      </c>
      <c r="T848" s="1" t="s">
        <v>2</v>
      </c>
      <c r="U848" s="1" t="s">
        <v>895</v>
      </c>
      <c r="V848" s="1">
        <v>20240328</v>
      </c>
      <c r="W848" s="8" t="s">
        <v>8442</v>
      </c>
      <c r="Z848" s="1"/>
      <c r="AA848" s="1"/>
      <c r="AC848" s="1"/>
      <c r="AD848" s="1"/>
      <c r="AE848" s="1"/>
      <c r="AF848" s="1"/>
    </row>
    <row r="849" spans="2:32" ht="12.75" x14ac:dyDescent="0.2">
      <c r="B849" s="1" t="s">
        <v>9355</v>
      </c>
      <c r="C849" s="10">
        <f t="shared" ca="1" si="26"/>
        <v>45408</v>
      </c>
      <c r="D849" s="4"/>
      <c r="E849" s="4" t="s">
        <v>8434</v>
      </c>
      <c r="F849" s="4" t="s">
        <v>1293</v>
      </c>
      <c r="G849" s="4"/>
      <c r="H849" s="4" t="str">
        <f>_xlfn.IFNA(VLOOKUP(Table_Query_from_AMULTIQRY45[[#This Row],[WPROD]],'Part# with New'!$A$1:$B$4347,2,0),Table_Query_from_AMULTIQRY45[[#This Row],[WPROD]])</f>
        <v>24371</v>
      </c>
      <c r="I849" s="4" t="s">
        <v>8436</v>
      </c>
      <c r="J849" s="1" t="s">
        <v>5</v>
      </c>
      <c r="L849" s="11">
        <v>0.15773000000000001</v>
      </c>
      <c r="M849" s="1"/>
      <c r="N849" s="1" t="s">
        <v>389</v>
      </c>
      <c r="P849" s="1" t="str">
        <f>CONCATENATE(Table_Query_from_AMULTIQRY45[[#This Row],[WWHS]],"-",Table_Query_from_AMULTIQRY45[[#This Row],[LLOC]])</f>
        <v>E1-FG</v>
      </c>
      <c r="Q849" s="10">
        <f t="shared" ca="1" si="27"/>
        <v>45775</v>
      </c>
      <c r="R849" s="10"/>
      <c r="S849" s="28">
        <v>540</v>
      </c>
      <c r="T849" s="1" t="s">
        <v>2</v>
      </c>
      <c r="U849" s="1" t="s">
        <v>896</v>
      </c>
      <c r="V849" s="1">
        <v>20240426</v>
      </c>
      <c r="W849" s="8" t="s">
        <v>8442</v>
      </c>
      <c r="Z849" s="1"/>
      <c r="AA849" s="1"/>
      <c r="AC849" s="1"/>
      <c r="AD849" s="1"/>
      <c r="AE849" s="1"/>
      <c r="AF849" s="1"/>
    </row>
    <row r="850" spans="2:32" ht="12.75" x14ac:dyDescent="0.2">
      <c r="B850" s="1" t="s">
        <v>9356</v>
      </c>
      <c r="C850" s="10">
        <f t="shared" ca="1" si="26"/>
        <v>45765</v>
      </c>
      <c r="D850" s="4"/>
      <c r="E850" s="4" t="s">
        <v>8434</v>
      </c>
      <c r="F850" s="4" t="s">
        <v>1293</v>
      </c>
      <c r="G850" s="4"/>
      <c r="H850" s="4" t="str">
        <f>_xlfn.IFNA(VLOOKUP(Table_Query_from_AMULTIQRY45[[#This Row],[WPROD]],'Part# with New'!$A$1:$B$4347,2,0),Table_Query_from_AMULTIQRY45[[#This Row],[WPROD]])</f>
        <v>24372</v>
      </c>
      <c r="I850" s="4" t="s">
        <v>8436</v>
      </c>
      <c r="J850" s="1" t="s">
        <v>5</v>
      </c>
      <c r="L850" s="11">
        <v>0.16145999999999999</v>
      </c>
      <c r="M850" s="1"/>
      <c r="N850" s="1" t="s">
        <v>389</v>
      </c>
      <c r="P850" s="1" t="str">
        <f>CONCATENATE(Table_Query_from_AMULTIQRY45[[#This Row],[WWHS]],"-",Table_Query_from_AMULTIQRY45[[#This Row],[LLOC]])</f>
        <v>E1-FG</v>
      </c>
      <c r="Q850" s="10">
        <f t="shared" ca="1" si="27"/>
        <v>45775</v>
      </c>
      <c r="R850" s="10"/>
      <c r="S850" s="28">
        <v>3</v>
      </c>
      <c r="T850" s="1" t="s">
        <v>2</v>
      </c>
      <c r="U850" s="1" t="s">
        <v>897</v>
      </c>
      <c r="V850" s="1">
        <v>20250418</v>
      </c>
      <c r="W850" s="8" t="s">
        <v>8442</v>
      </c>
      <c r="Z850" s="1"/>
      <c r="AA850" s="1"/>
      <c r="AC850" s="1"/>
      <c r="AD850" s="1"/>
      <c r="AE850" s="1"/>
      <c r="AF850" s="1"/>
    </row>
    <row r="851" spans="2:32" ht="12.75" x14ac:dyDescent="0.2">
      <c r="B851" s="1" t="s">
        <v>9357</v>
      </c>
      <c r="C851" s="10">
        <f t="shared" ca="1" si="26"/>
        <v>45551</v>
      </c>
      <c r="D851" s="4"/>
      <c r="E851" s="4" t="s">
        <v>8434</v>
      </c>
      <c r="F851" s="4" t="s">
        <v>1293</v>
      </c>
      <c r="G851" s="4"/>
      <c r="H851" s="4" t="str">
        <f>_xlfn.IFNA(VLOOKUP(Table_Query_from_AMULTIQRY45[[#This Row],[WPROD]],'Part# with New'!$A$1:$B$4347,2,0),Table_Query_from_AMULTIQRY45[[#This Row],[WPROD]])</f>
        <v>24379</v>
      </c>
      <c r="I851" s="4" t="s">
        <v>8436</v>
      </c>
      <c r="J851" s="1" t="s">
        <v>5</v>
      </c>
      <c r="L851" s="11">
        <v>7.4679799999999998</v>
      </c>
      <c r="M851" s="1"/>
      <c r="N851" s="1" t="s">
        <v>18</v>
      </c>
      <c r="P851" s="1" t="str">
        <f>CONCATENATE(Table_Query_from_AMULTIQRY45[[#This Row],[WWHS]],"-",Table_Query_from_AMULTIQRY45[[#This Row],[LLOC]])</f>
        <v>E1-FG</v>
      </c>
      <c r="Q851" s="10">
        <f t="shared" ca="1" si="27"/>
        <v>45775</v>
      </c>
      <c r="R851" s="10"/>
      <c r="S851" s="28">
        <v>54</v>
      </c>
      <c r="T851" s="1" t="s">
        <v>2</v>
      </c>
      <c r="U851" s="1" t="s">
        <v>898</v>
      </c>
      <c r="V851" s="1">
        <v>20240916</v>
      </c>
      <c r="W851" s="8" t="s">
        <v>8442</v>
      </c>
      <c r="Z851" s="1"/>
      <c r="AA851" s="1"/>
      <c r="AC851" s="1"/>
      <c r="AD851" s="1"/>
      <c r="AE851" s="1"/>
      <c r="AF851" s="1"/>
    </row>
    <row r="852" spans="2:32" ht="12.75" x14ac:dyDescent="0.2">
      <c r="B852" s="1" t="s">
        <v>9358</v>
      </c>
      <c r="C852" s="10">
        <f t="shared" ca="1" si="26"/>
        <v>45531</v>
      </c>
      <c r="D852" s="4"/>
      <c r="E852" s="4" t="s">
        <v>8434</v>
      </c>
      <c r="F852" s="4" t="s">
        <v>1293</v>
      </c>
      <c r="G852" s="4"/>
      <c r="H852" s="4" t="str">
        <f>_xlfn.IFNA(VLOOKUP(Table_Query_from_AMULTIQRY45[[#This Row],[WPROD]],'Part# with New'!$A$1:$B$4347,2,0),Table_Query_from_AMULTIQRY45[[#This Row],[WPROD]])</f>
        <v>24383</v>
      </c>
      <c r="I852" s="4" t="s">
        <v>8436</v>
      </c>
      <c r="J852" s="1" t="s">
        <v>5</v>
      </c>
      <c r="L852" s="11">
        <v>0.39350000000000002</v>
      </c>
      <c r="M852" s="1"/>
      <c r="N852" s="1" t="s">
        <v>3</v>
      </c>
      <c r="P852" s="1" t="str">
        <f>CONCATENATE(Table_Query_from_AMULTIQRY45[[#This Row],[WWHS]],"-",Table_Query_from_AMULTIQRY45[[#This Row],[LLOC]])</f>
        <v>E1-FG</v>
      </c>
      <c r="Q852" s="10">
        <f t="shared" ca="1" si="27"/>
        <v>45775</v>
      </c>
      <c r="R852" s="10"/>
      <c r="S852" s="28">
        <v>960</v>
      </c>
      <c r="T852" s="1" t="s">
        <v>2</v>
      </c>
      <c r="U852" s="1" t="s">
        <v>899</v>
      </c>
      <c r="V852" s="1">
        <v>20240827</v>
      </c>
      <c r="W852" s="8" t="s">
        <v>8442</v>
      </c>
      <c r="Z852" s="1"/>
      <c r="AA852" s="1"/>
      <c r="AC852" s="1"/>
      <c r="AD852" s="1"/>
      <c r="AE852" s="1"/>
      <c r="AF852" s="1"/>
    </row>
    <row r="853" spans="2:32" ht="12.75" x14ac:dyDescent="0.2">
      <c r="B853" s="1" t="s">
        <v>9359</v>
      </c>
      <c r="C853" s="10">
        <f t="shared" ca="1" si="26"/>
        <v>45660</v>
      </c>
      <c r="D853" s="4"/>
      <c r="E853" s="4" t="s">
        <v>8434</v>
      </c>
      <c r="F853" s="4" t="s">
        <v>1293</v>
      </c>
      <c r="G853" s="4"/>
      <c r="H853" s="4" t="str">
        <f>_xlfn.IFNA(VLOOKUP(Table_Query_from_AMULTIQRY45[[#This Row],[WPROD]],'Part# with New'!$A$1:$B$4347,2,0),Table_Query_from_AMULTIQRY45[[#This Row],[WPROD]])</f>
        <v>24386</v>
      </c>
      <c r="I853" s="4" t="s">
        <v>8436</v>
      </c>
      <c r="J853" s="1" t="s">
        <v>5</v>
      </c>
      <c r="L853" s="11">
        <v>0.35615999999999998</v>
      </c>
      <c r="M853" s="1"/>
      <c r="N853" s="1" t="s">
        <v>6</v>
      </c>
      <c r="P853" s="1" t="str">
        <f>CONCATENATE(Table_Query_from_AMULTIQRY45[[#This Row],[WWHS]],"-",Table_Query_from_AMULTIQRY45[[#This Row],[LLOC]])</f>
        <v>E1-FG</v>
      </c>
      <c r="Q853" s="10">
        <f t="shared" ca="1" si="27"/>
        <v>45775</v>
      </c>
      <c r="R853" s="10"/>
      <c r="S853" s="28">
        <v>123</v>
      </c>
      <c r="T853" s="1" t="s">
        <v>2</v>
      </c>
      <c r="U853" s="1" t="s">
        <v>900</v>
      </c>
      <c r="V853" s="1">
        <v>20250103</v>
      </c>
      <c r="W853" s="8" t="s">
        <v>8442</v>
      </c>
      <c r="Z853" s="1"/>
      <c r="AA853" s="1"/>
      <c r="AC853" s="1"/>
      <c r="AD853" s="1"/>
      <c r="AE853" s="1"/>
      <c r="AF853" s="1"/>
    </row>
    <row r="854" spans="2:32" ht="12.75" x14ac:dyDescent="0.2">
      <c r="B854" s="1" t="s">
        <v>9360</v>
      </c>
      <c r="C854" s="10">
        <f t="shared" ca="1" si="26"/>
        <v>45499</v>
      </c>
      <c r="D854" s="4"/>
      <c r="E854" s="4" t="s">
        <v>8434</v>
      </c>
      <c r="F854" s="4" t="s">
        <v>1293</v>
      </c>
      <c r="G854" s="4"/>
      <c r="H854" s="4" t="str">
        <f>_xlfn.IFNA(VLOOKUP(Table_Query_from_AMULTIQRY45[[#This Row],[WPROD]],'Part# with New'!$A$1:$B$4347,2,0),Table_Query_from_AMULTIQRY45[[#This Row],[WPROD]])</f>
        <v>24388</v>
      </c>
      <c r="I854" s="4" t="s">
        <v>8436</v>
      </c>
      <c r="J854" s="1" t="s">
        <v>5</v>
      </c>
      <c r="L854" s="11">
        <v>0.33990999999999999</v>
      </c>
      <c r="M854" s="1"/>
      <c r="N854" s="1" t="s">
        <v>389</v>
      </c>
      <c r="P854" s="1" t="str">
        <f>CONCATENATE(Table_Query_from_AMULTIQRY45[[#This Row],[WWHS]],"-",Table_Query_from_AMULTIQRY45[[#This Row],[LLOC]])</f>
        <v>E1-FG</v>
      </c>
      <c r="Q854" s="10">
        <f t="shared" ca="1" si="27"/>
        <v>45775</v>
      </c>
      <c r="R854" s="10"/>
      <c r="S854" s="28">
        <v>64</v>
      </c>
      <c r="T854" s="1" t="s">
        <v>2</v>
      </c>
      <c r="U854" s="1" t="s">
        <v>901</v>
      </c>
      <c r="V854" s="1">
        <v>20240726</v>
      </c>
      <c r="W854" s="8" t="s">
        <v>8442</v>
      </c>
      <c r="Z854" s="1"/>
      <c r="AA854" s="1"/>
      <c r="AC854" s="1"/>
      <c r="AD854" s="1"/>
      <c r="AE854" s="1"/>
      <c r="AF854" s="1"/>
    </row>
    <row r="855" spans="2:32" ht="12.75" x14ac:dyDescent="0.2">
      <c r="B855" s="1" t="s">
        <v>9361</v>
      </c>
      <c r="C855" s="10">
        <f t="shared" ca="1" si="26"/>
        <v>45568</v>
      </c>
      <c r="D855" s="4"/>
      <c r="E855" s="4" t="s">
        <v>8434</v>
      </c>
      <c r="F855" s="4" t="s">
        <v>1293</v>
      </c>
      <c r="G855" s="4"/>
      <c r="H855" s="4" t="str">
        <f>_xlfn.IFNA(VLOOKUP(Table_Query_from_AMULTIQRY45[[#This Row],[WPROD]],'Part# with New'!$A$1:$B$4347,2,0),Table_Query_from_AMULTIQRY45[[#This Row],[WPROD]])</f>
        <v>24391</v>
      </c>
      <c r="I855" s="4" t="s">
        <v>8436</v>
      </c>
      <c r="J855" s="1" t="s">
        <v>5</v>
      </c>
      <c r="L855" s="11">
        <v>0.17043</v>
      </c>
      <c r="M855" s="1"/>
      <c r="N855" s="1" t="s">
        <v>389</v>
      </c>
      <c r="P855" s="1" t="str">
        <f>CONCATENATE(Table_Query_from_AMULTIQRY45[[#This Row],[WWHS]],"-",Table_Query_from_AMULTIQRY45[[#This Row],[LLOC]])</f>
        <v>E1-FG</v>
      </c>
      <c r="Q855" s="10">
        <f t="shared" ca="1" si="27"/>
        <v>45775</v>
      </c>
      <c r="R855" s="10"/>
      <c r="S855" s="28">
        <v>185</v>
      </c>
      <c r="T855" s="1" t="s">
        <v>2</v>
      </c>
      <c r="U855" s="1" t="s">
        <v>902</v>
      </c>
      <c r="V855" s="1">
        <v>20241003</v>
      </c>
      <c r="W855" s="8" t="s">
        <v>8442</v>
      </c>
      <c r="Z855" s="1"/>
      <c r="AA855" s="1"/>
      <c r="AC855" s="1"/>
      <c r="AD855" s="1"/>
      <c r="AE855" s="1"/>
      <c r="AF855" s="1"/>
    </row>
    <row r="856" spans="2:32" ht="12.75" x14ac:dyDescent="0.2">
      <c r="B856" s="1" t="s">
        <v>9362</v>
      </c>
      <c r="C856" s="10">
        <f t="shared" ca="1" si="26"/>
        <v>45436</v>
      </c>
      <c r="D856" s="4"/>
      <c r="E856" s="4" t="s">
        <v>8434</v>
      </c>
      <c r="F856" s="4" t="s">
        <v>1293</v>
      </c>
      <c r="G856" s="4"/>
      <c r="H856" s="4" t="str">
        <f>_xlfn.IFNA(VLOOKUP(Table_Query_from_AMULTIQRY45[[#This Row],[WPROD]],'Part# with New'!$A$1:$B$4347,2,0),Table_Query_from_AMULTIQRY45[[#This Row],[WPROD]])</f>
        <v>24394</v>
      </c>
      <c r="I856" s="4" t="s">
        <v>8436</v>
      </c>
      <c r="J856" s="1" t="s">
        <v>5</v>
      </c>
      <c r="L856" s="11">
        <v>6.5801400000000001</v>
      </c>
      <c r="M856" s="1"/>
      <c r="N856" s="1" t="s">
        <v>18</v>
      </c>
      <c r="P856" s="1" t="str">
        <f>CONCATENATE(Table_Query_from_AMULTIQRY45[[#This Row],[WWHS]],"-",Table_Query_from_AMULTIQRY45[[#This Row],[LLOC]])</f>
        <v>E1-FG</v>
      </c>
      <c r="Q856" s="10">
        <f t="shared" ca="1" si="27"/>
        <v>45775</v>
      </c>
      <c r="R856" s="10"/>
      <c r="S856" s="28">
        <v>15</v>
      </c>
      <c r="T856" s="1" t="s">
        <v>2</v>
      </c>
      <c r="U856" s="1" t="s">
        <v>903</v>
      </c>
      <c r="V856" s="1">
        <v>20240524</v>
      </c>
      <c r="W856" s="8" t="s">
        <v>8442</v>
      </c>
      <c r="Z856" s="1"/>
      <c r="AA856" s="1"/>
      <c r="AC856" s="1"/>
      <c r="AD856" s="1"/>
      <c r="AE856" s="1"/>
      <c r="AF856" s="1"/>
    </row>
    <row r="857" spans="2:32" ht="12.75" x14ac:dyDescent="0.2">
      <c r="B857" s="1" t="s">
        <v>9363</v>
      </c>
      <c r="C857" s="10">
        <f t="shared" ca="1" si="26"/>
        <v>45540</v>
      </c>
      <c r="D857" s="4"/>
      <c r="E857" s="4" t="s">
        <v>8434</v>
      </c>
      <c r="F857" s="4" t="s">
        <v>1293</v>
      </c>
      <c r="G857" s="4"/>
      <c r="H857" s="4" t="str">
        <f>_xlfn.IFNA(VLOOKUP(Table_Query_from_AMULTIQRY45[[#This Row],[WPROD]],'Part# with New'!$A$1:$B$4347,2,0),Table_Query_from_AMULTIQRY45[[#This Row],[WPROD]])</f>
        <v>24396</v>
      </c>
      <c r="I857" s="4" t="s">
        <v>8436</v>
      </c>
      <c r="J857" s="1" t="s">
        <v>5</v>
      </c>
      <c r="L857" s="11">
        <v>0.11867</v>
      </c>
      <c r="M857" s="1"/>
      <c r="N857" s="1" t="s">
        <v>3</v>
      </c>
      <c r="P857" s="1" t="str">
        <f>CONCATENATE(Table_Query_from_AMULTIQRY45[[#This Row],[WWHS]],"-",Table_Query_from_AMULTIQRY45[[#This Row],[LLOC]])</f>
        <v>E1-FG</v>
      </c>
      <c r="Q857" s="10">
        <f t="shared" ca="1" si="27"/>
        <v>45775</v>
      </c>
      <c r="R857" s="10"/>
      <c r="S857" s="28">
        <v>234</v>
      </c>
      <c r="T857" s="1" t="s">
        <v>2</v>
      </c>
      <c r="U857" s="1" t="s">
        <v>904</v>
      </c>
      <c r="V857" s="1">
        <v>20240905</v>
      </c>
      <c r="W857" s="8" t="s">
        <v>8442</v>
      </c>
      <c r="Z857" s="1"/>
      <c r="AA857" s="1"/>
      <c r="AC857" s="1"/>
      <c r="AD857" s="1"/>
      <c r="AE857" s="1"/>
      <c r="AF857" s="1"/>
    </row>
    <row r="858" spans="2:32" ht="12.75" x14ac:dyDescent="0.2">
      <c r="B858" s="1" t="s">
        <v>9364</v>
      </c>
      <c r="C858" s="10">
        <f t="shared" ca="1" si="26"/>
        <v>45520</v>
      </c>
      <c r="D858" s="4"/>
      <c r="E858" s="4" t="s">
        <v>8434</v>
      </c>
      <c r="F858" s="4" t="s">
        <v>1293</v>
      </c>
      <c r="G858" s="4"/>
      <c r="H858" s="4" t="str">
        <f>_xlfn.IFNA(VLOOKUP(Table_Query_from_AMULTIQRY45[[#This Row],[WPROD]],'Part# with New'!$A$1:$B$4347,2,0),Table_Query_from_AMULTIQRY45[[#This Row],[WPROD]])</f>
        <v>24403</v>
      </c>
      <c r="I858" s="4" t="s">
        <v>8436</v>
      </c>
      <c r="J858" s="1" t="s">
        <v>5</v>
      </c>
      <c r="L858" s="11">
        <v>0.11803</v>
      </c>
      <c r="M858" s="1"/>
      <c r="N858" s="1" t="s">
        <v>389</v>
      </c>
      <c r="P858" s="1" t="str">
        <f>CONCATENATE(Table_Query_from_AMULTIQRY45[[#This Row],[WWHS]],"-",Table_Query_from_AMULTIQRY45[[#This Row],[LLOC]])</f>
        <v>E1-FG</v>
      </c>
      <c r="Q858" s="10">
        <f t="shared" ca="1" si="27"/>
        <v>45775</v>
      </c>
      <c r="R858" s="10"/>
      <c r="S858" s="28">
        <v>305</v>
      </c>
      <c r="T858" s="1" t="s">
        <v>2</v>
      </c>
      <c r="U858" s="1" t="s">
        <v>905</v>
      </c>
      <c r="V858" s="1">
        <v>20240816</v>
      </c>
      <c r="W858" s="8" t="s">
        <v>8442</v>
      </c>
      <c r="Z858" s="1"/>
      <c r="AA858" s="1"/>
      <c r="AC858" s="1"/>
      <c r="AD858" s="1"/>
      <c r="AE858" s="1"/>
      <c r="AF858" s="1"/>
    </row>
    <row r="859" spans="2:32" ht="12.75" x14ac:dyDescent="0.2">
      <c r="B859" s="1" t="s">
        <v>9365</v>
      </c>
      <c r="C859" s="10">
        <f t="shared" ca="1" si="26"/>
        <v>45519</v>
      </c>
      <c r="D859" s="4"/>
      <c r="E859" s="4" t="s">
        <v>8434</v>
      </c>
      <c r="F859" s="4" t="s">
        <v>1293</v>
      </c>
      <c r="G859" s="4"/>
      <c r="H859" s="4" t="str">
        <f>_xlfn.IFNA(VLOOKUP(Table_Query_from_AMULTIQRY45[[#This Row],[WPROD]],'Part# with New'!$A$1:$B$4347,2,0),Table_Query_from_AMULTIQRY45[[#This Row],[WPROD]])</f>
        <v>24410</v>
      </c>
      <c r="I859" s="4" t="s">
        <v>8436</v>
      </c>
      <c r="J859" s="1" t="s">
        <v>5</v>
      </c>
      <c r="L859" s="11">
        <v>0.14638000000000001</v>
      </c>
      <c r="M859" s="1"/>
      <c r="N859" s="1" t="s">
        <v>389</v>
      </c>
      <c r="P859" s="1" t="str">
        <f>CONCATENATE(Table_Query_from_AMULTIQRY45[[#This Row],[WWHS]],"-",Table_Query_from_AMULTIQRY45[[#This Row],[LLOC]])</f>
        <v>E1-FG</v>
      </c>
      <c r="Q859" s="10">
        <f t="shared" ca="1" si="27"/>
        <v>45775</v>
      </c>
      <c r="R859" s="10"/>
      <c r="S859" s="28">
        <v>4590</v>
      </c>
      <c r="T859" s="1" t="s">
        <v>2</v>
      </c>
      <c r="U859" s="1" t="s">
        <v>906</v>
      </c>
      <c r="V859" s="1">
        <v>20240815</v>
      </c>
      <c r="W859" s="8" t="s">
        <v>8442</v>
      </c>
      <c r="Z859" s="1"/>
      <c r="AA859" s="1"/>
      <c r="AC859" s="1"/>
      <c r="AD859" s="1"/>
      <c r="AE859" s="1"/>
      <c r="AF859" s="1"/>
    </row>
    <row r="860" spans="2:32" ht="12.75" x14ac:dyDescent="0.2">
      <c r="B860" s="1" t="s">
        <v>9366</v>
      </c>
      <c r="C860" s="10">
        <f t="shared" ca="1" si="26"/>
        <v>45457</v>
      </c>
      <c r="D860" s="4"/>
      <c r="E860" s="4" t="s">
        <v>8434</v>
      </c>
      <c r="F860" s="4" t="s">
        <v>1293</v>
      </c>
      <c r="G860" s="4"/>
      <c r="H860" s="4" t="str">
        <f>_xlfn.IFNA(VLOOKUP(Table_Query_from_AMULTIQRY45[[#This Row],[WPROD]],'Part# with New'!$A$1:$B$4347,2,0),Table_Query_from_AMULTIQRY45[[#This Row],[WPROD]])</f>
        <v>24412</v>
      </c>
      <c r="I860" s="4" t="s">
        <v>8436</v>
      </c>
      <c r="J860" s="1" t="s">
        <v>5</v>
      </c>
      <c r="L860" s="11">
        <v>0.14249999999999999</v>
      </c>
      <c r="M860" s="1"/>
      <c r="N860" s="1" t="s">
        <v>3</v>
      </c>
      <c r="P860" s="1" t="str">
        <f>CONCATENATE(Table_Query_from_AMULTIQRY45[[#This Row],[WWHS]],"-",Table_Query_from_AMULTIQRY45[[#This Row],[LLOC]])</f>
        <v>E1-FG</v>
      </c>
      <c r="Q860" s="10">
        <f t="shared" ca="1" si="27"/>
        <v>45775</v>
      </c>
      <c r="R860" s="10"/>
      <c r="S860" s="28">
        <v>360</v>
      </c>
      <c r="T860" s="1" t="s">
        <v>2</v>
      </c>
      <c r="U860" s="1" t="s">
        <v>907</v>
      </c>
      <c r="V860" s="1">
        <v>20240614</v>
      </c>
      <c r="W860" s="8" t="s">
        <v>8442</v>
      </c>
      <c r="Z860" s="1"/>
      <c r="AA860" s="1"/>
      <c r="AC860" s="1"/>
      <c r="AD860" s="1"/>
      <c r="AE860" s="1"/>
      <c r="AF860" s="1"/>
    </row>
    <row r="861" spans="2:32" ht="12.75" x14ac:dyDescent="0.2">
      <c r="B861" s="1" t="s">
        <v>9367</v>
      </c>
      <c r="C861" s="10">
        <f t="shared" ca="1" si="26"/>
        <v>45772</v>
      </c>
      <c r="D861" s="4"/>
      <c r="E861" s="4" t="s">
        <v>8434</v>
      </c>
      <c r="F861" s="4" t="s">
        <v>1293</v>
      </c>
      <c r="G861" s="4"/>
      <c r="H861" s="4" t="str">
        <f>_xlfn.IFNA(VLOOKUP(Table_Query_from_AMULTIQRY45[[#This Row],[WPROD]],'Part# with New'!$A$1:$B$4347,2,0),Table_Query_from_AMULTIQRY45[[#This Row],[WPROD]])</f>
        <v>24413</v>
      </c>
      <c r="I861" s="4" t="s">
        <v>8436</v>
      </c>
      <c r="J861" s="1" t="s">
        <v>5</v>
      </c>
      <c r="L861" s="11">
        <v>0.15551000000000001</v>
      </c>
      <c r="M861" s="1"/>
      <c r="N861" s="1" t="s">
        <v>389</v>
      </c>
      <c r="P861" s="1" t="str">
        <f>CONCATENATE(Table_Query_from_AMULTIQRY45[[#This Row],[WWHS]],"-",Table_Query_from_AMULTIQRY45[[#This Row],[LLOC]])</f>
        <v>E1-FG</v>
      </c>
      <c r="Q861" s="10">
        <f t="shared" ca="1" si="27"/>
        <v>45775</v>
      </c>
      <c r="R861" s="10"/>
      <c r="S861" s="28">
        <v>87</v>
      </c>
      <c r="T861" s="1" t="s">
        <v>2</v>
      </c>
      <c r="U861" s="1" t="s">
        <v>908</v>
      </c>
      <c r="V861" s="1">
        <v>20250425</v>
      </c>
      <c r="W861" s="8" t="s">
        <v>8442</v>
      </c>
      <c r="Z861" s="1"/>
      <c r="AA861" s="1"/>
      <c r="AC861" s="1"/>
      <c r="AD861" s="1"/>
      <c r="AE861" s="1"/>
      <c r="AF861" s="1"/>
    </row>
    <row r="862" spans="2:32" ht="12.75" x14ac:dyDescent="0.2">
      <c r="B862" s="1" t="s">
        <v>9368</v>
      </c>
      <c r="C862" s="10">
        <f t="shared" ca="1" si="26"/>
        <v>45772</v>
      </c>
      <c r="D862" s="4"/>
      <c r="E862" s="4" t="s">
        <v>8434</v>
      </c>
      <c r="F862" s="4" t="s">
        <v>1293</v>
      </c>
      <c r="G862" s="4"/>
      <c r="H862" s="4" t="str">
        <f>_xlfn.IFNA(VLOOKUP(Table_Query_from_AMULTIQRY45[[#This Row],[WPROD]],'Part# with New'!$A$1:$B$4347,2,0),Table_Query_from_AMULTIQRY45[[#This Row],[WPROD]])</f>
        <v>24415</v>
      </c>
      <c r="I862" s="4" t="s">
        <v>8436</v>
      </c>
      <c r="J862" s="1" t="s">
        <v>5</v>
      </c>
      <c r="L862" s="11">
        <v>5.3220000000000003E-2</v>
      </c>
      <c r="M862" s="1"/>
      <c r="N862" s="1" t="s">
        <v>3</v>
      </c>
      <c r="P862" s="1" t="str">
        <f>CONCATENATE(Table_Query_from_AMULTIQRY45[[#This Row],[WWHS]],"-",Table_Query_from_AMULTIQRY45[[#This Row],[LLOC]])</f>
        <v>E1-FG</v>
      </c>
      <c r="Q862" s="10">
        <f t="shared" ca="1" si="27"/>
        <v>45775</v>
      </c>
      <c r="R862" s="10"/>
      <c r="S862" s="28">
        <v>948</v>
      </c>
      <c r="T862" s="1" t="s">
        <v>2</v>
      </c>
      <c r="U862" s="1" t="s">
        <v>909</v>
      </c>
      <c r="V862" s="1">
        <v>20250425</v>
      </c>
      <c r="W862" s="8" t="s">
        <v>8442</v>
      </c>
      <c r="Z862" s="1"/>
      <c r="AA862" s="1"/>
      <c r="AC862" s="1"/>
      <c r="AD862" s="1"/>
      <c r="AE862" s="1"/>
      <c r="AF862" s="1"/>
    </row>
    <row r="863" spans="2:32" ht="12.75" x14ac:dyDescent="0.2">
      <c r="B863" s="1" t="s">
        <v>9369</v>
      </c>
      <c r="C863" s="10">
        <f t="shared" ca="1" si="26"/>
        <v>45623</v>
      </c>
      <c r="D863" s="4"/>
      <c r="E863" s="4" t="s">
        <v>8434</v>
      </c>
      <c r="F863" s="4" t="s">
        <v>1293</v>
      </c>
      <c r="G863" s="4"/>
      <c r="H863" s="4" t="str">
        <f>_xlfn.IFNA(VLOOKUP(Table_Query_from_AMULTIQRY45[[#This Row],[WPROD]],'Part# with New'!$A$1:$B$4347,2,0),Table_Query_from_AMULTIQRY45[[#This Row],[WPROD]])</f>
        <v>24418</v>
      </c>
      <c r="I863" s="4" t="s">
        <v>8436</v>
      </c>
      <c r="J863" s="1" t="s">
        <v>5</v>
      </c>
      <c r="L863" s="11">
        <v>0.16880000000000001</v>
      </c>
      <c r="M863" s="1"/>
      <c r="N863" s="1" t="s">
        <v>18</v>
      </c>
      <c r="P863" s="1" t="str">
        <f>CONCATENATE(Table_Query_from_AMULTIQRY45[[#This Row],[WWHS]],"-",Table_Query_from_AMULTIQRY45[[#This Row],[LLOC]])</f>
        <v>E1-FG</v>
      </c>
      <c r="Q863" s="10">
        <f t="shared" ca="1" si="27"/>
        <v>45775</v>
      </c>
      <c r="R863" s="10"/>
      <c r="S863" s="28">
        <v>444</v>
      </c>
      <c r="T863" s="1" t="s">
        <v>2</v>
      </c>
      <c r="U863" s="1" t="s">
        <v>910</v>
      </c>
      <c r="V863" s="1">
        <v>20241127</v>
      </c>
      <c r="W863" s="8" t="s">
        <v>8442</v>
      </c>
      <c r="Z863" s="1"/>
      <c r="AA863" s="1"/>
      <c r="AC863" s="1"/>
      <c r="AD863" s="1"/>
      <c r="AE863" s="1"/>
      <c r="AF863" s="1"/>
    </row>
    <row r="864" spans="2:32" ht="12.75" x14ac:dyDescent="0.2">
      <c r="B864" s="1" t="s">
        <v>9370</v>
      </c>
      <c r="C864" s="10">
        <f t="shared" ca="1" si="26"/>
        <v>45623</v>
      </c>
      <c r="D864" s="4"/>
      <c r="E864" s="4" t="s">
        <v>8434</v>
      </c>
      <c r="F864" s="4" t="s">
        <v>1293</v>
      </c>
      <c r="G864" s="4"/>
      <c r="H864" s="4" t="str">
        <f>_xlfn.IFNA(VLOOKUP(Table_Query_from_AMULTIQRY45[[#This Row],[WPROD]],'Part# with New'!$A$1:$B$4347,2,0),Table_Query_from_AMULTIQRY45[[#This Row],[WPROD]])</f>
        <v>24419</v>
      </c>
      <c r="I864" s="4" t="s">
        <v>8436</v>
      </c>
      <c r="J864" s="1" t="s">
        <v>5</v>
      </c>
      <c r="L864" s="11">
        <v>0.16267999999999999</v>
      </c>
      <c r="M864" s="1"/>
      <c r="N864" s="1" t="s">
        <v>18</v>
      </c>
      <c r="P864" s="1" t="str">
        <f>CONCATENATE(Table_Query_from_AMULTIQRY45[[#This Row],[WWHS]],"-",Table_Query_from_AMULTIQRY45[[#This Row],[LLOC]])</f>
        <v>E1-FG</v>
      </c>
      <c r="Q864" s="10">
        <f t="shared" ca="1" si="27"/>
        <v>45775</v>
      </c>
      <c r="R864" s="10"/>
      <c r="S864" s="28">
        <v>942</v>
      </c>
      <c r="T864" s="1" t="s">
        <v>2</v>
      </c>
      <c r="U864" s="1" t="s">
        <v>911</v>
      </c>
      <c r="V864" s="1">
        <v>20241127</v>
      </c>
      <c r="W864" s="8" t="s">
        <v>8442</v>
      </c>
      <c r="Z864" s="1"/>
      <c r="AA864" s="1"/>
      <c r="AC864" s="1"/>
      <c r="AD864" s="1"/>
      <c r="AE864" s="1"/>
      <c r="AF864" s="1"/>
    </row>
    <row r="865" spans="2:32" ht="12.75" x14ac:dyDescent="0.2">
      <c r="B865" s="1" t="s">
        <v>9371</v>
      </c>
      <c r="C865" s="10">
        <f t="shared" ca="1" si="26"/>
        <v>45768</v>
      </c>
      <c r="D865" s="4"/>
      <c r="E865" s="4" t="s">
        <v>8434</v>
      </c>
      <c r="F865" s="4" t="s">
        <v>1293</v>
      </c>
      <c r="G865" s="4"/>
      <c r="H865" s="4" t="str">
        <f>_xlfn.IFNA(VLOOKUP(Table_Query_from_AMULTIQRY45[[#This Row],[WPROD]],'Part# with New'!$A$1:$B$4347,2,0),Table_Query_from_AMULTIQRY45[[#This Row],[WPROD]])</f>
        <v>24424</v>
      </c>
      <c r="I865" s="4" t="s">
        <v>8436</v>
      </c>
      <c r="J865" s="1" t="s">
        <v>5</v>
      </c>
      <c r="L865" s="11">
        <v>6.9529999999999995E-2</v>
      </c>
      <c r="M865" s="1"/>
      <c r="N865" s="1" t="s">
        <v>326</v>
      </c>
      <c r="P865" s="1" t="str">
        <f>CONCATENATE(Table_Query_from_AMULTIQRY45[[#This Row],[WWHS]],"-",Table_Query_from_AMULTIQRY45[[#This Row],[LLOC]])</f>
        <v>E1-FG</v>
      </c>
      <c r="Q865" s="10">
        <f t="shared" ca="1" si="27"/>
        <v>45775</v>
      </c>
      <c r="R865" s="10"/>
      <c r="S865" s="28">
        <v>812</v>
      </c>
      <c r="T865" s="1" t="s">
        <v>2</v>
      </c>
      <c r="U865" s="1" t="s">
        <v>912</v>
      </c>
      <c r="V865" s="1">
        <v>20250421</v>
      </c>
      <c r="W865" s="8" t="s">
        <v>8442</v>
      </c>
      <c r="Z865" s="1"/>
      <c r="AA865" s="1"/>
      <c r="AC865" s="1"/>
      <c r="AD865" s="1"/>
      <c r="AE865" s="1"/>
      <c r="AF865" s="1"/>
    </row>
    <row r="866" spans="2:32" ht="12.75" x14ac:dyDescent="0.2">
      <c r="B866" s="1" t="s">
        <v>9372</v>
      </c>
      <c r="C866" s="10">
        <f t="shared" ca="1" si="26"/>
        <v>45632</v>
      </c>
      <c r="D866" s="4"/>
      <c r="E866" s="4" t="s">
        <v>8434</v>
      </c>
      <c r="F866" s="4" t="s">
        <v>1293</v>
      </c>
      <c r="G866" s="4"/>
      <c r="H866" s="4" t="str">
        <f>_xlfn.IFNA(VLOOKUP(Table_Query_from_AMULTIQRY45[[#This Row],[WPROD]],'Part# with New'!$A$1:$B$4347,2,0),Table_Query_from_AMULTIQRY45[[#This Row],[WPROD]])</f>
        <v>24431</v>
      </c>
      <c r="I866" s="4" t="s">
        <v>8436</v>
      </c>
      <c r="J866" s="1" t="s">
        <v>5</v>
      </c>
      <c r="L866" s="11">
        <v>0.10962</v>
      </c>
      <c r="M866" s="1"/>
      <c r="N866" s="1" t="s">
        <v>18</v>
      </c>
      <c r="P866" s="1" t="str">
        <f>CONCATENATE(Table_Query_from_AMULTIQRY45[[#This Row],[WWHS]],"-",Table_Query_from_AMULTIQRY45[[#This Row],[LLOC]])</f>
        <v>E1-FG</v>
      </c>
      <c r="Q866" s="10">
        <f t="shared" ca="1" si="27"/>
        <v>45775</v>
      </c>
      <c r="R866" s="10"/>
      <c r="S866" s="28">
        <v>357</v>
      </c>
      <c r="T866" s="1" t="s">
        <v>2</v>
      </c>
      <c r="U866" s="1" t="s">
        <v>913</v>
      </c>
      <c r="V866" s="1">
        <v>20241206</v>
      </c>
      <c r="W866" s="8" t="s">
        <v>8442</v>
      </c>
      <c r="Z866" s="1"/>
      <c r="AA866" s="1"/>
      <c r="AC866" s="1"/>
      <c r="AD866" s="1"/>
      <c r="AE866" s="1"/>
      <c r="AF866" s="1"/>
    </row>
    <row r="867" spans="2:32" ht="12.75" x14ac:dyDescent="0.2">
      <c r="B867" s="1" t="s">
        <v>9373</v>
      </c>
      <c r="C867" s="10">
        <f t="shared" ca="1" si="26"/>
        <v>45768</v>
      </c>
      <c r="D867" s="4"/>
      <c r="E867" s="4" t="s">
        <v>8434</v>
      </c>
      <c r="F867" s="4" t="s">
        <v>1293</v>
      </c>
      <c r="G867" s="4"/>
      <c r="H867" s="4" t="str">
        <f>_xlfn.IFNA(VLOOKUP(Table_Query_from_AMULTIQRY45[[#This Row],[WPROD]],'Part# with New'!$A$1:$B$4347,2,0),Table_Query_from_AMULTIQRY45[[#This Row],[WPROD]])</f>
        <v>24435</v>
      </c>
      <c r="I867" s="4" t="s">
        <v>8436</v>
      </c>
      <c r="J867" s="1" t="s">
        <v>5</v>
      </c>
      <c r="L867" s="11">
        <v>8.0839999999999995E-2</v>
      </c>
      <c r="M867" s="1"/>
      <c r="N867" s="1" t="s">
        <v>326</v>
      </c>
      <c r="P867" s="1" t="str">
        <f>CONCATENATE(Table_Query_from_AMULTIQRY45[[#This Row],[WWHS]],"-",Table_Query_from_AMULTIQRY45[[#This Row],[LLOC]])</f>
        <v>E1-FG</v>
      </c>
      <c r="Q867" s="10">
        <f t="shared" ca="1" si="27"/>
        <v>45775</v>
      </c>
      <c r="R867" s="10"/>
      <c r="S867" s="28">
        <v>93</v>
      </c>
      <c r="T867" s="1" t="s">
        <v>2</v>
      </c>
      <c r="U867" s="1" t="s">
        <v>914</v>
      </c>
      <c r="V867" s="1">
        <v>20250421</v>
      </c>
      <c r="W867" s="8" t="s">
        <v>8442</v>
      </c>
      <c r="Z867" s="1"/>
      <c r="AA867" s="1"/>
      <c r="AC867" s="1"/>
      <c r="AD867" s="1"/>
      <c r="AE867" s="1"/>
      <c r="AF867" s="1"/>
    </row>
    <row r="868" spans="2:32" ht="12.75" x14ac:dyDescent="0.2">
      <c r="B868" s="1" t="s">
        <v>9374</v>
      </c>
      <c r="C868" s="10">
        <f t="shared" ca="1" si="26"/>
        <v>45586</v>
      </c>
      <c r="D868" s="4"/>
      <c r="E868" s="4" t="s">
        <v>8434</v>
      </c>
      <c r="F868" s="4" t="s">
        <v>1293</v>
      </c>
      <c r="G868" s="4"/>
      <c r="H868" s="4" t="str">
        <f>_xlfn.IFNA(VLOOKUP(Table_Query_from_AMULTIQRY45[[#This Row],[WPROD]],'Part# with New'!$A$1:$B$4347,2,0),Table_Query_from_AMULTIQRY45[[#This Row],[WPROD]])</f>
        <v>24436</v>
      </c>
      <c r="I868" s="4" t="s">
        <v>8436</v>
      </c>
      <c r="J868" s="1" t="s">
        <v>5</v>
      </c>
      <c r="L868" s="11">
        <v>0.67601</v>
      </c>
      <c r="M868" s="1"/>
      <c r="N868" s="1" t="s">
        <v>18</v>
      </c>
      <c r="P868" s="1" t="str">
        <f>CONCATENATE(Table_Query_from_AMULTIQRY45[[#This Row],[WWHS]],"-",Table_Query_from_AMULTIQRY45[[#This Row],[LLOC]])</f>
        <v>E1-FG</v>
      </c>
      <c r="Q868" s="10">
        <f t="shared" ca="1" si="27"/>
        <v>45775</v>
      </c>
      <c r="R868" s="10"/>
      <c r="S868" s="28">
        <v>68</v>
      </c>
      <c r="T868" s="1" t="s">
        <v>2</v>
      </c>
      <c r="U868" s="1" t="s">
        <v>915</v>
      </c>
      <c r="V868" s="1">
        <v>20241021</v>
      </c>
      <c r="W868" s="8" t="s">
        <v>8442</v>
      </c>
      <c r="Z868" s="1"/>
      <c r="AA868" s="1"/>
      <c r="AC868" s="1"/>
      <c r="AD868" s="1"/>
      <c r="AE868" s="1"/>
      <c r="AF868" s="1"/>
    </row>
    <row r="869" spans="2:32" ht="12.75" x14ac:dyDescent="0.2">
      <c r="B869" s="1" t="s">
        <v>9375</v>
      </c>
      <c r="C869" s="10">
        <f t="shared" ca="1" si="26"/>
        <v>45652</v>
      </c>
      <c r="D869" s="4"/>
      <c r="E869" s="4" t="s">
        <v>8434</v>
      </c>
      <c r="F869" s="4" t="s">
        <v>1293</v>
      </c>
      <c r="G869" s="4"/>
      <c r="H869" s="4" t="str">
        <f>_xlfn.IFNA(VLOOKUP(Table_Query_from_AMULTIQRY45[[#This Row],[WPROD]],'Part# with New'!$A$1:$B$4347,2,0),Table_Query_from_AMULTIQRY45[[#This Row],[WPROD]])</f>
        <v>24439</v>
      </c>
      <c r="I869" s="4" t="s">
        <v>8436</v>
      </c>
      <c r="J869" s="1" t="s">
        <v>5</v>
      </c>
      <c r="L869" s="11">
        <v>0.19813</v>
      </c>
      <c r="M869" s="1"/>
      <c r="N869" s="1" t="s">
        <v>6</v>
      </c>
      <c r="P869" s="1" t="str">
        <f>CONCATENATE(Table_Query_from_AMULTIQRY45[[#This Row],[WWHS]],"-",Table_Query_from_AMULTIQRY45[[#This Row],[LLOC]])</f>
        <v>E1-FG</v>
      </c>
      <c r="Q869" s="10">
        <f t="shared" ca="1" si="27"/>
        <v>45775</v>
      </c>
      <c r="R869" s="10"/>
      <c r="S869" s="28">
        <v>69</v>
      </c>
      <c r="T869" s="1" t="s">
        <v>2</v>
      </c>
      <c r="U869" s="1" t="s">
        <v>916</v>
      </c>
      <c r="V869" s="1">
        <v>20241226</v>
      </c>
      <c r="W869" s="8" t="s">
        <v>8442</v>
      </c>
      <c r="Z869" s="1"/>
      <c r="AA869" s="1"/>
      <c r="AC869" s="1"/>
      <c r="AD869" s="1"/>
      <c r="AE869" s="1"/>
      <c r="AF869" s="1"/>
    </row>
    <row r="870" spans="2:32" ht="12.75" x14ac:dyDescent="0.2">
      <c r="B870" s="1" t="s">
        <v>9376</v>
      </c>
      <c r="C870" s="10">
        <f t="shared" ca="1" si="26"/>
        <v>45715</v>
      </c>
      <c r="D870" s="4"/>
      <c r="E870" s="4" t="s">
        <v>8434</v>
      </c>
      <c r="F870" s="4" t="s">
        <v>1293</v>
      </c>
      <c r="G870" s="4"/>
      <c r="H870" s="4" t="str">
        <f>_xlfn.IFNA(VLOOKUP(Table_Query_from_AMULTIQRY45[[#This Row],[WPROD]],'Part# with New'!$A$1:$B$4347,2,0),Table_Query_from_AMULTIQRY45[[#This Row],[WPROD]])</f>
        <v>24442</v>
      </c>
      <c r="I870" s="4" t="s">
        <v>8436</v>
      </c>
      <c r="J870" s="1" t="s">
        <v>5</v>
      </c>
      <c r="L870" s="11">
        <v>0.68401000000000001</v>
      </c>
      <c r="M870" s="1"/>
      <c r="N870" s="1" t="s">
        <v>18</v>
      </c>
      <c r="P870" s="1" t="str">
        <f>CONCATENATE(Table_Query_from_AMULTIQRY45[[#This Row],[WWHS]],"-",Table_Query_from_AMULTIQRY45[[#This Row],[LLOC]])</f>
        <v>E1-FG</v>
      </c>
      <c r="Q870" s="10">
        <f t="shared" ca="1" si="27"/>
        <v>45775</v>
      </c>
      <c r="R870" s="10"/>
      <c r="S870" s="28">
        <v>51</v>
      </c>
      <c r="T870" s="1" t="s">
        <v>2</v>
      </c>
      <c r="U870" s="1" t="s">
        <v>917</v>
      </c>
      <c r="V870" s="1">
        <v>20250227</v>
      </c>
      <c r="W870" s="8" t="s">
        <v>8442</v>
      </c>
      <c r="Z870" s="1"/>
      <c r="AA870" s="1"/>
      <c r="AC870" s="1"/>
      <c r="AD870" s="1"/>
      <c r="AE870" s="1"/>
      <c r="AF870" s="1"/>
    </row>
    <row r="871" spans="2:32" ht="12.75" x14ac:dyDescent="0.2">
      <c r="B871" s="1" t="s">
        <v>9377</v>
      </c>
      <c r="C871" s="10">
        <f t="shared" ca="1" si="26"/>
        <v>45737</v>
      </c>
      <c r="D871" s="4"/>
      <c r="E871" s="4" t="s">
        <v>8434</v>
      </c>
      <c r="F871" s="4" t="s">
        <v>1293</v>
      </c>
      <c r="G871" s="4"/>
      <c r="H871" s="4" t="str">
        <f>_xlfn.IFNA(VLOOKUP(Table_Query_from_AMULTIQRY45[[#This Row],[WPROD]],'Part# with New'!$A$1:$B$4347,2,0),Table_Query_from_AMULTIQRY45[[#This Row],[WPROD]])</f>
        <v>24444</v>
      </c>
      <c r="I871" s="4" t="s">
        <v>8436</v>
      </c>
      <c r="J871" s="1" t="s">
        <v>5</v>
      </c>
      <c r="L871" s="11">
        <v>0.58884000000000003</v>
      </c>
      <c r="M871" s="1"/>
      <c r="N871" s="1" t="s">
        <v>18</v>
      </c>
      <c r="P871" s="1" t="str">
        <f>CONCATENATE(Table_Query_from_AMULTIQRY45[[#This Row],[WWHS]],"-",Table_Query_from_AMULTIQRY45[[#This Row],[LLOC]])</f>
        <v>E1-FG</v>
      </c>
      <c r="Q871" s="10">
        <f t="shared" ca="1" si="27"/>
        <v>45775</v>
      </c>
      <c r="R871" s="10"/>
      <c r="S871" s="28">
        <v>40</v>
      </c>
      <c r="T871" s="1" t="s">
        <v>2</v>
      </c>
      <c r="U871" s="1" t="s">
        <v>918</v>
      </c>
      <c r="V871" s="1">
        <v>20250321</v>
      </c>
      <c r="W871" s="8" t="s">
        <v>8442</v>
      </c>
      <c r="Z871" s="1"/>
      <c r="AA871" s="1"/>
      <c r="AC871" s="1"/>
      <c r="AD871" s="1"/>
      <c r="AE871" s="1"/>
      <c r="AF871" s="1"/>
    </row>
    <row r="872" spans="2:32" ht="12.75" x14ac:dyDescent="0.2">
      <c r="B872" s="1" t="s">
        <v>9378</v>
      </c>
      <c r="C872" s="10">
        <f t="shared" ca="1" si="26"/>
        <v>45772</v>
      </c>
      <c r="D872" s="4"/>
      <c r="E872" s="4" t="s">
        <v>8434</v>
      </c>
      <c r="F872" s="4" t="s">
        <v>1293</v>
      </c>
      <c r="G872" s="4"/>
      <c r="H872" s="4" t="str">
        <f>_xlfn.IFNA(VLOOKUP(Table_Query_from_AMULTIQRY45[[#This Row],[WPROD]],'Part# with New'!$A$1:$B$4347,2,0),Table_Query_from_AMULTIQRY45[[#This Row],[WPROD]])</f>
        <v>24445</v>
      </c>
      <c r="I872" s="4" t="s">
        <v>8436</v>
      </c>
      <c r="J872" s="1" t="s">
        <v>5</v>
      </c>
      <c r="L872" s="11">
        <v>0.60721999999999998</v>
      </c>
      <c r="M872" s="1"/>
      <c r="N872" s="1" t="s">
        <v>18</v>
      </c>
      <c r="P872" s="1" t="str">
        <f>CONCATENATE(Table_Query_from_AMULTIQRY45[[#This Row],[WWHS]],"-",Table_Query_from_AMULTIQRY45[[#This Row],[LLOC]])</f>
        <v>E1-FG</v>
      </c>
      <c r="Q872" s="10">
        <f t="shared" ca="1" si="27"/>
        <v>45775</v>
      </c>
      <c r="R872" s="10"/>
      <c r="S872" s="28">
        <v>1840</v>
      </c>
      <c r="T872" s="1" t="s">
        <v>2</v>
      </c>
      <c r="U872" s="1" t="s">
        <v>10874</v>
      </c>
      <c r="V872" s="1">
        <v>20250425</v>
      </c>
      <c r="W872" s="8" t="s">
        <v>8442</v>
      </c>
      <c r="Z872" s="1"/>
      <c r="AA872" s="1"/>
      <c r="AC872" s="1"/>
      <c r="AD872" s="1"/>
      <c r="AE872" s="1"/>
      <c r="AF872" s="1"/>
    </row>
    <row r="873" spans="2:32" ht="12.75" x14ac:dyDescent="0.2">
      <c r="B873" s="1" t="s">
        <v>9379</v>
      </c>
      <c r="C873" s="10">
        <f t="shared" ca="1" si="26"/>
        <v>45763</v>
      </c>
      <c r="D873" s="4"/>
      <c r="E873" s="4" t="s">
        <v>8434</v>
      </c>
      <c r="F873" s="4" t="s">
        <v>1293</v>
      </c>
      <c r="G873" s="4"/>
      <c r="H873" s="4" t="str">
        <f>_xlfn.IFNA(VLOOKUP(Table_Query_from_AMULTIQRY45[[#This Row],[WPROD]],'Part# with New'!$A$1:$B$4347,2,0),Table_Query_from_AMULTIQRY45[[#This Row],[WPROD]])</f>
        <v>24448</v>
      </c>
      <c r="I873" s="4" t="s">
        <v>8436</v>
      </c>
      <c r="J873" s="1" t="s">
        <v>5</v>
      </c>
      <c r="L873" s="11">
        <v>0.12247</v>
      </c>
      <c r="M873" s="1"/>
      <c r="N873" s="1" t="s">
        <v>389</v>
      </c>
      <c r="P873" s="1" t="str">
        <f>CONCATENATE(Table_Query_from_AMULTIQRY45[[#This Row],[WWHS]],"-",Table_Query_from_AMULTIQRY45[[#This Row],[LLOC]])</f>
        <v>E1-FG</v>
      </c>
      <c r="Q873" s="10">
        <f t="shared" ca="1" si="27"/>
        <v>45775</v>
      </c>
      <c r="R873" s="10"/>
      <c r="S873" s="28">
        <v>52</v>
      </c>
      <c r="T873" s="1" t="s">
        <v>2</v>
      </c>
      <c r="U873" s="1" t="s">
        <v>919</v>
      </c>
      <c r="V873" s="1">
        <v>20250416</v>
      </c>
      <c r="W873" s="8" t="s">
        <v>8442</v>
      </c>
      <c r="Z873" s="1"/>
      <c r="AA873" s="1"/>
      <c r="AC873" s="1"/>
      <c r="AD873" s="1"/>
      <c r="AE873" s="1"/>
      <c r="AF873" s="1"/>
    </row>
    <row r="874" spans="2:32" ht="12.75" x14ac:dyDescent="0.2">
      <c r="B874" s="1" t="s">
        <v>9380</v>
      </c>
      <c r="C874" s="10">
        <f t="shared" ca="1" si="26"/>
        <v>45525</v>
      </c>
      <c r="D874" s="4"/>
      <c r="E874" s="4" t="s">
        <v>8434</v>
      </c>
      <c r="F874" s="4" t="s">
        <v>1293</v>
      </c>
      <c r="G874" s="4"/>
      <c r="H874" s="4" t="str">
        <f>_xlfn.IFNA(VLOOKUP(Table_Query_from_AMULTIQRY45[[#This Row],[WPROD]],'Part# with New'!$A$1:$B$4347,2,0),Table_Query_from_AMULTIQRY45[[#This Row],[WPROD]])</f>
        <v>3-5146</v>
      </c>
      <c r="I874" s="4" t="s">
        <v>8436</v>
      </c>
      <c r="J874" s="1" t="s">
        <v>46</v>
      </c>
      <c r="L874" s="11">
        <v>4.6440000000000002E-2</v>
      </c>
      <c r="M874" s="1"/>
      <c r="N874" s="1" t="s">
        <v>34</v>
      </c>
      <c r="P874" s="1" t="str">
        <f>CONCATENATE(Table_Query_from_AMULTIQRY45[[#This Row],[WWHS]],"-",Table_Query_from_AMULTIQRY45[[#This Row],[LLOC]])</f>
        <v>E1-FG</v>
      </c>
      <c r="Q874" s="10">
        <f t="shared" ca="1" si="27"/>
        <v>45775</v>
      </c>
      <c r="R874" s="10"/>
      <c r="S874" s="28">
        <v>315</v>
      </c>
      <c r="T874" s="1" t="s">
        <v>2</v>
      </c>
      <c r="U874" s="1" t="s">
        <v>920</v>
      </c>
      <c r="V874" s="1">
        <v>20240821</v>
      </c>
      <c r="W874" s="8" t="s">
        <v>8442</v>
      </c>
      <c r="Z874" s="1"/>
      <c r="AA874" s="1"/>
      <c r="AC874" s="1"/>
      <c r="AD874" s="1"/>
      <c r="AE874" s="1"/>
      <c r="AF874" s="1"/>
    </row>
    <row r="875" spans="2:32" ht="12.75" x14ac:dyDescent="0.2">
      <c r="B875" s="1" t="s">
        <v>9381</v>
      </c>
      <c r="C875" s="10">
        <f t="shared" ca="1" si="26"/>
        <v>44834</v>
      </c>
      <c r="D875" s="4"/>
      <c r="E875" s="4" t="s">
        <v>8434</v>
      </c>
      <c r="F875" s="4" t="s">
        <v>1293</v>
      </c>
      <c r="G875" s="4"/>
      <c r="H875" s="4" t="str">
        <f>_xlfn.IFNA(VLOOKUP(Table_Query_from_AMULTIQRY45[[#This Row],[WPROD]],'Part# with New'!$A$1:$B$4347,2,0),Table_Query_from_AMULTIQRY45[[#This Row],[WPROD]])</f>
        <v>3-5205</v>
      </c>
      <c r="I875" s="4" t="s">
        <v>8436</v>
      </c>
      <c r="J875" s="1" t="s">
        <v>5</v>
      </c>
      <c r="L875" s="11">
        <v>1.7770000000000001E-2</v>
      </c>
      <c r="M875" s="1"/>
      <c r="N875" s="1" t="s">
        <v>34</v>
      </c>
      <c r="P875" s="1" t="str">
        <f>CONCATENATE(Table_Query_from_AMULTIQRY45[[#This Row],[WWHS]],"-",Table_Query_from_AMULTIQRY45[[#This Row],[LLOC]])</f>
        <v>E1-FG</v>
      </c>
      <c r="Q875" s="10">
        <f t="shared" ca="1" si="27"/>
        <v>45775</v>
      </c>
      <c r="R875" s="10"/>
      <c r="S875" s="28">
        <v>11040</v>
      </c>
      <c r="T875" s="1" t="s">
        <v>2</v>
      </c>
      <c r="U875" s="1" t="s">
        <v>921</v>
      </c>
      <c r="V875" s="1">
        <v>20220930</v>
      </c>
      <c r="W875" s="8" t="s">
        <v>8442</v>
      </c>
      <c r="Z875" s="1"/>
      <c r="AA875" s="1"/>
      <c r="AC875" s="1"/>
      <c r="AD875" s="1"/>
      <c r="AE875" s="1"/>
      <c r="AF875" s="1"/>
    </row>
    <row r="876" spans="2:32" ht="12.75" x14ac:dyDescent="0.2">
      <c r="B876" s="1" t="s">
        <v>9382</v>
      </c>
      <c r="C876" s="10">
        <f t="shared" ca="1" si="26"/>
        <v>44790</v>
      </c>
      <c r="D876" s="4"/>
      <c r="E876" s="4" t="s">
        <v>8434</v>
      </c>
      <c r="F876" s="4" t="s">
        <v>1293</v>
      </c>
      <c r="G876" s="4"/>
      <c r="H876" s="4" t="str">
        <f>_xlfn.IFNA(VLOOKUP(Table_Query_from_AMULTIQRY45[[#This Row],[WPROD]],'Part# with New'!$A$1:$B$4347,2,0),Table_Query_from_AMULTIQRY45[[#This Row],[WPROD]])</f>
        <v>3-5233</v>
      </c>
      <c r="I876" s="4" t="s">
        <v>8436</v>
      </c>
      <c r="J876" s="1" t="s">
        <v>5</v>
      </c>
      <c r="L876" s="11">
        <v>0.24975</v>
      </c>
      <c r="M876" s="1"/>
      <c r="N876" s="1" t="s">
        <v>30</v>
      </c>
      <c r="P876" s="1" t="str">
        <f>CONCATENATE(Table_Query_from_AMULTIQRY45[[#This Row],[WWHS]],"-",Table_Query_from_AMULTIQRY45[[#This Row],[LLOC]])</f>
        <v>E1-FG</v>
      </c>
      <c r="Q876" s="10">
        <f t="shared" ca="1" si="27"/>
        <v>45775</v>
      </c>
      <c r="R876" s="10"/>
      <c r="S876" s="28">
        <v>425</v>
      </c>
      <c r="T876" s="1" t="s">
        <v>2</v>
      </c>
      <c r="U876" s="1" t="s">
        <v>922</v>
      </c>
      <c r="V876" s="1">
        <v>20220817</v>
      </c>
      <c r="W876" s="8" t="s">
        <v>8442</v>
      </c>
      <c r="Z876" s="1"/>
      <c r="AA876" s="1"/>
      <c r="AC876" s="1"/>
      <c r="AD876" s="1"/>
      <c r="AE876" s="1"/>
      <c r="AF876" s="1"/>
    </row>
    <row r="877" spans="2:32" ht="12.75" x14ac:dyDescent="0.2">
      <c r="B877" s="1" t="s">
        <v>9383</v>
      </c>
      <c r="C877" s="10">
        <f t="shared" ca="1" si="26"/>
        <v>45006</v>
      </c>
      <c r="D877" s="4"/>
      <c r="E877" s="4" t="s">
        <v>8434</v>
      </c>
      <c r="F877" s="4" t="s">
        <v>1293</v>
      </c>
      <c r="G877" s="4"/>
      <c r="H877" s="4" t="str">
        <f>_xlfn.IFNA(VLOOKUP(Table_Query_from_AMULTIQRY45[[#This Row],[WPROD]],'Part# with New'!$A$1:$B$4347,2,0),Table_Query_from_AMULTIQRY45[[#This Row],[WPROD]])</f>
        <v>3-5234</v>
      </c>
      <c r="I877" s="4" t="s">
        <v>8436</v>
      </c>
      <c r="J877" s="1" t="s">
        <v>5</v>
      </c>
      <c r="L877" s="11">
        <v>0.37818000000000002</v>
      </c>
      <c r="M877" s="1"/>
      <c r="N877" s="1" t="s">
        <v>30</v>
      </c>
      <c r="P877" s="1" t="str">
        <f>CONCATENATE(Table_Query_from_AMULTIQRY45[[#This Row],[WWHS]],"-",Table_Query_from_AMULTIQRY45[[#This Row],[LLOC]])</f>
        <v>E1-FG</v>
      </c>
      <c r="Q877" s="10">
        <f t="shared" ca="1" si="27"/>
        <v>45775</v>
      </c>
      <c r="R877" s="10"/>
      <c r="S877" s="28">
        <v>798</v>
      </c>
      <c r="T877" s="1" t="s">
        <v>2</v>
      </c>
      <c r="U877" s="1" t="s">
        <v>923</v>
      </c>
      <c r="V877" s="1">
        <v>20230321</v>
      </c>
      <c r="W877" s="8" t="s">
        <v>8442</v>
      </c>
      <c r="Z877" s="1"/>
      <c r="AA877" s="1"/>
      <c r="AC877" s="1"/>
      <c r="AD877" s="1"/>
      <c r="AE877" s="1"/>
      <c r="AF877" s="1"/>
    </row>
    <row r="878" spans="2:32" ht="12.75" x14ac:dyDescent="0.2">
      <c r="B878" s="1" t="s">
        <v>9384</v>
      </c>
      <c r="C878" s="10">
        <f t="shared" ca="1" si="26"/>
        <v>45153</v>
      </c>
      <c r="D878" s="4"/>
      <c r="E878" s="4" t="s">
        <v>8434</v>
      </c>
      <c r="F878" s="4" t="s">
        <v>1293</v>
      </c>
      <c r="G878" s="4"/>
      <c r="H878" s="4" t="str">
        <f>_xlfn.IFNA(VLOOKUP(Table_Query_from_AMULTIQRY45[[#This Row],[WPROD]],'Part# with New'!$A$1:$B$4347,2,0),Table_Query_from_AMULTIQRY45[[#This Row],[WPROD]])</f>
        <v>3-5236</v>
      </c>
      <c r="I878" s="4" t="s">
        <v>8436</v>
      </c>
      <c r="J878" s="1" t="s">
        <v>5</v>
      </c>
      <c r="L878" s="11">
        <v>0.3417</v>
      </c>
      <c r="M878" s="1"/>
      <c r="N878" s="1" t="s">
        <v>30</v>
      </c>
      <c r="P878" s="1" t="str">
        <f>CONCATENATE(Table_Query_from_AMULTIQRY45[[#This Row],[WWHS]],"-",Table_Query_from_AMULTIQRY45[[#This Row],[LLOC]])</f>
        <v>E1-FG</v>
      </c>
      <c r="Q878" s="10">
        <f t="shared" ca="1" si="27"/>
        <v>45775</v>
      </c>
      <c r="R878" s="10"/>
      <c r="S878" s="28">
        <v>344</v>
      </c>
      <c r="T878" s="1" t="s">
        <v>2</v>
      </c>
      <c r="U878" s="1" t="s">
        <v>924</v>
      </c>
      <c r="V878" s="1">
        <v>20230815</v>
      </c>
      <c r="W878" s="8" t="s">
        <v>8442</v>
      </c>
      <c r="Z878" s="1"/>
      <c r="AA878" s="1"/>
      <c r="AC878" s="1"/>
      <c r="AD878" s="1"/>
      <c r="AE878" s="1"/>
      <c r="AF878" s="1"/>
    </row>
    <row r="879" spans="2:32" ht="12.75" x14ac:dyDescent="0.2">
      <c r="B879" s="1" t="s">
        <v>9385</v>
      </c>
      <c r="C879" s="10">
        <f t="shared" ca="1" si="26"/>
        <v>45203</v>
      </c>
      <c r="D879" s="4"/>
      <c r="E879" s="4" t="s">
        <v>8434</v>
      </c>
      <c r="F879" s="4" t="s">
        <v>1293</v>
      </c>
      <c r="G879" s="4"/>
      <c r="H879" s="4" t="str">
        <f>_xlfn.IFNA(VLOOKUP(Table_Query_from_AMULTIQRY45[[#This Row],[WPROD]],'Part# with New'!$A$1:$B$4347,2,0),Table_Query_from_AMULTIQRY45[[#This Row],[WPROD]])</f>
        <v>3-5237</v>
      </c>
      <c r="I879" s="4" t="s">
        <v>8436</v>
      </c>
      <c r="J879" s="1" t="s">
        <v>5</v>
      </c>
      <c r="L879" s="11">
        <v>0.35407</v>
      </c>
      <c r="M879" s="1"/>
      <c r="N879" s="1" t="s">
        <v>30</v>
      </c>
      <c r="P879" s="1" t="str">
        <f>CONCATENATE(Table_Query_from_AMULTIQRY45[[#This Row],[WWHS]],"-",Table_Query_from_AMULTIQRY45[[#This Row],[LLOC]])</f>
        <v>E1-FG</v>
      </c>
      <c r="Q879" s="10">
        <f t="shared" ca="1" si="27"/>
        <v>45775</v>
      </c>
      <c r="R879" s="10"/>
      <c r="S879" s="28">
        <v>1214</v>
      </c>
      <c r="T879" s="1" t="s">
        <v>2</v>
      </c>
      <c r="U879" s="1" t="s">
        <v>925</v>
      </c>
      <c r="V879" s="1">
        <v>20231004</v>
      </c>
      <c r="W879" s="8" t="s">
        <v>8442</v>
      </c>
      <c r="Z879" s="1"/>
      <c r="AA879" s="1"/>
      <c r="AC879" s="1"/>
      <c r="AD879" s="1"/>
      <c r="AE879" s="1"/>
      <c r="AF879" s="1"/>
    </row>
    <row r="880" spans="2:32" ht="12.75" x14ac:dyDescent="0.2">
      <c r="B880" s="1" t="s">
        <v>9386</v>
      </c>
      <c r="C880" s="10">
        <f t="shared" ca="1" si="26"/>
        <v>45348</v>
      </c>
      <c r="D880" s="4"/>
      <c r="E880" s="4" t="s">
        <v>8434</v>
      </c>
      <c r="F880" s="4" t="s">
        <v>1293</v>
      </c>
      <c r="G880" s="4"/>
      <c r="H880" s="4" t="str">
        <f>_xlfn.IFNA(VLOOKUP(Table_Query_from_AMULTIQRY45[[#This Row],[WPROD]],'Part# with New'!$A$1:$B$4347,2,0),Table_Query_from_AMULTIQRY45[[#This Row],[WPROD]])</f>
        <v>4-151</v>
      </c>
      <c r="I880" s="4" t="s">
        <v>8436</v>
      </c>
      <c r="J880" s="1" t="s">
        <v>46</v>
      </c>
      <c r="L880" s="11">
        <v>0.16333</v>
      </c>
      <c r="M880" s="1"/>
      <c r="N880" s="1" t="s">
        <v>34</v>
      </c>
      <c r="P880" s="1" t="str">
        <f>CONCATENATE(Table_Query_from_AMULTIQRY45[[#This Row],[WWHS]],"-",Table_Query_from_AMULTIQRY45[[#This Row],[LLOC]])</f>
        <v>E1-FG</v>
      </c>
      <c r="Q880" s="10">
        <f t="shared" ca="1" si="27"/>
        <v>45775</v>
      </c>
      <c r="R880" s="10"/>
      <c r="S880" s="28">
        <v>3270</v>
      </c>
      <c r="T880" s="1" t="s">
        <v>2</v>
      </c>
      <c r="U880" s="1" t="s">
        <v>926</v>
      </c>
      <c r="V880" s="1">
        <v>20240226</v>
      </c>
      <c r="W880" s="8" t="s">
        <v>8442</v>
      </c>
      <c r="Z880" s="1"/>
      <c r="AA880" s="1"/>
      <c r="AC880" s="1"/>
      <c r="AD880" s="1"/>
      <c r="AE880" s="1"/>
      <c r="AF880" s="1"/>
    </row>
    <row r="881" spans="2:32" ht="12.75" x14ac:dyDescent="0.2">
      <c r="B881" s="1" t="s">
        <v>9387</v>
      </c>
      <c r="C881" s="10">
        <f t="shared" ca="1" si="26"/>
        <v>45758</v>
      </c>
      <c r="D881" s="4"/>
      <c r="E881" s="4" t="s">
        <v>8434</v>
      </c>
      <c r="F881" s="4" t="s">
        <v>1293</v>
      </c>
      <c r="G881" s="4"/>
      <c r="H881" s="4" t="str">
        <f>_xlfn.IFNA(VLOOKUP(Table_Query_from_AMULTIQRY45[[#This Row],[WPROD]],'Part# with New'!$A$1:$B$4347,2,0),Table_Query_from_AMULTIQRY45[[#This Row],[WPROD]])</f>
        <v>4-182</v>
      </c>
      <c r="I881" s="4" t="s">
        <v>8436</v>
      </c>
      <c r="J881" s="1" t="s">
        <v>46</v>
      </c>
      <c r="L881" s="11">
        <v>0.23777000000000001</v>
      </c>
      <c r="M881" s="1"/>
      <c r="N881" s="1" t="s">
        <v>34</v>
      </c>
      <c r="P881" s="1" t="str">
        <f>CONCATENATE(Table_Query_from_AMULTIQRY45[[#This Row],[WWHS]],"-",Table_Query_from_AMULTIQRY45[[#This Row],[LLOC]])</f>
        <v>E1-FG</v>
      </c>
      <c r="Q881" s="10">
        <f t="shared" ca="1" si="27"/>
        <v>45775</v>
      </c>
      <c r="R881" s="10"/>
      <c r="S881" s="28">
        <v>1000</v>
      </c>
      <c r="T881" s="1" t="s">
        <v>2</v>
      </c>
      <c r="U881" s="1" t="s">
        <v>927</v>
      </c>
      <c r="V881" s="1">
        <v>20250411</v>
      </c>
      <c r="W881" s="8" t="s">
        <v>8442</v>
      </c>
      <c r="Z881" s="1"/>
      <c r="AA881" s="1"/>
      <c r="AC881" s="1"/>
      <c r="AD881" s="1"/>
      <c r="AE881" s="1"/>
      <c r="AF881" s="1"/>
    </row>
    <row r="882" spans="2:32" ht="12.75" x14ac:dyDescent="0.2">
      <c r="B882" s="1" t="s">
        <v>9388</v>
      </c>
      <c r="C882" s="10">
        <f t="shared" ca="1" si="26"/>
        <v>44355</v>
      </c>
      <c r="D882" s="4"/>
      <c r="E882" s="4" t="s">
        <v>8434</v>
      </c>
      <c r="F882" s="4" t="s">
        <v>1293</v>
      </c>
      <c r="G882" s="4"/>
      <c r="H882" s="4" t="str">
        <f>_xlfn.IFNA(VLOOKUP(Table_Query_from_AMULTIQRY45[[#This Row],[WPROD]],'Part# with New'!$A$1:$B$4347,2,0),Table_Query_from_AMULTIQRY45[[#This Row],[WPROD]])</f>
        <v>4-1823</v>
      </c>
      <c r="I882" s="4" t="s">
        <v>8436</v>
      </c>
      <c r="J882" s="1" t="s">
        <v>46</v>
      </c>
      <c r="L882" s="11">
        <v>0.35671000000000003</v>
      </c>
      <c r="M882" s="1"/>
      <c r="N882" s="1" t="s">
        <v>34</v>
      </c>
      <c r="P882" s="1" t="str">
        <f>CONCATENATE(Table_Query_from_AMULTIQRY45[[#This Row],[WWHS]],"-",Table_Query_from_AMULTIQRY45[[#This Row],[LLOC]])</f>
        <v>E1-FG</v>
      </c>
      <c r="Q882" s="10">
        <f t="shared" ca="1" si="27"/>
        <v>45775</v>
      </c>
      <c r="R882" s="10"/>
      <c r="S882" s="28">
        <v>215</v>
      </c>
      <c r="T882" s="1" t="s">
        <v>2</v>
      </c>
      <c r="U882" s="1" t="s">
        <v>928</v>
      </c>
      <c r="V882" s="1">
        <v>20210608</v>
      </c>
      <c r="W882" s="8" t="s">
        <v>8442</v>
      </c>
      <c r="Z882" s="1"/>
      <c r="AA882" s="1"/>
      <c r="AC882" s="1"/>
      <c r="AD882" s="1"/>
      <c r="AE882" s="1"/>
      <c r="AF882" s="1"/>
    </row>
    <row r="883" spans="2:32" ht="12.75" x14ac:dyDescent="0.2">
      <c r="B883" s="1" t="s">
        <v>9389</v>
      </c>
      <c r="C883" s="10">
        <f t="shared" ca="1" si="26"/>
        <v>43433</v>
      </c>
      <c r="D883" s="4"/>
      <c r="E883" s="4" t="s">
        <v>8434</v>
      </c>
      <c r="F883" s="4" t="s">
        <v>1293</v>
      </c>
      <c r="G883" s="4"/>
      <c r="H883" s="4" t="str">
        <f>_xlfn.IFNA(VLOOKUP(Table_Query_from_AMULTIQRY45[[#This Row],[WPROD]],'Part# with New'!$A$1:$B$4347,2,0),Table_Query_from_AMULTIQRY45[[#This Row],[WPROD]])</f>
        <v>4-1849</v>
      </c>
      <c r="I883" s="4" t="s">
        <v>8436</v>
      </c>
      <c r="J883" s="1" t="s">
        <v>5</v>
      </c>
      <c r="L883" s="11">
        <v>4.4490000000000002E-2</v>
      </c>
      <c r="M883" s="1"/>
      <c r="N883" s="1" t="s">
        <v>37</v>
      </c>
      <c r="P883" s="1" t="str">
        <f>CONCATENATE(Table_Query_from_AMULTIQRY45[[#This Row],[WWHS]],"-",Table_Query_from_AMULTIQRY45[[#This Row],[LLOC]])</f>
        <v>E1-FG</v>
      </c>
      <c r="Q883" s="10">
        <f t="shared" ca="1" si="27"/>
        <v>45775</v>
      </c>
      <c r="R883" s="10"/>
      <c r="S883" s="28">
        <v>1520</v>
      </c>
      <c r="T883" s="1" t="s">
        <v>2</v>
      </c>
      <c r="U883" s="1" t="s">
        <v>929</v>
      </c>
      <c r="V883" s="1">
        <v>20181129</v>
      </c>
      <c r="W883" s="8" t="s">
        <v>8442</v>
      </c>
      <c r="Z883" s="1"/>
      <c r="AA883" s="1"/>
      <c r="AC883" s="1"/>
      <c r="AD883" s="1"/>
      <c r="AE883" s="1"/>
      <c r="AF883" s="1"/>
    </row>
    <row r="884" spans="2:32" ht="12.75" x14ac:dyDescent="0.2">
      <c r="B884" s="1" t="s">
        <v>9390</v>
      </c>
      <c r="C884" s="10">
        <f t="shared" ca="1" si="26"/>
        <v>43689</v>
      </c>
      <c r="D884" s="4"/>
      <c r="E884" s="4" t="s">
        <v>8434</v>
      </c>
      <c r="F884" s="4" t="s">
        <v>1293</v>
      </c>
      <c r="G884" s="4"/>
      <c r="H884" s="4" t="str">
        <f>_xlfn.IFNA(VLOOKUP(Table_Query_from_AMULTIQRY45[[#This Row],[WPROD]],'Part# with New'!$A$1:$B$4347,2,0),Table_Query_from_AMULTIQRY45[[#This Row],[WPROD]])</f>
        <v>4-1858</v>
      </c>
      <c r="I884" s="4" t="s">
        <v>8436</v>
      </c>
      <c r="J884" s="1" t="s">
        <v>5</v>
      </c>
      <c r="L884" s="11">
        <v>0.51375000000000004</v>
      </c>
      <c r="M884" s="1"/>
      <c r="N884" s="1" t="s">
        <v>30</v>
      </c>
      <c r="P884" s="1" t="str">
        <f>CONCATENATE(Table_Query_from_AMULTIQRY45[[#This Row],[WWHS]],"-",Table_Query_from_AMULTIQRY45[[#This Row],[LLOC]])</f>
        <v>E1-FG</v>
      </c>
      <c r="Q884" s="10">
        <f t="shared" ca="1" si="27"/>
        <v>45775</v>
      </c>
      <c r="R884" s="10"/>
      <c r="S884" s="28">
        <v>265</v>
      </c>
      <c r="T884" s="1" t="s">
        <v>2</v>
      </c>
      <c r="U884" s="1" t="s">
        <v>930</v>
      </c>
      <c r="V884" s="1">
        <v>20190812</v>
      </c>
      <c r="W884" s="8" t="s">
        <v>8442</v>
      </c>
      <c r="Z884" s="1"/>
      <c r="AA884" s="1"/>
      <c r="AC884" s="1"/>
      <c r="AD884" s="1"/>
      <c r="AE884" s="1"/>
      <c r="AF884" s="1"/>
    </row>
    <row r="885" spans="2:32" ht="12.75" x14ac:dyDescent="0.2">
      <c r="B885" s="1" t="s">
        <v>9391</v>
      </c>
      <c r="C885" s="10">
        <f t="shared" ca="1" si="26"/>
        <v>44974</v>
      </c>
      <c r="D885" s="4"/>
      <c r="E885" s="4" t="s">
        <v>8434</v>
      </c>
      <c r="F885" s="4" t="s">
        <v>1293</v>
      </c>
      <c r="G885" s="4"/>
      <c r="H885" s="4" t="str">
        <f>_xlfn.IFNA(VLOOKUP(Table_Query_from_AMULTIQRY45[[#This Row],[WPROD]],'Part# with New'!$A$1:$B$4347,2,0),Table_Query_from_AMULTIQRY45[[#This Row],[WPROD]])</f>
        <v>4-1864</v>
      </c>
      <c r="I885" s="4" t="s">
        <v>8436</v>
      </c>
      <c r="J885" s="1" t="s">
        <v>46</v>
      </c>
      <c r="L885" s="11">
        <v>0.34589999999999999</v>
      </c>
      <c r="M885" s="1"/>
      <c r="N885" s="1" t="s">
        <v>34</v>
      </c>
      <c r="P885" s="1" t="str">
        <f>CONCATENATE(Table_Query_from_AMULTIQRY45[[#This Row],[WWHS]],"-",Table_Query_from_AMULTIQRY45[[#This Row],[LLOC]])</f>
        <v>E1-FG</v>
      </c>
      <c r="Q885" s="10">
        <f t="shared" ca="1" si="27"/>
        <v>45775</v>
      </c>
      <c r="R885" s="10"/>
      <c r="S885" s="28">
        <v>1750</v>
      </c>
      <c r="T885" s="1" t="s">
        <v>2</v>
      </c>
      <c r="U885" s="1" t="s">
        <v>931</v>
      </c>
      <c r="V885" s="1">
        <v>20230217</v>
      </c>
      <c r="W885" s="8" t="s">
        <v>8442</v>
      </c>
      <c r="Z885" s="1"/>
      <c r="AA885" s="1"/>
      <c r="AC885" s="1"/>
      <c r="AD885" s="1"/>
      <c r="AE885" s="1"/>
      <c r="AF885" s="1"/>
    </row>
    <row r="886" spans="2:32" ht="12.75" x14ac:dyDescent="0.2">
      <c r="B886" s="1" t="s">
        <v>9392</v>
      </c>
      <c r="C886" s="10">
        <f t="shared" ca="1" si="26"/>
        <v>45716</v>
      </c>
      <c r="D886" s="4"/>
      <c r="E886" s="4" t="s">
        <v>8434</v>
      </c>
      <c r="F886" s="4" t="s">
        <v>1293</v>
      </c>
      <c r="G886" s="4"/>
      <c r="H886" s="4" t="str">
        <f>_xlfn.IFNA(VLOOKUP(Table_Query_from_AMULTIQRY45[[#This Row],[WPROD]],'Part# with New'!$A$1:$B$4347,2,0),Table_Query_from_AMULTIQRY45[[#This Row],[WPROD]])</f>
        <v>7-1311</v>
      </c>
      <c r="I886" s="4" t="s">
        <v>8436</v>
      </c>
      <c r="J886" s="1" t="s">
        <v>46</v>
      </c>
      <c r="L886" s="11">
        <v>2.07226</v>
      </c>
      <c r="M886" s="1"/>
      <c r="N886" s="1" t="s">
        <v>34</v>
      </c>
      <c r="P886" s="1" t="str">
        <f>CONCATENATE(Table_Query_from_AMULTIQRY45[[#This Row],[WWHS]],"-",Table_Query_from_AMULTIQRY45[[#This Row],[LLOC]])</f>
        <v>E1-FG</v>
      </c>
      <c r="Q886" s="10">
        <f t="shared" ca="1" si="27"/>
        <v>45775</v>
      </c>
      <c r="R886" s="10"/>
      <c r="S886" s="28">
        <v>85</v>
      </c>
      <c r="T886" s="1" t="s">
        <v>2</v>
      </c>
      <c r="U886" s="1" t="s">
        <v>932</v>
      </c>
      <c r="V886" s="1">
        <v>20250228</v>
      </c>
      <c r="W886" s="8" t="s">
        <v>8442</v>
      </c>
      <c r="Z886" s="1"/>
      <c r="AA886" s="1"/>
      <c r="AC886" s="1"/>
      <c r="AD886" s="1"/>
      <c r="AE886" s="1"/>
      <c r="AF886" s="1"/>
    </row>
    <row r="887" spans="2:32" ht="12.75" x14ac:dyDescent="0.2">
      <c r="B887" s="1" t="s">
        <v>9393</v>
      </c>
      <c r="C887" s="10">
        <f t="shared" ca="1" si="26"/>
        <v>43462</v>
      </c>
      <c r="D887" s="4"/>
      <c r="E887" s="4" t="s">
        <v>8434</v>
      </c>
      <c r="F887" s="4" t="s">
        <v>1293</v>
      </c>
      <c r="G887" s="4"/>
      <c r="H887" s="4" t="str">
        <f>_xlfn.IFNA(VLOOKUP(Table_Query_from_AMULTIQRY45[[#This Row],[WPROD]],'Part# with New'!$A$1:$B$4347,2,0),Table_Query_from_AMULTIQRY45[[#This Row],[WPROD]])</f>
        <v>7-2252</v>
      </c>
      <c r="I887" s="4" t="s">
        <v>8436</v>
      </c>
      <c r="J887" s="1" t="s">
        <v>5</v>
      </c>
      <c r="L887" s="11">
        <v>1.1610000000000001E-2</v>
      </c>
      <c r="M887" s="1"/>
      <c r="N887" s="1" t="s">
        <v>34</v>
      </c>
      <c r="P887" s="1" t="str">
        <f>CONCATENATE(Table_Query_from_AMULTIQRY45[[#This Row],[WWHS]],"-",Table_Query_from_AMULTIQRY45[[#This Row],[LLOC]])</f>
        <v>E1-FG</v>
      </c>
      <c r="Q887" s="10">
        <f t="shared" ca="1" si="27"/>
        <v>45775</v>
      </c>
      <c r="R887" s="10"/>
      <c r="S887" s="28">
        <v>2160</v>
      </c>
      <c r="T887" s="1" t="s">
        <v>2</v>
      </c>
      <c r="U887" s="1" t="s">
        <v>933</v>
      </c>
      <c r="V887" s="1">
        <v>20181228</v>
      </c>
      <c r="W887" s="8" t="s">
        <v>8442</v>
      </c>
      <c r="Z887" s="1"/>
      <c r="AA887" s="1"/>
      <c r="AC887" s="1"/>
      <c r="AD887" s="1"/>
      <c r="AE887" s="1"/>
      <c r="AF887" s="1"/>
    </row>
    <row r="888" spans="2:32" ht="12.75" x14ac:dyDescent="0.2">
      <c r="B888" s="1" t="s">
        <v>9394</v>
      </c>
      <c r="C888" s="10">
        <f t="shared" ca="1" si="26"/>
        <v>45672</v>
      </c>
      <c r="D888" s="4"/>
      <c r="E888" s="4" t="s">
        <v>8434</v>
      </c>
      <c r="F888" s="4" t="s">
        <v>1293</v>
      </c>
      <c r="G888" s="4"/>
      <c r="H888" s="4" t="str">
        <f>_xlfn.IFNA(VLOOKUP(Table_Query_from_AMULTIQRY45[[#This Row],[WPROD]],'Part# with New'!$A$1:$B$4347,2,0),Table_Query_from_AMULTIQRY45[[#This Row],[WPROD]])</f>
        <v>7-3090</v>
      </c>
      <c r="I888" s="4" t="s">
        <v>8436</v>
      </c>
      <c r="J888" s="1" t="s">
        <v>5</v>
      </c>
      <c r="L888" s="11">
        <v>2.3859999999999999E-2</v>
      </c>
      <c r="M888" s="1"/>
      <c r="N888" s="1" t="s">
        <v>34</v>
      </c>
      <c r="P888" s="1" t="str">
        <f>CONCATENATE(Table_Query_from_AMULTIQRY45[[#This Row],[WWHS]],"-",Table_Query_from_AMULTIQRY45[[#This Row],[LLOC]])</f>
        <v>E1-FG</v>
      </c>
      <c r="Q888" s="10">
        <f t="shared" ca="1" si="27"/>
        <v>45775</v>
      </c>
      <c r="R888" s="10"/>
      <c r="S888" s="28">
        <v>2870</v>
      </c>
      <c r="T888" s="1" t="s">
        <v>2</v>
      </c>
      <c r="U888" s="1" t="s">
        <v>934</v>
      </c>
      <c r="V888" s="1">
        <v>20250115</v>
      </c>
      <c r="W888" s="8" t="s">
        <v>8442</v>
      </c>
      <c r="Z888" s="1"/>
      <c r="AA888" s="1"/>
      <c r="AC888" s="1"/>
      <c r="AD888" s="1"/>
      <c r="AE888" s="1"/>
      <c r="AF888" s="1"/>
    </row>
    <row r="889" spans="2:32" ht="12.75" x14ac:dyDescent="0.2">
      <c r="B889" s="1" t="s">
        <v>9395</v>
      </c>
      <c r="C889" s="10">
        <f t="shared" ca="1" si="26"/>
        <v>45674</v>
      </c>
      <c r="D889" s="4"/>
      <c r="E889" s="4" t="s">
        <v>8434</v>
      </c>
      <c r="F889" s="4" t="s">
        <v>1293</v>
      </c>
      <c r="G889" s="4"/>
      <c r="H889" s="4" t="str">
        <f>_xlfn.IFNA(VLOOKUP(Table_Query_from_AMULTIQRY45[[#This Row],[WPROD]],'Part# with New'!$A$1:$B$4347,2,0),Table_Query_from_AMULTIQRY45[[#This Row],[WPROD]])</f>
        <v>7-3103</v>
      </c>
      <c r="I889" s="4" t="s">
        <v>8436</v>
      </c>
      <c r="J889" s="1" t="s">
        <v>5</v>
      </c>
      <c r="L889" s="11">
        <v>8.6290000000000006E-2</v>
      </c>
      <c r="M889" s="1"/>
      <c r="N889" s="1" t="s">
        <v>34</v>
      </c>
      <c r="P889" s="1" t="str">
        <f>CONCATENATE(Table_Query_from_AMULTIQRY45[[#This Row],[WWHS]],"-",Table_Query_from_AMULTIQRY45[[#This Row],[LLOC]])</f>
        <v>E1-FG</v>
      </c>
      <c r="Q889" s="10">
        <f t="shared" ca="1" si="27"/>
        <v>45775</v>
      </c>
      <c r="R889" s="10"/>
      <c r="S889" s="28">
        <v>1062</v>
      </c>
      <c r="T889" s="1" t="s">
        <v>2</v>
      </c>
      <c r="U889" s="1" t="s">
        <v>935</v>
      </c>
      <c r="V889" s="1">
        <v>20250117</v>
      </c>
      <c r="W889" s="8" t="s">
        <v>8442</v>
      </c>
      <c r="Z889" s="1"/>
      <c r="AA889" s="1"/>
      <c r="AC889" s="1"/>
      <c r="AD889" s="1"/>
      <c r="AE889" s="1"/>
      <c r="AF889" s="1"/>
    </row>
    <row r="890" spans="2:32" ht="12.75" x14ac:dyDescent="0.2">
      <c r="B890" s="1" t="s">
        <v>9396</v>
      </c>
      <c r="C890" s="10">
        <f t="shared" ca="1" si="26"/>
        <v>45758</v>
      </c>
      <c r="D890" s="4"/>
      <c r="E890" s="4" t="s">
        <v>8434</v>
      </c>
      <c r="F890" s="4" t="s">
        <v>1293</v>
      </c>
      <c r="G890" s="4"/>
      <c r="H890" s="4" t="str">
        <f>_xlfn.IFNA(VLOOKUP(Table_Query_from_AMULTIQRY45[[#This Row],[WPROD]],'Part# with New'!$A$1:$B$4347,2,0),Table_Query_from_AMULTIQRY45[[#This Row],[WPROD]])</f>
        <v>7-3120</v>
      </c>
      <c r="I890" s="4" t="s">
        <v>8436</v>
      </c>
      <c r="J890" s="1" t="s">
        <v>5</v>
      </c>
      <c r="L890" s="11">
        <v>20.410869999999999</v>
      </c>
      <c r="M890" s="1"/>
      <c r="N890" s="1" t="s">
        <v>30</v>
      </c>
      <c r="P890" s="1" t="str">
        <f>CONCATENATE(Table_Query_from_AMULTIQRY45[[#This Row],[WWHS]],"-",Table_Query_from_AMULTIQRY45[[#This Row],[LLOC]])</f>
        <v>E1-FG</v>
      </c>
      <c r="Q890" s="10">
        <f t="shared" ca="1" si="27"/>
        <v>45775</v>
      </c>
      <c r="R890" s="10"/>
      <c r="S890" s="28">
        <v>1</v>
      </c>
      <c r="T890" s="1" t="s">
        <v>2</v>
      </c>
      <c r="U890" s="1" t="s">
        <v>936</v>
      </c>
      <c r="V890" s="1">
        <v>20250411</v>
      </c>
      <c r="W890" s="8" t="s">
        <v>8442</v>
      </c>
      <c r="Z890" s="1"/>
      <c r="AA890" s="1"/>
      <c r="AC890" s="1"/>
      <c r="AD890" s="1"/>
      <c r="AE890" s="1"/>
      <c r="AF890" s="1"/>
    </row>
    <row r="891" spans="2:32" ht="12.75" x14ac:dyDescent="0.2">
      <c r="B891" s="1" t="s">
        <v>9397</v>
      </c>
      <c r="C891" s="10">
        <f t="shared" ca="1" si="26"/>
        <v>45742</v>
      </c>
      <c r="D891" s="4"/>
      <c r="E891" s="4" t="s">
        <v>8434</v>
      </c>
      <c r="F891" s="4" t="s">
        <v>1293</v>
      </c>
      <c r="G891" s="4"/>
      <c r="H891" s="4" t="str">
        <f>_xlfn.IFNA(VLOOKUP(Table_Query_from_AMULTIQRY45[[#This Row],[WPROD]],'Part# with New'!$A$1:$B$4347,2,0),Table_Query_from_AMULTIQRY45[[#This Row],[WPROD]])</f>
        <v>7-3134</v>
      </c>
      <c r="I891" s="4" t="s">
        <v>8436</v>
      </c>
      <c r="J891" s="1" t="s">
        <v>5</v>
      </c>
      <c r="L891" s="11">
        <v>15.104710000000001</v>
      </c>
      <c r="M891" s="1"/>
      <c r="N891" s="1" t="s">
        <v>30</v>
      </c>
      <c r="P891" s="1" t="str">
        <f>CONCATENATE(Table_Query_from_AMULTIQRY45[[#This Row],[WWHS]],"-",Table_Query_from_AMULTIQRY45[[#This Row],[LLOC]])</f>
        <v>E1-FG</v>
      </c>
      <c r="Q891" s="10">
        <f t="shared" ca="1" si="27"/>
        <v>45775</v>
      </c>
      <c r="R891" s="10"/>
      <c r="S891" s="28">
        <v>165</v>
      </c>
      <c r="T891" s="1" t="s">
        <v>2</v>
      </c>
      <c r="U891" s="1" t="s">
        <v>937</v>
      </c>
      <c r="V891" s="1">
        <v>20250326</v>
      </c>
      <c r="W891" s="8" t="s">
        <v>8442</v>
      </c>
      <c r="Z891" s="1"/>
      <c r="AA891" s="1"/>
      <c r="AC891" s="1"/>
      <c r="AD891" s="1"/>
      <c r="AE891" s="1"/>
      <c r="AF891" s="1"/>
    </row>
    <row r="892" spans="2:32" ht="12.75" x14ac:dyDescent="0.2">
      <c r="B892" s="1" t="s">
        <v>9398</v>
      </c>
      <c r="C892" s="10">
        <f t="shared" ca="1" si="26"/>
        <v>44944</v>
      </c>
      <c r="D892" s="4"/>
      <c r="E892" s="4" t="s">
        <v>8434</v>
      </c>
      <c r="F892" s="4" t="s">
        <v>1293</v>
      </c>
      <c r="G892" s="4"/>
      <c r="H892" s="4" t="str">
        <f>_xlfn.IFNA(VLOOKUP(Table_Query_from_AMULTIQRY45[[#This Row],[WPROD]],'Part# with New'!$A$1:$B$4347,2,0),Table_Query_from_AMULTIQRY45[[#This Row],[WPROD]])</f>
        <v>7-3135</v>
      </c>
      <c r="I892" s="4" t="s">
        <v>8436</v>
      </c>
      <c r="J892" s="1" t="s">
        <v>5</v>
      </c>
      <c r="L892" s="11">
        <v>0.26384999999999997</v>
      </c>
      <c r="M892" s="1"/>
      <c r="N892" s="1" t="s">
        <v>34</v>
      </c>
      <c r="P892" s="1" t="str">
        <f>CONCATENATE(Table_Query_from_AMULTIQRY45[[#This Row],[WWHS]],"-",Table_Query_from_AMULTIQRY45[[#This Row],[LLOC]])</f>
        <v>E1-FG</v>
      </c>
      <c r="Q892" s="10">
        <f t="shared" ca="1" si="27"/>
        <v>45775</v>
      </c>
      <c r="R892" s="10"/>
      <c r="S892" s="28">
        <v>118</v>
      </c>
      <c r="T892" s="1" t="s">
        <v>2</v>
      </c>
      <c r="U892" s="1" t="s">
        <v>938</v>
      </c>
      <c r="V892" s="1">
        <v>20230118</v>
      </c>
      <c r="W892" s="8" t="s">
        <v>8442</v>
      </c>
      <c r="Z892" s="1"/>
      <c r="AA892" s="1"/>
      <c r="AC892" s="1"/>
      <c r="AD892" s="1"/>
      <c r="AE892" s="1"/>
      <c r="AF892" s="1"/>
    </row>
    <row r="893" spans="2:32" ht="12.75" x14ac:dyDescent="0.2">
      <c r="B893" s="1" t="s">
        <v>9399</v>
      </c>
      <c r="C893" s="10">
        <f t="shared" ca="1" si="26"/>
        <v>44441</v>
      </c>
      <c r="D893" s="4"/>
      <c r="E893" s="4" t="s">
        <v>8434</v>
      </c>
      <c r="F893" s="4" t="s">
        <v>1293</v>
      </c>
      <c r="G893" s="4"/>
      <c r="H893" s="4" t="str">
        <f>_xlfn.IFNA(VLOOKUP(Table_Query_from_AMULTIQRY45[[#This Row],[WPROD]],'Part# with New'!$A$1:$B$4347,2,0),Table_Query_from_AMULTIQRY45[[#This Row],[WPROD]])</f>
        <v>80440</v>
      </c>
      <c r="I893" s="4" t="s">
        <v>8436</v>
      </c>
      <c r="J893" s="1" t="s">
        <v>5</v>
      </c>
      <c r="L893" s="11">
        <v>0.44792999999999999</v>
      </c>
      <c r="M893" s="1"/>
      <c r="N893" s="1" t="s">
        <v>18</v>
      </c>
      <c r="P893" s="1" t="str">
        <f>CONCATENATE(Table_Query_from_AMULTIQRY45[[#This Row],[WWHS]],"-",Table_Query_from_AMULTIQRY45[[#This Row],[LLOC]])</f>
        <v>E1-RAW</v>
      </c>
      <c r="Q893" s="10">
        <f t="shared" ca="1" si="27"/>
        <v>45775</v>
      </c>
      <c r="R893" s="10"/>
      <c r="S893" s="28">
        <v>74</v>
      </c>
      <c r="T893" s="1" t="s">
        <v>2</v>
      </c>
      <c r="U893" s="1" t="s">
        <v>939</v>
      </c>
      <c r="V893" s="1">
        <v>20210902</v>
      </c>
      <c r="W893" s="8" t="s">
        <v>8443</v>
      </c>
      <c r="Z893" s="1"/>
      <c r="AA893" s="1"/>
      <c r="AC893" s="1"/>
      <c r="AD893" s="1"/>
      <c r="AE893" s="1"/>
      <c r="AF893" s="1"/>
    </row>
    <row r="894" spans="2:32" ht="12.75" x14ac:dyDescent="0.2">
      <c r="B894" s="1" t="s">
        <v>9400</v>
      </c>
      <c r="C894" s="10">
        <f t="shared" ca="1" si="26"/>
        <v>45170</v>
      </c>
      <c r="D894" s="4"/>
      <c r="E894" s="4" t="s">
        <v>8434</v>
      </c>
      <c r="F894" s="4" t="s">
        <v>1293</v>
      </c>
      <c r="G894" s="4"/>
      <c r="H894" s="4" t="str">
        <f>_xlfn.IFNA(VLOOKUP(Table_Query_from_AMULTIQRY45[[#This Row],[WPROD]],'Part# with New'!$A$1:$B$4347,2,0),Table_Query_from_AMULTIQRY45[[#This Row],[WPROD]])</f>
        <v>80444</v>
      </c>
      <c r="I894" s="4" t="s">
        <v>8436</v>
      </c>
      <c r="J894" s="1" t="s">
        <v>5</v>
      </c>
      <c r="L894" s="11">
        <v>0.75651000000000002</v>
      </c>
      <c r="M894" s="1"/>
      <c r="N894" s="1" t="s">
        <v>18</v>
      </c>
      <c r="P894" s="1" t="str">
        <f>CONCATENATE(Table_Query_from_AMULTIQRY45[[#This Row],[WWHS]],"-",Table_Query_from_AMULTIQRY45[[#This Row],[LLOC]])</f>
        <v>E1-RAW</v>
      </c>
      <c r="Q894" s="10">
        <f t="shared" ca="1" si="27"/>
        <v>45775</v>
      </c>
      <c r="R894" s="10"/>
      <c r="S894" s="28">
        <v>567</v>
      </c>
      <c r="T894" s="1" t="s">
        <v>2</v>
      </c>
      <c r="U894" s="1" t="s">
        <v>940</v>
      </c>
      <c r="V894" s="1">
        <v>20230901</v>
      </c>
      <c r="W894" s="8" t="s">
        <v>8443</v>
      </c>
      <c r="Z894" s="1"/>
      <c r="AA894" s="1"/>
      <c r="AC894" s="1"/>
      <c r="AD894" s="1"/>
      <c r="AE894" s="1"/>
      <c r="AF894" s="1"/>
    </row>
    <row r="895" spans="2:32" ht="12.75" x14ac:dyDescent="0.2">
      <c r="B895" s="1" t="s">
        <v>9401</v>
      </c>
      <c r="C895" s="10">
        <f t="shared" ca="1" si="26"/>
        <v>43418</v>
      </c>
      <c r="D895" s="4"/>
      <c r="E895" s="4" t="s">
        <v>8434</v>
      </c>
      <c r="F895" s="4" t="s">
        <v>1293</v>
      </c>
      <c r="G895" s="4"/>
      <c r="H895" s="4" t="str">
        <f>_xlfn.IFNA(VLOOKUP(Table_Query_from_AMULTIQRY45[[#This Row],[WPROD]],'Part# with New'!$A$1:$B$4347,2,0),Table_Query_from_AMULTIQRY45[[#This Row],[WPROD]])</f>
        <v>80446</v>
      </c>
      <c r="I895" s="4" t="s">
        <v>8436</v>
      </c>
      <c r="J895" s="1" t="s">
        <v>5</v>
      </c>
      <c r="L895" s="11">
        <v>0.89153000000000004</v>
      </c>
      <c r="M895" s="1"/>
      <c r="N895" s="1" t="s">
        <v>18</v>
      </c>
      <c r="P895" s="1" t="str">
        <f>CONCATENATE(Table_Query_from_AMULTIQRY45[[#This Row],[WWHS]],"-",Table_Query_from_AMULTIQRY45[[#This Row],[LLOC]])</f>
        <v>E1-RAW</v>
      </c>
      <c r="Q895" s="10">
        <f t="shared" ca="1" si="27"/>
        <v>45775</v>
      </c>
      <c r="R895" s="10"/>
      <c r="S895" s="28">
        <v>82</v>
      </c>
      <c r="T895" s="1" t="s">
        <v>2</v>
      </c>
      <c r="U895" s="1" t="s">
        <v>941</v>
      </c>
      <c r="V895" s="1">
        <v>20181114</v>
      </c>
      <c r="W895" s="8" t="s">
        <v>8443</v>
      </c>
      <c r="Z895" s="1"/>
      <c r="AA895" s="1"/>
      <c r="AC895" s="1"/>
      <c r="AD895" s="1"/>
      <c r="AE895" s="1"/>
      <c r="AF895" s="1"/>
    </row>
    <row r="896" spans="2:32" ht="12.75" x14ac:dyDescent="0.2">
      <c r="B896" s="1" t="s">
        <v>9402</v>
      </c>
      <c r="C896" s="10">
        <f t="shared" ca="1" si="26"/>
        <v>44951</v>
      </c>
      <c r="D896" s="4"/>
      <c r="E896" s="4" t="s">
        <v>8434</v>
      </c>
      <c r="F896" s="4" t="s">
        <v>1293</v>
      </c>
      <c r="G896" s="4"/>
      <c r="H896" s="4" t="str">
        <f>_xlfn.IFNA(VLOOKUP(Table_Query_from_AMULTIQRY45[[#This Row],[WPROD]],'Part# with New'!$A$1:$B$4347,2,0),Table_Query_from_AMULTIQRY45[[#This Row],[WPROD]])</f>
        <v>80458</v>
      </c>
      <c r="I896" s="4" t="s">
        <v>8436</v>
      </c>
      <c r="J896" s="1" t="s">
        <v>5</v>
      </c>
      <c r="L896" s="11">
        <v>1.137</v>
      </c>
      <c r="M896" s="1"/>
      <c r="N896" s="1" t="s">
        <v>18</v>
      </c>
      <c r="P896" s="1" t="str">
        <f>CONCATENATE(Table_Query_from_AMULTIQRY45[[#This Row],[WWHS]],"-",Table_Query_from_AMULTIQRY45[[#This Row],[LLOC]])</f>
        <v>E1-RAW</v>
      </c>
      <c r="Q896" s="10">
        <f t="shared" ca="1" si="27"/>
        <v>45775</v>
      </c>
      <c r="R896" s="10"/>
      <c r="S896" s="28">
        <v>20</v>
      </c>
      <c r="T896" s="1" t="s">
        <v>2</v>
      </c>
      <c r="U896" s="1" t="s">
        <v>942</v>
      </c>
      <c r="V896" s="1">
        <v>20230125</v>
      </c>
      <c r="W896" s="8" t="s">
        <v>8443</v>
      </c>
      <c r="Z896" s="1"/>
      <c r="AA896" s="1"/>
      <c r="AC896" s="1"/>
      <c r="AD896" s="1"/>
      <c r="AE896" s="1"/>
      <c r="AF896" s="1"/>
    </row>
    <row r="897" spans="2:32" ht="12.75" x14ac:dyDescent="0.2">
      <c r="B897" s="1" t="s">
        <v>9403</v>
      </c>
      <c r="C897" s="10">
        <f t="shared" ca="1" si="26"/>
        <v>45747</v>
      </c>
      <c r="D897" s="4"/>
      <c r="E897" s="4" t="s">
        <v>8434</v>
      </c>
      <c r="F897" s="4" t="s">
        <v>1293</v>
      </c>
      <c r="G897" s="4"/>
      <c r="H897" s="4" t="str">
        <f>_xlfn.IFNA(VLOOKUP(Table_Query_from_AMULTIQRY45[[#This Row],[WPROD]],'Part# with New'!$A$1:$B$4347,2,0),Table_Query_from_AMULTIQRY45[[#This Row],[WPROD]])</f>
        <v>81494</v>
      </c>
      <c r="I897" s="4" t="s">
        <v>8436</v>
      </c>
      <c r="J897" s="1" t="s">
        <v>5</v>
      </c>
      <c r="L897" s="11">
        <v>0.19103999999999999</v>
      </c>
      <c r="M897" s="1"/>
      <c r="N897" s="1" t="s">
        <v>18</v>
      </c>
      <c r="P897" s="1" t="str">
        <f>CONCATENATE(Table_Query_from_AMULTIQRY45[[#This Row],[WWHS]],"-",Table_Query_from_AMULTIQRY45[[#This Row],[LLOC]])</f>
        <v>E1-RAW</v>
      </c>
      <c r="Q897" s="10">
        <f t="shared" ca="1" si="27"/>
        <v>45775</v>
      </c>
      <c r="R897" s="10"/>
      <c r="S897" s="28">
        <v>42</v>
      </c>
      <c r="T897" s="1" t="s">
        <v>2</v>
      </c>
      <c r="U897" s="1" t="s">
        <v>943</v>
      </c>
      <c r="V897" s="1">
        <v>20250331</v>
      </c>
      <c r="W897" s="8" t="s">
        <v>8443</v>
      </c>
      <c r="Z897" s="1"/>
      <c r="AA897" s="1"/>
      <c r="AC897" s="1"/>
      <c r="AD897" s="1"/>
      <c r="AE897" s="1"/>
      <c r="AF897" s="1"/>
    </row>
    <row r="898" spans="2:32" ht="12.75" x14ac:dyDescent="0.2">
      <c r="B898" s="1" t="s">
        <v>9404</v>
      </c>
      <c r="C898" s="10">
        <f t="shared" ca="1" si="26"/>
        <v>45747</v>
      </c>
      <c r="D898" s="4"/>
      <c r="E898" s="4" t="s">
        <v>8434</v>
      </c>
      <c r="F898" s="4" t="s">
        <v>1293</v>
      </c>
      <c r="G898" s="4"/>
      <c r="H898" s="4" t="str">
        <f>_xlfn.IFNA(VLOOKUP(Table_Query_from_AMULTIQRY45[[#This Row],[WPROD]],'Part# with New'!$A$1:$B$4347,2,0),Table_Query_from_AMULTIQRY45[[#This Row],[WPROD]])</f>
        <v>81495</v>
      </c>
      <c r="I898" s="4" t="s">
        <v>8436</v>
      </c>
      <c r="J898" s="1" t="s">
        <v>5</v>
      </c>
      <c r="L898" s="11">
        <v>0.19741</v>
      </c>
      <c r="M898" s="1"/>
      <c r="N898" s="1" t="s">
        <v>18</v>
      </c>
      <c r="P898" s="1" t="str">
        <f>CONCATENATE(Table_Query_from_AMULTIQRY45[[#This Row],[WWHS]],"-",Table_Query_from_AMULTIQRY45[[#This Row],[LLOC]])</f>
        <v>E1-RAW</v>
      </c>
      <c r="Q898" s="10">
        <f t="shared" ca="1" si="27"/>
        <v>45775</v>
      </c>
      <c r="R898" s="10"/>
      <c r="S898" s="28">
        <v>39</v>
      </c>
      <c r="T898" s="1" t="s">
        <v>2</v>
      </c>
      <c r="U898" s="1" t="s">
        <v>944</v>
      </c>
      <c r="V898" s="1">
        <v>20250331</v>
      </c>
      <c r="W898" s="8" t="s">
        <v>8443</v>
      </c>
      <c r="Z898" s="1"/>
      <c r="AA898" s="1"/>
      <c r="AC898" s="1"/>
      <c r="AD898" s="1"/>
      <c r="AE898" s="1"/>
      <c r="AF898" s="1"/>
    </row>
    <row r="899" spans="2:32" ht="12.75" x14ac:dyDescent="0.2">
      <c r="B899" s="1" t="s">
        <v>9405</v>
      </c>
      <c r="C899" s="10">
        <f t="shared" ca="1" si="26"/>
        <v>45729</v>
      </c>
      <c r="D899" s="4"/>
      <c r="E899" s="4" t="s">
        <v>8434</v>
      </c>
      <c r="F899" s="4" t="s">
        <v>1293</v>
      </c>
      <c r="G899" s="4"/>
      <c r="H899" s="4" t="str">
        <f>_xlfn.IFNA(VLOOKUP(Table_Query_from_AMULTIQRY45[[#This Row],[WPROD]],'Part# with New'!$A$1:$B$4347,2,0),Table_Query_from_AMULTIQRY45[[#This Row],[WPROD]])</f>
        <v>81778</v>
      </c>
      <c r="I899" s="4" t="s">
        <v>8436</v>
      </c>
      <c r="J899" s="1" t="s">
        <v>5</v>
      </c>
      <c r="L899" s="11">
        <v>0.25691000000000003</v>
      </c>
      <c r="M899" s="1"/>
      <c r="N899" s="1" t="s">
        <v>18</v>
      </c>
      <c r="P899" s="1" t="str">
        <f>CONCATENATE(Table_Query_from_AMULTIQRY45[[#This Row],[WWHS]],"-",Table_Query_from_AMULTIQRY45[[#This Row],[LLOC]])</f>
        <v>E1-RAW</v>
      </c>
      <c r="Q899" s="10">
        <f t="shared" ca="1" si="27"/>
        <v>45775</v>
      </c>
      <c r="R899" s="10"/>
      <c r="S899" s="28">
        <v>60</v>
      </c>
      <c r="T899" s="1" t="s">
        <v>2</v>
      </c>
      <c r="U899" s="1" t="s">
        <v>945</v>
      </c>
      <c r="V899" s="1">
        <v>20250313</v>
      </c>
      <c r="W899" s="8" t="s">
        <v>8443</v>
      </c>
      <c r="Z899" s="1"/>
      <c r="AA899" s="1"/>
      <c r="AC899" s="1"/>
      <c r="AD899" s="1"/>
      <c r="AE899" s="1"/>
      <c r="AF899" s="1"/>
    </row>
    <row r="900" spans="2:32" ht="12.75" x14ac:dyDescent="0.2">
      <c r="B900" s="1" t="s">
        <v>9406</v>
      </c>
      <c r="C900" s="10">
        <f t="shared" ca="1" si="26"/>
        <v>45729</v>
      </c>
      <c r="D900" s="4"/>
      <c r="E900" s="4" t="s">
        <v>8434</v>
      </c>
      <c r="F900" s="4" t="s">
        <v>1293</v>
      </c>
      <c r="G900" s="4"/>
      <c r="H900" s="4" t="str">
        <f>_xlfn.IFNA(VLOOKUP(Table_Query_from_AMULTIQRY45[[#This Row],[WPROD]],'Part# with New'!$A$1:$B$4347,2,0),Table_Query_from_AMULTIQRY45[[#This Row],[WPROD]])</f>
        <v>81779</v>
      </c>
      <c r="I900" s="4" t="s">
        <v>8436</v>
      </c>
      <c r="J900" s="1" t="s">
        <v>5</v>
      </c>
      <c r="L900" s="11">
        <v>0.2601</v>
      </c>
      <c r="M900" s="1"/>
      <c r="N900" s="1" t="s">
        <v>18</v>
      </c>
      <c r="P900" s="1" t="str">
        <f>CONCATENATE(Table_Query_from_AMULTIQRY45[[#This Row],[WWHS]],"-",Table_Query_from_AMULTIQRY45[[#This Row],[LLOC]])</f>
        <v>E1-RAW</v>
      </c>
      <c r="Q900" s="10">
        <f t="shared" ca="1" si="27"/>
        <v>45775</v>
      </c>
      <c r="R900" s="10"/>
      <c r="S900" s="28">
        <v>57</v>
      </c>
      <c r="T900" s="1" t="s">
        <v>2</v>
      </c>
      <c r="U900" s="1" t="s">
        <v>946</v>
      </c>
      <c r="V900" s="1">
        <v>20250313</v>
      </c>
      <c r="W900" s="8" t="s">
        <v>8443</v>
      </c>
      <c r="Z900" s="1"/>
      <c r="AA900" s="1"/>
      <c r="AC900" s="1"/>
      <c r="AD900" s="1"/>
      <c r="AE900" s="1"/>
      <c r="AF900" s="1"/>
    </row>
    <row r="901" spans="2:32" ht="12.75" x14ac:dyDescent="0.2">
      <c r="B901" s="1" t="s">
        <v>9407</v>
      </c>
      <c r="C901" s="10">
        <f t="shared" ca="1" si="26"/>
        <v>45729</v>
      </c>
      <c r="D901" s="4"/>
      <c r="E901" s="4" t="s">
        <v>8434</v>
      </c>
      <c r="F901" s="4" t="s">
        <v>1293</v>
      </c>
      <c r="G901" s="4"/>
      <c r="H901" s="4" t="str">
        <f>_xlfn.IFNA(VLOOKUP(Table_Query_from_AMULTIQRY45[[#This Row],[WPROD]],'Part# with New'!$A$1:$B$4347,2,0),Table_Query_from_AMULTIQRY45[[#This Row],[WPROD]])</f>
        <v>81780</v>
      </c>
      <c r="I901" s="4" t="s">
        <v>8436</v>
      </c>
      <c r="J901" s="1" t="s">
        <v>5</v>
      </c>
      <c r="L901" s="11">
        <v>0.45698</v>
      </c>
      <c r="M901" s="1"/>
      <c r="N901" s="1" t="s">
        <v>18</v>
      </c>
      <c r="P901" s="1" t="str">
        <f>CONCATENATE(Table_Query_from_AMULTIQRY45[[#This Row],[WWHS]],"-",Table_Query_from_AMULTIQRY45[[#This Row],[LLOC]])</f>
        <v>E1-RAW</v>
      </c>
      <c r="Q901" s="10">
        <f t="shared" ca="1" si="27"/>
        <v>45775</v>
      </c>
      <c r="R901" s="10"/>
      <c r="S901" s="28">
        <v>156</v>
      </c>
      <c r="T901" s="1" t="s">
        <v>2</v>
      </c>
      <c r="U901" s="1" t="s">
        <v>947</v>
      </c>
      <c r="V901" s="1">
        <v>20250313</v>
      </c>
      <c r="W901" s="8" t="s">
        <v>8443</v>
      </c>
      <c r="Z901" s="1"/>
      <c r="AA901" s="1"/>
      <c r="AC901" s="1"/>
      <c r="AD901" s="1"/>
      <c r="AE901" s="1"/>
      <c r="AF901" s="1"/>
    </row>
    <row r="902" spans="2:32" ht="12.75" x14ac:dyDescent="0.2">
      <c r="B902" s="1" t="s">
        <v>9408</v>
      </c>
      <c r="C902" s="10">
        <f t="shared" ca="1" si="26"/>
        <v>42674</v>
      </c>
      <c r="D902" s="4"/>
      <c r="E902" s="4" t="s">
        <v>8434</v>
      </c>
      <c r="F902" s="4" t="s">
        <v>1293</v>
      </c>
      <c r="G902" s="4"/>
      <c r="H902" s="4" t="str">
        <f>_xlfn.IFNA(VLOOKUP(Table_Query_from_AMULTIQRY45[[#This Row],[WPROD]],'Part# with New'!$A$1:$B$4347,2,0),Table_Query_from_AMULTIQRY45[[#This Row],[WPROD]])</f>
        <v>81921</v>
      </c>
      <c r="I902" s="4" t="s">
        <v>8436</v>
      </c>
      <c r="J902" s="1" t="s">
        <v>5</v>
      </c>
      <c r="L902" s="11">
        <v>1.19339</v>
      </c>
      <c r="M902" s="1"/>
      <c r="N902" s="1" t="s">
        <v>328</v>
      </c>
      <c r="P902" s="1" t="str">
        <f>CONCATENATE(Table_Query_from_AMULTIQRY45[[#This Row],[WWHS]],"-",Table_Query_from_AMULTIQRY45[[#This Row],[LLOC]])</f>
        <v>E1-RAW</v>
      </c>
      <c r="Q902" s="10">
        <f t="shared" ca="1" si="27"/>
        <v>45775</v>
      </c>
      <c r="R902" s="10"/>
      <c r="S902" s="28">
        <v>36</v>
      </c>
      <c r="T902" s="1" t="s">
        <v>2</v>
      </c>
      <c r="U902" s="1" t="s">
        <v>948</v>
      </c>
      <c r="V902" s="1">
        <v>20161031</v>
      </c>
      <c r="W902" s="8" t="s">
        <v>8443</v>
      </c>
      <c r="Z902" s="1"/>
      <c r="AA902" s="1"/>
      <c r="AC902" s="1"/>
      <c r="AD902" s="1"/>
      <c r="AE902" s="1"/>
      <c r="AF902" s="1"/>
    </row>
    <row r="903" spans="2:32" ht="12.75" x14ac:dyDescent="0.2">
      <c r="B903" s="1" t="s">
        <v>9409</v>
      </c>
      <c r="C903" s="10">
        <f t="shared" ref="C903:C966" ca="1" si="28">IFERROR(DATE(LEFT($V903,4),MID($V903,5,2),RIGHT($V903,2)),TODAY())</f>
        <v>45775</v>
      </c>
      <c r="D903" s="4"/>
      <c r="E903" s="4" t="s">
        <v>8434</v>
      </c>
      <c r="F903" s="4" t="s">
        <v>1293</v>
      </c>
      <c r="G903" s="4"/>
      <c r="H903" s="4" t="str">
        <f>_xlfn.IFNA(VLOOKUP(Table_Query_from_AMULTIQRY45[[#This Row],[WPROD]],'Part# with New'!$A$1:$B$4347,2,0),Table_Query_from_AMULTIQRY45[[#This Row],[WPROD]])</f>
        <v>82098</v>
      </c>
      <c r="I903" s="4" t="s">
        <v>8436</v>
      </c>
      <c r="J903" s="1" t="s">
        <v>5</v>
      </c>
      <c r="L903" s="11">
        <v>0.72047000000000005</v>
      </c>
      <c r="M903" s="1"/>
      <c r="N903" s="1" t="s">
        <v>6</v>
      </c>
      <c r="P903" s="1" t="str">
        <f>CONCATENATE(Table_Query_from_AMULTIQRY45[[#This Row],[WWHS]],"-",Table_Query_from_AMULTIQRY45[[#This Row],[LLOC]])</f>
        <v>E1-RAW</v>
      </c>
      <c r="Q903" s="10">
        <f t="shared" ref="Q903:Q966" ca="1" si="29">+TODAY()</f>
        <v>45775</v>
      </c>
      <c r="R903" s="10"/>
      <c r="S903" s="28">
        <v>23</v>
      </c>
      <c r="T903" s="1" t="s">
        <v>2</v>
      </c>
      <c r="U903" s="1" t="s">
        <v>949</v>
      </c>
      <c r="V903" s="1">
        <v>0</v>
      </c>
      <c r="W903" s="8" t="s">
        <v>8443</v>
      </c>
      <c r="Z903" s="1"/>
      <c r="AA903" s="1"/>
      <c r="AC903" s="1"/>
      <c r="AD903" s="1"/>
      <c r="AE903" s="1"/>
      <c r="AF903" s="1"/>
    </row>
    <row r="904" spans="2:32" ht="12.75" x14ac:dyDescent="0.2">
      <c r="B904" s="1" t="s">
        <v>9410</v>
      </c>
      <c r="C904" s="10">
        <f t="shared" ca="1" si="28"/>
        <v>45775</v>
      </c>
      <c r="D904" s="4"/>
      <c r="E904" s="4" t="s">
        <v>8434</v>
      </c>
      <c r="F904" s="4" t="s">
        <v>1293</v>
      </c>
      <c r="G904" s="4"/>
      <c r="H904" s="4" t="str">
        <f>_xlfn.IFNA(VLOOKUP(Table_Query_from_AMULTIQRY45[[#This Row],[WPROD]],'Part# with New'!$A$1:$B$4347,2,0),Table_Query_from_AMULTIQRY45[[#This Row],[WPROD]])</f>
        <v>82100</v>
      </c>
      <c r="I904" s="4" t="s">
        <v>8436</v>
      </c>
      <c r="J904" s="1" t="s">
        <v>5</v>
      </c>
      <c r="L904" s="11">
        <v>0.72047000000000005</v>
      </c>
      <c r="M904" s="1"/>
      <c r="N904" s="1" t="s">
        <v>6</v>
      </c>
      <c r="P904" s="1" t="str">
        <f>CONCATENATE(Table_Query_from_AMULTIQRY45[[#This Row],[WWHS]],"-",Table_Query_from_AMULTIQRY45[[#This Row],[LLOC]])</f>
        <v>E1-RAW</v>
      </c>
      <c r="Q904" s="10">
        <f t="shared" ca="1" si="29"/>
        <v>45775</v>
      </c>
      <c r="R904" s="10"/>
      <c r="S904" s="28">
        <v>25</v>
      </c>
      <c r="T904" s="1" t="s">
        <v>2</v>
      </c>
      <c r="U904" s="1" t="s">
        <v>950</v>
      </c>
      <c r="V904" s="1">
        <v>0</v>
      </c>
      <c r="W904" s="8" t="s">
        <v>8443</v>
      </c>
      <c r="Z904" s="1"/>
      <c r="AA904" s="1"/>
      <c r="AC904" s="1"/>
      <c r="AD904" s="1"/>
      <c r="AE904" s="1"/>
      <c r="AF904" s="1"/>
    </row>
    <row r="905" spans="2:32" ht="12.75" x14ac:dyDescent="0.2">
      <c r="B905" s="1" t="s">
        <v>9411</v>
      </c>
      <c r="C905" s="10">
        <f t="shared" ca="1" si="28"/>
        <v>45771</v>
      </c>
      <c r="D905" s="4"/>
      <c r="E905" s="4" t="s">
        <v>8434</v>
      </c>
      <c r="F905" s="4" t="s">
        <v>1293</v>
      </c>
      <c r="G905" s="4"/>
      <c r="H905" s="4" t="str">
        <f>_xlfn.IFNA(VLOOKUP(Table_Query_from_AMULTIQRY45[[#This Row],[WPROD]],'Part# with New'!$A$1:$B$4347,2,0),Table_Query_from_AMULTIQRY45[[#This Row],[WPROD]])</f>
        <v>82718</v>
      </c>
      <c r="I905" s="4" t="s">
        <v>8436</v>
      </c>
      <c r="J905" s="1" t="s">
        <v>5</v>
      </c>
      <c r="L905" s="11">
        <v>0.26584999999999998</v>
      </c>
      <c r="M905" s="1"/>
      <c r="N905" s="1" t="s">
        <v>18</v>
      </c>
      <c r="P905" s="1" t="str">
        <f>CONCATENATE(Table_Query_from_AMULTIQRY45[[#This Row],[WWHS]],"-",Table_Query_from_AMULTIQRY45[[#This Row],[LLOC]])</f>
        <v>E1-RAW</v>
      </c>
      <c r="Q905" s="10">
        <f t="shared" ca="1" si="29"/>
        <v>45775</v>
      </c>
      <c r="R905" s="10"/>
      <c r="S905" s="28">
        <v>3607</v>
      </c>
      <c r="T905" s="1" t="s">
        <v>2</v>
      </c>
      <c r="U905" s="1" t="s">
        <v>951</v>
      </c>
      <c r="V905" s="1">
        <v>20250424</v>
      </c>
      <c r="W905" s="8" t="s">
        <v>8443</v>
      </c>
      <c r="Z905" s="1"/>
      <c r="AA905" s="1"/>
      <c r="AC905" s="1"/>
      <c r="AD905" s="1"/>
      <c r="AE905" s="1"/>
      <c r="AF905" s="1"/>
    </row>
    <row r="906" spans="2:32" ht="12.75" x14ac:dyDescent="0.2">
      <c r="B906" s="1" t="s">
        <v>9412</v>
      </c>
      <c r="C906" s="10">
        <f t="shared" ca="1" si="28"/>
        <v>45775</v>
      </c>
      <c r="D906" s="4"/>
      <c r="E906" s="4" t="s">
        <v>8434</v>
      </c>
      <c r="F906" s="4" t="s">
        <v>1293</v>
      </c>
      <c r="G906" s="4"/>
      <c r="H906" s="4" t="str">
        <f>_xlfn.IFNA(VLOOKUP(Table_Query_from_AMULTIQRY45[[#This Row],[WPROD]],'Part# with New'!$A$1:$B$4347,2,0),Table_Query_from_AMULTIQRY45[[#This Row],[WPROD]])</f>
        <v>83005</v>
      </c>
      <c r="I906" s="4" t="s">
        <v>8436</v>
      </c>
      <c r="J906" s="1" t="s">
        <v>5</v>
      </c>
      <c r="L906" s="11">
        <v>0.82055999999999996</v>
      </c>
      <c r="M906" s="1"/>
      <c r="N906" s="1" t="s">
        <v>6</v>
      </c>
      <c r="P906" s="1" t="str">
        <f>CONCATENATE(Table_Query_from_AMULTIQRY45[[#This Row],[WWHS]],"-",Table_Query_from_AMULTIQRY45[[#This Row],[LLOC]])</f>
        <v>E1-RAW</v>
      </c>
      <c r="Q906" s="10">
        <f t="shared" ca="1" si="29"/>
        <v>45775</v>
      </c>
      <c r="R906" s="10"/>
      <c r="S906" s="28">
        <v>106</v>
      </c>
      <c r="T906" s="1" t="s">
        <v>2</v>
      </c>
      <c r="U906" s="1" t="s">
        <v>952</v>
      </c>
      <c r="V906" s="1">
        <v>0</v>
      </c>
      <c r="W906" s="8" t="s">
        <v>8443</v>
      </c>
      <c r="Z906" s="1"/>
      <c r="AA906" s="1"/>
      <c r="AC906" s="1"/>
      <c r="AD906" s="1"/>
      <c r="AE906" s="1"/>
      <c r="AF906" s="1"/>
    </row>
    <row r="907" spans="2:32" ht="12.75" x14ac:dyDescent="0.2">
      <c r="B907" s="1" t="s">
        <v>9413</v>
      </c>
      <c r="C907" s="10">
        <f t="shared" ca="1" si="28"/>
        <v>45399</v>
      </c>
      <c r="D907" s="4"/>
      <c r="E907" s="4" t="s">
        <v>8434</v>
      </c>
      <c r="F907" s="4" t="s">
        <v>1293</v>
      </c>
      <c r="G907" s="4"/>
      <c r="H907" s="4" t="str">
        <f>_xlfn.IFNA(VLOOKUP(Table_Query_from_AMULTIQRY45[[#This Row],[WPROD]],'Part# with New'!$A$1:$B$4347,2,0),Table_Query_from_AMULTIQRY45[[#This Row],[WPROD]])</f>
        <v>83211</v>
      </c>
      <c r="I907" s="4" t="s">
        <v>8436</v>
      </c>
      <c r="J907" s="1" t="s">
        <v>5</v>
      </c>
      <c r="L907" s="11">
        <v>0.33732000000000001</v>
      </c>
      <c r="M907" s="1"/>
      <c r="N907" s="1" t="s">
        <v>646</v>
      </c>
      <c r="P907" s="1" t="str">
        <f>CONCATENATE(Table_Query_from_AMULTIQRY45[[#This Row],[WWHS]],"-",Table_Query_from_AMULTIQRY45[[#This Row],[LLOC]])</f>
        <v>E1-RAW</v>
      </c>
      <c r="Q907" s="10">
        <f t="shared" ca="1" si="29"/>
        <v>45775</v>
      </c>
      <c r="R907" s="10"/>
      <c r="S907" s="28">
        <v>602</v>
      </c>
      <c r="T907" s="1" t="s">
        <v>2</v>
      </c>
      <c r="U907" s="1" t="s">
        <v>953</v>
      </c>
      <c r="V907" s="1">
        <v>20240417</v>
      </c>
      <c r="W907" s="8" t="s">
        <v>8443</v>
      </c>
      <c r="Z907" s="1"/>
      <c r="AA907" s="1"/>
      <c r="AC907" s="1"/>
      <c r="AD907" s="1"/>
      <c r="AE907" s="1"/>
      <c r="AF907" s="1"/>
    </row>
    <row r="908" spans="2:32" ht="12.75" x14ac:dyDescent="0.2">
      <c r="B908" s="1" t="s">
        <v>9414</v>
      </c>
      <c r="C908" s="10">
        <f t="shared" ca="1" si="28"/>
        <v>43181</v>
      </c>
      <c r="D908" s="4"/>
      <c r="E908" s="4" t="s">
        <v>8434</v>
      </c>
      <c r="F908" s="4" t="s">
        <v>1293</v>
      </c>
      <c r="G908" s="4"/>
      <c r="H908" s="4" t="str">
        <f>_xlfn.IFNA(VLOOKUP(Table_Query_from_AMULTIQRY45[[#This Row],[WPROD]],'Part# with New'!$A$1:$B$4347,2,0),Table_Query_from_AMULTIQRY45[[#This Row],[WPROD]])</f>
        <v>83237</v>
      </c>
      <c r="I908" s="4" t="s">
        <v>8436</v>
      </c>
      <c r="J908" s="1" t="s">
        <v>5</v>
      </c>
      <c r="L908" s="11">
        <v>0.80337000000000003</v>
      </c>
      <c r="M908" s="1"/>
      <c r="N908" s="1" t="s">
        <v>646</v>
      </c>
      <c r="P908" s="1" t="str">
        <f>CONCATENATE(Table_Query_from_AMULTIQRY45[[#This Row],[WWHS]],"-",Table_Query_from_AMULTIQRY45[[#This Row],[LLOC]])</f>
        <v>E1-RAW</v>
      </c>
      <c r="Q908" s="10">
        <f t="shared" ca="1" si="29"/>
        <v>45775</v>
      </c>
      <c r="R908" s="10"/>
      <c r="S908" s="28">
        <v>41</v>
      </c>
      <c r="T908" s="1" t="s">
        <v>2</v>
      </c>
      <c r="U908" s="1" t="s">
        <v>954</v>
      </c>
      <c r="V908" s="1">
        <v>20180322</v>
      </c>
      <c r="W908" s="8" t="s">
        <v>8443</v>
      </c>
      <c r="Z908" s="1"/>
      <c r="AA908" s="1"/>
      <c r="AC908" s="1"/>
      <c r="AD908" s="1"/>
      <c r="AE908" s="1"/>
      <c r="AF908" s="1"/>
    </row>
    <row r="909" spans="2:32" ht="12.75" x14ac:dyDescent="0.2">
      <c r="B909" s="1" t="s">
        <v>9415</v>
      </c>
      <c r="C909" s="10">
        <f t="shared" ca="1" si="28"/>
        <v>43780</v>
      </c>
      <c r="D909" s="4"/>
      <c r="E909" s="4" t="s">
        <v>8434</v>
      </c>
      <c r="F909" s="4" t="s">
        <v>1293</v>
      </c>
      <c r="G909" s="4"/>
      <c r="H909" s="4" t="str">
        <f>_xlfn.IFNA(VLOOKUP(Table_Query_from_AMULTIQRY45[[#This Row],[WPROD]],'Part# with New'!$A$1:$B$4347,2,0),Table_Query_from_AMULTIQRY45[[#This Row],[WPROD]])</f>
        <v>83397</v>
      </c>
      <c r="I909" s="4" t="s">
        <v>8436</v>
      </c>
      <c r="J909" s="1" t="s">
        <v>5</v>
      </c>
      <c r="L909" s="11">
        <v>0.11477</v>
      </c>
      <c r="M909" s="1"/>
      <c r="N909" s="1" t="s">
        <v>18</v>
      </c>
      <c r="P909" s="1" t="str">
        <f>CONCATENATE(Table_Query_from_AMULTIQRY45[[#This Row],[WWHS]],"-",Table_Query_from_AMULTIQRY45[[#This Row],[LLOC]])</f>
        <v>E1-RAW</v>
      </c>
      <c r="Q909" s="10">
        <f t="shared" ca="1" si="29"/>
        <v>45775</v>
      </c>
      <c r="R909" s="10"/>
      <c r="S909" s="28">
        <v>29</v>
      </c>
      <c r="T909" s="1" t="s">
        <v>2</v>
      </c>
      <c r="U909" s="1" t="s">
        <v>955</v>
      </c>
      <c r="V909" s="1">
        <v>20191111</v>
      </c>
      <c r="W909" s="8" t="s">
        <v>8443</v>
      </c>
      <c r="Z909" s="1"/>
      <c r="AA909" s="1"/>
      <c r="AC909" s="1"/>
      <c r="AD909" s="1"/>
      <c r="AE909" s="1"/>
      <c r="AF909" s="1"/>
    </row>
    <row r="910" spans="2:32" ht="12.75" x14ac:dyDescent="0.2">
      <c r="B910" s="1" t="s">
        <v>9416</v>
      </c>
      <c r="C910" s="10">
        <f t="shared" ca="1" si="28"/>
        <v>44906</v>
      </c>
      <c r="D910" s="4"/>
      <c r="E910" s="4" t="s">
        <v>8434</v>
      </c>
      <c r="F910" s="4" t="s">
        <v>1293</v>
      </c>
      <c r="G910" s="4"/>
      <c r="H910" s="4" t="str">
        <f>_xlfn.IFNA(VLOOKUP(Table_Query_from_AMULTIQRY45[[#This Row],[WPROD]],'Part# with New'!$A$1:$B$4347,2,0),Table_Query_from_AMULTIQRY45[[#This Row],[WPROD]])</f>
        <v>83421</v>
      </c>
      <c r="I910" s="4" t="s">
        <v>8436</v>
      </c>
      <c r="J910" s="1" t="s">
        <v>5</v>
      </c>
      <c r="L910" s="11">
        <v>0</v>
      </c>
      <c r="M910" s="1"/>
      <c r="N910" s="1" t="s">
        <v>18</v>
      </c>
      <c r="P910" s="1" t="str">
        <f>CONCATENATE(Table_Query_from_AMULTIQRY45[[#This Row],[WWHS]],"-",Table_Query_from_AMULTIQRY45[[#This Row],[LLOC]])</f>
        <v>E1-RAW</v>
      </c>
      <c r="Q910" s="10">
        <f t="shared" ca="1" si="29"/>
        <v>45775</v>
      </c>
      <c r="R910" s="10"/>
      <c r="S910" s="28">
        <v>93</v>
      </c>
      <c r="T910" s="1" t="s">
        <v>2</v>
      </c>
      <c r="U910" s="1" t="s">
        <v>956</v>
      </c>
      <c r="V910" s="1">
        <v>20221211</v>
      </c>
      <c r="W910" s="8" t="s">
        <v>8443</v>
      </c>
      <c r="Z910" s="1"/>
      <c r="AA910" s="1"/>
      <c r="AC910" s="1"/>
      <c r="AD910" s="1"/>
      <c r="AE910" s="1"/>
      <c r="AF910" s="1"/>
    </row>
    <row r="911" spans="2:32" ht="12.75" x14ac:dyDescent="0.2">
      <c r="B911" s="1" t="s">
        <v>9417</v>
      </c>
      <c r="C911" s="10">
        <f t="shared" ca="1" si="28"/>
        <v>43384</v>
      </c>
      <c r="D911" s="4"/>
      <c r="E911" s="4" t="s">
        <v>8434</v>
      </c>
      <c r="F911" s="4" t="s">
        <v>1293</v>
      </c>
      <c r="G911" s="4"/>
      <c r="H911" s="4" t="str">
        <f>_xlfn.IFNA(VLOOKUP(Table_Query_from_AMULTIQRY45[[#This Row],[WPROD]],'Part# with New'!$A$1:$B$4347,2,0),Table_Query_from_AMULTIQRY45[[#This Row],[WPROD]])</f>
        <v>83423</v>
      </c>
      <c r="I911" s="4" t="s">
        <v>8436</v>
      </c>
      <c r="J911" s="1" t="s">
        <v>5</v>
      </c>
      <c r="L911" s="11">
        <v>0.58260999999999996</v>
      </c>
      <c r="M911" s="1"/>
      <c r="N911" s="1" t="s">
        <v>18</v>
      </c>
      <c r="P911" s="1" t="str">
        <f>CONCATENATE(Table_Query_from_AMULTIQRY45[[#This Row],[WWHS]],"-",Table_Query_from_AMULTIQRY45[[#This Row],[LLOC]])</f>
        <v>E1-RAW</v>
      </c>
      <c r="Q911" s="10">
        <f t="shared" ca="1" si="29"/>
        <v>45775</v>
      </c>
      <c r="R911" s="10"/>
      <c r="S911" s="28">
        <v>361</v>
      </c>
      <c r="T911" s="1" t="s">
        <v>2</v>
      </c>
      <c r="U911" s="1" t="s">
        <v>957</v>
      </c>
      <c r="V911" s="1">
        <v>20181011</v>
      </c>
      <c r="W911" s="8" t="s">
        <v>8443</v>
      </c>
      <c r="Z911" s="1"/>
      <c r="AA911" s="1"/>
      <c r="AC911" s="1"/>
      <c r="AD911" s="1"/>
      <c r="AE911" s="1"/>
      <c r="AF911" s="1"/>
    </row>
    <row r="912" spans="2:32" ht="12.75" x14ac:dyDescent="0.2">
      <c r="B912" s="1" t="s">
        <v>9418</v>
      </c>
      <c r="C912" s="10">
        <f t="shared" ca="1" si="28"/>
        <v>45436</v>
      </c>
      <c r="D912" s="4"/>
      <c r="E912" s="4" t="s">
        <v>8434</v>
      </c>
      <c r="F912" s="4" t="s">
        <v>1293</v>
      </c>
      <c r="G912" s="4"/>
      <c r="H912" s="4" t="str">
        <f>_xlfn.IFNA(VLOOKUP(Table_Query_from_AMULTIQRY45[[#This Row],[WPROD]],'Part# with New'!$A$1:$B$4347,2,0),Table_Query_from_AMULTIQRY45[[#This Row],[WPROD]])</f>
        <v>83425.C01</v>
      </c>
      <c r="I912" s="4" t="s">
        <v>8436</v>
      </c>
      <c r="J912" s="1" t="s">
        <v>5</v>
      </c>
      <c r="L912" s="11">
        <v>0.21274999999999999</v>
      </c>
      <c r="M912" s="1"/>
      <c r="N912" s="1" t="s">
        <v>18</v>
      </c>
      <c r="P912" s="1" t="str">
        <f>CONCATENATE(Table_Query_from_AMULTIQRY45[[#This Row],[WWHS]],"-",Table_Query_from_AMULTIQRY45[[#This Row],[LLOC]])</f>
        <v>E1-RAW</v>
      </c>
      <c r="Q912" s="10">
        <f t="shared" ca="1" si="29"/>
        <v>45775</v>
      </c>
      <c r="R912" s="10"/>
      <c r="S912" s="28">
        <v>1</v>
      </c>
      <c r="T912" s="1" t="s">
        <v>2</v>
      </c>
      <c r="U912" s="1" t="s">
        <v>958</v>
      </c>
      <c r="V912" s="1">
        <v>20240524</v>
      </c>
      <c r="W912" s="8" t="s">
        <v>8443</v>
      </c>
      <c r="Z912" s="1"/>
      <c r="AA912" s="1"/>
      <c r="AC912" s="1"/>
      <c r="AD912" s="1"/>
      <c r="AE912" s="1"/>
      <c r="AF912" s="1"/>
    </row>
    <row r="913" spans="2:32" ht="12.75" x14ac:dyDescent="0.2">
      <c r="B913" s="1" t="s">
        <v>9419</v>
      </c>
      <c r="C913" s="10">
        <f t="shared" ca="1" si="28"/>
        <v>45436</v>
      </c>
      <c r="D913" s="4"/>
      <c r="E913" s="4" t="s">
        <v>8434</v>
      </c>
      <c r="F913" s="4" t="s">
        <v>1293</v>
      </c>
      <c r="G913" s="4"/>
      <c r="H913" s="4" t="str">
        <f>_xlfn.IFNA(VLOOKUP(Table_Query_from_AMULTIQRY45[[#This Row],[WPROD]],'Part# with New'!$A$1:$B$4347,2,0),Table_Query_from_AMULTIQRY45[[#This Row],[WPROD]])</f>
        <v>83425.C02</v>
      </c>
      <c r="I913" s="4" t="s">
        <v>8436</v>
      </c>
      <c r="J913" s="1" t="s">
        <v>5</v>
      </c>
      <c r="L913" s="11">
        <v>0.30932999999999999</v>
      </c>
      <c r="M913" s="1"/>
      <c r="N913" s="1" t="s">
        <v>18</v>
      </c>
      <c r="P913" s="1" t="str">
        <f>CONCATENATE(Table_Query_from_AMULTIQRY45[[#This Row],[WWHS]],"-",Table_Query_from_AMULTIQRY45[[#This Row],[LLOC]])</f>
        <v>E1-RAW</v>
      </c>
      <c r="Q913" s="10">
        <f t="shared" ca="1" si="29"/>
        <v>45775</v>
      </c>
      <c r="R913" s="10"/>
      <c r="S913" s="28">
        <v>66</v>
      </c>
      <c r="T913" s="1" t="s">
        <v>2</v>
      </c>
      <c r="U913" s="1" t="s">
        <v>959</v>
      </c>
      <c r="V913" s="1">
        <v>20240524</v>
      </c>
      <c r="W913" s="8" t="s">
        <v>8443</v>
      </c>
      <c r="Z913" s="1"/>
      <c r="AA913" s="1"/>
      <c r="AC913" s="1"/>
      <c r="AD913" s="1"/>
      <c r="AE913" s="1"/>
      <c r="AF913" s="1"/>
    </row>
    <row r="914" spans="2:32" ht="12.75" x14ac:dyDescent="0.2">
      <c r="B914" s="1" t="s">
        <v>9420</v>
      </c>
      <c r="C914" s="10">
        <f t="shared" ca="1" si="28"/>
        <v>45436</v>
      </c>
      <c r="D914" s="4"/>
      <c r="E914" s="4" t="s">
        <v>8434</v>
      </c>
      <c r="F914" s="4" t="s">
        <v>1293</v>
      </c>
      <c r="G914" s="4"/>
      <c r="H914" s="4" t="str">
        <f>_xlfn.IFNA(VLOOKUP(Table_Query_from_AMULTIQRY45[[#This Row],[WPROD]],'Part# with New'!$A$1:$B$4347,2,0),Table_Query_from_AMULTIQRY45[[#This Row],[WPROD]])</f>
        <v>83425.C03</v>
      </c>
      <c r="I914" s="4" t="s">
        <v>8436</v>
      </c>
      <c r="J914" s="1" t="s">
        <v>5</v>
      </c>
      <c r="L914" s="11">
        <v>0.26841999999999999</v>
      </c>
      <c r="M914" s="1"/>
      <c r="N914" s="1" t="s">
        <v>18</v>
      </c>
      <c r="P914" s="1" t="str">
        <f>CONCATENATE(Table_Query_from_AMULTIQRY45[[#This Row],[WWHS]],"-",Table_Query_from_AMULTIQRY45[[#This Row],[LLOC]])</f>
        <v>E1-RAW</v>
      </c>
      <c r="Q914" s="10">
        <f t="shared" ca="1" si="29"/>
        <v>45775</v>
      </c>
      <c r="R914" s="10"/>
      <c r="S914" s="28">
        <v>25</v>
      </c>
      <c r="T914" s="1" t="s">
        <v>2</v>
      </c>
      <c r="U914" s="1" t="s">
        <v>960</v>
      </c>
      <c r="V914" s="1">
        <v>20240524</v>
      </c>
      <c r="W914" s="8" t="s">
        <v>8443</v>
      </c>
      <c r="Z914" s="1"/>
      <c r="AA914" s="1"/>
      <c r="AC914" s="1"/>
      <c r="AD914" s="1"/>
      <c r="AE914" s="1"/>
      <c r="AF914" s="1"/>
    </row>
    <row r="915" spans="2:32" ht="12.75" x14ac:dyDescent="0.2">
      <c r="B915" s="1" t="s">
        <v>9421</v>
      </c>
      <c r="C915" s="10">
        <f t="shared" ca="1" si="28"/>
        <v>45436</v>
      </c>
      <c r="D915" s="4"/>
      <c r="E915" s="4" t="s">
        <v>8434</v>
      </c>
      <c r="F915" s="4" t="s">
        <v>1293</v>
      </c>
      <c r="G915" s="4"/>
      <c r="H915" s="4" t="str">
        <f>_xlfn.IFNA(VLOOKUP(Table_Query_from_AMULTIQRY45[[#This Row],[WPROD]],'Part# with New'!$A$1:$B$4347,2,0),Table_Query_from_AMULTIQRY45[[#This Row],[WPROD]])</f>
        <v>83425.C04</v>
      </c>
      <c r="I915" s="4" t="s">
        <v>8436</v>
      </c>
      <c r="J915" s="1" t="s">
        <v>5</v>
      </c>
      <c r="L915" s="11">
        <v>0.34216000000000002</v>
      </c>
      <c r="M915" s="1"/>
      <c r="N915" s="1" t="s">
        <v>18</v>
      </c>
      <c r="P915" s="1" t="str">
        <f>CONCATENATE(Table_Query_from_AMULTIQRY45[[#This Row],[WWHS]],"-",Table_Query_from_AMULTIQRY45[[#This Row],[LLOC]])</f>
        <v>E1-RAW</v>
      </c>
      <c r="Q915" s="10">
        <f t="shared" ca="1" si="29"/>
        <v>45775</v>
      </c>
      <c r="R915" s="10"/>
      <c r="S915" s="28">
        <v>15</v>
      </c>
      <c r="T915" s="1" t="s">
        <v>2</v>
      </c>
      <c r="U915" s="1" t="s">
        <v>961</v>
      </c>
      <c r="V915" s="1">
        <v>20240524</v>
      </c>
      <c r="W915" s="8" t="s">
        <v>8443</v>
      </c>
      <c r="Z915" s="1"/>
      <c r="AA915" s="1"/>
      <c r="AC915" s="1"/>
      <c r="AD915" s="1"/>
      <c r="AE915" s="1"/>
      <c r="AF915" s="1"/>
    </row>
    <row r="916" spans="2:32" ht="12.75" x14ac:dyDescent="0.2">
      <c r="B916" s="1" t="s">
        <v>9422</v>
      </c>
      <c r="C916" s="10">
        <f t="shared" ca="1" si="28"/>
        <v>41366</v>
      </c>
      <c r="D916" s="4"/>
      <c r="E916" s="4" t="s">
        <v>8434</v>
      </c>
      <c r="F916" s="4" t="s">
        <v>1293</v>
      </c>
      <c r="G916" s="4"/>
      <c r="H916" s="4" t="str">
        <f>_xlfn.IFNA(VLOOKUP(Table_Query_from_AMULTIQRY45[[#This Row],[WPROD]],'Part# with New'!$A$1:$B$4347,2,0),Table_Query_from_AMULTIQRY45[[#This Row],[WPROD]])</f>
        <v>83447.C01</v>
      </c>
      <c r="I916" s="4" t="s">
        <v>8436</v>
      </c>
      <c r="J916" s="1" t="s">
        <v>5</v>
      </c>
      <c r="L916" s="11">
        <v>1.2376100000000001</v>
      </c>
      <c r="M916" s="1"/>
      <c r="N916" s="1" t="s">
        <v>6</v>
      </c>
      <c r="P916" s="1" t="str">
        <f>CONCATENATE(Table_Query_from_AMULTIQRY45[[#This Row],[WWHS]],"-",Table_Query_from_AMULTIQRY45[[#This Row],[LLOC]])</f>
        <v>E1-RAW</v>
      </c>
      <c r="Q916" s="10">
        <f t="shared" ca="1" si="29"/>
        <v>45775</v>
      </c>
      <c r="R916" s="10"/>
      <c r="S916" s="28">
        <v>229</v>
      </c>
      <c r="T916" s="1" t="s">
        <v>2</v>
      </c>
      <c r="U916" s="1" t="s">
        <v>962</v>
      </c>
      <c r="V916" s="1">
        <v>20130402</v>
      </c>
      <c r="W916" s="8" t="s">
        <v>8443</v>
      </c>
      <c r="Z916" s="1"/>
      <c r="AA916" s="1"/>
      <c r="AC916" s="1"/>
      <c r="AD916" s="1"/>
      <c r="AE916" s="1"/>
      <c r="AF916" s="1"/>
    </row>
    <row r="917" spans="2:32" ht="12.75" x14ac:dyDescent="0.2">
      <c r="B917" s="1" t="s">
        <v>9423</v>
      </c>
      <c r="C917" s="10">
        <f t="shared" ca="1" si="28"/>
        <v>41366</v>
      </c>
      <c r="D917" s="4"/>
      <c r="E917" s="4" t="s">
        <v>8434</v>
      </c>
      <c r="F917" s="4" t="s">
        <v>1293</v>
      </c>
      <c r="G917" s="4"/>
      <c r="H917" s="4" t="str">
        <f>_xlfn.IFNA(VLOOKUP(Table_Query_from_AMULTIQRY45[[#This Row],[WPROD]],'Part# with New'!$A$1:$B$4347,2,0),Table_Query_from_AMULTIQRY45[[#This Row],[WPROD]])</f>
        <v>83447.C02</v>
      </c>
      <c r="I917" s="4" t="s">
        <v>8436</v>
      </c>
      <c r="J917" s="1" t="s">
        <v>5</v>
      </c>
      <c r="L917" s="11">
        <v>1.43387</v>
      </c>
      <c r="M917" s="1"/>
      <c r="N917" s="1" t="s">
        <v>6</v>
      </c>
      <c r="P917" s="1" t="str">
        <f>CONCATENATE(Table_Query_from_AMULTIQRY45[[#This Row],[WWHS]],"-",Table_Query_from_AMULTIQRY45[[#This Row],[LLOC]])</f>
        <v>E1-RAW</v>
      </c>
      <c r="Q917" s="10">
        <f t="shared" ca="1" si="29"/>
        <v>45775</v>
      </c>
      <c r="R917" s="10"/>
      <c r="S917" s="28">
        <v>281</v>
      </c>
      <c r="T917" s="1" t="s">
        <v>2</v>
      </c>
      <c r="U917" s="1" t="s">
        <v>963</v>
      </c>
      <c r="V917" s="1">
        <v>20130402</v>
      </c>
      <c r="W917" s="8" t="s">
        <v>8443</v>
      </c>
      <c r="Z917" s="1"/>
      <c r="AA917" s="1"/>
      <c r="AC917" s="1"/>
      <c r="AD917" s="1"/>
      <c r="AE917" s="1"/>
      <c r="AF917" s="1"/>
    </row>
    <row r="918" spans="2:32" ht="12.75" x14ac:dyDescent="0.2">
      <c r="B918" s="1" t="s">
        <v>9424</v>
      </c>
      <c r="C918" s="10">
        <f t="shared" ca="1" si="28"/>
        <v>44826</v>
      </c>
      <c r="D918" s="4"/>
      <c r="E918" s="4" t="s">
        <v>8434</v>
      </c>
      <c r="F918" s="4" t="s">
        <v>1293</v>
      </c>
      <c r="G918" s="4"/>
      <c r="H918" s="4" t="str">
        <f>_xlfn.IFNA(VLOOKUP(Table_Query_from_AMULTIQRY45[[#This Row],[WPROD]],'Part# with New'!$A$1:$B$4347,2,0),Table_Query_from_AMULTIQRY45[[#This Row],[WPROD]])</f>
        <v>83548.F</v>
      </c>
      <c r="I918" s="4" t="s">
        <v>8436</v>
      </c>
      <c r="J918" s="1" t="s">
        <v>5</v>
      </c>
      <c r="L918" s="11">
        <v>0.27939000000000003</v>
      </c>
      <c r="M918" s="1"/>
      <c r="N918" s="1" t="s">
        <v>18</v>
      </c>
      <c r="P918" s="1" t="str">
        <f>CONCATENATE(Table_Query_from_AMULTIQRY45[[#This Row],[WWHS]],"-",Table_Query_from_AMULTIQRY45[[#This Row],[LLOC]])</f>
        <v>E1-RAW</v>
      </c>
      <c r="Q918" s="10">
        <f t="shared" ca="1" si="29"/>
        <v>45775</v>
      </c>
      <c r="R918" s="10"/>
      <c r="S918" s="28">
        <v>9</v>
      </c>
      <c r="T918" s="1" t="s">
        <v>2</v>
      </c>
      <c r="U918" s="1" t="s">
        <v>964</v>
      </c>
      <c r="V918" s="1">
        <v>20220922</v>
      </c>
      <c r="W918" s="8" t="s">
        <v>8443</v>
      </c>
      <c r="Z918" s="1"/>
      <c r="AA918" s="1"/>
      <c r="AC918" s="1"/>
      <c r="AD918" s="1"/>
      <c r="AE918" s="1"/>
      <c r="AF918" s="1"/>
    </row>
    <row r="919" spans="2:32" ht="12.75" x14ac:dyDescent="0.2">
      <c r="B919" s="1" t="s">
        <v>9425</v>
      </c>
      <c r="C919" s="10">
        <f t="shared" ca="1" si="28"/>
        <v>44826</v>
      </c>
      <c r="D919" s="4"/>
      <c r="E919" s="4" t="s">
        <v>8434</v>
      </c>
      <c r="F919" s="4" t="s">
        <v>1293</v>
      </c>
      <c r="G919" s="4"/>
      <c r="H919" s="4" t="str">
        <f>_xlfn.IFNA(VLOOKUP(Table_Query_from_AMULTIQRY45[[#This Row],[WPROD]],'Part# with New'!$A$1:$B$4347,2,0),Table_Query_from_AMULTIQRY45[[#This Row],[WPROD]])</f>
        <v>83548.M</v>
      </c>
      <c r="I919" s="4" t="s">
        <v>8436</v>
      </c>
      <c r="J919" s="1" t="s">
        <v>5</v>
      </c>
      <c r="L919" s="11">
        <v>0.27255000000000001</v>
      </c>
      <c r="M919" s="1"/>
      <c r="N919" s="1" t="s">
        <v>18</v>
      </c>
      <c r="P919" s="1" t="str">
        <f>CONCATENATE(Table_Query_from_AMULTIQRY45[[#This Row],[WWHS]],"-",Table_Query_from_AMULTIQRY45[[#This Row],[LLOC]])</f>
        <v>E1-RAW</v>
      </c>
      <c r="Q919" s="10">
        <f t="shared" ca="1" si="29"/>
        <v>45775</v>
      </c>
      <c r="R919" s="10"/>
      <c r="S919" s="28">
        <v>41</v>
      </c>
      <c r="T919" s="1" t="s">
        <v>2</v>
      </c>
      <c r="U919" s="1" t="s">
        <v>965</v>
      </c>
      <c r="V919" s="1">
        <v>20220922</v>
      </c>
      <c r="W919" s="8" t="s">
        <v>8443</v>
      </c>
      <c r="Z919" s="1"/>
      <c r="AA919" s="1"/>
      <c r="AC919" s="1"/>
      <c r="AD919" s="1"/>
      <c r="AE919" s="1"/>
      <c r="AF919" s="1"/>
    </row>
    <row r="920" spans="2:32" ht="12.75" x14ac:dyDescent="0.2">
      <c r="B920" s="1" t="s">
        <v>9426</v>
      </c>
      <c r="C920" s="10">
        <f t="shared" ca="1" si="28"/>
        <v>44826</v>
      </c>
      <c r="D920" s="4"/>
      <c r="E920" s="4" t="s">
        <v>8434</v>
      </c>
      <c r="F920" s="4" t="s">
        <v>1293</v>
      </c>
      <c r="G920" s="4"/>
      <c r="H920" s="4" t="str">
        <f>_xlfn.IFNA(VLOOKUP(Table_Query_from_AMULTIQRY45[[#This Row],[WPROD]],'Part# with New'!$A$1:$B$4347,2,0),Table_Query_from_AMULTIQRY45[[#This Row],[WPROD]])</f>
        <v>83548.V</v>
      </c>
      <c r="I920" s="4" t="s">
        <v>8436</v>
      </c>
      <c r="J920" s="1" t="s">
        <v>5</v>
      </c>
      <c r="L920" s="11">
        <v>0.27495000000000003</v>
      </c>
      <c r="M920" s="1"/>
      <c r="N920" s="1" t="s">
        <v>18</v>
      </c>
      <c r="P920" s="1" t="str">
        <f>CONCATENATE(Table_Query_from_AMULTIQRY45[[#This Row],[WWHS]],"-",Table_Query_from_AMULTIQRY45[[#This Row],[LLOC]])</f>
        <v>E1-RAW</v>
      </c>
      <c r="Q920" s="10">
        <f t="shared" ca="1" si="29"/>
        <v>45775</v>
      </c>
      <c r="R920" s="10"/>
      <c r="S920" s="28">
        <v>1</v>
      </c>
      <c r="T920" s="1" t="s">
        <v>2</v>
      </c>
      <c r="U920" s="1" t="s">
        <v>966</v>
      </c>
      <c r="V920" s="1">
        <v>20220922</v>
      </c>
      <c r="W920" s="8" t="s">
        <v>8443</v>
      </c>
      <c r="Z920" s="1"/>
      <c r="AA920" s="1"/>
      <c r="AC920" s="1"/>
      <c r="AD920" s="1"/>
      <c r="AE920" s="1"/>
      <c r="AF920" s="1"/>
    </row>
    <row r="921" spans="2:32" ht="12.75" x14ac:dyDescent="0.2">
      <c r="B921" s="1" t="s">
        <v>9427</v>
      </c>
      <c r="C921" s="10">
        <f t="shared" ca="1" si="28"/>
        <v>45595</v>
      </c>
      <c r="D921" s="4"/>
      <c r="E921" s="4" t="s">
        <v>8434</v>
      </c>
      <c r="F921" s="4" t="s">
        <v>1293</v>
      </c>
      <c r="G921" s="4"/>
      <c r="H921" s="4" t="str">
        <f>_xlfn.IFNA(VLOOKUP(Table_Query_from_AMULTIQRY45[[#This Row],[WPROD]],'Part# with New'!$A$1:$B$4347,2,0),Table_Query_from_AMULTIQRY45[[#This Row],[WPROD]])</f>
        <v>83569</v>
      </c>
      <c r="I921" s="4" t="s">
        <v>8436</v>
      </c>
      <c r="J921" s="1" t="s">
        <v>5</v>
      </c>
      <c r="L921" s="11">
        <v>8.0899800000000006</v>
      </c>
      <c r="M921" s="1"/>
      <c r="N921" s="1" t="s">
        <v>18</v>
      </c>
      <c r="P921" s="1" t="str">
        <f>CONCATENATE(Table_Query_from_AMULTIQRY45[[#This Row],[WWHS]],"-",Table_Query_from_AMULTIQRY45[[#This Row],[LLOC]])</f>
        <v>E1-RAW</v>
      </c>
      <c r="Q921" s="10">
        <f t="shared" ca="1" si="29"/>
        <v>45775</v>
      </c>
      <c r="R921" s="10"/>
      <c r="S921" s="28">
        <v>20</v>
      </c>
      <c r="T921" s="1" t="s">
        <v>2</v>
      </c>
      <c r="U921" s="1" t="s">
        <v>967</v>
      </c>
      <c r="V921" s="1">
        <v>20241030</v>
      </c>
      <c r="W921" s="8" t="s">
        <v>8443</v>
      </c>
      <c r="Z921" s="1"/>
      <c r="AA921" s="1"/>
      <c r="AC921" s="1"/>
      <c r="AD921" s="1"/>
      <c r="AE921" s="1"/>
      <c r="AF921" s="1"/>
    </row>
    <row r="922" spans="2:32" ht="12.75" x14ac:dyDescent="0.2">
      <c r="B922" s="1" t="s">
        <v>9428</v>
      </c>
      <c r="C922" s="10">
        <f t="shared" ca="1" si="28"/>
        <v>45775</v>
      </c>
      <c r="D922" s="4"/>
      <c r="E922" s="4" t="s">
        <v>8434</v>
      </c>
      <c r="F922" s="4" t="s">
        <v>1293</v>
      </c>
      <c r="G922" s="4"/>
      <c r="H922" s="4" t="str">
        <f>_xlfn.IFNA(VLOOKUP(Table_Query_from_AMULTIQRY45[[#This Row],[WPROD]],'Part# with New'!$A$1:$B$4347,2,0),Table_Query_from_AMULTIQRY45[[#This Row],[WPROD]])</f>
        <v>83706.F</v>
      </c>
      <c r="I922" s="4" t="s">
        <v>8436</v>
      </c>
      <c r="J922" s="1" t="s">
        <v>5</v>
      </c>
      <c r="L922" s="11">
        <v>7.4484700000000004</v>
      </c>
      <c r="M922" s="1"/>
      <c r="N922" s="1" t="s">
        <v>18</v>
      </c>
      <c r="P922" s="1" t="str">
        <f>CONCATENATE(Table_Query_from_AMULTIQRY45[[#This Row],[WWHS]],"-",Table_Query_from_AMULTIQRY45[[#This Row],[LLOC]])</f>
        <v>E1-RAW</v>
      </c>
      <c r="Q922" s="10">
        <f t="shared" ca="1" si="29"/>
        <v>45775</v>
      </c>
      <c r="R922" s="10"/>
      <c r="S922" s="28">
        <v>3</v>
      </c>
      <c r="T922" s="1" t="s">
        <v>2</v>
      </c>
      <c r="U922" s="1" t="s">
        <v>968</v>
      </c>
      <c r="V922" s="1">
        <v>0</v>
      </c>
      <c r="W922" s="8" t="s">
        <v>8443</v>
      </c>
      <c r="Z922" s="1"/>
      <c r="AA922" s="1"/>
      <c r="AC922" s="1"/>
      <c r="AD922" s="1"/>
      <c r="AE922" s="1"/>
      <c r="AF922" s="1"/>
    </row>
    <row r="923" spans="2:32" ht="12.75" x14ac:dyDescent="0.2">
      <c r="B923" s="1" t="s">
        <v>9429</v>
      </c>
      <c r="C923" s="10">
        <f t="shared" ca="1" si="28"/>
        <v>45775</v>
      </c>
      <c r="D923" s="4"/>
      <c r="E923" s="4" t="s">
        <v>8434</v>
      </c>
      <c r="F923" s="4" t="s">
        <v>1293</v>
      </c>
      <c r="G923" s="4"/>
      <c r="H923" s="4" t="str">
        <f>_xlfn.IFNA(VLOOKUP(Table_Query_from_AMULTIQRY45[[#This Row],[WPROD]],'Part# with New'!$A$1:$B$4347,2,0),Table_Query_from_AMULTIQRY45[[#This Row],[WPROD]])</f>
        <v>83706.V</v>
      </c>
      <c r="I923" s="4" t="s">
        <v>8436</v>
      </c>
      <c r="J923" s="1" t="s">
        <v>5</v>
      </c>
      <c r="L923" s="11">
        <v>9.1189599999999995</v>
      </c>
      <c r="M923" s="1"/>
      <c r="N923" s="1" t="s">
        <v>18</v>
      </c>
      <c r="P923" s="1" t="str">
        <f>CONCATENATE(Table_Query_from_AMULTIQRY45[[#This Row],[WWHS]],"-",Table_Query_from_AMULTIQRY45[[#This Row],[LLOC]])</f>
        <v>E1-RAW</v>
      </c>
      <c r="Q923" s="10">
        <f t="shared" ca="1" si="29"/>
        <v>45775</v>
      </c>
      <c r="R923" s="10"/>
      <c r="S923" s="28">
        <v>1</v>
      </c>
      <c r="T923" s="1" t="s">
        <v>2</v>
      </c>
      <c r="U923" s="1" t="s">
        <v>969</v>
      </c>
      <c r="V923" s="1">
        <v>0</v>
      </c>
      <c r="W923" s="8" t="s">
        <v>8443</v>
      </c>
      <c r="Z923" s="1"/>
      <c r="AA923" s="1"/>
      <c r="AC923" s="1"/>
      <c r="AD923" s="1"/>
      <c r="AE923" s="1"/>
      <c r="AF923" s="1"/>
    </row>
    <row r="924" spans="2:32" ht="12.75" x14ac:dyDescent="0.2">
      <c r="B924" s="1" t="s">
        <v>9430</v>
      </c>
      <c r="C924" s="10">
        <f t="shared" ca="1" si="28"/>
        <v>43188</v>
      </c>
      <c r="D924" s="4"/>
      <c r="E924" s="4" t="s">
        <v>8434</v>
      </c>
      <c r="F924" s="4" t="s">
        <v>1293</v>
      </c>
      <c r="G924" s="4"/>
      <c r="H924" s="4" t="str">
        <f>_xlfn.IFNA(VLOOKUP(Table_Query_from_AMULTIQRY45[[#This Row],[WPROD]],'Part# with New'!$A$1:$B$4347,2,0),Table_Query_from_AMULTIQRY45[[#This Row],[WPROD]])</f>
        <v>83806</v>
      </c>
      <c r="I924" s="4" t="s">
        <v>8436</v>
      </c>
      <c r="J924" s="1" t="s">
        <v>5</v>
      </c>
      <c r="L924" s="11">
        <v>0.53857999999999995</v>
      </c>
      <c r="M924" s="1"/>
      <c r="N924" s="1" t="s">
        <v>18</v>
      </c>
      <c r="P924" s="1" t="str">
        <f>CONCATENATE(Table_Query_from_AMULTIQRY45[[#This Row],[WWHS]],"-",Table_Query_from_AMULTIQRY45[[#This Row],[LLOC]])</f>
        <v>E1-RAW</v>
      </c>
      <c r="Q924" s="10">
        <f t="shared" ca="1" si="29"/>
        <v>45775</v>
      </c>
      <c r="R924" s="10"/>
      <c r="S924" s="28">
        <v>150</v>
      </c>
      <c r="T924" s="1" t="s">
        <v>2</v>
      </c>
      <c r="U924" s="1" t="s">
        <v>970</v>
      </c>
      <c r="V924" s="1">
        <v>20180329</v>
      </c>
      <c r="W924" s="8" t="s">
        <v>8443</v>
      </c>
      <c r="Z924" s="1"/>
      <c r="AA924" s="1"/>
      <c r="AC924" s="1"/>
      <c r="AD924" s="1"/>
      <c r="AE924" s="1"/>
      <c r="AF924" s="1"/>
    </row>
    <row r="925" spans="2:32" ht="12.75" x14ac:dyDescent="0.2">
      <c r="B925" s="1" t="s">
        <v>9431</v>
      </c>
      <c r="C925" s="10">
        <f t="shared" ca="1" si="28"/>
        <v>45406</v>
      </c>
      <c r="D925" s="4"/>
      <c r="E925" s="4" t="s">
        <v>8434</v>
      </c>
      <c r="F925" s="4" t="s">
        <v>1293</v>
      </c>
      <c r="G925" s="4"/>
      <c r="H925" s="4" t="str">
        <f>_xlfn.IFNA(VLOOKUP(Table_Query_from_AMULTIQRY45[[#This Row],[WPROD]],'Part# with New'!$A$1:$B$4347,2,0),Table_Query_from_AMULTIQRY45[[#This Row],[WPROD]])</f>
        <v>83843</v>
      </c>
      <c r="I925" s="4" t="s">
        <v>8436</v>
      </c>
      <c r="J925" s="1" t="s">
        <v>5</v>
      </c>
      <c r="L925" s="11">
        <v>2.7444700000000002</v>
      </c>
      <c r="M925" s="1"/>
      <c r="N925" s="1" t="s">
        <v>18</v>
      </c>
      <c r="P925" s="1" t="str">
        <f>CONCATENATE(Table_Query_from_AMULTIQRY45[[#This Row],[WWHS]],"-",Table_Query_from_AMULTIQRY45[[#This Row],[LLOC]])</f>
        <v>E1-RAW</v>
      </c>
      <c r="Q925" s="10">
        <f t="shared" ca="1" si="29"/>
        <v>45775</v>
      </c>
      <c r="R925" s="10"/>
      <c r="S925" s="28">
        <v>21</v>
      </c>
      <c r="T925" s="1" t="s">
        <v>2</v>
      </c>
      <c r="U925" s="1" t="s">
        <v>971</v>
      </c>
      <c r="V925" s="1">
        <v>20240424</v>
      </c>
      <c r="W925" s="8" t="s">
        <v>8443</v>
      </c>
      <c r="Z925" s="1"/>
      <c r="AA925" s="1"/>
      <c r="AC925" s="1"/>
      <c r="AD925" s="1"/>
      <c r="AE925" s="1"/>
      <c r="AF925" s="1"/>
    </row>
    <row r="926" spans="2:32" ht="12.75" x14ac:dyDescent="0.2">
      <c r="B926" s="1" t="s">
        <v>9432</v>
      </c>
      <c r="C926" s="10">
        <f t="shared" ca="1" si="28"/>
        <v>45216</v>
      </c>
      <c r="D926" s="4"/>
      <c r="E926" s="4" t="s">
        <v>8434</v>
      </c>
      <c r="F926" s="4" t="s">
        <v>1293</v>
      </c>
      <c r="G926" s="4"/>
      <c r="H926" s="4" t="str">
        <f>_xlfn.IFNA(VLOOKUP(Table_Query_from_AMULTIQRY45[[#This Row],[WPROD]],'Part# with New'!$A$1:$B$4347,2,0),Table_Query_from_AMULTIQRY45[[#This Row],[WPROD]])</f>
        <v>83905.M</v>
      </c>
      <c r="I926" s="4" t="s">
        <v>8436</v>
      </c>
      <c r="J926" s="1" t="s">
        <v>5</v>
      </c>
      <c r="L926" s="11">
        <v>0.56527000000000005</v>
      </c>
      <c r="M926" s="1"/>
      <c r="N926" s="1" t="s">
        <v>18</v>
      </c>
      <c r="P926" s="1" t="str">
        <f>CONCATENATE(Table_Query_from_AMULTIQRY45[[#This Row],[WWHS]],"-",Table_Query_from_AMULTIQRY45[[#This Row],[LLOC]])</f>
        <v>E1-RAW</v>
      </c>
      <c r="Q926" s="10">
        <f t="shared" ca="1" si="29"/>
        <v>45775</v>
      </c>
      <c r="R926" s="10"/>
      <c r="S926" s="28">
        <v>90</v>
      </c>
      <c r="T926" s="1" t="s">
        <v>2</v>
      </c>
      <c r="U926" s="1" t="s">
        <v>972</v>
      </c>
      <c r="V926" s="1">
        <v>20231017</v>
      </c>
      <c r="W926" s="8" t="s">
        <v>8443</v>
      </c>
      <c r="Z926" s="1"/>
      <c r="AA926" s="1"/>
      <c r="AC926" s="1"/>
      <c r="AD926" s="1"/>
      <c r="AE926" s="1"/>
      <c r="AF926" s="1"/>
    </row>
    <row r="927" spans="2:32" ht="12.75" x14ac:dyDescent="0.2">
      <c r="B927" s="1" t="s">
        <v>9433</v>
      </c>
      <c r="C927" s="10">
        <f t="shared" ca="1" si="28"/>
        <v>45224</v>
      </c>
      <c r="D927" s="4"/>
      <c r="E927" s="4" t="s">
        <v>8434</v>
      </c>
      <c r="F927" s="4" t="s">
        <v>1293</v>
      </c>
      <c r="G927" s="4"/>
      <c r="H927" s="4" t="str">
        <f>_xlfn.IFNA(VLOOKUP(Table_Query_from_AMULTIQRY45[[#This Row],[WPROD]],'Part# with New'!$A$1:$B$4347,2,0),Table_Query_from_AMULTIQRY45[[#This Row],[WPROD]])</f>
        <v>83905.MF</v>
      </c>
      <c r="I927" s="4" t="s">
        <v>8436</v>
      </c>
      <c r="J927" s="1" t="s">
        <v>5</v>
      </c>
      <c r="L927" s="11">
        <v>0.45889000000000002</v>
      </c>
      <c r="M927" s="1"/>
      <c r="N927" s="1" t="s">
        <v>18</v>
      </c>
      <c r="P927" s="1" t="str">
        <f>CONCATENATE(Table_Query_from_AMULTIQRY45[[#This Row],[WWHS]],"-",Table_Query_from_AMULTIQRY45[[#This Row],[LLOC]])</f>
        <v>E1-RAW</v>
      </c>
      <c r="Q927" s="10">
        <f t="shared" ca="1" si="29"/>
        <v>45775</v>
      </c>
      <c r="R927" s="10"/>
      <c r="S927" s="28">
        <v>26</v>
      </c>
      <c r="T927" s="1" t="s">
        <v>2</v>
      </c>
      <c r="U927" s="1" t="s">
        <v>973</v>
      </c>
      <c r="V927" s="1">
        <v>20231025</v>
      </c>
      <c r="W927" s="8" t="s">
        <v>8443</v>
      </c>
      <c r="Z927" s="1"/>
      <c r="AA927" s="1"/>
      <c r="AC927" s="1"/>
      <c r="AD927" s="1"/>
      <c r="AE927" s="1"/>
      <c r="AF927" s="1"/>
    </row>
    <row r="928" spans="2:32" ht="12.75" x14ac:dyDescent="0.2">
      <c r="B928" s="1" t="s">
        <v>9434</v>
      </c>
      <c r="C928" s="10">
        <f t="shared" ca="1" si="28"/>
        <v>45355</v>
      </c>
      <c r="D928" s="4"/>
      <c r="E928" s="4" t="s">
        <v>8434</v>
      </c>
      <c r="F928" s="4" t="s">
        <v>1293</v>
      </c>
      <c r="G928" s="4"/>
      <c r="H928" s="4" t="str">
        <f>_xlfn.IFNA(VLOOKUP(Table_Query_from_AMULTIQRY45[[#This Row],[WPROD]],'Part# with New'!$A$1:$B$4347,2,0),Table_Query_from_AMULTIQRY45[[#This Row],[WPROD]])</f>
        <v>83950</v>
      </c>
      <c r="I928" s="4" t="s">
        <v>8436</v>
      </c>
      <c r="J928" s="1" t="s">
        <v>5</v>
      </c>
      <c r="L928" s="11">
        <v>0.22575999999999999</v>
      </c>
      <c r="M928" s="1"/>
      <c r="N928" s="1" t="s">
        <v>18</v>
      </c>
      <c r="P928" s="1" t="str">
        <f>CONCATENATE(Table_Query_from_AMULTIQRY45[[#This Row],[WWHS]],"-",Table_Query_from_AMULTIQRY45[[#This Row],[LLOC]])</f>
        <v>E1-RAW</v>
      </c>
      <c r="Q928" s="10">
        <f t="shared" ca="1" si="29"/>
        <v>45775</v>
      </c>
      <c r="R928" s="10"/>
      <c r="S928" s="28">
        <v>180</v>
      </c>
      <c r="T928" s="1" t="s">
        <v>2</v>
      </c>
      <c r="U928" s="1" t="s">
        <v>974</v>
      </c>
      <c r="V928" s="1">
        <v>20240304</v>
      </c>
      <c r="W928" s="8" t="s">
        <v>8443</v>
      </c>
      <c r="Z928" s="1"/>
      <c r="AA928" s="1"/>
      <c r="AC928" s="1"/>
      <c r="AD928" s="1"/>
      <c r="AE928" s="1"/>
      <c r="AF928" s="1"/>
    </row>
    <row r="929" spans="2:32" ht="12.75" x14ac:dyDescent="0.2">
      <c r="B929" s="1" t="s">
        <v>9435</v>
      </c>
      <c r="C929" s="10">
        <f t="shared" ca="1" si="28"/>
        <v>45182</v>
      </c>
      <c r="D929" s="4"/>
      <c r="E929" s="4" t="s">
        <v>8434</v>
      </c>
      <c r="F929" s="4" t="s">
        <v>1293</v>
      </c>
      <c r="G929" s="4"/>
      <c r="H929" s="4" t="str">
        <f>_xlfn.IFNA(VLOOKUP(Table_Query_from_AMULTIQRY45[[#This Row],[WPROD]],'Part# with New'!$A$1:$B$4347,2,0),Table_Query_from_AMULTIQRY45[[#This Row],[WPROD]])</f>
        <v>84348</v>
      </c>
      <c r="I929" s="4" t="s">
        <v>8436</v>
      </c>
      <c r="J929" s="1" t="s">
        <v>5</v>
      </c>
      <c r="L929" s="11">
        <v>0.55520000000000003</v>
      </c>
      <c r="M929" s="1"/>
      <c r="N929" s="1" t="s">
        <v>18</v>
      </c>
      <c r="P929" s="1" t="str">
        <f>CONCATENATE(Table_Query_from_AMULTIQRY45[[#This Row],[WWHS]],"-",Table_Query_from_AMULTIQRY45[[#This Row],[LLOC]])</f>
        <v>E1-RAW</v>
      </c>
      <c r="Q929" s="10">
        <f t="shared" ca="1" si="29"/>
        <v>45775</v>
      </c>
      <c r="R929" s="10"/>
      <c r="S929" s="28">
        <v>20</v>
      </c>
      <c r="T929" s="1" t="s">
        <v>2</v>
      </c>
      <c r="U929" s="1" t="s">
        <v>975</v>
      </c>
      <c r="V929" s="1">
        <v>20230913</v>
      </c>
      <c r="W929" s="8" t="s">
        <v>8443</v>
      </c>
      <c r="Z929" s="1"/>
      <c r="AA929" s="1"/>
      <c r="AC929" s="1"/>
      <c r="AD929" s="1"/>
      <c r="AE929" s="1"/>
      <c r="AF929" s="1"/>
    </row>
    <row r="930" spans="2:32" ht="12.75" x14ac:dyDescent="0.2">
      <c r="B930" s="1" t="s">
        <v>9436</v>
      </c>
      <c r="C930" s="10">
        <f t="shared" ca="1" si="28"/>
        <v>45555</v>
      </c>
      <c r="D930" s="4"/>
      <c r="E930" s="4" t="s">
        <v>8434</v>
      </c>
      <c r="F930" s="4" t="s">
        <v>1293</v>
      </c>
      <c r="G930" s="4"/>
      <c r="H930" s="4" t="str">
        <f>_xlfn.IFNA(VLOOKUP(Table_Query_from_AMULTIQRY45[[#This Row],[WPROD]],'Part# with New'!$A$1:$B$4347,2,0),Table_Query_from_AMULTIQRY45[[#This Row],[WPROD]])</f>
        <v>84356</v>
      </c>
      <c r="I930" s="4" t="s">
        <v>8436</v>
      </c>
      <c r="J930" s="1" t="s">
        <v>5</v>
      </c>
      <c r="L930" s="11">
        <v>1.0648599999999999</v>
      </c>
      <c r="M930" s="1"/>
      <c r="N930" s="1" t="s">
        <v>646</v>
      </c>
      <c r="P930" s="1" t="str">
        <f>CONCATENATE(Table_Query_from_AMULTIQRY45[[#This Row],[WWHS]],"-",Table_Query_from_AMULTIQRY45[[#This Row],[LLOC]])</f>
        <v>E1-RAW</v>
      </c>
      <c r="Q930" s="10">
        <f t="shared" ca="1" si="29"/>
        <v>45775</v>
      </c>
      <c r="R930" s="10"/>
      <c r="S930" s="28">
        <v>9</v>
      </c>
      <c r="T930" s="1" t="s">
        <v>2</v>
      </c>
      <c r="U930" s="1" t="s">
        <v>976</v>
      </c>
      <c r="V930" s="1">
        <v>20240920</v>
      </c>
      <c r="W930" s="8" t="s">
        <v>8443</v>
      </c>
      <c r="Z930" s="1"/>
      <c r="AA930" s="1"/>
      <c r="AC930" s="1"/>
      <c r="AD930" s="1"/>
      <c r="AE930" s="1"/>
      <c r="AF930" s="1"/>
    </row>
    <row r="931" spans="2:32" ht="12.75" x14ac:dyDescent="0.2">
      <c r="B931" s="1" t="s">
        <v>9437</v>
      </c>
      <c r="C931" s="10">
        <f t="shared" ca="1" si="28"/>
        <v>45555</v>
      </c>
      <c r="D931" s="4"/>
      <c r="E931" s="4" t="s">
        <v>8434</v>
      </c>
      <c r="F931" s="4" t="s">
        <v>1293</v>
      </c>
      <c r="G931" s="4"/>
      <c r="H931" s="4" t="str">
        <f>_xlfn.IFNA(VLOOKUP(Table_Query_from_AMULTIQRY45[[#This Row],[WPROD]],'Part# with New'!$A$1:$B$4347,2,0),Table_Query_from_AMULTIQRY45[[#This Row],[WPROD]])</f>
        <v>84357</v>
      </c>
      <c r="I931" s="4" t="s">
        <v>8436</v>
      </c>
      <c r="J931" s="1" t="s">
        <v>5</v>
      </c>
      <c r="L931" s="11">
        <v>2.5147200000000001</v>
      </c>
      <c r="M931" s="1"/>
      <c r="N931" s="1" t="s">
        <v>646</v>
      </c>
      <c r="P931" s="1" t="str">
        <f>CONCATENATE(Table_Query_from_AMULTIQRY45[[#This Row],[WWHS]],"-",Table_Query_from_AMULTIQRY45[[#This Row],[LLOC]])</f>
        <v>E1-FG</v>
      </c>
      <c r="Q931" s="10">
        <f t="shared" ca="1" si="29"/>
        <v>45775</v>
      </c>
      <c r="R931" s="10"/>
      <c r="S931" s="28">
        <v>6</v>
      </c>
      <c r="T931" s="1" t="s">
        <v>2</v>
      </c>
      <c r="U931" s="1" t="s">
        <v>977</v>
      </c>
      <c r="V931" s="1">
        <v>20240920</v>
      </c>
      <c r="W931" s="8" t="s">
        <v>8442</v>
      </c>
      <c r="Z931" s="1"/>
      <c r="AA931" s="1"/>
      <c r="AC931" s="1"/>
      <c r="AD931" s="1"/>
      <c r="AE931" s="1"/>
      <c r="AF931" s="1"/>
    </row>
    <row r="932" spans="2:32" ht="12.75" x14ac:dyDescent="0.2">
      <c r="B932" s="1" t="s">
        <v>9438</v>
      </c>
      <c r="C932" s="10">
        <f t="shared" ca="1" si="28"/>
        <v>45065</v>
      </c>
      <c r="D932" s="4"/>
      <c r="E932" s="4" t="s">
        <v>8434</v>
      </c>
      <c r="F932" s="4" t="s">
        <v>1293</v>
      </c>
      <c r="G932" s="4"/>
      <c r="H932" s="4" t="str">
        <f>_xlfn.IFNA(VLOOKUP(Table_Query_from_AMULTIQRY45[[#This Row],[WPROD]],'Part# with New'!$A$1:$B$4347,2,0),Table_Query_from_AMULTIQRY45[[#This Row],[WPROD]])</f>
        <v>WSMP097050002L-AXX00K</v>
      </c>
      <c r="I932" s="4" t="s">
        <v>8436</v>
      </c>
      <c r="J932" s="1" t="s">
        <v>5</v>
      </c>
      <c r="L932" s="11">
        <v>4.6000000000000001E-4</v>
      </c>
      <c r="M932" s="1"/>
      <c r="N932" s="1" t="s">
        <v>18</v>
      </c>
      <c r="P932" s="1" t="str">
        <f>CONCATENATE(Table_Query_from_AMULTIQRY45[[#This Row],[WWHS]],"-",Table_Query_from_AMULTIQRY45[[#This Row],[LLOC]])</f>
        <v>E1-FG</v>
      </c>
      <c r="Q932" s="10">
        <f t="shared" ca="1" si="29"/>
        <v>45775</v>
      </c>
      <c r="R932" s="10"/>
      <c r="S932" s="28">
        <v>60</v>
      </c>
      <c r="T932" s="1" t="s">
        <v>2</v>
      </c>
      <c r="U932" s="1" t="s">
        <v>978</v>
      </c>
      <c r="V932" s="1">
        <v>20230519</v>
      </c>
      <c r="W932" s="8" t="s">
        <v>8442</v>
      </c>
      <c r="Z932" s="1"/>
      <c r="AA932" s="1"/>
      <c r="AC932" s="1"/>
      <c r="AD932" s="1"/>
      <c r="AE932" s="1"/>
      <c r="AF932" s="1"/>
    </row>
    <row r="933" spans="2:32" ht="12.75" x14ac:dyDescent="0.2">
      <c r="B933" s="1" t="s">
        <v>9439</v>
      </c>
      <c r="C933" s="10">
        <f t="shared" ca="1" si="28"/>
        <v>44658</v>
      </c>
      <c r="D933" s="4"/>
      <c r="E933" s="4" t="s">
        <v>8434</v>
      </c>
      <c r="F933" s="4" t="s">
        <v>1293</v>
      </c>
      <c r="G933" s="4"/>
      <c r="H933" s="4" t="str">
        <f>_xlfn.IFNA(VLOOKUP(Table_Query_from_AMULTIQRY45[[#This Row],[WPROD]],'Part# with New'!$A$1:$B$4347,2,0),Table_Query_from_AMULTIQRY45[[#This Row],[WPROD]])</f>
        <v>83637.M</v>
      </c>
      <c r="I933" s="4" t="s">
        <v>8436</v>
      </c>
      <c r="J933" s="1" t="s">
        <v>5</v>
      </c>
      <c r="L933" s="11">
        <v>0.20601</v>
      </c>
      <c r="M933" s="1"/>
      <c r="N933" s="1" t="s">
        <v>346</v>
      </c>
      <c r="P933" s="1" t="str">
        <f>CONCATENATE(Table_Query_from_AMULTIQRY45[[#This Row],[WWHS]],"-",Table_Query_from_AMULTIQRY45[[#This Row],[LLOC]])</f>
        <v>E1-RAW</v>
      </c>
      <c r="Q933" s="10">
        <f t="shared" ca="1" si="29"/>
        <v>45775</v>
      </c>
      <c r="R933" s="10"/>
      <c r="S933" s="28">
        <v>96</v>
      </c>
      <c r="T933" s="1" t="s">
        <v>2</v>
      </c>
      <c r="U933" s="1" t="s">
        <v>979</v>
      </c>
      <c r="V933" s="1">
        <v>20220407</v>
      </c>
      <c r="W933" s="8" t="s">
        <v>8443</v>
      </c>
      <c r="Z933" s="1"/>
      <c r="AA933" s="1"/>
      <c r="AC933" s="1"/>
      <c r="AD933" s="1"/>
      <c r="AE933" s="1"/>
      <c r="AF933" s="1"/>
    </row>
    <row r="934" spans="2:32" ht="12.75" x14ac:dyDescent="0.2">
      <c r="B934" s="1" t="s">
        <v>9440</v>
      </c>
      <c r="C934" s="10">
        <f t="shared" ca="1" si="28"/>
        <v>44658</v>
      </c>
      <c r="D934" s="4"/>
      <c r="E934" s="4" t="s">
        <v>8434</v>
      </c>
      <c r="F934" s="4" t="s">
        <v>1293</v>
      </c>
      <c r="G934" s="4"/>
      <c r="H934" s="4" t="str">
        <f>_xlfn.IFNA(VLOOKUP(Table_Query_from_AMULTIQRY45[[#This Row],[WPROD]],'Part# with New'!$A$1:$B$4347,2,0),Table_Query_from_AMULTIQRY45[[#This Row],[WPROD]])</f>
        <v>83637.V</v>
      </c>
      <c r="I934" s="4" t="s">
        <v>8436</v>
      </c>
      <c r="J934" s="1" t="s">
        <v>5</v>
      </c>
      <c r="L934" s="11">
        <v>0.23005</v>
      </c>
      <c r="M934" s="1"/>
      <c r="N934" s="1" t="s">
        <v>346</v>
      </c>
      <c r="P934" s="1" t="str">
        <f>CONCATENATE(Table_Query_from_AMULTIQRY45[[#This Row],[WWHS]],"-",Table_Query_from_AMULTIQRY45[[#This Row],[LLOC]])</f>
        <v>E1-RAW</v>
      </c>
      <c r="Q934" s="10">
        <f t="shared" ca="1" si="29"/>
        <v>45775</v>
      </c>
      <c r="R934" s="10"/>
      <c r="S934" s="28">
        <v>735</v>
      </c>
      <c r="T934" s="1" t="s">
        <v>2</v>
      </c>
      <c r="U934" s="1" t="s">
        <v>980</v>
      </c>
      <c r="V934" s="1">
        <v>20220407</v>
      </c>
      <c r="W934" s="8" t="s">
        <v>8443</v>
      </c>
      <c r="Z934" s="1"/>
      <c r="AA934" s="1"/>
      <c r="AC934" s="1"/>
      <c r="AD934" s="1"/>
      <c r="AE934" s="1"/>
      <c r="AF934" s="1"/>
    </row>
    <row r="935" spans="2:32" ht="12.75" x14ac:dyDescent="0.2">
      <c r="B935" s="1" t="s">
        <v>9441</v>
      </c>
      <c r="C935" s="10">
        <f t="shared" ca="1" si="28"/>
        <v>43077</v>
      </c>
      <c r="D935" s="4"/>
      <c r="E935" s="4" t="s">
        <v>8434</v>
      </c>
      <c r="F935" s="4" t="s">
        <v>1293</v>
      </c>
      <c r="G935" s="4"/>
      <c r="H935" s="4" t="str">
        <f>_xlfn.IFNA(VLOOKUP(Table_Query_from_AMULTIQRY45[[#This Row],[WPROD]],'Part# with New'!$A$1:$B$4347,2,0),Table_Query_from_AMULTIQRY45[[#This Row],[WPROD]])</f>
        <v>83656.F</v>
      </c>
      <c r="I935" s="4" t="s">
        <v>8436</v>
      </c>
      <c r="J935" s="1" t="s">
        <v>5</v>
      </c>
      <c r="L935" s="11">
        <v>0.24837999999999999</v>
      </c>
      <c r="M935" s="1"/>
      <c r="N935" s="1" t="s">
        <v>346</v>
      </c>
      <c r="P935" s="1" t="str">
        <f>CONCATENATE(Table_Query_from_AMULTIQRY45[[#This Row],[WWHS]],"-",Table_Query_from_AMULTIQRY45[[#This Row],[LLOC]])</f>
        <v>E1-RAW</v>
      </c>
      <c r="Q935" s="10">
        <f t="shared" ca="1" si="29"/>
        <v>45775</v>
      </c>
      <c r="R935" s="10"/>
      <c r="S935" s="28">
        <v>114</v>
      </c>
      <c r="T935" s="1" t="s">
        <v>2</v>
      </c>
      <c r="U935" s="1" t="s">
        <v>981</v>
      </c>
      <c r="V935" s="1">
        <v>20171208</v>
      </c>
      <c r="W935" s="8" t="s">
        <v>8443</v>
      </c>
      <c r="Z935" s="1"/>
      <c r="AA935" s="1"/>
      <c r="AC935" s="1"/>
      <c r="AD935" s="1"/>
      <c r="AE935" s="1"/>
      <c r="AF935" s="1"/>
    </row>
    <row r="936" spans="2:32" ht="12.75" x14ac:dyDescent="0.2">
      <c r="B936" s="1" t="s">
        <v>9442</v>
      </c>
      <c r="C936" s="10">
        <f t="shared" ca="1" si="28"/>
        <v>43077</v>
      </c>
      <c r="D936" s="4"/>
      <c r="E936" s="4" t="s">
        <v>8434</v>
      </c>
      <c r="F936" s="4" t="s">
        <v>1293</v>
      </c>
      <c r="G936" s="4"/>
      <c r="H936" s="4" t="str">
        <f>_xlfn.IFNA(VLOOKUP(Table_Query_from_AMULTIQRY45[[#This Row],[WPROD]],'Part# with New'!$A$1:$B$4347,2,0),Table_Query_from_AMULTIQRY45[[#This Row],[WPROD]])</f>
        <v>83656.M</v>
      </c>
      <c r="I936" s="4" t="s">
        <v>8436</v>
      </c>
      <c r="J936" s="1" t="s">
        <v>5</v>
      </c>
      <c r="L936" s="11">
        <v>0.25464999999999999</v>
      </c>
      <c r="M936" s="1"/>
      <c r="N936" s="1" t="s">
        <v>346</v>
      </c>
      <c r="P936" s="1" t="str">
        <f>CONCATENATE(Table_Query_from_AMULTIQRY45[[#This Row],[WWHS]],"-",Table_Query_from_AMULTIQRY45[[#This Row],[LLOC]])</f>
        <v>E1-RAW</v>
      </c>
      <c r="Q936" s="10">
        <f t="shared" ca="1" si="29"/>
        <v>45775</v>
      </c>
      <c r="R936" s="10"/>
      <c r="S936" s="28">
        <v>226</v>
      </c>
      <c r="T936" s="1" t="s">
        <v>2</v>
      </c>
      <c r="U936" s="1" t="s">
        <v>982</v>
      </c>
      <c r="V936" s="1">
        <v>20171208</v>
      </c>
      <c r="W936" s="8" t="s">
        <v>8443</v>
      </c>
      <c r="Z936" s="1"/>
      <c r="AA936" s="1"/>
      <c r="AC936" s="1"/>
      <c r="AD936" s="1"/>
      <c r="AE936" s="1"/>
      <c r="AF936" s="1"/>
    </row>
    <row r="937" spans="2:32" ht="12.75" x14ac:dyDescent="0.2">
      <c r="B937" s="1" t="s">
        <v>9443</v>
      </c>
      <c r="C937" s="10">
        <f t="shared" ca="1" si="28"/>
        <v>43077</v>
      </c>
      <c r="D937" s="4"/>
      <c r="E937" s="4" t="s">
        <v>8434</v>
      </c>
      <c r="F937" s="4" t="s">
        <v>1293</v>
      </c>
      <c r="G937" s="4"/>
      <c r="H937" s="4" t="str">
        <f>_xlfn.IFNA(VLOOKUP(Table_Query_from_AMULTIQRY45[[#This Row],[WPROD]],'Part# with New'!$A$1:$B$4347,2,0),Table_Query_from_AMULTIQRY45[[#This Row],[WPROD]])</f>
        <v>83656.V</v>
      </c>
      <c r="I937" s="4" t="s">
        <v>8436</v>
      </c>
      <c r="J937" s="1" t="s">
        <v>5</v>
      </c>
      <c r="L937" s="11">
        <v>0.22406000000000001</v>
      </c>
      <c r="M937" s="1"/>
      <c r="N937" s="1" t="s">
        <v>346</v>
      </c>
      <c r="P937" s="1" t="str">
        <f>CONCATENATE(Table_Query_from_AMULTIQRY45[[#This Row],[WWHS]],"-",Table_Query_from_AMULTIQRY45[[#This Row],[LLOC]])</f>
        <v>E1-RAW</v>
      </c>
      <c r="Q937" s="10">
        <f t="shared" ca="1" si="29"/>
        <v>45775</v>
      </c>
      <c r="R937" s="10"/>
      <c r="S937" s="28">
        <v>431</v>
      </c>
      <c r="T937" s="1" t="s">
        <v>2</v>
      </c>
      <c r="U937" s="1" t="s">
        <v>983</v>
      </c>
      <c r="V937" s="1">
        <v>20171208</v>
      </c>
      <c r="W937" s="8" t="s">
        <v>8443</v>
      </c>
      <c r="Z937" s="1"/>
      <c r="AA937" s="1"/>
      <c r="AC937" s="1"/>
      <c r="AD937" s="1"/>
      <c r="AE937" s="1"/>
      <c r="AF937" s="1"/>
    </row>
    <row r="938" spans="2:32" ht="12.75" x14ac:dyDescent="0.2">
      <c r="B938" s="1" t="s">
        <v>9444</v>
      </c>
      <c r="C938" s="10">
        <f t="shared" ca="1" si="28"/>
        <v>45118</v>
      </c>
      <c r="D938" s="4"/>
      <c r="E938" s="4" t="s">
        <v>8434</v>
      </c>
      <c r="F938" s="4" t="s">
        <v>1293</v>
      </c>
      <c r="G938" s="4"/>
      <c r="H938" s="4" t="str">
        <f>_xlfn.IFNA(VLOOKUP(Table_Query_from_AMULTIQRY45[[#This Row],[WPROD]],'Part# with New'!$A$1:$B$4347,2,0),Table_Query_from_AMULTIQRY45[[#This Row],[WPROD]])</f>
        <v>90442</v>
      </c>
      <c r="I938" s="4" t="s">
        <v>8436</v>
      </c>
      <c r="J938" s="1" t="s">
        <v>5</v>
      </c>
      <c r="L938" s="11">
        <v>0.44006000000000001</v>
      </c>
      <c r="M938" s="1"/>
      <c r="N938" s="1" t="s">
        <v>34</v>
      </c>
      <c r="P938" s="1" t="str">
        <f>CONCATENATE(Table_Query_from_AMULTIQRY45[[#This Row],[WWHS]],"-",Table_Query_from_AMULTIQRY45[[#This Row],[LLOC]])</f>
        <v>E1-RAW</v>
      </c>
      <c r="Q938" s="10">
        <f t="shared" ca="1" si="29"/>
        <v>45775</v>
      </c>
      <c r="R938" s="10"/>
      <c r="S938" s="28">
        <v>625</v>
      </c>
      <c r="T938" s="1" t="s">
        <v>2</v>
      </c>
      <c r="U938" s="1" t="s">
        <v>984</v>
      </c>
      <c r="V938" s="1">
        <v>20230711</v>
      </c>
      <c r="W938" s="8" t="s">
        <v>8443</v>
      </c>
      <c r="Z938" s="1"/>
      <c r="AA938" s="1"/>
      <c r="AC938" s="1"/>
      <c r="AD938" s="1"/>
      <c r="AE938" s="1"/>
      <c r="AF938" s="1"/>
    </row>
    <row r="939" spans="2:32" ht="12.75" x14ac:dyDescent="0.2">
      <c r="B939" s="1" t="s">
        <v>9445</v>
      </c>
      <c r="C939" s="10">
        <f t="shared" ca="1" si="28"/>
        <v>43929</v>
      </c>
      <c r="D939" s="4"/>
      <c r="E939" s="4" t="s">
        <v>8434</v>
      </c>
      <c r="F939" s="4" t="s">
        <v>1293</v>
      </c>
      <c r="G939" s="4"/>
      <c r="H939" s="4" t="str">
        <f>_xlfn.IFNA(VLOOKUP(Table_Query_from_AMULTIQRY45[[#This Row],[WPROD]],'Part# with New'!$A$1:$B$4347,2,0),Table_Query_from_AMULTIQRY45[[#This Row],[WPROD]])</f>
        <v>90443</v>
      </c>
      <c r="I939" s="4" t="s">
        <v>8436</v>
      </c>
      <c r="J939" s="1" t="s">
        <v>5</v>
      </c>
      <c r="L939" s="11">
        <v>9.3160000000000007E-2</v>
      </c>
      <c r="M939" s="1"/>
      <c r="N939" s="1" t="s">
        <v>30</v>
      </c>
      <c r="P939" s="1" t="str">
        <f>CONCATENATE(Table_Query_from_AMULTIQRY45[[#This Row],[WWHS]],"-",Table_Query_from_AMULTIQRY45[[#This Row],[LLOC]])</f>
        <v>E1-RAW</v>
      </c>
      <c r="Q939" s="10">
        <f t="shared" ca="1" si="29"/>
        <v>45775</v>
      </c>
      <c r="R939" s="10"/>
      <c r="S939" s="28">
        <v>500</v>
      </c>
      <c r="T939" s="1" t="s">
        <v>2</v>
      </c>
      <c r="U939" s="1" t="s">
        <v>985</v>
      </c>
      <c r="V939" s="1">
        <v>20200408</v>
      </c>
      <c r="W939" s="8" t="s">
        <v>8443</v>
      </c>
      <c r="Z939" s="1"/>
      <c r="AA939" s="1"/>
      <c r="AC939" s="1"/>
      <c r="AD939" s="1"/>
      <c r="AE939" s="1"/>
      <c r="AF939" s="1"/>
    </row>
    <row r="940" spans="2:32" ht="12.75" x14ac:dyDescent="0.2">
      <c r="B940" s="1" t="s">
        <v>9446</v>
      </c>
      <c r="C940" s="10">
        <f t="shared" ca="1" si="28"/>
        <v>45170</v>
      </c>
      <c r="D940" s="4"/>
      <c r="E940" s="4" t="s">
        <v>8434</v>
      </c>
      <c r="F940" s="4" t="s">
        <v>1293</v>
      </c>
      <c r="G940" s="4"/>
      <c r="H940" s="4" t="str">
        <f>_xlfn.IFNA(VLOOKUP(Table_Query_from_AMULTIQRY45[[#This Row],[WPROD]],'Part# with New'!$A$1:$B$4347,2,0),Table_Query_from_AMULTIQRY45[[#This Row],[WPROD]])</f>
        <v>90444</v>
      </c>
      <c r="I940" s="4" t="s">
        <v>8436</v>
      </c>
      <c r="J940" s="1" t="s">
        <v>5</v>
      </c>
      <c r="L940" s="11">
        <v>0.74950000000000006</v>
      </c>
      <c r="M940" s="1"/>
      <c r="N940" s="1" t="s">
        <v>34</v>
      </c>
      <c r="P940" s="1" t="str">
        <f>CONCATENATE(Table_Query_from_AMULTIQRY45[[#This Row],[WWHS]],"-",Table_Query_from_AMULTIQRY45[[#This Row],[LLOC]])</f>
        <v>E1-RAW</v>
      </c>
      <c r="Q940" s="10">
        <f t="shared" ca="1" si="29"/>
        <v>45775</v>
      </c>
      <c r="R940" s="10"/>
      <c r="S940" s="28">
        <v>1086</v>
      </c>
      <c r="T940" s="1" t="s">
        <v>2</v>
      </c>
      <c r="U940" s="1" t="s">
        <v>986</v>
      </c>
      <c r="V940" s="1">
        <v>20230901</v>
      </c>
      <c r="W940" s="8" t="s">
        <v>8443</v>
      </c>
      <c r="Z940" s="1"/>
      <c r="AA940" s="1"/>
      <c r="AC940" s="1"/>
      <c r="AD940" s="1"/>
      <c r="AE940" s="1"/>
      <c r="AF940" s="1"/>
    </row>
    <row r="941" spans="2:32" ht="12.75" x14ac:dyDescent="0.2">
      <c r="B941" s="1" t="s">
        <v>9447</v>
      </c>
      <c r="C941" s="10">
        <f t="shared" ca="1" si="28"/>
        <v>44910</v>
      </c>
      <c r="D941" s="4"/>
      <c r="E941" s="4" t="s">
        <v>8434</v>
      </c>
      <c r="F941" s="4" t="s">
        <v>1293</v>
      </c>
      <c r="G941" s="4"/>
      <c r="H941" s="4" t="str">
        <f>_xlfn.IFNA(VLOOKUP(Table_Query_from_AMULTIQRY45[[#This Row],[WPROD]],'Part# with New'!$A$1:$B$4347,2,0),Table_Query_from_AMULTIQRY45[[#This Row],[WPROD]])</f>
        <v>90445</v>
      </c>
      <c r="I941" s="4" t="s">
        <v>8436</v>
      </c>
      <c r="J941" s="1" t="s">
        <v>5</v>
      </c>
      <c r="L941" s="11">
        <v>0.12801000000000001</v>
      </c>
      <c r="M941" s="1"/>
      <c r="N941" s="1" t="s">
        <v>30</v>
      </c>
      <c r="P941" s="1" t="str">
        <f>CONCATENATE(Table_Query_from_AMULTIQRY45[[#This Row],[WWHS]],"-",Table_Query_from_AMULTIQRY45[[#This Row],[LLOC]])</f>
        <v>E1-RAW</v>
      </c>
      <c r="Q941" s="10">
        <f t="shared" ca="1" si="29"/>
        <v>45775</v>
      </c>
      <c r="R941" s="10"/>
      <c r="S941" s="28">
        <v>304</v>
      </c>
      <c r="T941" s="1" t="s">
        <v>2</v>
      </c>
      <c r="U941" s="1" t="s">
        <v>987</v>
      </c>
      <c r="V941" s="1">
        <v>20221215</v>
      </c>
      <c r="W941" s="8" t="s">
        <v>8443</v>
      </c>
      <c r="Z941" s="1"/>
      <c r="AA941" s="1"/>
      <c r="AC941" s="1"/>
      <c r="AD941" s="1"/>
      <c r="AE941" s="1"/>
      <c r="AF941" s="1"/>
    </row>
    <row r="942" spans="2:32" ht="12.75" x14ac:dyDescent="0.2">
      <c r="B942" s="1" t="s">
        <v>9448</v>
      </c>
      <c r="C942" s="10">
        <f t="shared" ca="1" si="28"/>
        <v>43418</v>
      </c>
      <c r="D942" s="4"/>
      <c r="E942" s="4" t="s">
        <v>8434</v>
      </c>
      <c r="F942" s="4" t="s">
        <v>1293</v>
      </c>
      <c r="G942" s="4"/>
      <c r="H942" s="4" t="str">
        <f>_xlfn.IFNA(VLOOKUP(Table_Query_from_AMULTIQRY45[[#This Row],[WPROD]],'Part# with New'!$A$1:$B$4347,2,0),Table_Query_from_AMULTIQRY45[[#This Row],[WPROD]])</f>
        <v>90446</v>
      </c>
      <c r="I942" s="4" t="s">
        <v>8436</v>
      </c>
      <c r="J942" s="1" t="s">
        <v>5</v>
      </c>
      <c r="L942" s="11">
        <v>0.17237</v>
      </c>
      <c r="M942" s="1"/>
      <c r="N942" s="1" t="s">
        <v>30</v>
      </c>
      <c r="P942" s="1" t="str">
        <f>CONCATENATE(Table_Query_from_AMULTIQRY45[[#This Row],[WWHS]],"-",Table_Query_from_AMULTIQRY45[[#This Row],[LLOC]])</f>
        <v>E1-RAW</v>
      </c>
      <c r="Q942" s="10">
        <f t="shared" ca="1" si="29"/>
        <v>45775</v>
      </c>
      <c r="R942" s="10"/>
      <c r="S942" s="28">
        <v>1462</v>
      </c>
      <c r="T942" s="1" t="s">
        <v>2</v>
      </c>
      <c r="U942" s="1" t="s">
        <v>988</v>
      </c>
      <c r="V942" s="1">
        <v>20181114</v>
      </c>
      <c r="W942" s="8" t="s">
        <v>8443</v>
      </c>
      <c r="Z942" s="1"/>
      <c r="AA942" s="1"/>
      <c r="AC942" s="1"/>
      <c r="AD942" s="1"/>
      <c r="AE942" s="1"/>
      <c r="AF942" s="1"/>
    </row>
    <row r="943" spans="2:32" ht="12.75" x14ac:dyDescent="0.2">
      <c r="B943" s="1" t="s">
        <v>9449</v>
      </c>
      <c r="C943" s="10">
        <f t="shared" ca="1" si="28"/>
        <v>45708</v>
      </c>
      <c r="D943" s="4"/>
      <c r="E943" s="4" t="s">
        <v>8434</v>
      </c>
      <c r="F943" s="4" t="s">
        <v>1293</v>
      </c>
      <c r="G943" s="4"/>
      <c r="H943" s="4" t="str">
        <f>_xlfn.IFNA(VLOOKUP(Table_Query_from_AMULTIQRY45[[#This Row],[WPROD]],'Part# with New'!$A$1:$B$4347,2,0),Table_Query_from_AMULTIQRY45[[#This Row],[WPROD]])</f>
        <v>90447</v>
      </c>
      <c r="I943" s="4" t="s">
        <v>8436</v>
      </c>
      <c r="J943" s="1" t="s">
        <v>5</v>
      </c>
      <c r="L943" s="11">
        <v>0.84299000000000002</v>
      </c>
      <c r="M943" s="1"/>
      <c r="N943" s="1" t="s">
        <v>34</v>
      </c>
      <c r="P943" s="1" t="str">
        <f>CONCATENATE(Table_Query_from_AMULTIQRY45[[#This Row],[WWHS]],"-",Table_Query_from_AMULTIQRY45[[#This Row],[LLOC]])</f>
        <v>E1-RAW</v>
      </c>
      <c r="Q943" s="10">
        <f t="shared" ca="1" si="29"/>
        <v>45775</v>
      </c>
      <c r="R943" s="10"/>
      <c r="S943" s="28">
        <v>125</v>
      </c>
      <c r="T943" s="1" t="s">
        <v>2</v>
      </c>
      <c r="U943" s="1" t="s">
        <v>989</v>
      </c>
      <c r="V943" s="1">
        <v>20250220</v>
      </c>
      <c r="W943" s="8" t="s">
        <v>8443</v>
      </c>
      <c r="Z943" s="1"/>
      <c r="AA943" s="1"/>
      <c r="AC943" s="1"/>
      <c r="AD943" s="1"/>
      <c r="AE943" s="1"/>
      <c r="AF943" s="1"/>
    </row>
    <row r="944" spans="2:32" ht="12.75" x14ac:dyDescent="0.2">
      <c r="B944" s="1" t="s">
        <v>9450</v>
      </c>
      <c r="C944" s="10">
        <f t="shared" ca="1" si="28"/>
        <v>44951</v>
      </c>
      <c r="D944" s="4"/>
      <c r="E944" s="4" t="s">
        <v>8434</v>
      </c>
      <c r="F944" s="4" t="s">
        <v>1293</v>
      </c>
      <c r="G944" s="4"/>
      <c r="H944" s="4" t="str">
        <f>_xlfn.IFNA(VLOOKUP(Table_Query_from_AMULTIQRY45[[#This Row],[WPROD]],'Part# with New'!$A$1:$B$4347,2,0),Table_Query_from_AMULTIQRY45[[#This Row],[WPROD]])</f>
        <v>90458</v>
      </c>
      <c r="I944" s="4" t="s">
        <v>8436</v>
      </c>
      <c r="J944" s="1" t="s">
        <v>5</v>
      </c>
      <c r="L944" s="11">
        <v>0.2752</v>
      </c>
      <c r="M944" s="1"/>
      <c r="N944" s="1" t="s">
        <v>30</v>
      </c>
      <c r="P944" s="1" t="str">
        <f>CONCATENATE(Table_Query_from_AMULTIQRY45[[#This Row],[WWHS]],"-",Table_Query_from_AMULTIQRY45[[#This Row],[LLOC]])</f>
        <v>E1-RAW</v>
      </c>
      <c r="Q944" s="10">
        <f t="shared" ca="1" si="29"/>
        <v>45775</v>
      </c>
      <c r="R944" s="10"/>
      <c r="S944" s="28">
        <v>269</v>
      </c>
      <c r="T944" s="1" t="s">
        <v>2</v>
      </c>
      <c r="U944" s="1" t="s">
        <v>990</v>
      </c>
      <c r="V944" s="1">
        <v>20230125</v>
      </c>
      <c r="W944" s="8" t="s">
        <v>8443</v>
      </c>
      <c r="Z944" s="1"/>
      <c r="AA944" s="1"/>
      <c r="AC944" s="1"/>
      <c r="AD944" s="1"/>
      <c r="AE944" s="1"/>
      <c r="AF944" s="1"/>
    </row>
    <row r="945" spans="2:32" ht="12.75" x14ac:dyDescent="0.2">
      <c r="B945" s="1" t="s">
        <v>9451</v>
      </c>
      <c r="C945" s="10">
        <f t="shared" ca="1" si="28"/>
        <v>45468</v>
      </c>
      <c r="D945" s="4"/>
      <c r="E945" s="4" t="s">
        <v>8434</v>
      </c>
      <c r="F945" s="4" t="s">
        <v>1293</v>
      </c>
      <c r="G945" s="4"/>
      <c r="H945" s="4" t="str">
        <f>_xlfn.IFNA(VLOOKUP(Table_Query_from_AMULTIQRY45[[#This Row],[WPROD]],'Part# with New'!$A$1:$B$4347,2,0),Table_Query_from_AMULTIQRY45[[#This Row],[WPROD]])</f>
        <v>90459</v>
      </c>
      <c r="I945" s="4" t="s">
        <v>8436</v>
      </c>
      <c r="J945" s="1" t="s">
        <v>5</v>
      </c>
      <c r="L945" s="11">
        <v>0.18113000000000001</v>
      </c>
      <c r="M945" s="1"/>
      <c r="N945" s="1" t="s">
        <v>30</v>
      </c>
      <c r="P945" s="1" t="str">
        <f>CONCATENATE(Table_Query_from_AMULTIQRY45[[#This Row],[WWHS]],"-",Table_Query_from_AMULTIQRY45[[#This Row],[LLOC]])</f>
        <v>E1-RAW</v>
      </c>
      <c r="Q945" s="10">
        <f t="shared" ca="1" si="29"/>
        <v>45775</v>
      </c>
      <c r="R945" s="10"/>
      <c r="S945" s="28">
        <v>546</v>
      </c>
      <c r="T945" s="1" t="s">
        <v>2</v>
      </c>
      <c r="U945" s="1" t="s">
        <v>991</v>
      </c>
      <c r="V945" s="1">
        <v>20240625</v>
      </c>
      <c r="W945" s="8" t="s">
        <v>8443</v>
      </c>
      <c r="Z945" s="1"/>
      <c r="AA945" s="1"/>
      <c r="AC945" s="1"/>
      <c r="AD945" s="1"/>
      <c r="AE945" s="1"/>
      <c r="AF945" s="1"/>
    </row>
    <row r="946" spans="2:32" ht="12.75" x14ac:dyDescent="0.2">
      <c r="B946" s="1" t="s">
        <v>9452</v>
      </c>
      <c r="C946" s="10">
        <f t="shared" ca="1" si="28"/>
        <v>44951</v>
      </c>
      <c r="D946" s="4"/>
      <c r="E946" s="4" t="s">
        <v>8434</v>
      </c>
      <c r="F946" s="4" t="s">
        <v>1293</v>
      </c>
      <c r="G946" s="4"/>
      <c r="H946" s="4" t="str">
        <f>_xlfn.IFNA(VLOOKUP(Table_Query_from_AMULTIQRY45[[#This Row],[WPROD]],'Part# with New'!$A$1:$B$4347,2,0),Table_Query_from_AMULTIQRY45[[#This Row],[WPROD]])</f>
        <v>90492</v>
      </c>
      <c r="I946" s="4" t="s">
        <v>8436</v>
      </c>
      <c r="J946" s="1" t="s">
        <v>5</v>
      </c>
      <c r="L946" s="11">
        <v>0.12411999999999999</v>
      </c>
      <c r="M946" s="1"/>
      <c r="N946" s="1" t="s">
        <v>30</v>
      </c>
      <c r="P946" s="1" t="str">
        <f>CONCATENATE(Table_Query_from_AMULTIQRY45[[#This Row],[WWHS]],"-",Table_Query_from_AMULTIQRY45[[#This Row],[LLOC]])</f>
        <v>E1-RAW</v>
      </c>
      <c r="Q946" s="10">
        <f t="shared" ca="1" si="29"/>
        <v>45775</v>
      </c>
      <c r="R946" s="10"/>
      <c r="S946" s="28">
        <v>278</v>
      </c>
      <c r="T946" s="1" t="s">
        <v>2</v>
      </c>
      <c r="U946" s="1" t="s">
        <v>992</v>
      </c>
      <c r="V946" s="1">
        <v>20230125</v>
      </c>
      <c r="W946" s="8" t="s">
        <v>8443</v>
      </c>
      <c r="Z946" s="1"/>
      <c r="AA946" s="1"/>
      <c r="AC946" s="1"/>
      <c r="AD946" s="1"/>
      <c r="AE946" s="1"/>
      <c r="AF946" s="1"/>
    </row>
    <row r="947" spans="2:32" ht="12.75" x14ac:dyDescent="0.2">
      <c r="B947" s="1" t="s">
        <v>9453</v>
      </c>
      <c r="C947" s="10">
        <f t="shared" ca="1" si="28"/>
        <v>45399</v>
      </c>
      <c r="D947" s="4"/>
      <c r="E947" s="4" t="s">
        <v>8434</v>
      </c>
      <c r="F947" s="4" t="s">
        <v>1293</v>
      </c>
      <c r="G947" s="4"/>
      <c r="H947" s="4" t="str">
        <f>_xlfn.IFNA(VLOOKUP(Table_Query_from_AMULTIQRY45[[#This Row],[WPROD]],'Part# with New'!$A$1:$B$4347,2,0),Table_Query_from_AMULTIQRY45[[#This Row],[WPROD]])</f>
        <v>93211</v>
      </c>
      <c r="I947" s="4" t="s">
        <v>8436</v>
      </c>
      <c r="J947" s="1" t="s">
        <v>46</v>
      </c>
      <c r="L947" s="11">
        <v>0.50887000000000004</v>
      </c>
      <c r="M947" s="1"/>
      <c r="N947" s="1" t="s">
        <v>646</v>
      </c>
      <c r="P947" s="1" t="str">
        <f>CONCATENATE(Table_Query_from_AMULTIQRY45[[#This Row],[WWHS]],"-",Table_Query_from_AMULTIQRY45[[#This Row],[LLOC]])</f>
        <v>E1-RAW</v>
      </c>
      <c r="Q947" s="10">
        <f t="shared" ca="1" si="29"/>
        <v>45775</v>
      </c>
      <c r="R947" s="10"/>
      <c r="S947" s="28">
        <v>542</v>
      </c>
      <c r="T947" s="1" t="s">
        <v>2</v>
      </c>
      <c r="U947" s="1" t="s">
        <v>993</v>
      </c>
      <c r="V947" s="1">
        <v>20240417</v>
      </c>
      <c r="W947" s="8" t="s">
        <v>8443</v>
      </c>
      <c r="Z947" s="1"/>
      <c r="AA947" s="1"/>
      <c r="AC947" s="1"/>
      <c r="AD947" s="1"/>
      <c r="AE947" s="1"/>
      <c r="AF947" s="1"/>
    </row>
    <row r="948" spans="2:32" ht="12.75" x14ac:dyDescent="0.2">
      <c r="B948" s="1" t="s">
        <v>9454</v>
      </c>
      <c r="C948" s="10">
        <f t="shared" ca="1" si="28"/>
        <v>43180</v>
      </c>
      <c r="D948" s="4"/>
      <c r="E948" s="4" t="s">
        <v>8434</v>
      </c>
      <c r="F948" s="4" t="s">
        <v>1293</v>
      </c>
      <c r="G948" s="4"/>
      <c r="H948" s="4" t="str">
        <f>_xlfn.IFNA(VLOOKUP(Table_Query_from_AMULTIQRY45[[#This Row],[WPROD]],'Part# with New'!$A$1:$B$4347,2,0),Table_Query_from_AMULTIQRY45[[#This Row],[WPROD]])</f>
        <v>93237</v>
      </c>
      <c r="I948" s="4" t="s">
        <v>8436</v>
      </c>
      <c r="J948" s="1" t="s">
        <v>46</v>
      </c>
      <c r="L948" s="11">
        <v>0.43675000000000003</v>
      </c>
      <c r="M948" s="1"/>
      <c r="N948" s="1" t="s">
        <v>6</v>
      </c>
      <c r="P948" s="1" t="str">
        <f>CONCATENATE(Table_Query_from_AMULTIQRY45[[#This Row],[WWHS]],"-",Table_Query_from_AMULTIQRY45[[#This Row],[LLOC]])</f>
        <v>E1-RAW</v>
      </c>
      <c r="Q948" s="10">
        <f t="shared" ca="1" si="29"/>
        <v>45775</v>
      </c>
      <c r="R948" s="10"/>
      <c r="S948" s="28">
        <v>26</v>
      </c>
      <c r="T948" s="1" t="s">
        <v>2</v>
      </c>
      <c r="U948" s="1" t="s">
        <v>994</v>
      </c>
      <c r="V948" s="1">
        <v>20180321</v>
      </c>
      <c r="W948" s="8" t="s">
        <v>8443</v>
      </c>
      <c r="Z948" s="1"/>
      <c r="AA948" s="1"/>
      <c r="AC948" s="1"/>
      <c r="AD948" s="1"/>
      <c r="AE948" s="1"/>
      <c r="AF948" s="1"/>
    </row>
    <row r="949" spans="2:32" ht="12.75" x14ac:dyDescent="0.2">
      <c r="B949" s="1" t="s">
        <v>9455</v>
      </c>
      <c r="C949" s="10">
        <f t="shared" ca="1" si="28"/>
        <v>45525</v>
      </c>
      <c r="D949" s="4"/>
      <c r="E949" s="4" t="s">
        <v>8434</v>
      </c>
      <c r="F949" s="4" t="s">
        <v>1293</v>
      </c>
      <c r="G949" s="4"/>
      <c r="H949" s="4" t="str">
        <f>_xlfn.IFNA(VLOOKUP(Table_Query_from_AMULTIQRY45[[#This Row],[WPROD]],'Part# with New'!$A$1:$B$4347,2,0),Table_Query_from_AMULTIQRY45[[#This Row],[WPROD]])</f>
        <v>93240</v>
      </c>
      <c r="I949" s="4" t="s">
        <v>8436</v>
      </c>
      <c r="J949" s="1" t="s">
        <v>46</v>
      </c>
      <c r="L949" s="11">
        <v>0.65190000000000003</v>
      </c>
      <c r="M949" s="1"/>
      <c r="N949" s="1" t="s">
        <v>646</v>
      </c>
      <c r="P949" s="1" t="str">
        <f>CONCATENATE(Table_Query_from_AMULTIQRY45[[#This Row],[WWHS]],"-",Table_Query_from_AMULTIQRY45[[#This Row],[LLOC]])</f>
        <v>E1-FG</v>
      </c>
      <c r="Q949" s="10">
        <f t="shared" ca="1" si="29"/>
        <v>45775</v>
      </c>
      <c r="R949" s="10"/>
      <c r="S949" s="28">
        <v>48</v>
      </c>
      <c r="T949" s="1" t="s">
        <v>2</v>
      </c>
      <c r="U949" s="1" t="s">
        <v>995</v>
      </c>
      <c r="V949" s="1">
        <v>20240821</v>
      </c>
      <c r="W949" s="8" t="s">
        <v>8442</v>
      </c>
      <c r="Z949" s="1"/>
      <c r="AA949" s="1"/>
      <c r="AC949" s="1"/>
      <c r="AD949" s="1"/>
      <c r="AE949" s="1"/>
      <c r="AF949" s="1"/>
    </row>
    <row r="950" spans="2:32" ht="12.75" x14ac:dyDescent="0.2">
      <c r="B950" s="1" t="s">
        <v>9456</v>
      </c>
      <c r="C950" s="10">
        <f t="shared" ca="1" si="28"/>
        <v>45462</v>
      </c>
      <c r="D950" s="4"/>
      <c r="E950" s="4" t="s">
        <v>8434</v>
      </c>
      <c r="F950" s="4" t="s">
        <v>1293</v>
      </c>
      <c r="G950" s="4"/>
      <c r="H950" s="4" t="str">
        <f>_xlfn.IFNA(VLOOKUP(Table_Query_from_AMULTIQRY45[[#This Row],[WPROD]],'Part# with New'!$A$1:$B$4347,2,0),Table_Query_from_AMULTIQRY45[[#This Row],[WPROD]])</f>
        <v>93254</v>
      </c>
      <c r="I950" s="4" t="s">
        <v>8436</v>
      </c>
      <c r="J950" s="1" t="s">
        <v>46</v>
      </c>
      <c r="L950" s="11">
        <v>0.4073</v>
      </c>
      <c r="M950" s="1"/>
      <c r="N950" s="1" t="s">
        <v>646</v>
      </c>
      <c r="P950" s="1" t="str">
        <f>CONCATENATE(Table_Query_from_AMULTIQRY45[[#This Row],[WWHS]],"-",Table_Query_from_AMULTIQRY45[[#This Row],[LLOC]])</f>
        <v>E1-RAW</v>
      </c>
      <c r="Q950" s="10">
        <f t="shared" ca="1" si="29"/>
        <v>45775</v>
      </c>
      <c r="R950" s="10"/>
      <c r="S950" s="28">
        <v>530</v>
      </c>
      <c r="T950" s="1" t="s">
        <v>2</v>
      </c>
      <c r="U950" s="1" t="s">
        <v>996</v>
      </c>
      <c r="V950" s="1">
        <v>20240619</v>
      </c>
      <c r="W950" s="8" t="s">
        <v>8443</v>
      </c>
      <c r="Z950" s="1"/>
      <c r="AA950" s="1"/>
      <c r="AC950" s="1"/>
      <c r="AD950" s="1"/>
      <c r="AE950" s="1"/>
      <c r="AF950" s="1"/>
    </row>
    <row r="951" spans="2:32" ht="12.75" x14ac:dyDescent="0.2">
      <c r="B951" s="1" t="s">
        <v>9457</v>
      </c>
      <c r="C951" s="10">
        <f t="shared" ca="1" si="28"/>
        <v>45252</v>
      </c>
      <c r="D951" s="4"/>
      <c r="E951" s="4" t="s">
        <v>8434</v>
      </c>
      <c r="F951" s="4" t="s">
        <v>1293</v>
      </c>
      <c r="G951" s="4"/>
      <c r="H951" s="4" t="str">
        <f>_xlfn.IFNA(VLOOKUP(Table_Query_from_AMULTIQRY45[[#This Row],[WPROD]],'Part# with New'!$A$1:$B$4347,2,0),Table_Query_from_AMULTIQRY45[[#This Row],[WPROD]])</f>
        <v>93357</v>
      </c>
      <c r="I951" s="4" t="s">
        <v>8436</v>
      </c>
      <c r="J951" s="1" t="s">
        <v>46</v>
      </c>
      <c r="L951" s="11">
        <v>1.0138100000000001</v>
      </c>
      <c r="M951" s="1"/>
      <c r="N951" s="1" t="s">
        <v>6</v>
      </c>
      <c r="P951" s="1" t="str">
        <f>CONCATENATE(Table_Query_from_AMULTIQRY45[[#This Row],[WWHS]],"-",Table_Query_from_AMULTIQRY45[[#This Row],[LLOC]])</f>
        <v>E1-FG</v>
      </c>
      <c r="Q951" s="10">
        <f t="shared" ca="1" si="29"/>
        <v>45775</v>
      </c>
      <c r="R951" s="10"/>
      <c r="S951" s="28">
        <v>652</v>
      </c>
      <c r="T951" s="1" t="s">
        <v>2</v>
      </c>
      <c r="U951" s="1" t="s">
        <v>997</v>
      </c>
      <c r="V951" s="1">
        <v>20231122</v>
      </c>
      <c r="W951" s="8" t="s">
        <v>8442</v>
      </c>
      <c r="Z951" s="1"/>
      <c r="AA951" s="1"/>
      <c r="AC951" s="1"/>
      <c r="AD951" s="1"/>
      <c r="AE951" s="1"/>
      <c r="AF951" s="1"/>
    </row>
    <row r="952" spans="2:32" ht="12.75" x14ac:dyDescent="0.2">
      <c r="B952" s="1" t="s">
        <v>9458</v>
      </c>
      <c r="C952" s="10">
        <f t="shared" ca="1" si="28"/>
        <v>45252</v>
      </c>
      <c r="D952" s="4"/>
      <c r="E952" s="4" t="s">
        <v>8434</v>
      </c>
      <c r="F952" s="4" t="s">
        <v>1293</v>
      </c>
      <c r="G952" s="4"/>
      <c r="H952" s="4" t="str">
        <f>_xlfn.IFNA(VLOOKUP(Table_Query_from_AMULTIQRY45[[#This Row],[WPROD]],'Part# with New'!$A$1:$B$4347,2,0),Table_Query_from_AMULTIQRY45[[#This Row],[WPROD]])</f>
        <v>93357</v>
      </c>
      <c r="I952" s="4" t="s">
        <v>8436</v>
      </c>
      <c r="J952" s="1" t="s">
        <v>46</v>
      </c>
      <c r="L952" s="11">
        <v>1.0138100000000001</v>
      </c>
      <c r="M952" s="1"/>
      <c r="N952" s="1" t="s">
        <v>6</v>
      </c>
      <c r="P952" s="1" t="str">
        <f>CONCATENATE(Table_Query_from_AMULTIQRY45[[#This Row],[WWHS]],"-",Table_Query_from_AMULTIQRY45[[#This Row],[LLOC]])</f>
        <v>E1-RAW</v>
      </c>
      <c r="Q952" s="10">
        <f t="shared" ca="1" si="29"/>
        <v>45775</v>
      </c>
      <c r="R952" s="10"/>
      <c r="S952" s="28">
        <v>29</v>
      </c>
      <c r="T952" s="1" t="s">
        <v>2</v>
      </c>
      <c r="U952" s="1" t="s">
        <v>997</v>
      </c>
      <c r="V952" s="1">
        <v>20231122</v>
      </c>
      <c r="W952" s="8" t="s">
        <v>8443</v>
      </c>
      <c r="Z952" s="1"/>
      <c r="AA952" s="1"/>
      <c r="AC952" s="1"/>
      <c r="AD952" s="1"/>
      <c r="AE952" s="1"/>
      <c r="AF952" s="1"/>
    </row>
    <row r="953" spans="2:32" ht="12.75" x14ac:dyDescent="0.2">
      <c r="B953" s="1" t="s">
        <v>9459</v>
      </c>
      <c r="C953" s="10">
        <f t="shared" ca="1" si="28"/>
        <v>43437</v>
      </c>
      <c r="D953" s="4"/>
      <c r="E953" s="4" t="s">
        <v>8434</v>
      </c>
      <c r="F953" s="4" t="s">
        <v>1293</v>
      </c>
      <c r="G953" s="4"/>
      <c r="H953" s="4" t="str">
        <f>_xlfn.IFNA(VLOOKUP(Table_Query_from_AMULTIQRY45[[#This Row],[WPROD]],'Part# with New'!$A$1:$B$4347,2,0),Table_Query_from_AMULTIQRY45[[#This Row],[WPROD]])</f>
        <v>93605</v>
      </c>
      <c r="I953" s="4" t="s">
        <v>8436</v>
      </c>
      <c r="J953" s="1" t="s">
        <v>46</v>
      </c>
      <c r="L953" s="11">
        <v>0.41236</v>
      </c>
      <c r="M953" s="1"/>
      <c r="N953" s="1" t="s">
        <v>6</v>
      </c>
      <c r="P953" s="1" t="str">
        <f>CONCATENATE(Table_Query_from_AMULTIQRY45[[#This Row],[WWHS]],"-",Table_Query_from_AMULTIQRY45[[#This Row],[LLOC]])</f>
        <v>E1-RAW</v>
      </c>
      <c r="Q953" s="10">
        <f t="shared" ca="1" si="29"/>
        <v>45775</v>
      </c>
      <c r="R953" s="10"/>
      <c r="S953" s="28">
        <v>17</v>
      </c>
      <c r="T953" s="1" t="s">
        <v>2</v>
      </c>
      <c r="U953" s="1" t="s">
        <v>998</v>
      </c>
      <c r="V953" s="1">
        <v>20181203</v>
      </c>
      <c r="W953" s="8" t="s">
        <v>8443</v>
      </c>
      <c r="Z953" s="1"/>
      <c r="AA953" s="1"/>
      <c r="AC953" s="1"/>
      <c r="AD953" s="1"/>
      <c r="AE953" s="1"/>
      <c r="AF953" s="1"/>
    </row>
    <row r="954" spans="2:32" ht="12.75" x14ac:dyDescent="0.2">
      <c r="B954" s="1" t="s">
        <v>9460</v>
      </c>
      <c r="C954" s="10">
        <f t="shared" ca="1" si="28"/>
        <v>42003</v>
      </c>
      <c r="D954" s="4"/>
      <c r="E954" s="4" t="s">
        <v>8434</v>
      </c>
      <c r="F954" s="4" t="s">
        <v>1293</v>
      </c>
      <c r="G954" s="4"/>
      <c r="H954" s="4" t="str">
        <f>_xlfn.IFNA(VLOOKUP(Table_Query_from_AMULTIQRY45[[#This Row],[WPROD]],'Part# with New'!$A$1:$B$4347,2,0),Table_Query_from_AMULTIQRY45[[#This Row],[WPROD]])</f>
        <v>93616</v>
      </c>
      <c r="I954" s="4" t="s">
        <v>8436</v>
      </c>
      <c r="J954" s="1" t="s">
        <v>46</v>
      </c>
      <c r="L954" s="11">
        <v>0.48875999999999997</v>
      </c>
      <c r="M954" s="1"/>
      <c r="N954" s="1" t="s">
        <v>18</v>
      </c>
      <c r="P954" s="1" t="str">
        <f>CONCATENATE(Table_Query_from_AMULTIQRY45[[#This Row],[WWHS]],"-",Table_Query_from_AMULTIQRY45[[#This Row],[LLOC]])</f>
        <v>E1-RAW</v>
      </c>
      <c r="Q954" s="10">
        <f t="shared" ca="1" si="29"/>
        <v>45775</v>
      </c>
      <c r="R954" s="10"/>
      <c r="S954" s="28">
        <v>23</v>
      </c>
      <c r="T954" s="1" t="s">
        <v>2</v>
      </c>
      <c r="U954" s="1" t="s">
        <v>999</v>
      </c>
      <c r="V954" s="1">
        <v>20141230</v>
      </c>
      <c r="W954" s="8" t="s">
        <v>8443</v>
      </c>
      <c r="Z954" s="1"/>
      <c r="AA954" s="1"/>
      <c r="AC954" s="1"/>
      <c r="AD954" s="1"/>
      <c r="AE954" s="1"/>
      <c r="AF954" s="1"/>
    </row>
    <row r="955" spans="2:32" ht="12.75" x14ac:dyDescent="0.2">
      <c r="B955" s="1" t="s">
        <v>9461</v>
      </c>
      <c r="C955" s="10">
        <f t="shared" ca="1" si="28"/>
        <v>44264</v>
      </c>
      <c r="D955" s="4"/>
      <c r="E955" s="4" t="s">
        <v>8434</v>
      </c>
      <c r="F955" s="4" t="s">
        <v>1293</v>
      </c>
      <c r="G955" s="4"/>
      <c r="H955" s="4" t="str">
        <f>_xlfn.IFNA(VLOOKUP(Table_Query_from_AMULTIQRY45[[#This Row],[WPROD]],'Part# with New'!$A$1:$B$4347,2,0),Table_Query_from_AMULTIQRY45[[#This Row],[WPROD]])</f>
        <v>94149</v>
      </c>
      <c r="I955" s="4" t="s">
        <v>8436</v>
      </c>
      <c r="J955" s="1" t="s">
        <v>46</v>
      </c>
      <c r="L955" s="11">
        <v>1.2675000000000001</v>
      </c>
      <c r="M955" s="1"/>
      <c r="N955" s="1" t="s">
        <v>646</v>
      </c>
      <c r="P955" s="1" t="str">
        <f>CONCATENATE(Table_Query_from_AMULTIQRY45[[#This Row],[WWHS]],"-",Table_Query_from_AMULTIQRY45[[#This Row],[LLOC]])</f>
        <v>E1-RAW</v>
      </c>
      <c r="Q955" s="10">
        <f t="shared" ca="1" si="29"/>
        <v>45775</v>
      </c>
      <c r="R955" s="10"/>
      <c r="S955" s="28">
        <v>7</v>
      </c>
      <c r="T955" s="1" t="s">
        <v>2</v>
      </c>
      <c r="U955" s="1" t="s">
        <v>1000</v>
      </c>
      <c r="V955" s="1">
        <v>20210309</v>
      </c>
      <c r="W955" s="8" t="s">
        <v>8443</v>
      </c>
      <c r="Z955" s="1"/>
      <c r="AA955" s="1"/>
      <c r="AC955" s="1"/>
      <c r="AD955" s="1"/>
      <c r="AE955" s="1"/>
      <c r="AF955" s="1"/>
    </row>
    <row r="956" spans="2:32" ht="12.75" x14ac:dyDescent="0.2">
      <c r="B956" s="1" t="s">
        <v>9462</v>
      </c>
      <c r="C956" s="10">
        <f t="shared" ca="1" si="28"/>
        <v>44950</v>
      </c>
      <c r="D956" s="4"/>
      <c r="E956" s="4" t="s">
        <v>8434</v>
      </c>
      <c r="F956" s="4" t="s">
        <v>1293</v>
      </c>
      <c r="G956" s="4"/>
      <c r="H956" s="4" t="str">
        <f>_xlfn.IFNA(VLOOKUP(Table_Query_from_AMULTIQRY45[[#This Row],[WPROD]],'Part# with New'!$A$1:$B$4347,2,0),Table_Query_from_AMULTIQRY45[[#This Row],[WPROD]])</f>
        <v>94283</v>
      </c>
      <c r="I956" s="4" t="s">
        <v>8436</v>
      </c>
      <c r="J956" s="1" t="s">
        <v>5</v>
      </c>
      <c r="L956" s="11">
        <v>0.46921000000000002</v>
      </c>
      <c r="M956" s="1"/>
      <c r="N956" s="1" t="s">
        <v>34</v>
      </c>
      <c r="P956" s="1" t="str">
        <f>CONCATENATE(Table_Query_from_AMULTIQRY45[[#This Row],[WWHS]],"-",Table_Query_from_AMULTIQRY45[[#This Row],[LLOC]])</f>
        <v>E1-RAW</v>
      </c>
      <c r="Q956" s="10">
        <f t="shared" ca="1" si="29"/>
        <v>45775</v>
      </c>
      <c r="R956" s="10"/>
      <c r="S956" s="28">
        <v>211</v>
      </c>
      <c r="T956" s="1" t="s">
        <v>2</v>
      </c>
      <c r="U956" s="1" t="s">
        <v>1001</v>
      </c>
      <c r="V956" s="1">
        <v>20230124</v>
      </c>
      <c r="W956" s="8" t="s">
        <v>8443</v>
      </c>
      <c r="Z956" s="1"/>
      <c r="AA956" s="1"/>
      <c r="AC956" s="1"/>
      <c r="AD956" s="1"/>
      <c r="AE956" s="1"/>
      <c r="AF956" s="1"/>
    </row>
    <row r="957" spans="2:32" ht="12.75" x14ac:dyDescent="0.2">
      <c r="B957" s="1" t="s">
        <v>9463</v>
      </c>
      <c r="C957" s="10">
        <f t="shared" ca="1" si="28"/>
        <v>45224</v>
      </c>
      <c r="D957" s="4"/>
      <c r="E957" s="4" t="s">
        <v>8434</v>
      </c>
      <c r="F957" s="4" t="s">
        <v>1293</v>
      </c>
      <c r="G957" s="4"/>
      <c r="H957" s="4" t="str">
        <f>_xlfn.IFNA(VLOOKUP(Table_Query_from_AMULTIQRY45[[#This Row],[WPROD]],'Part# with New'!$A$1:$B$4347,2,0),Table_Query_from_AMULTIQRY45[[#This Row],[WPROD]])</f>
        <v>94348</v>
      </c>
      <c r="I957" s="4" t="s">
        <v>8436</v>
      </c>
      <c r="J957" s="1" t="s">
        <v>46</v>
      </c>
      <c r="L957" s="11">
        <v>2.2799999999999998</v>
      </c>
      <c r="M957" s="1"/>
      <c r="N957" s="1" t="s">
        <v>6</v>
      </c>
      <c r="P957" s="1" t="str">
        <f>CONCATENATE(Table_Query_from_AMULTIQRY45[[#This Row],[WWHS]],"-",Table_Query_from_AMULTIQRY45[[#This Row],[LLOC]])</f>
        <v>E1-RAW</v>
      </c>
      <c r="Q957" s="10">
        <f t="shared" ca="1" si="29"/>
        <v>45775</v>
      </c>
      <c r="R957" s="10"/>
      <c r="S957" s="28">
        <v>23</v>
      </c>
      <c r="T957" s="1" t="s">
        <v>2</v>
      </c>
      <c r="U957" s="1" t="s">
        <v>1002</v>
      </c>
      <c r="V957" s="1">
        <v>20231025</v>
      </c>
      <c r="W957" s="8" t="s">
        <v>8443</v>
      </c>
      <c r="Z957" s="1"/>
      <c r="AA957" s="1"/>
      <c r="AC957" s="1"/>
      <c r="AD957" s="1"/>
      <c r="AE957" s="1"/>
      <c r="AF957" s="1"/>
    </row>
    <row r="958" spans="2:32" ht="12.75" x14ac:dyDescent="0.2">
      <c r="B958" s="1" t="s">
        <v>9464</v>
      </c>
      <c r="C958" s="10">
        <f t="shared" ca="1" si="28"/>
        <v>44810</v>
      </c>
      <c r="D958" s="4"/>
      <c r="E958" s="4" t="s">
        <v>8434</v>
      </c>
      <c r="F958" s="4" t="s">
        <v>1293</v>
      </c>
      <c r="G958" s="4"/>
      <c r="H958" s="4" t="str">
        <f>_xlfn.IFNA(VLOOKUP(Table_Query_from_AMULTIQRY45[[#This Row],[WPROD]],'Part# with New'!$A$1:$B$4347,2,0),Table_Query_from_AMULTIQRY45[[#This Row],[WPROD]])</f>
        <v>93473</v>
      </c>
      <c r="I958" s="4" t="s">
        <v>8436</v>
      </c>
      <c r="J958" s="1" t="s">
        <v>46</v>
      </c>
      <c r="L958" s="11">
        <v>1.92</v>
      </c>
      <c r="M958" s="1"/>
      <c r="N958" s="1" t="s">
        <v>18</v>
      </c>
      <c r="P958" s="1" t="str">
        <f>CONCATENATE(Table_Query_from_AMULTIQRY45[[#This Row],[WWHS]],"-",Table_Query_from_AMULTIQRY45[[#This Row],[LLOC]])</f>
        <v>E1-RAW</v>
      </c>
      <c r="Q958" s="10">
        <f t="shared" ca="1" si="29"/>
        <v>45775</v>
      </c>
      <c r="R958" s="10"/>
      <c r="S958" s="28">
        <v>13</v>
      </c>
      <c r="T958" s="1" t="s">
        <v>2</v>
      </c>
      <c r="U958" s="1" t="s">
        <v>1003</v>
      </c>
      <c r="V958" s="1">
        <v>20220906</v>
      </c>
      <c r="W958" s="8" t="s">
        <v>8443</v>
      </c>
      <c r="Z958" s="1"/>
      <c r="AA958" s="1"/>
      <c r="AC958" s="1"/>
      <c r="AD958" s="1"/>
      <c r="AE958" s="1"/>
      <c r="AF958" s="1"/>
    </row>
    <row r="959" spans="2:32" ht="12.75" x14ac:dyDescent="0.2">
      <c r="B959" s="1" t="s">
        <v>9465</v>
      </c>
      <c r="C959" s="10">
        <f t="shared" ca="1" si="28"/>
        <v>42419</v>
      </c>
      <c r="D959" s="4"/>
      <c r="E959" s="4" t="s">
        <v>8434</v>
      </c>
      <c r="F959" s="4" t="s">
        <v>1293</v>
      </c>
      <c r="G959" s="4"/>
      <c r="H959" s="4" t="str">
        <f>_xlfn.IFNA(VLOOKUP(Table_Query_from_AMULTIQRY45[[#This Row],[WPROD]],'Part# with New'!$A$1:$B$4347,2,0),Table_Query_from_AMULTIQRY45[[#This Row],[WPROD]])</f>
        <v>93489</v>
      </c>
      <c r="I959" s="4" t="s">
        <v>8436</v>
      </c>
      <c r="J959" s="1" t="s">
        <v>46</v>
      </c>
      <c r="L959" s="11">
        <v>13.24</v>
      </c>
      <c r="M959" s="1"/>
      <c r="N959" s="1" t="s">
        <v>18</v>
      </c>
      <c r="P959" s="1" t="str">
        <f>CONCATENATE(Table_Query_from_AMULTIQRY45[[#This Row],[WWHS]],"-",Table_Query_from_AMULTIQRY45[[#This Row],[LLOC]])</f>
        <v>E1-RAW</v>
      </c>
      <c r="Q959" s="10">
        <f t="shared" ca="1" si="29"/>
        <v>45775</v>
      </c>
      <c r="R959" s="10"/>
      <c r="S959" s="28">
        <v>9</v>
      </c>
      <c r="T959" s="1" t="s">
        <v>2</v>
      </c>
      <c r="U959" s="1" t="s">
        <v>1004</v>
      </c>
      <c r="V959" s="1">
        <v>20160219</v>
      </c>
      <c r="W959" s="8" t="s">
        <v>8443</v>
      </c>
      <c r="Z959" s="1"/>
      <c r="AA959" s="1"/>
      <c r="AC959" s="1"/>
      <c r="AD959" s="1"/>
      <c r="AE959" s="1"/>
      <c r="AF959" s="1"/>
    </row>
    <row r="960" spans="2:32" ht="12.75" x14ac:dyDescent="0.2">
      <c r="B960" s="1" t="s">
        <v>9466</v>
      </c>
      <c r="C960" s="10">
        <f t="shared" ca="1" si="28"/>
        <v>42359</v>
      </c>
      <c r="D960" s="4"/>
      <c r="E960" s="4" t="s">
        <v>8434</v>
      </c>
      <c r="F960" s="4" t="s">
        <v>1293</v>
      </c>
      <c r="G960" s="4"/>
      <c r="H960" s="4" t="str">
        <f>_xlfn.IFNA(VLOOKUP(Table_Query_from_AMULTIQRY45[[#This Row],[WPROD]],'Part# with New'!$A$1:$B$4347,2,0),Table_Query_from_AMULTIQRY45[[#This Row],[WPROD]])</f>
        <v>93636.OR</v>
      </c>
      <c r="I960" s="4" t="s">
        <v>8436</v>
      </c>
      <c r="J960" s="1" t="s">
        <v>46</v>
      </c>
      <c r="L960" s="11">
        <v>8.1500000000000003E-2</v>
      </c>
      <c r="M960" s="1"/>
      <c r="N960" s="1" t="s">
        <v>18</v>
      </c>
      <c r="P960" s="1" t="str">
        <f>CONCATENATE(Table_Query_from_AMULTIQRY45[[#This Row],[WWHS]],"-",Table_Query_from_AMULTIQRY45[[#This Row],[LLOC]])</f>
        <v>E1-RAW</v>
      </c>
      <c r="Q960" s="10">
        <f t="shared" ca="1" si="29"/>
        <v>45775</v>
      </c>
      <c r="R960" s="10"/>
      <c r="S960" s="28">
        <v>482</v>
      </c>
      <c r="T960" s="1" t="s">
        <v>2</v>
      </c>
      <c r="U960" s="1" t="s">
        <v>1005</v>
      </c>
      <c r="V960" s="1">
        <v>20151221</v>
      </c>
      <c r="W960" s="8" t="s">
        <v>8443</v>
      </c>
      <c r="Z960" s="1"/>
      <c r="AA960" s="1"/>
      <c r="AC960" s="1"/>
      <c r="AD960" s="1"/>
      <c r="AE960" s="1"/>
      <c r="AF960" s="1"/>
    </row>
    <row r="961" spans="2:32" ht="12.75" x14ac:dyDescent="0.2">
      <c r="B961" s="1" t="s">
        <v>9467</v>
      </c>
      <c r="C961" s="10">
        <f t="shared" ca="1" si="28"/>
        <v>42352</v>
      </c>
      <c r="D961" s="4"/>
      <c r="E961" s="4" t="s">
        <v>8434</v>
      </c>
      <c r="F961" s="4" t="s">
        <v>1293</v>
      </c>
      <c r="G961" s="4"/>
      <c r="H961" s="4" t="str">
        <f>_xlfn.IFNA(VLOOKUP(Table_Query_from_AMULTIQRY45[[#This Row],[WPROD]],'Part# with New'!$A$1:$B$4347,2,0),Table_Query_from_AMULTIQRY45[[#This Row],[WPROD]])</f>
        <v>93711</v>
      </c>
      <c r="I961" s="4" t="s">
        <v>8436</v>
      </c>
      <c r="J961" s="1" t="s">
        <v>5</v>
      </c>
      <c r="L961" s="11">
        <v>2.9</v>
      </c>
      <c r="M961" s="1"/>
      <c r="N961" s="1" t="s">
        <v>6</v>
      </c>
      <c r="P961" s="1" t="str">
        <f>CONCATENATE(Table_Query_from_AMULTIQRY45[[#This Row],[WWHS]],"-",Table_Query_from_AMULTIQRY45[[#This Row],[LLOC]])</f>
        <v>E1-RAW</v>
      </c>
      <c r="Q961" s="10">
        <f t="shared" ca="1" si="29"/>
        <v>45775</v>
      </c>
      <c r="R961" s="10"/>
      <c r="S961" s="28">
        <v>3</v>
      </c>
      <c r="T961" s="1" t="s">
        <v>2</v>
      </c>
      <c r="U961" s="1" t="s">
        <v>1006</v>
      </c>
      <c r="V961" s="1">
        <v>20151214</v>
      </c>
      <c r="W961" s="8" t="s">
        <v>8443</v>
      </c>
      <c r="Z961" s="1"/>
      <c r="AA961" s="1"/>
      <c r="AC961" s="1"/>
      <c r="AD961" s="1"/>
      <c r="AE961" s="1"/>
      <c r="AF961" s="1"/>
    </row>
    <row r="962" spans="2:32" ht="12.75" x14ac:dyDescent="0.2">
      <c r="B962" s="1" t="s">
        <v>9468</v>
      </c>
      <c r="C962" s="10">
        <f t="shared" ca="1" si="28"/>
        <v>42352</v>
      </c>
      <c r="D962" s="4"/>
      <c r="E962" s="4" t="s">
        <v>8434</v>
      </c>
      <c r="F962" s="4" t="s">
        <v>1293</v>
      </c>
      <c r="G962" s="4"/>
      <c r="H962" s="4" t="str">
        <f>_xlfn.IFNA(VLOOKUP(Table_Query_from_AMULTIQRY45[[#This Row],[WPROD]],'Part# with New'!$A$1:$B$4347,2,0),Table_Query_from_AMULTIQRY45[[#This Row],[WPROD]])</f>
        <v>93712</v>
      </c>
      <c r="I962" s="4" t="s">
        <v>8436</v>
      </c>
      <c r="J962" s="1" t="s">
        <v>5</v>
      </c>
      <c r="L962" s="11">
        <v>3.67</v>
      </c>
      <c r="M962" s="1"/>
      <c r="N962" s="1" t="s">
        <v>6</v>
      </c>
      <c r="P962" s="1" t="str">
        <f>CONCATENATE(Table_Query_from_AMULTIQRY45[[#This Row],[WWHS]],"-",Table_Query_from_AMULTIQRY45[[#This Row],[LLOC]])</f>
        <v>E1-RAW</v>
      </c>
      <c r="Q962" s="10">
        <f t="shared" ca="1" si="29"/>
        <v>45775</v>
      </c>
      <c r="R962" s="10"/>
      <c r="S962" s="28">
        <v>18</v>
      </c>
      <c r="T962" s="1" t="s">
        <v>2</v>
      </c>
      <c r="U962" s="1" t="s">
        <v>1007</v>
      </c>
      <c r="V962" s="1">
        <v>20151214</v>
      </c>
      <c r="W962" s="8" t="s">
        <v>8443</v>
      </c>
      <c r="Z962" s="1"/>
      <c r="AA962" s="1"/>
      <c r="AC962" s="1"/>
      <c r="AD962" s="1"/>
      <c r="AE962" s="1"/>
      <c r="AF962" s="1"/>
    </row>
    <row r="963" spans="2:32" ht="12.75" x14ac:dyDescent="0.2">
      <c r="B963" s="1" t="s">
        <v>9469</v>
      </c>
      <c r="C963" s="10">
        <f t="shared" ca="1" si="28"/>
        <v>42352</v>
      </c>
      <c r="D963" s="4"/>
      <c r="E963" s="4" t="s">
        <v>8434</v>
      </c>
      <c r="F963" s="4" t="s">
        <v>1293</v>
      </c>
      <c r="G963" s="4"/>
      <c r="H963" s="4" t="str">
        <f>_xlfn.IFNA(VLOOKUP(Table_Query_from_AMULTIQRY45[[#This Row],[WPROD]],'Part# with New'!$A$1:$B$4347,2,0),Table_Query_from_AMULTIQRY45[[#This Row],[WPROD]])</f>
        <v>93713</v>
      </c>
      <c r="I963" s="4" t="s">
        <v>8436</v>
      </c>
      <c r="J963" s="1" t="s">
        <v>5</v>
      </c>
      <c r="L963" s="11">
        <v>2.87</v>
      </c>
      <c r="M963" s="1"/>
      <c r="N963" s="1" t="s">
        <v>6</v>
      </c>
      <c r="P963" s="1" t="str">
        <f>CONCATENATE(Table_Query_from_AMULTIQRY45[[#This Row],[WWHS]],"-",Table_Query_from_AMULTIQRY45[[#This Row],[LLOC]])</f>
        <v>E1-RAW</v>
      </c>
      <c r="Q963" s="10">
        <f t="shared" ca="1" si="29"/>
        <v>45775</v>
      </c>
      <c r="R963" s="10"/>
      <c r="S963" s="28">
        <v>21</v>
      </c>
      <c r="T963" s="1" t="s">
        <v>2</v>
      </c>
      <c r="U963" s="1" t="s">
        <v>1008</v>
      </c>
      <c r="V963" s="1">
        <v>20151214</v>
      </c>
      <c r="W963" s="8" t="s">
        <v>8443</v>
      </c>
      <c r="Z963" s="1"/>
      <c r="AA963" s="1"/>
      <c r="AC963" s="1"/>
      <c r="AD963" s="1"/>
      <c r="AE963" s="1"/>
      <c r="AF963" s="1"/>
    </row>
    <row r="964" spans="2:32" ht="12.75" x14ac:dyDescent="0.2">
      <c r="B964" s="1" t="s">
        <v>9470</v>
      </c>
      <c r="C964" s="10">
        <f t="shared" ca="1" si="28"/>
        <v>42349</v>
      </c>
      <c r="D964" s="4"/>
      <c r="E964" s="4" t="s">
        <v>8434</v>
      </c>
      <c r="F964" s="4" t="s">
        <v>1293</v>
      </c>
      <c r="G964" s="4"/>
      <c r="H964" s="4" t="str">
        <f>_xlfn.IFNA(VLOOKUP(Table_Query_from_AMULTIQRY45[[#This Row],[WPROD]],'Part# with New'!$A$1:$B$4347,2,0),Table_Query_from_AMULTIQRY45[[#This Row],[WPROD]])</f>
        <v>93714</v>
      </c>
      <c r="I964" s="4" t="s">
        <v>8436</v>
      </c>
      <c r="J964" s="1" t="s">
        <v>5</v>
      </c>
      <c r="L964" s="11">
        <v>4.38</v>
      </c>
      <c r="M964" s="1"/>
      <c r="N964" s="1" t="s">
        <v>6</v>
      </c>
      <c r="P964" s="1" t="str">
        <f>CONCATENATE(Table_Query_from_AMULTIQRY45[[#This Row],[WWHS]],"-",Table_Query_from_AMULTIQRY45[[#This Row],[LLOC]])</f>
        <v>E1-RAW</v>
      </c>
      <c r="Q964" s="10">
        <f t="shared" ca="1" si="29"/>
        <v>45775</v>
      </c>
      <c r="R964" s="10"/>
      <c r="S964" s="28">
        <v>5</v>
      </c>
      <c r="T964" s="1" t="s">
        <v>2</v>
      </c>
      <c r="U964" s="1" t="s">
        <v>1009</v>
      </c>
      <c r="V964" s="1">
        <v>20151211</v>
      </c>
      <c r="W964" s="8" t="s">
        <v>8443</v>
      </c>
      <c r="Z964" s="1"/>
      <c r="AA964" s="1"/>
      <c r="AC964" s="1"/>
      <c r="AD964" s="1"/>
      <c r="AE964" s="1"/>
      <c r="AF964" s="1"/>
    </row>
    <row r="965" spans="2:32" ht="12.75" x14ac:dyDescent="0.2">
      <c r="B965" s="1" t="s">
        <v>9471</v>
      </c>
      <c r="C965" s="10">
        <f t="shared" ca="1" si="28"/>
        <v>45406</v>
      </c>
      <c r="D965" s="4"/>
      <c r="E965" s="4" t="s">
        <v>8434</v>
      </c>
      <c r="F965" s="4" t="s">
        <v>1293</v>
      </c>
      <c r="G965" s="4"/>
      <c r="H965" s="4" t="str">
        <f>_xlfn.IFNA(VLOOKUP(Table_Query_from_AMULTIQRY45[[#This Row],[WPROD]],'Part# with New'!$A$1:$B$4347,2,0),Table_Query_from_AMULTIQRY45[[#This Row],[WPROD]])</f>
        <v>93843</v>
      </c>
      <c r="I965" s="4" t="s">
        <v>8436</v>
      </c>
      <c r="J965" s="1" t="s">
        <v>46</v>
      </c>
      <c r="L965" s="11">
        <v>6.67</v>
      </c>
      <c r="M965" s="1"/>
      <c r="N965" s="1" t="s">
        <v>18</v>
      </c>
      <c r="P965" s="1" t="str">
        <f>CONCATENATE(Table_Query_from_AMULTIQRY45[[#This Row],[WWHS]],"-",Table_Query_from_AMULTIQRY45[[#This Row],[LLOC]])</f>
        <v>E1-RAW</v>
      </c>
      <c r="Q965" s="10">
        <f t="shared" ca="1" si="29"/>
        <v>45775</v>
      </c>
      <c r="R965" s="10"/>
      <c r="S965" s="28">
        <v>57</v>
      </c>
      <c r="T965" s="1" t="s">
        <v>2</v>
      </c>
      <c r="U965" s="1" t="s">
        <v>1010</v>
      </c>
      <c r="V965" s="1">
        <v>20240424</v>
      </c>
      <c r="W965" s="8" t="s">
        <v>8443</v>
      </c>
      <c r="Z965" s="1"/>
      <c r="AA965" s="1"/>
      <c r="AC965" s="1"/>
      <c r="AD965" s="1"/>
      <c r="AE965" s="1"/>
      <c r="AF965" s="1"/>
    </row>
    <row r="966" spans="2:32" ht="12.75" x14ac:dyDescent="0.2">
      <c r="B966" s="1" t="s">
        <v>9472</v>
      </c>
      <c r="C966" s="10">
        <f t="shared" ca="1" si="28"/>
        <v>45619</v>
      </c>
      <c r="D966" s="4"/>
      <c r="E966" s="4" t="s">
        <v>8434</v>
      </c>
      <c r="F966" s="4" t="s">
        <v>1293</v>
      </c>
      <c r="G966" s="4"/>
      <c r="H966" s="4" t="str">
        <f>_xlfn.IFNA(VLOOKUP(Table_Query_from_AMULTIQRY45[[#This Row],[WPROD]],'Part# with New'!$A$1:$B$4347,2,0),Table_Query_from_AMULTIQRY45[[#This Row],[WPROD]])</f>
        <v>93845</v>
      </c>
      <c r="I966" s="4" t="s">
        <v>8436</v>
      </c>
      <c r="J966" s="1" t="s">
        <v>46</v>
      </c>
      <c r="L966" s="11">
        <v>4.42</v>
      </c>
      <c r="M966" s="1"/>
      <c r="N966" s="1" t="s">
        <v>18</v>
      </c>
      <c r="P966" s="1" t="str">
        <f>CONCATENATE(Table_Query_from_AMULTIQRY45[[#This Row],[WWHS]],"-",Table_Query_from_AMULTIQRY45[[#This Row],[LLOC]])</f>
        <v>E1-RAW</v>
      </c>
      <c r="Q966" s="10">
        <f t="shared" ca="1" si="29"/>
        <v>45775</v>
      </c>
      <c r="R966" s="10"/>
      <c r="S966" s="28">
        <v>27</v>
      </c>
      <c r="T966" s="1" t="s">
        <v>2</v>
      </c>
      <c r="U966" s="1" t="s">
        <v>1011</v>
      </c>
      <c r="V966" s="1">
        <v>20241123</v>
      </c>
      <c r="W966" s="8" t="s">
        <v>8443</v>
      </c>
      <c r="Z966" s="1"/>
      <c r="AA966" s="1"/>
      <c r="AC966" s="1"/>
      <c r="AD966" s="1"/>
      <c r="AE966" s="1"/>
      <c r="AF966" s="1"/>
    </row>
    <row r="967" spans="2:32" ht="12.75" x14ac:dyDescent="0.2">
      <c r="B967" s="1" t="s">
        <v>9473</v>
      </c>
      <c r="C967" s="10">
        <f t="shared" ref="C967:C1030" ca="1" si="30">IFERROR(DATE(LEFT($V967,4),MID($V967,5,2),RIGHT($V967,2)),TODAY())</f>
        <v>45525</v>
      </c>
      <c r="D967" s="4"/>
      <c r="E967" s="4" t="s">
        <v>8434</v>
      </c>
      <c r="F967" s="4" t="s">
        <v>1293</v>
      </c>
      <c r="G967" s="4"/>
      <c r="H967" s="4" t="str">
        <f>_xlfn.IFNA(VLOOKUP(Table_Query_from_AMULTIQRY45[[#This Row],[WPROD]],'Part# with New'!$A$1:$B$4347,2,0),Table_Query_from_AMULTIQRY45[[#This Row],[WPROD]])</f>
        <v>93870</v>
      </c>
      <c r="I967" s="4" t="s">
        <v>8436</v>
      </c>
      <c r="J967" s="1" t="s">
        <v>46</v>
      </c>
      <c r="L967" s="11">
        <v>3.13</v>
      </c>
      <c r="M967" s="1"/>
      <c r="N967" s="1" t="s">
        <v>18</v>
      </c>
      <c r="P967" s="1" t="str">
        <f>CONCATENATE(Table_Query_from_AMULTIQRY45[[#This Row],[WWHS]],"-",Table_Query_from_AMULTIQRY45[[#This Row],[LLOC]])</f>
        <v>E1-RAW</v>
      </c>
      <c r="Q967" s="10">
        <f t="shared" ref="Q967:Q1030" ca="1" si="31">+TODAY()</f>
        <v>45775</v>
      </c>
      <c r="R967" s="10"/>
      <c r="S967" s="28">
        <v>504</v>
      </c>
      <c r="T967" s="1" t="s">
        <v>2</v>
      </c>
      <c r="U967" s="1" t="s">
        <v>1012</v>
      </c>
      <c r="V967" s="1">
        <v>20240821</v>
      </c>
      <c r="W967" s="8" t="s">
        <v>8443</v>
      </c>
      <c r="Z967" s="1"/>
      <c r="AA967" s="1"/>
      <c r="AC967" s="1"/>
      <c r="AD967" s="1"/>
      <c r="AE967" s="1"/>
      <c r="AF967" s="1"/>
    </row>
    <row r="968" spans="2:32" ht="12.75" x14ac:dyDescent="0.2">
      <c r="B968" s="1" t="s">
        <v>9474</v>
      </c>
      <c r="C968" s="10">
        <f t="shared" ca="1" si="30"/>
        <v>45216</v>
      </c>
      <c r="D968" s="4"/>
      <c r="E968" s="4" t="s">
        <v>8434</v>
      </c>
      <c r="F968" s="4" t="s">
        <v>1293</v>
      </c>
      <c r="G968" s="4"/>
      <c r="H968" s="4" t="str">
        <f>_xlfn.IFNA(VLOOKUP(Table_Query_from_AMULTIQRY45[[#This Row],[WPROD]],'Part# with New'!$A$1:$B$4347,2,0),Table_Query_from_AMULTIQRY45[[#This Row],[WPROD]])</f>
        <v>93905</v>
      </c>
      <c r="I968" s="4" t="s">
        <v>8436</v>
      </c>
      <c r="J968" s="1" t="s">
        <v>46</v>
      </c>
      <c r="L968" s="11">
        <v>3.15</v>
      </c>
      <c r="M968" s="1"/>
      <c r="N968" s="1" t="s">
        <v>18</v>
      </c>
      <c r="P968" s="1" t="str">
        <f>CONCATENATE(Table_Query_from_AMULTIQRY45[[#This Row],[WWHS]],"-",Table_Query_from_AMULTIQRY45[[#This Row],[LLOC]])</f>
        <v>E1-RAW</v>
      </c>
      <c r="Q968" s="10">
        <f t="shared" ca="1" si="31"/>
        <v>45775</v>
      </c>
      <c r="R968" s="10"/>
      <c r="S968" s="28">
        <v>9</v>
      </c>
      <c r="T968" s="1" t="s">
        <v>2</v>
      </c>
      <c r="U968" s="1" t="s">
        <v>1013</v>
      </c>
      <c r="V968" s="1">
        <v>20231017</v>
      </c>
      <c r="W968" s="8" t="s">
        <v>8443</v>
      </c>
      <c r="Z968" s="1"/>
      <c r="AA968" s="1"/>
      <c r="AC968" s="1"/>
      <c r="AD968" s="1"/>
      <c r="AE968" s="1"/>
      <c r="AF968" s="1"/>
    </row>
    <row r="969" spans="2:32" ht="12.75" x14ac:dyDescent="0.2">
      <c r="B969" s="1" t="s">
        <v>9475</v>
      </c>
      <c r="C969" s="10">
        <f t="shared" ca="1" si="30"/>
        <v>45363</v>
      </c>
      <c r="D969" s="4"/>
      <c r="E969" s="4" t="s">
        <v>8434</v>
      </c>
      <c r="F969" s="4" t="s">
        <v>1293</v>
      </c>
      <c r="G969" s="4"/>
      <c r="H969" s="4" t="str">
        <f>_xlfn.IFNA(VLOOKUP(Table_Query_from_AMULTIQRY45[[#This Row],[WPROD]],'Part# with New'!$A$1:$B$4347,2,0),Table_Query_from_AMULTIQRY45[[#This Row],[WPROD]])</f>
        <v>93950</v>
      </c>
      <c r="I969" s="4" t="s">
        <v>8436</v>
      </c>
      <c r="J969" s="1" t="s">
        <v>46</v>
      </c>
      <c r="L969" s="11">
        <v>3.18</v>
      </c>
      <c r="M969" s="1"/>
      <c r="N969" s="1" t="s">
        <v>646</v>
      </c>
      <c r="P969" s="1" t="str">
        <f>CONCATENATE(Table_Query_from_AMULTIQRY45[[#This Row],[WWHS]],"-",Table_Query_from_AMULTIQRY45[[#This Row],[LLOC]])</f>
        <v>E1-RAW</v>
      </c>
      <c r="Q969" s="10">
        <f t="shared" ca="1" si="31"/>
        <v>45775</v>
      </c>
      <c r="R969" s="10"/>
      <c r="S969" s="28">
        <v>100</v>
      </c>
      <c r="T969" s="1" t="s">
        <v>2</v>
      </c>
      <c r="U969" s="1" t="s">
        <v>1014</v>
      </c>
      <c r="V969" s="1">
        <v>20240312</v>
      </c>
      <c r="W969" s="8" t="s">
        <v>8443</v>
      </c>
      <c r="Z969" s="1"/>
      <c r="AA969" s="1"/>
      <c r="AC969" s="1"/>
      <c r="AD969" s="1"/>
      <c r="AE969" s="1"/>
      <c r="AF969" s="1"/>
    </row>
    <row r="970" spans="2:32" ht="12.75" x14ac:dyDescent="0.2">
      <c r="B970" s="1" t="s">
        <v>9476</v>
      </c>
      <c r="C970" s="10">
        <f t="shared" ca="1" si="30"/>
        <v>45555</v>
      </c>
      <c r="D970" s="4"/>
      <c r="E970" s="4" t="s">
        <v>8434</v>
      </c>
      <c r="F970" s="4" t="s">
        <v>1293</v>
      </c>
      <c r="G970" s="4"/>
      <c r="H970" s="4" t="str">
        <f>_xlfn.IFNA(VLOOKUP(Table_Query_from_AMULTIQRY45[[#This Row],[WPROD]],'Part# with New'!$A$1:$B$4347,2,0),Table_Query_from_AMULTIQRY45[[#This Row],[WPROD]])</f>
        <v>94356</v>
      </c>
      <c r="I970" s="4" t="s">
        <v>8436</v>
      </c>
      <c r="J970" s="1" t="s">
        <v>5</v>
      </c>
      <c r="L970" s="11">
        <v>4.9379099999999996</v>
      </c>
      <c r="M970" s="1"/>
      <c r="N970" s="1" t="s">
        <v>18</v>
      </c>
      <c r="P970" s="1" t="str">
        <f>CONCATENATE(Table_Query_from_AMULTIQRY45[[#This Row],[WWHS]],"-",Table_Query_from_AMULTIQRY45[[#This Row],[LLOC]])</f>
        <v>E1-RAW</v>
      </c>
      <c r="Q970" s="10">
        <f t="shared" ca="1" si="31"/>
        <v>45775</v>
      </c>
      <c r="R970" s="10"/>
      <c r="S970" s="28">
        <v>30</v>
      </c>
      <c r="T970" s="1" t="s">
        <v>2</v>
      </c>
      <c r="U970" s="1" t="s">
        <v>1015</v>
      </c>
      <c r="V970" s="1">
        <v>20240920</v>
      </c>
      <c r="W970" s="8" t="s">
        <v>8443</v>
      </c>
      <c r="Z970" s="1"/>
      <c r="AA970" s="1"/>
      <c r="AC970" s="1"/>
      <c r="AD970" s="1"/>
      <c r="AE970" s="1"/>
      <c r="AF970" s="1"/>
    </row>
    <row r="971" spans="2:32" ht="12.75" x14ac:dyDescent="0.2">
      <c r="B971" s="1" t="s">
        <v>9477</v>
      </c>
      <c r="C971" s="10">
        <f t="shared" ca="1" si="30"/>
        <v>45555</v>
      </c>
      <c r="D971" s="4"/>
      <c r="E971" s="4" t="s">
        <v>8434</v>
      </c>
      <c r="F971" s="4" t="s">
        <v>1293</v>
      </c>
      <c r="G971" s="4"/>
      <c r="H971" s="4" t="str">
        <f>_xlfn.IFNA(VLOOKUP(Table_Query_from_AMULTIQRY45[[#This Row],[WPROD]],'Part# with New'!$A$1:$B$4347,2,0),Table_Query_from_AMULTIQRY45[[#This Row],[WPROD]])</f>
        <v>94357</v>
      </c>
      <c r="I971" s="4" t="s">
        <v>8436</v>
      </c>
      <c r="J971" s="1" t="s">
        <v>5</v>
      </c>
      <c r="L971" s="11">
        <v>11.337300000000001</v>
      </c>
      <c r="M971" s="1"/>
      <c r="N971" s="1" t="s">
        <v>18</v>
      </c>
      <c r="P971" s="1" t="str">
        <f>CONCATENATE(Table_Query_from_AMULTIQRY45[[#This Row],[WWHS]],"-",Table_Query_from_AMULTIQRY45[[#This Row],[LLOC]])</f>
        <v>E1-RAW</v>
      </c>
      <c r="Q971" s="10">
        <f t="shared" ca="1" si="31"/>
        <v>45775</v>
      </c>
      <c r="R971" s="10"/>
      <c r="S971" s="28">
        <v>14</v>
      </c>
      <c r="T971" s="1" t="s">
        <v>2</v>
      </c>
      <c r="U971" s="1" t="s">
        <v>1016</v>
      </c>
      <c r="V971" s="1">
        <v>20240920</v>
      </c>
      <c r="W971" s="8" t="s">
        <v>8443</v>
      </c>
      <c r="Z971" s="1"/>
      <c r="AA971" s="1"/>
      <c r="AC971" s="1"/>
      <c r="AD971" s="1"/>
      <c r="AE971" s="1"/>
      <c r="AF971" s="1"/>
    </row>
    <row r="972" spans="2:32" ht="12.75" x14ac:dyDescent="0.2">
      <c r="B972" s="1" t="s">
        <v>9478</v>
      </c>
      <c r="C972" s="10">
        <f t="shared" ca="1" si="30"/>
        <v>45707</v>
      </c>
      <c r="D972" s="4"/>
      <c r="E972" s="4" t="s">
        <v>8434</v>
      </c>
      <c r="F972" s="4" t="s">
        <v>1293</v>
      </c>
      <c r="G972" s="4"/>
      <c r="H972" s="4" t="str">
        <f>_xlfn.IFNA(VLOOKUP(Table_Query_from_AMULTIQRY45[[#This Row],[WPROD]],'Part# with New'!$A$1:$B$4347,2,0),Table_Query_from_AMULTIQRY45[[#This Row],[WPROD]])</f>
        <v>10016</v>
      </c>
      <c r="I972" s="4" t="s">
        <v>8436</v>
      </c>
      <c r="J972" s="1" t="s">
        <v>1019</v>
      </c>
      <c r="L972" s="11">
        <v>19.14</v>
      </c>
      <c r="M972" s="1"/>
      <c r="N972" s="1" t="s">
        <v>1017</v>
      </c>
      <c r="P972" s="1" t="str">
        <f>CONCATENATE(Table_Query_from_AMULTIQRY45[[#This Row],[WWHS]],"-",Table_Query_from_AMULTIQRY45[[#This Row],[LLOC]])</f>
        <v>E1-RAW</v>
      </c>
      <c r="Q972" s="10">
        <f t="shared" ca="1" si="31"/>
        <v>45775</v>
      </c>
      <c r="R972" s="10"/>
      <c r="S972" s="28">
        <v>15.138</v>
      </c>
      <c r="T972" s="1" t="s">
        <v>2</v>
      </c>
      <c r="U972" s="1" t="s">
        <v>1018</v>
      </c>
      <c r="V972" s="1">
        <v>20250219</v>
      </c>
      <c r="W972" s="8" t="s">
        <v>8443</v>
      </c>
      <c r="Z972" s="1"/>
      <c r="AA972" s="1"/>
      <c r="AC972" s="1"/>
      <c r="AD972" s="1"/>
      <c r="AE972" s="1"/>
      <c r="AF972" s="1"/>
    </row>
    <row r="973" spans="2:32" ht="12.75" x14ac:dyDescent="0.2">
      <c r="B973" s="1" t="s">
        <v>9479</v>
      </c>
      <c r="C973" s="10">
        <f t="shared" ca="1" si="30"/>
        <v>45119</v>
      </c>
      <c r="D973" s="4"/>
      <c r="E973" s="4" t="s">
        <v>8434</v>
      </c>
      <c r="F973" s="4" t="s">
        <v>1293</v>
      </c>
      <c r="G973" s="4"/>
      <c r="H973" s="4" t="str">
        <f>_xlfn.IFNA(VLOOKUP(Table_Query_from_AMULTIQRY45[[#This Row],[WPROD]],'Part# with New'!$A$1:$B$4347,2,0),Table_Query_from_AMULTIQRY45[[#This Row],[WPROD]])</f>
        <v>10020</v>
      </c>
      <c r="I973" s="4" t="s">
        <v>8436</v>
      </c>
      <c r="J973" s="1" t="s">
        <v>1019</v>
      </c>
      <c r="L973" s="11">
        <v>23.831019999999999</v>
      </c>
      <c r="M973" s="1"/>
      <c r="N973" s="1" t="s">
        <v>1017</v>
      </c>
      <c r="P973" s="1" t="str">
        <f>CONCATENATE(Table_Query_from_AMULTIQRY45[[#This Row],[WWHS]],"-",Table_Query_from_AMULTIQRY45[[#This Row],[LLOC]])</f>
        <v>E1-RAW</v>
      </c>
      <c r="Q973" s="10">
        <f t="shared" ca="1" si="31"/>
        <v>45775</v>
      </c>
      <c r="R973" s="10"/>
      <c r="S973" s="28">
        <v>44.5</v>
      </c>
      <c r="T973" s="1" t="s">
        <v>2</v>
      </c>
      <c r="U973" s="1" t="s">
        <v>1020</v>
      </c>
      <c r="V973" s="1">
        <v>20230712</v>
      </c>
      <c r="W973" s="8" t="s">
        <v>8443</v>
      </c>
      <c r="Z973" s="1"/>
      <c r="AA973" s="1"/>
      <c r="AC973" s="1"/>
      <c r="AD973" s="1"/>
      <c r="AE973" s="1"/>
      <c r="AF973" s="1"/>
    </row>
    <row r="974" spans="2:32" ht="12.75" x14ac:dyDescent="0.2">
      <c r="B974" s="1" t="s">
        <v>9480</v>
      </c>
      <c r="C974" s="10">
        <f t="shared" ca="1" si="30"/>
        <v>45706</v>
      </c>
      <c r="D974" s="4"/>
      <c r="E974" s="4" t="s">
        <v>8434</v>
      </c>
      <c r="F974" s="4" t="s">
        <v>1293</v>
      </c>
      <c r="G974" s="4"/>
      <c r="H974" s="4" t="str">
        <f>_xlfn.IFNA(VLOOKUP(Table_Query_from_AMULTIQRY45[[#This Row],[WPROD]],'Part# with New'!$A$1:$B$4347,2,0),Table_Query_from_AMULTIQRY45[[#This Row],[WPROD]])</f>
        <v>10025</v>
      </c>
      <c r="I974" s="4" t="s">
        <v>8436</v>
      </c>
      <c r="J974" s="1" t="s">
        <v>1019</v>
      </c>
      <c r="L974" s="11">
        <v>21.275749999999999</v>
      </c>
      <c r="M974" s="1"/>
      <c r="N974" s="1" t="s">
        <v>1017</v>
      </c>
      <c r="P974" s="1" t="str">
        <f>CONCATENATE(Table_Query_from_AMULTIQRY45[[#This Row],[WWHS]],"-",Table_Query_from_AMULTIQRY45[[#This Row],[LLOC]])</f>
        <v>E1-RAW</v>
      </c>
      <c r="Q974" s="10">
        <f t="shared" ca="1" si="31"/>
        <v>45775</v>
      </c>
      <c r="R974" s="10"/>
      <c r="S974" s="28">
        <v>12.66</v>
      </c>
      <c r="T974" s="1" t="s">
        <v>2</v>
      </c>
      <c r="U974" s="1" t="s">
        <v>1021</v>
      </c>
      <c r="V974" s="1">
        <v>20250218</v>
      </c>
      <c r="W974" s="8" t="s">
        <v>8443</v>
      </c>
      <c r="Z974" s="1"/>
      <c r="AA974" s="1"/>
      <c r="AC974" s="1"/>
      <c r="AD974" s="1"/>
      <c r="AE974" s="1"/>
      <c r="AF974" s="1"/>
    </row>
    <row r="975" spans="2:32" ht="12.75" x14ac:dyDescent="0.2">
      <c r="B975" s="1" t="s">
        <v>9481</v>
      </c>
      <c r="C975" s="10">
        <f t="shared" ca="1" si="30"/>
        <v>44998</v>
      </c>
      <c r="D975" s="4"/>
      <c r="E975" s="4" t="s">
        <v>8434</v>
      </c>
      <c r="F975" s="4" t="s">
        <v>1293</v>
      </c>
      <c r="G975" s="4"/>
      <c r="H975" s="4" t="str">
        <f>_xlfn.IFNA(VLOOKUP(Table_Query_from_AMULTIQRY45[[#This Row],[WPROD]],'Part# with New'!$A$1:$B$4347,2,0),Table_Query_from_AMULTIQRY45[[#This Row],[WPROD]])</f>
        <v>10026</v>
      </c>
      <c r="I975" s="4" t="s">
        <v>8436</v>
      </c>
      <c r="J975" s="1" t="s">
        <v>1019</v>
      </c>
      <c r="L975" s="11">
        <v>17.97</v>
      </c>
      <c r="M975" s="1"/>
      <c r="N975" s="1" t="s">
        <v>1017</v>
      </c>
      <c r="P975" s="1" t="str">
        <f>CONCATENATE(Table_Query_from_AMULTIQRY45[[#This Row],[WWHS]],"-",Table_Query_from_AMULTIQRY45[[#This Row],[LLOC]])</f>
        <v>E1-RAW</v>
      </c>
      <c r="Q975" s="10">
        <f t="shared" ca="1" si="31"/>
        <v>45775</v>
      </c>
      <c r="R975" s="10"/>
      <c r="S975" s="28">
        <v>65.38</v>
      </c>
      <c r="T975" s="1" t="s">
        <v>2</v>
      </c>
      <c r="U975" s="1" t="s">
        <v>1022</v>
      </c>
      <c r="V975" s="1">
        <v>20230313</v>
      </c>
      <c r="W975" s="8" t="s">
        <v>8443</v>
      </c>
      <c r="Z975" s="1"/>
      <c r="AA975" s="1"/>
      <c r="AC975" s="1"/>
      <c r="AD975" s="1"/>
      <c r="AE975" s="1"/>
      <c r="AF975" s="1"/>
    </row>
    <row r="976" spans="2:32" ht="12.75" x14ac:dyDescent="0.2">
      <c r="B976" s="1" t="s">
        <v>9482</v>
      </c>
      <c r="C976" s="10">
        <f t="shared" ca="1" si="30"/>
        <v>44847</v>
      </c>
      <c r="D976" s="4"/>
      <c r="E976" s="4" t="s">
        <v>8434</v>
      </c>
      <c r="F976" s="4" t="s">
        <v>1293</v>
      </c>
      <c r="G976" s="4"/>
      <c r="H976" s="4" t="str">
        <f>_xlfn.IFNA(VLOOKUP(Table_Query_from_AMULTIQRY45[[#This Row],[WPROD]],'Part# with New'!$A$1:$B$4347,2,0),Table_Query_from_AMULTIQRY45[[#This Row],[WPROD]])</f>
        <v>10066</v>
      </c>
      <c r="I976" s="4" t="s">
        <v>8436</v>
      </c>
      <c r="J976" s="1" t="s">
        <v>1019</v>
      </c>
      <c r="L976" s="11">
        <v>16.84</v>
      </c>
      <c r="M976" s="1"/>
      <c r="N976" s="1" t="s">
        <v>1017</v>
      </c>
      <c r="P976" s="1" t="str">
        <f>CONCATENATE(Table_Query_from_AMULTIQRY45[[#This Row],[WWHS]],"-",Table_Query_from_AMULTIQRY45[[#This Row],[LLOC]])</f>
        <v>E1-RAW</v>
      </c>
      <c r="Q976" s="10">
        <f t="shared" ca="1" si="31"/>
        <v>45775</v>
      </c>
      <c r="R976" s="10"/>
      <c r="S976" s="28">
        <v>10.000999999999999</v>
      </c>
      <c r="T976" s="1" t="s">
        <v>2</v>
      </c>
      <c r="U976" s="1" t="s">
        <v>1023</v>
      </c>
      <c r="V976" s="1">
        <v>20221013</v>
      </c>
      <c r="W976" s="8" t="s">
        <v>8443</v>
      </c>
      <c r="Z976" s="1"/>
      <c r="AA976" s="1"/>
      <c r="AC976" s="1"/>
      <c r="AD976" s="1"/>
      <c r="AE976" s="1"/>
      <c r="AF976" s="1"/>
    </row>
    <row r="977" spans="2:32" ht="12.75" x14ac:dyDescent="0.2">
      <c r="B977" s="1" t="s">
        <v>9483</v>
      </c>
      <c r="C977" s="10">
        <f t="shared" ca="1" si="30"/>
        <v>43908</v>
      </c>
      <c r="D977" s="4"/>
      <c r="E977" s="4" t="s">
        <v>8434</v>
      </c>
      <c r="F977" s="4" t="s">
        <v>1293</v>
      </c>
      <c r="G977" s="4"/>
      <c r="H977" s="4" t="str">
        <f>_xlfn.IFNA(VLOOKUP(Table_Query_from_AMULTIQRY45[[#This Row],[WPROD]],'Part# with New'!$A$1:$B$4347,2,0),Table_Query_from_AMULTIQRY45[[#This Row],[WPROD]])</f>
        <v>10144</v>
      </c>
      <c r="I977" s="4" t="s">
        <v>8436</v>
      </c>
      <c r="J977" s="1" t="s">
        <v>1019</v>
      </c>
      <c r="L977" s="11">
        <v>16.11533</v>
      </c>
      <c r="M977" s="1"/>
      <c r="N977" s="1" t="s">
        <v>1017</v>
      </c>
      <c r="P977" s="1" t="str">
        <f>CONCATENATE(Table_Query_from_AMULTIQRY45[[#This Row],[WWHS]],"-",Table_Query_from_AMULTIQRY45[[#This Row],[LLOC]])</f>
        <v>E1-RAW</v>
      </c>
      <c r="Q977" s="10">
        <f t="shared" ca="1" si="31"/>
        <v>45775</v>
      </c>
      <c r="R977" s="10"/>
      <c r="S977" s="28">
        <v>8.01</v>
      </c>
      <c r="T977" s="1" t="s">
        <v>2</v>
      </c>
      <c r="U977" s="1" t="s">
        <v>1024</v>
      </c>
      <c r="V977" s="1">
        <v>20200318</v>
      </c>
      <c r="W977" s="8" t="s">
        <v>8443</v>
      </c>
      <c r="Z977" s="1"/>
      <c r="AA977" s="1"/>
      <c r="AC977" s="1"/>
      <c r="AD977" s="1"/>
      <c r="AE977" s="1"/>
      <c r="AF977" s="1"/>
    </row>
    <row r="978" spans="2:32" ht="12.75" x14ac:dyDescent="0.2">
      <c r="B978" s="1" t="s">
        <v>9484</v>
      </c>
      <c r="C978" s="10">
        <f t="shared" ca="1" si="30"/>
        <v>45659</v>
      </c>
      <c r="D978" s="4"/>
      <c r="E978" s="4" t="s">
        <v>8434</v>
      </c>
      <c r="F978" s="4" t="s">
        <v>1293</v>
      </c>
      <c r="G978" s="4"/>
      <c r="H978" s="4" t="str">
        <f>_xlfn.IFNA(VLOOKUP(Table_Query_from_AMULTIQRY45[[#This Row],[WPROD]],'Part# with New'!$A$1:$B$4347,2,0),Table_Query_from_AMULTIQRY45[[#This Row],[WPROD]])</f>
        <v>10156</v>
      </c>
      <c r="I978" s="4" t="s">
        <v>8436</v>
      </c>
      <c r="J978" s="1" t="s">
        <v>1019</v>
      </c>
      <c r="L978" s="11">
        <v>24.82</v>
      </c>
      <c r="M978" s="1"/>
      <c r="N978" s="1" t="s">
        <v>1017</v>
      </c>
      <c r="P978" s="1" t="str">
        <f>CONCATENATE(Table_Query_from_AMULTIQRY45[[#This Row],[WWHS]],"-",Table_Query_from_AMULTIQRY45[[#This Row],[LLOC]])</f>
        <v>E1-RAW</v>
      </c>
      <c r="Q978" s="10">
        <f t="shared" ca="1" si="31"/>
        <v>45775</v>
      </c>
      <c r="R978" s="10"/>
      <c r="S978" s="28">
        <v>215</v>
      </c>
      <c r="T978" s="1" t="s">
        <v>2</v>
      </c>
      <c r="U978" s="1" t="s">
        <v>1025</v>
      </c>
      <c r="V978" s="1">
        <v>20250102</v>
      </c>
      <c r="W978" s="8" t="s">
        <v>8443</v>
      </c>
      <c r="Z978" s="1"/>
      <c r="AA978" s="1"/>
      <c r="AC978" s="1"/>
      <c r="AD978" s="1"/>
      <c r="AE978" s="1"/>
      <c r="AF978" s="1"/>
    </row>
    <row r="979" spans="2:32" ht="12.75" x14ac:dyDescent="0.2">
      <c r="B979" s="1" t="s">
        <v>9485</v>
      </c>
      <c r="C979" s="10">
        <f t="shared" ca="1" si="30"/>
        <v>45772</v>
      </c>
      <c r="D979" s="4"/>
      <c r="E979" s="4" t="s">
        <v>8434</v>
      </c>
      <c r="F979" s="4" t="s">
        <v>1293</v>
      </c>
      <c r="G979" s="4"/>
      <c r="H979" s="4" t="str">
        <f>_xlfn.IFNA(VLOOKUP(Table_Query_from_AMULTIQRY45[[#This Row],[WPROD]],'Part# with New'!$A$1:$B$4347,2,0),Table_Query_from_AMULTIQRY45[[#This Row],[WPROD]])</f>
        <v>10170</v>
      </c>
      <c r="I979" s="4" t="s">
        <v>8436</v>
      </c>
      <c r="J979" s="1" t="s">
        <v>1027</v>
      </c>
      <c r="L979" s="11">
        <v>2.7</v>
      </c>
      <c r="M979" s="1"/>
      <c r="N979" s="1" t="s">
        <v>1017</v>
      </c>
      <c r="P979" s="1" t="str">
        <f>CONCATENATE(Table_Query_from_AMULTIQRY45[[#This Row],[WWHS]],"-",Table_Query_from_AMULTIQRY45[[#This Row],[LLOC]])</f>
        <v>E1-RAW</v>
      </c>
      <c r="Q979" s="10">
        <f t="shared" ca="1" si="31"/>
        <v>45775</v>
      </c>
      <c r="R979" s="10"/>
      <c r="S979" s="28">
        <v>3527.0160000000001</v>
      </c>
      <c r="T979" s="1" t="s">
        <v>2</v>
      </c>
      <c r="U979" s="1" t="s">
        <v>1026</v>
      </c>
      <c r="V979" s="1">
        <v>20250425</v>
      </c>
      <c r="W979" s="8" t="s">
        <v>8443</v>
      </c>
      <c r="Z979" s="1"/>
      <c r="AA979" s="1"/>
      <c r="AC979" s="1"/>
      <c r="AD979" s="1"/>
      <c r="AE979" s="1"/>
      <c r="AF979" s="1"/>
    </row>
    <row r="980" spans="2:32" ht="12.75" x14ac:dyDescent="0.2">
      <c r="B980" s="1" t="s">
        <v>9486</v>
      </c>
      <c r="C980" s="10">
        <f t="shared" ca="1" si="30"/>
        <v>45623</v>
      </c>
      <c r="D980" s="4"/>
      <c r="E980" s="4" t="s">
        <v>8434</v>
      </c>
      <c r="F980" s="4" t="s">
        <v>1293</v>
      </c>
      <c r="G980" s="4"/>
      <c r="H980" s="4" t="str">
        <f>_xlfn.IFNA(VLOOKUP(Table_Query_from_AMULTIQRY45[[#This Row],[WPROD]],'Part# with New'!$A$1:$B$4347,2,0),Table_Query_from_AMULTIQRY45[[#This Row],[WPROD]])</f>
        <v>10171</v>
      </c>
      <c r="I980" s="4" t="s">
        <v>8436</v>
      </c>
      <c r="J980" s="1" t="s">
        <v>1027</v>
      </c>
      <c r="L980" s="11">
        <v>1.05</v>
      </c>
      <c r="M980" s="1"/>
      <c r="N980" s="1" t="s">
        <v>1017</v>
      </c>
      <c r="P980" s="1" t="str">
        <f>CONCATENATE(Table_Query_from_AMULTIQRY45[[#This Row],[WWHS]],"-",Table_Query_from_AMULTIQRY45[[#This Row],[LLOC]])</f>
        <v>E1-RAW</v>
      </c>
      <c r="Q980" s="10">
        <f t="shared" ca="1" si="31"/>
        <v>45775</v>
      </c>
      <c r="R980" s="10"/>
      <c r="S980" s="28">
        <v>8.6</v>
      </c>
      <c r="T980" s="1" t="s">
        <v>2</v>
      </c>
      <c r="U980" s="1" t="s">
        <v>1028</v>
      </c>
      <c r="V980" s="1">
        <v>20241127</v>
      </c>
      <c r="W980" s="8" t="s">
        <v>8443</v>
      </c>
      <c r="Z980" s="1"/>
      <c r="AA980" s="1"/>
      <c r="AC980" s="1"/>
      <c r="AD980" s="1"/>
      <c r="AE980" s="1"/>
      <c r="AF980" s="1"/>
    </row>
    <row r="981" spans="2:32" ht="12.75" x14ac:dyDescent="0.2">
      <c r="B981" s="1" t="s">
        <v>9487</v>
      </c>
      <c r="C981" s="10">
        <f t="shared" ca="1" si="30"/>
        <v>43760</v>
      </c>
      <c r="D981" s="4"/>
      <c r="E981" s="4" t="s">
        <v>8434</v>
      </c>
      <c r="F981" s="4" t="s">
        <v>1293</v>
      </c>
      <c r="G981" s="4"/>
      <c r="H981" s="4" t="str">
        <f>_xlfn.IFNA(VLOOKUP(Table_Query_from_AMULTIQRY45[[#This Row],[WPROD]],'Part# with New'!$A$1:$B$4347,2,0),Table_Query_from_AMULTIQRY45[[#This Row],[WPROD]])</f>
        <v>10189</v>
      </c>
      <c r="I981" s="4" t="s">
        <v>8436</v>
      </c>
      <c r="J981" s="1" t="s">
        <v>1019</v>
      </c>
      <c r="L981" s="11">
        <v>16.03</v>
      </c>
      <c r="M981" s="1"/>
      <c r="N981" s="1" t="s">
        <v>1017</v>
      </c>
      <c r="P981" s="1" t="str">
        <f>CONCATENATE(Table_Query_from_AMULTIQRY45[[#This Row],[WWHS]],"-",Table_Query_from_AMULTIQRY45[[#This Row],[LLOC]])</f>
        <v>E1-RAW</v>
      </c>
      <c r="Q981" s="10">
        <f t="shared" ca="1" si="31"/>
        <v>45775</v>
      </c>
      <c r="R981" s="10"/>
      <c r="S981" s="28">
        <v>32.5</v>
      </c>
      <c r="T981" s="1" t="s">
        <v>2</v>
      </c>
      <c r="U981" s="1" t="s">
        <v>1029</v>
      </c>
      <c r="V981" s="1">
        <v>20191022</v>
      </c>
      <c r="W981" s="8" t="s">
        <v>8443</v>
      </c>
      <c r="Z981" s="1"/>
      <c r="AA981" s="1"/>
      <c r="AC981" s="1"/>
      <c r="AD981" s="1"/>
      <c r="AE981" s="1"/>
      <c r="AF981" s="1"/>
    </row>
    <row r="982" spans="2:32" ht="12.75" x14ac:dyDescent="0.2">
      <c r="B982" s="1" t="s">
        <v>9488</v>
      </c>
      <c r="C982" s="10">
        <f t="shared" ca="1" si="30"/>
        <v>45462</v>
      </c>
      <c r="D982" s="4"/>
      <c r="E982" s="4" t="s">
        <v>8434</v>
      </c>
      <c r="F982" s="4" t="s">
        <v>1293</v>
      </c>
      <c r="G982" s="4"/>
      <c r="H982" s="4" t="str">
        <f>_xlfn.IFNA(VLOOKUP(Table_Query_from_AMULTIQRY45[[#This Row],[WPROD]],'Part# with New'!$A$1:$B$4347,2,0),Table_Query_from_AMULTIQRY45[[#This Row],[WPROD]])</f>
        <v>10194</v>
      </c>
      <c r="I982" s="4" t="s">
        <v>8436</v>
      </c>
      <c r="J982" s="1" t="s">
        <v>1027</v>
      </c>
      <c r="L982" s="11">
        <v>2.44</v>
      </c>
      <c r="M982" s="1"/>
      <c r="N982" s="1" t="s">
        <v>1017</v>
      </c>
      <c r="P982" s="1" t="str">
        <f>CONCATENATE(Table_Query_from_AMULTIQRY45[[#This Row],[WWHS]],"-",Table_Query_from_AMULTIQRY45[[#This Row],[LLOC]])</f>
        <v>E1-RAW</v>
      </c>
      <c r="Q982" s="10">
        <f t="shared" ca="1" si="31"/>
        <v>45775</v>
      </c>
      <c r="R982" s="10"/>
      <c r="S982" s="28">
        <v>151</v>
      </c>
      <c r="T982" s="1" t="s">
        <v>2</v>
      </c>
      <c r="U982" s="1" t="s">
        <v>1030</v>
      </c>
      <c r="V982" s="1">
        <v>20240619</v>
      </c>
      <c r="W982" s="8" t="s">
        <v>8443</v>
      </c>
      <c r="Z982" s="1"/>
      <c r="AA982" s="1"/>
      <c r="AC982" s="1"/>
      <c r="AD982" s="1"/>
      <c r="AE982" s="1"/>
      <c r="AF982" s="1"/>
    </row>
    <row r="983" spans="2:32" ht="12.75" x14ac:dyDescent="0.2">
      <c r="B983" s="1" t="s">
        <v>9489</v>
      </c>
      <c r="C983" s="10">
        <f t="shared" ca="1" si="30"/>
        <v>45726</v>
      </c>
      <c r="D983" s="4"/>
      <c r="E983" s="4" t="s">
        <v>8434</v>
      </c>
      <c r="F983" s="4" t="s">
        <v>1293</v>
      </c>
      <c r="G983" s="4"/>
      <c r="H983" s="4" t="str">
        <f>_xlfn.IFNA(VLOOKUP(Table_Query_from_AMULTIQRY45[[#This Row],[WPROD]],'Part# with New'!$A$1:$B$4347,2,0),Table_Query_from_AMULTIQRY45[[#This Row],[WPROD]])</f>
        <v>10198</v>
      </c>
      <c r="I983" s="4" t="s">
        <v>8436</v>
      </c>
      <c r="J983" s="1" t="s">
        <v>1027</v>
      </c>
      <c r="L983" s="11">
        <v>5.64</v>
      </c>
      <c r="M983" s="1"/>
      <c r="N983" s="1" t="s">
        <v>1017</v>
      </c>
      <c r="P983" s="1" t="str">
        <f>CONCATENATE(Table_Query_from_AMULTIQRY45[[#This Row],[WWHS]],"-",Table_Query_from_AMULTIQRY45[[#This Row],[LLOC]])</f>
        <v>E1-RAW</v>
      </c>
      <c r="Q983" s="10">
        <f t="shared" ca="1" si="31"/>
        <v>45775</v>
      </c>
      <c r="R983" s="10"/>
      <c r="S983" s="28">
        <v>11</v>
      </c>
      <c r="T983" s="1" t="s">
        <v>2</v>
      </c>
      <c r="U983" s="1" t="s">
        <v>1031</v>
      </c>
      <c r="V983" s="1">
        <v>20250310</v>
      </c>
      <c r="W983" s="8" t="s">
        <v>8443</v>
      </c>
      <c r="Z983" s="1"/>
      <c r="AA983" s="1"/>
      <c r="AC983" s="1"/>
      <c r="AD983" s="1"/>
      <c r="AE983" s="1"/>
      <c r="AF983" s="1"/>
    </row>
    <row r="984" spans="2:32" ht="12.75" x14ac:dyDescent="0.2">
      <c r="B984" s="1" t="s">
        <v>9490</v>
      </c>
      <c r="C984" s="10">
        <f t="shared" ca="1" si="30"/>
        <v>45597</v>
      </c>
      <c r="D984" s="4"/>
      <c r="E984" s="4" t="s">
        <v>8434</v>
      </c>
      <c r="F984" s="4" t="s">
        <v>1293</v>
      </c>
      <c r="G984" s="4"/>
      <c r="H984" s="4" t="str">
        <f>_xlfn.IFNA(VLOOKUP(Table_Query_from_AMULTIQRY45[[#This Row],[WPROD]],'Part# with New'!$A$1:$B$4347,2,0),Table_Query_from_AMULTIQRY45[[#This Row],[WPROD]])</f>
        <v>10208</v>
      </c>
      <c r="I984" s="4" t="s">
        <v>8436</v>
      </c>
      <c r="J984" s="1" t="s">
        <v>1027</v>
      </c>
      <c r="L984" s="11">
        <v>7.98</v>
      </c>
      <c r="M984" s="1"/>
      <c r="N984" s="1" t="s">
        <v>1017</v>
      </c>
      <c r="P984" s="1" t="str">
        <f>CONCATENATE(Table_Query_from_AMULTIQRY45[[#This Row],[WWHS]],"-",Table_Query_from_AMULTIQRY45[[#This Row],[LLOC]])</f>
        <v>E1-RAW</v>
      </c>
      <c r="Q984" s="10">
        <f t="shared" ca="1" si="31"/>
        <v>45775</v>
      </c>
      <c r="R984" s="10"/>
      <c r="S984" s="28">
        <v>22.974</v>
      </c>
      <c r="T984" s="1" t="s">
        <v>2</v>
      </c>
      <c r="U984" s="1" t="s">
        <v>1032</v>
      </c>
      <c r="V984" s="1">
        <v>20241101</v>
      </c>
      <c r="W984" s="8" t="s">
        <v>8443</v>
      </c>
      <c r="Z984" s="1"/>
      <c r="AA984" s="1"/>
      <c r="AC984" s="1"/>
      <c r="AD984" s="1"/>
      <c r="AE984" s="1"/>
      <c r="AF984" s="1"/>
    </row>
    <row r="985" spans="2:32" ht="12.75" x14ac:dyDescent="0.2">
      <c r="B985" s="1" t="s">
        <v>9491</v>
      </c>
      <c r="C985" s="10">
        <f t="shared" ca="1" si="30"/>
        <v>45756</v>
      </c>
      <c r="D985" s="4"/>
      <c r="E985" s="4" t="s">
        <v>8434</v>
      </c>
      <c r="F985" s="4" t="s">
        <v>1293</v>
      </c>
      <c r="G985" s="4"/>
      <c r="H985" s="4" t="str">
        <f>_xlfn.IFNA(VLOOKUP(Table_Query_from_AMULTIQRY45[[#This Row],[WPROD]],'Part# with New'!$A$1:$B$4347,2,0),Table_Query_from_AMULTIQRY45[[#This Row],[WPROD]])</f>
        <v>10214</v>
      </c>
      <c r="I985" s="4" t="s">
        <v>8436</v>
      </c>
      <c r="J985" s="1" t="s">
        <v>1019</v>
      </c>
      <c r="L985" s="11">
        <v>13.45</v>
      </c>
      <c r="M985" s="1"/>
      <c r="N985" s="1" t="s">
        <v>1017</v>
      </c>
      <c r="P985" s="1" t="str">
        <f>CONCATENATE(Table_Query_from_AMULTIQRY45[[#This Row],[WWHS]],"-",Table_Query_from_AMULTIQRY45[[#This Row],[LLOC]])</f>
        <v>E1-RAW</v>
      </c>
      <c r="Q985" s="10">
        <f t="shared" ca="1" si="31"/>
        <v>45775</v>
      </c>
      <c r="R985" s="10"/>
      <c r="S985" s="28">
        <v>24.138000000000002</v>
      </c>
      <c r="T985" s="1" t="s">
        <v>2</v>
      </c>
      <c r="U985" s="1" t="s">
        <v>1033</v>
      </c>
      <c r="V985" s="1">
        <v>20250409</v>
      </c>
      <c r="W985" s="8" t="s">
        <v>8443</v>
      </c>
      <c r="Z985" s="1"/>
      <c r="AA985" s="1"/>
      <c r="AC985" s="1"/>
      <c r="AD985" s="1"/>
      <c r="AE985" s="1"/>
      <c r="AF985" s="1"/>
    </row>
    <row r="986" spans="2:32" ht="12.75" x14ac:dyDescent="0.2">
      <c r="B986" s="1" t="s">
        <v>9492</v>
      </c>
      <c r="C986" s="10">
        <f t="shared" ca="1" si="30"/>
        <v>45028</v>
      </c>
      <c r="D986" s="4"/>
      <c r="E986" s="4" t="s">
        <v>8434</v>
      </c>
      <c r="F986" s="4" t="s">
        <v>1293</v>
      </c>
      <c r="G986" s="4"/>
      <c r="H986" s="4" t="str">
        <f>_xlfn.IFNA(VLOOKUP(Table_Query_from_AMULTIQRY45[[#This Row],[WPROD]],'Part# with New'!$A$1:$B$4347,2,0),Table_Query_from_AMULTIQRY45[[#This Row],[WPROD]])</f>
        <v>10217</v>
      </c>
      <c r="I986" s="4" t="s">
        <v>8436</v>
      </c>
      <c r="J986" s="1" t="s">
        <v>1027</v>
      </c>
      <c r="L986" s="11">
        <v>74.260000000000005</v>
      </c>
      <c r="M986" s="1"/>
      <c r="N986" s="1" t="s">
        <v>1017</v>
      </c>
      <c r="P986" s="1" t="str">
        <f>CONCATENATE(Table_Query_from_AMULTIQRY45[[#This Row],[WWHS]],"-",Table_Query_from_AMULTIQRY45[[#This Row],[LLOC]])</f>
        <v>E1-RAW</v>
      </c>
      <c r="Q986" s="10">
        <f t="shared" ca="1" si="31"/>
        <v>45775</v>
      </c>
      <c r="R986" s="10"/>
      <c r="S986" s="28">
        <v>6.95</v>
      </c>
      <c r="T986" s="1" t="s">
        <v>2</v>
      </c>
      <c r="U986" s="1" t="s">
        <v>1034</v>
      </c>
      <c r="V986" s="1">
        <v>20230412</v>
      </c>
      <c r="W986" s="8" t="s">
        <v>8443</v>
      </c>
      <c r="Z986" s="1"/>
      <c r="AA986" s="1"/>
      <c r="AC986" s="1"/>
      <c r="AD986" s="1"/>
      <c r="AE986" s="1"/>
      <c r="AF986" s="1"/>
    </row>
    <row r="987" spans="2:32" ht="12.75" x14ac:dyDescent="0.2">
      <c r="B987" s="1" t="s">
        <v>9493</v>
      </c>
      <c r="C987" s="10">
        <f t="shared" ca="1" si="30"/>
        <v>43383</v>
      </c>
      <c r="D987" s="4"/>
      <c r="E987" s="4" t="s">
        <v>8434</v>
      </c>
      <c r="F987" s="4" t="s">
        <v>1293</v>
      </c>
      <c r="G987" s="4"/>
      <c r="H987" s="4" t="str">
        <f>_xlfn.IFNA(VLOOKUP(Table_Query_from_AMULTIQRY45[[#This Row],[WPROD]],'Part# with New'!$A$1:$B$4347,2,0),Table_Query_from_AMULTIQRY45[[#This Row],[WPROD]])</f>
        <v>10218</v>
      </c>
      <c r="I987" s="4" t="s">
        <v>8436</v>
      </c>
      <c r="J987" s="1" t="s">
        <v>1027</v>
      </c>
      <c r="L987" s="11">
        <v>93.94</v>
      </c>
      <c r="M987" s="1"/>
      <c r="N987" s="1" t="s">
        <v>1017</v>
      </c>
      <c r="P987" s="1" t="str">
        <f>CONCATENATE(Table_Query_from_AMULTIQRY45[[#This Row],[WWHS]],"-",Table_Query_from_AMULTIQRY45[[#This Row],[LLOC]])</f>
        <v>E1-RAW</v>
      </c>
      <c r="Q987" s="10">
        <f t="shared" ca="1" si="31"/>
        <v>45775</v>
      </c>
      <c r="R987" s="10"/>
      <c r="S987" s="28">
        <v>0.5</v>
      </c>
      <c r="T987" s="1" t="s">
        <v>2</v>
      </c>
      <c r="U987" s="1" t="s">
        <v>1035</v>
      </c>
      <c r="V987" s="1">
        <v>20181010</v>
      </c>
      <c r="W987" s="8" t="s">
        <v>8443</v>
      </c>
      <c r="Z987" s="1"/>
      <c r="AA987" s="1"/>
      <c r="AC987" s="1"/>
      <c r="AD987" s="1"/>
      <c r="AE987" s="1"/>
      <c r="AF987" s="1"/>
    </row>
    <row r="988" spans="2:32" ht="12.75" x14ac:dyDescent="0.2">
      <c r="B988" s="1" t="s">
        <v>9494</v>
      </c>
      <c r="C988" s="10">
        <f t="shared" ca="1" si="30"/>
        <v>45623</v>
      </c>
      <c r="D988" s="4"/>
      <c r="E988" s="4" t="s">
        <v>8434</v>
      </c>
      <c r="F988" s="4" t="s">
        <v>1293</v>
      </c>
      <c r="G988" s="4"/>
      <c r="H988" s="4" t="str">
        <f>_xlfn.IFNA(VLOOKUP(Table_Query_from_AMULTIQRY45[[#This Row],[WPROD]],'Part# with New'!$A$1:$B$4347,2,0),Table_Query_from_AMULTIQRY45[[#This Row],[WPROD]])</f>
        <v>10237</v>
      </c>
      <c r="I988" s="4" t="s">
        <v>8436</v>
      </c>
      <c r="J988" s="1" t="s">
        <v>1027</v>
      </c>
      <c r="L988" s="11">
        <v>1.09833</v>
      </c>
      <c r="M988" s="1"/>
      <c r="N988" s="1" t="s">
        <v>1017</v>
      </c>
      <c r="P988" s="1" t="str">
        <f>CONCATENATE(Table_Query_from_AMULTIQRY45[[#This Row],[WWHS]],"-",Table_Query_from_AMULTIQRY45[[#This Row],[LLOC]])</f>
        <v>E1-RAW</v>
      </c>
      <c r="Q988" s="10">
        <f t="shared" ca="1" si="31"/>
        <v>45775</v>
      </c>
      <c r="R988" s="10"/>
      <c r="S988" s="28">
        <v>103.5</v>
      </c>
      <c r="T988" s="1" t="s">
        <v>2</v>
      </c>
      <c r="U988" s="1" t="s">
        <v>1036</v>
      </c>
      <c r="V988" s="1">
        <v>20241127</v>
      </c>
      <c r="W988" s="8" t="s">
        <v>8443</v>
      </c>
      <c r="Z988" s="1"/>
      <c r="AA988" s="1"/>
      <c r="AC988" s="1"/>
      <c r="AD988" s="1"/>
      <c r="AE988" s="1"/>
      <c r="AF988" s="1"/>
    </row>
    <row r="989" spans="2:32" ht="12.75" x14ac:dyDescent="0.2">
      <c r="B989" s="1" t="s">
        <v>9495</v>
      </c>
      <c r="C989" s="10">
        <f t="shared" ca="1" si="30"/>
        <v>45454</v>
      </c>
      <c r="D989" s="4"/>
      <c r="E989" s="4" t="s">
        <v>8434</v>
      </c>
      <c r="F989" s="4" t="s">
        <v>1293</v>
      </c>
      <c r="G989" s="4"/>
      <c r="H989" s="4" t="str">
        <f>_xlfn.IFNA(VLOOKUP(Table_Query_from_AMULTIQRY45[[#This Row],[WPROD]],'Part# with New'!$A$1:$B$4347,2,0),Table_Query_from_AMULTIQRY45[[#This Row],[WPROD]])</f>
        <v>10244</v>
      </c>
      <c r="I989" s="4" t="s">
        <v>8436</v>
      </c>
      <c r="J989" s="1" t="s">
        <v>1027</v>
      </c>
      <c r="L989" s="11">
        <v>30.25</v>
      </c>
      <c r="M989" s="1"/>
      <c r="N989" s="1" t="s">
        <v>1017</v>
      </c>
      <c r="P989" s="1" t="str">
        <f>CONCATENATE(Table_Query_from_AMULTIQRY45[[#This Row],[WWHS]],"-",Table_Query_from_AMULTIQRY45[[#This Row],[LLOC]])</f>
        <v>E1-RAW</v>
      </c>
      <c r="Q989" s="10">
        <f t="shared" ca="1" si="31"/>
        <v>45775</v>
      </c>
      <c r="R989" s="10"/>
      <c r="S989" s="28">
        <v>8.08</v>
      </c>
      <c r="T989" s="1" t="s">
        <v>2</v>
      </c>
      <c r="U989" s="1" t="s">
        <v>1037</v>
      </c>
      <c r="V989" s="1">
        <v>20240611</v>
      </c>
      <c r="W989" s="8" t="s">
        <v>8443</v>
      </c>
      <c r="Z989" s="1"/>
      <c r="AA989" s="1"/>
      <c r="AC989" s="1"/>
      <c r="AD989" s="1"/>
      <c r="AE989" s="1"/>
      <c r="AF989" s="1"/>
    </row>
    <row r="990" spans="2:32" ht="12.75" x14ac:dyDescent="0.2">
      <c r="B990" s="1" t="s">
        <v>9496</v>
      </c>
      <c r="C990" s="10">
        <f t="shared" ca="1" si="30"/>
        <v>45335</v>
      </c>
      <c r="D990" s="4"/>
      <c r="E990" s="4" t="s">
        <v>8434</v>
      </c>
      <c r="F990" s="4" t="s">
        <v>1293</v>
      </c>
      <c r="G990" s="4"/>
      <c r="H990" s="4" t="str">
        <f>_xlfn.IFNA(VLOOKUP(Table_Query_from_AMULTIQRY45[[#This Row],[WPROD]],'Part# with New'!$A$1:$B$4347,2,0),Table_Query_from_AMULTIQRY45[[#This Row],[WPROD]])</f>
        <v>10259</v>
      </c>
      <c r="I990" s="4" t="s">
        <v>8436</v>
      </c>
      <c r="J990" s="1" t="s">
        <v>1027</v>
      </c>
      <c r="L990" s="11">
        <v>13.6</v>
      </c>
      <c r="M990" s="1"/>
      <c r="N990" s="1" t="s">
        <v>1017</v>
      </c>
      <c r="P990" s="1" t="str">
        <f>CONCATENATE(Table_Query_from_AMULTIQRY45[[#This Row],[WWHS]],"-",Table_Query_from_AMULTIQRY45[[#This Row],[LLOC]])</f>
        <v>E1-RAW</v>
      </c>
      <c r="Q990" s="10">
        <f t="shared" ca="1" si="31"/>
        <v>45775</v>
      </c>
      <c r="R990" s="10"/>
      <c r="S990" s="28">
        <v>10</v>
      </c>
      <c r="T990" s="1" t="s">
        <v>2</v>
      </c>
      <c r="U990" s="1" t="s">
        <v>1038</v>
      </c>
      <c r="V990" s="1">
        <v>20240213</v>
      </c>
      <c r="W990" s="8" t="s">
        <v>8443</v>
      </c>
      <c r="Z990" s="1"/>
      <c r="AA990" s="1"/>
      <c r="AC990" s="1"/>
      <c r="AD990" s="1"/>
      <c r="AE990" s="1"/>
      <c r="AF990" s="1"/>
    </row>
    <row r="991" spans="2:32" ht="12.75" x14ac:dyDescent="0.2">
      <c r="B991" s="1" t="s">
        <v>9497</v>
      </c>
      <c r="C991" s="10">
        <f t="shared" ca="1" si="30"/>
        <v>45775</v>
      </c>
      <c r="D991" s="4"/>
      <c r="E991" s="4" t="s">
        <v>8434</v>
      </c>
      <c r="F991" s="4" t="s">
        <v>1293</v>
      </c>
      <c r="G991" s="4"/>
      <c r="H991" s="4" t="str">
        <f>_xlfn.IFNA(VLOOKUP(Table_Query_from_AMULTIQRY45[[#This Row],[WPROD]],'Part# with New'!$A$1:$B$4347,2,0),Table_Query_from_AMULTIQRY45[[#This Row],[WPROD]])</f>
        <v>10261</v>
      </c>
      <c r="I991" s="4" t="s">
        <v>8436</v>
      </c>
      <c r="J991" s="1" t="s">
        <v>1027</v>
      </c>
      <c r="L991" s="11">
        <v>0.84</v>
      </c>
      <c r="M991" s="1"/>
      <c r="N991" s="1" t="s">
        <v>1017</v>
      </c>
      <c r="P991" s="1" t="str">
        <f>CONCATENATE(Table_Query_from_AMULTIQRY45[[#This Row],[WWHS]],"-",Table_Query_from_AMULTIQRY45[[#This Row],[LLOC]])</f>
        <v>E1-RAW</v>
      </c>
      <c r="Q991" s="10">
        <f t="shared" ca="1" si="31"/>
        <v>45775</v>
      </c>
      <c r="R991" s="10"/>
      <c r="S991" s="28">
        <v>0.375</v>
      </c>
      <c r="T991" s="1" t="s">
        <v>2</v>
      </c>
      <c r="U991" s="1" t="s">
        <v>1039</v>
      </c>
      <c r="V991" s="1">
        <v>0</v>
      </c>
      <c r="W991" s="8" t="s">
        <v>8443</v>
      </c>
      <c r="Z991" s="1"/>
      <c r="AA991" s="1"/>
      <c r="AC991" s="1"/>
      <c r="AD991" s="1"/>
      <c r="AE991" s="1"/>
      <c r="AF991" s="1"/>
    </row>
    <row r="992" spans="2:32" ht="12.75" x14ac:dyDescent="0.2">
      <c r="B992" s="1" t="s">
        <v>9498</v>
      </c>
      <c r="C992" s="10">
        <f t="shared" ca="1" si="30"/>
        <v>44838</v>
      </c>
      <c r="D992" s="4"/>
      <c r="E992" s="4" t="s">
        <v>8434</v>
      </c>
      <c r="F992" s="4" t="s">
        <v>1293</v>
      </c>
      <c r="G992" s="4"/>
      <c r="H992" s="4" t="str">
        <f>_xlfn.IFNA(VLOOKUP(Table_Query_from_AMULTIQRY45[[#This Row],[WPROD]],'Part# with New'!$A$1:$B$4347,2,0),Table_Query_from_AMULTIQRY45[[#This Row],[WPROD]])</f>
        <v>10268</v>
      </c>
      <c r="I992" s="4" t="s">
        <v>8436</v>
      </c>
      <c r="J992" s="1" t="s">
        <v>1019</v>
      </c>
      <c r="L992" s="11">
        <v>17.641020000000001</v>
      </c>
      <c r="M992" s="1"/>
      <c r="N992" s="1" t="s">
        <v>1017</v>
      </c>
      <c r="P992" s="1" t="str">
        <f>CONCATENATE(Table_Query_from_AMULTIQRY45[[#This Row],[WWHS]],"-",Table_Query_from_AMULTIQRY45[[#This Row],[LLOC]])</f>
        <v>E1-RAW</v>
      </c>
      <c r="Q992" s="10">
        <f t="shared" ca="1" si="31"/>
        <v>45775</v>
      </c>
      <c r="R992" s="10"/>
      <c r="S992" s="28">
        <v>6.51</v>
      </c>
      <c r="T992" s="1" t="s">
        <v>2</v>
      </c>
      <c r="U992" s="1" t="s">
        <v>1040</v>
      </c>
      <c r="V992" s="1">
        <v>20221004</v>
      </c>
      <c r="W992" s="8" t="s">
        <v>8443</v>
      </c>
      <c r="Z992" s="1"/>
      <c r="AA992" s="1"/>
      <c r="AC992" s="1"/>
      <c r="AD992" s="1"/>
      <c r="AE992" s="1"/>
      <c r="AF992" s="1"/>
    </row>
    <row r="993" spans="2:32" ht="12.75" x14ac:dyDescent="0.2">
      <c r="B993" s="1" t="s">
        <v>9499</v>
      </c>
      <c r="C993" s="10">
        <f t="shared" ca="1" si="30"/>
        <v>45645</v>
      </c>
      <c r="D993" s="4"/>
      <c r="E993" s="4" t="s">
        <v>8434</v>
      </c>
      <c r="F993" s="4" t="s">
        <v>1293</v>
      </c>
      <c r="G993" s="4"/>
      <c r="H993" s="4" t="str">
        <f>_xlfn.IFNA(VLOOKUP(Table_Query_from_AMULTIQRY45[[#This Row],[WPROD]],'Part# with New'!$A$1:$B$4347,2,0),Table_Query_from_AMULTIQRY45[[#This Row],[WPROD]])</f>
        <v>10273</v>
      </c>
      <c r="I993" s="4" t="s">
        <v>8436</v>
      </c>
      <c r="J993" s="1" t="s">
        <v>1019</v>
      </c>
      <c r="L993" s="11">
        <v>21.298999999999999</v>
      </c>
      <c r="M993" s="1"/>
      <c r="N993" s="1" t="s">
        <v>1017</v>
      </c>
      <c r="P993" s="1" t="str">
        <f>CONCATENATE(Table_Query_from_AMULTIQRY45[[#This Row],[WWHS]],"-",Table_Query_from_AMULTIQRY45[[#This Row],[LLOC]])</f>
        <v>E1-RAW</v>
      </c>
      <c r="Q993" s="10">
        <f t="shared" ca="1" si="31"/>
        <v>45775</v>
      </c>
      <c r="R993" s="10"/>
      <c r="S993" s="28">
        <v>0.17</v>
      </c>
      <c r="T993" s="1" t="s">
        <v>2</v>
      </c>
      <c r="U993" s="1" t="s">
        <v>1041</v>
      </c>
      <c r="V993" s="1">
        <v>20241219</v>
      </c>
      <c r="W993" s="8" t="s">
        <v>8443</v>
      </c>
      <c r="Z993" s="1"/>
      <c r="AA993" s="1"/>
      <c r="AC993" s="1"/>
      <c r="AD993" s="1"/>
      <c r="AE993" s="1"/>
      <c r="AF993" s="1"/>
    </row>
    <row r="994" spans="2:32" ht="12.75" x14ac:dyDescent="0.2">
      <c r="B994" s="1" t="s">
        <v>9500</v>
      </c>
      <c r="C994" s="10">
        <f t="shared" ca="1" si="30"/>
        <v>45302</v>
      </c>
      <c r="D994" s="4"/>
      <c r="E994" s="4" t="s">
        <v>8434</v>
      </c>
      <c r="F994" s="4" t="s">
        <v>1293</v>
      </c>
      <c r="G994" s="4"/>
      <c r="H994" s="4" t="str">
        <f>_xlfn.IFNA(VLOOKUP(Table_Query_from_AMULTIQRY45[[#This Row],[WPROD]],'Part# with New'!$A$1:$B$4347,2,0),Table_Query_from_AMULTIQRY45[[#This Row],[WPROD]])</f>
        <v>10285</v>
      </c>
      <c r="I994" s="4" t="s">
        <v>8436</v>
      </c>
      <c r="J994" s="1" t="s">
        <v>1019</v>
      </c>
      <c r="L994" s="11">
        <v>28.385429999999999</v>
      </c>
      <c r="M994" s="1"/>
      <c r="N994" s="1" t="s">
        <v>1017</v>
      </c>
      <c r="P994" s="1" t="str">
        <f>CONCATENATE(Table_Query_from_AMULTIQRY45[[#This Row],[WWHS]],"-",Table_Query_from_AMULTIQRY45[[#This Row],[LLOC]])</f>
        <v>E1-RAW</v>
      </c>
      <c r="Q994" s="10">
        <f t="shared" ca="1" si="31"/>
        <v>45775</v>
      </c>
      <c r="R994" s="10"/>
      <c r="S994" s="28">
        <v>50</v>
      </c>
      <c r="T994" s="1" t="s">
        <v>2</v>
      </c>
      <c r="U994" s="1" t="s">
        <v>1042</v>
      </c>
      <c r="V994" s="1">
        <v>20240111</v>
      </c>
      <c r="W994" s="8" t="s">
        <v>8443</v>
      </c>
      <c r="Z994" s="1"/>
      <c r="AA994" s="1"/>
      <c r="AC994" s="1"/>
      <c r="AD994" s="1"/>
      <c r="AE994" s="1"/>
      <c r="AF994" s="1"/>
    </row>
    <row r="995" spans="2:32" ht="12.75" x14ac:dyDescent="0.2">
      <c r="B995" s="1" t="s">
        <v>9501</v>
      </c>
      <c r="C995" s="10">
        <f t="shared" ca="1" si="30"/>
        <v>45209</v>
      </c>
      <c r="D995" s="4"/>
      <c r="E995" s="4" t="s">
        <v>8434</v>
      </c>
      <c r="F995" s="4" t="s">
        <v>1293</v>
      </c>
      <c r="G995" s="4"/>
      <c r="H995" s="4" t="str">
        <f>_xlfn.IFNA(VLOOKUP(Table_Query_from_AMULTIQRY45[[#This Row],[WPROD]],'Part# with New'!$A$1:$B$4347,2,0),Table_Query_from_AMULTIQRY45[[#This Row],[WPROD]])</f>
        <v>10296</v>
      </c>
      <c r="I995" s="4" t="s">
        <v>8436</v>
      </c>
      <c r="J995" s="1" t="s">
        <v>1019</v>
      </c>
      <c r="L995" s="11">
        <v>12.5</v>
      </c>
      <c r="M995" s="1"/>
      <c r="N995" s="1" t="s">
        <v>1017</v>
      </c>
      <c r="P995" s="1" t="str">
        <f>CONCATENATE(Table_Query_from_AMULTIQRY45[[#This Row],[WWHS]],"-",Table_Query_from_AMULTIQRY45[[#This Row],[LLOC]])</f>
        <v>E1-RAW</v>
      </c>
      <c r="Q995" s="10">
        <f t="shared" ca="1" si="31"/>
        <v>45775</v>
      </c>
      <c r="R995" s="10"/>
      <c r="S995" s="28">
        <v>31.2</v>
      </c>
      <c r="T995" s="1" t="s">
        <v>2</v>
      </c>
      <c r="U995" s="1" t="s">
        <v>1043</v>
      </c>
      <c r="V995" s="1">
        <v>20231010</v>
      </c>
      <c r="W995" s="8" t="s">
        <v>8443</v>
      </c>
      <c r="Z995" s="1"/>
      <c r="AA995" s="1"/>
      <c r="AC995" s="1"/>
      <c r="AD995" s="1"/>
      <c r="AE995" s="1"/>
      <c r="AF995" s="1"/>
    </row>
    <row r="996" spans="2:32" ht="12.75" x14ac:dyDescent="0.2">
      <c r="B996" s="1" t="s">
        <v>9502</v>
      </c>
      <c r="C996" s="10">
        <f t="shared" ca="1" si="30"/>
        <v>45616</v>
      </c>
      <c r="D996" s="4"/>
      <c r="E996" s="4" t="s">
        <v>8434</v>
      </c>
      <c r="F996" s="4" t="s">
        <v>1293</v>
      </c>
      <c r="G996" s="4"/>
      <c r="H996" s="4" t="str">
        <f>_xlfn.IFNA(VLOOKUP(Table_Query_from_AMULTIQRY45[[#This Row],[WPROD]],'Part# with New'!$A$1:$B$4347,2,0),Table_Query_from_AMULTIQRY45[[#This Row],[WPROD]])</f>
        <v>10297</v>
      </c>
      <c r="I996" s="4" t="s">
        <v>8436</v>
      </c>
      <c r="J996" s="1" t="s">
        <v>1019</v>
      </c>
      <c r="L996" s="11">
        <v>19.21</v>
      </c>
      <c r="M996" s="1"/>
      <c r="N996" s="1" t="s">
        <v>1017</v>
      </c>
      <c r="P996" s="1" t="str">
        <f>CONCATENATE(Table_Query_from_AMULTIQRY45[[#This Row],[WWHS]],"-",Table_Query_from_AMULTIQRY45[[#This Row],[LLOC]])</f>
        <v>E1-RAW</v>
      </c>
      <c r="Q996" s="10">
        <f t="shared" ca="1" si="31"/>
        <v>45775</v>
      </c>
      <c r="R996" s="10"/>
      <c r="S996" s="28">
        <v>0.25</v>
      </c>
      <c r="T996" s="1" t="s">
        <v>2</v>
      </c>
      <c r="U996" s="1" t="s">
        <v>1044</v>
      </c>
      <c r="V996" s="1">
        <v>20241120</v>
      </c>
      <c r="W996" s="8" t="s">
        <v>8443</v>
      </c>
      <c r="Z996" s="1"/>
      <c r="AA996" s="1"/>
      <c r="AC996" s="1"/>
      <c r="AD996" s="1"/>
      <c r="AE996" s="1"/>
      <c r="AF996" s="1"/>
    </row>
    <row r="997" spans="2:32" ht="12.75" x14ac:dyDescent="0.2">
      <c r="B997" s="1" t="s">
        <v>9503</v>
      </c>
      <c r="C997" s="10">
        <f t="shared" ca="1" si="30"/>
        <v>43662</v>
      </c>
      <c r="D997" s="4"/>
      <c r="E997" s="4" t="s">
        <v>8434</v>
      </c>
      <c r="F997" s="4" t="s">
        <v>1293</v>
      </c>
      <c r="G997" s="4"/>
      <c r="H997" s="4" t="str">
        <f>_xlfn.IFNA(VLOOKUP(Table_Query_from_AMULTIQRY45[[#This Row],[WPROD]],'Part# with New'!$A$1:$B$4347,2,0),Table_Query_from_AMULTIQRY45[[#This Row],[WPROD]])</f>
        <v>10298</v>
      </c>
      <c r="I997" s="4" t="s">
        <v>8436</v>
      </c>
      <c r="J997" s="1" t="s">
        <v>1019</v>
      </c>
      <c r="L997" s="11">
        <v>20.3719</v>
      </c>
      <c r="M997" s="1"/>
      <c r="N997" s="1" t="s">
        <v>1017</v>
      </c>
      <c r="P997" s="1" t="str">
        <f>CONCATENATE(Table_Query_from_AMULTIQRY45[[#This Row],[WWHS]],"-",Table_Query_from_AMULTIQRY45[[#This Row],[LLOC]])</f>
        <v>E1-RAW</v>
      </c>
      <c r="Q997" s="10">
        <f t="shared" ca="1" si="31"/>
        <v>45775</v>
      </c>
      <c r="R997" s="10"/>
      <c r="S997" s="28">
        <v>32.67</v>
      </c>
      <c r="T997" s="1" t="s">
        <v>2</v>
      </c>
      <c r="U997" s="1" t="s">
        <v>1045</v>
      </c>
      <c r="V997" s="1">
        <v>20190716</v>
      </c>
      <c r="W997" s="8" t="s">
        <v>8443</v>
      </c>
      <c r="Z997" s="1"/>
      <c r="AA997" s="1"/>
      <c r="AC997" s="1"/>
      <c r="AD997" s="1"/>
      <c r="AE997" s="1"/>
      <c r="AF997" s="1"/>
    </row>
    <row r="998" spans="2:32" ht="12.75" x14ac:dyDescent="0.2">
      <c r="B998" s="1" t="s">
        <v>9504</v>
      </c>
      <c r="C998" s="10">
        <f t="shared" ca="1" si="30"/>
        <v>45245</v>
      </c>
      <c r="D998" s="4"/>
      <c r="E998" s="4" t="s">
        <v>8434</v>
      </c>
      <c r="F998" s="4" t="s">
        <v>1293</v>
      </c>
      <c r="G998" s="4"/>
      <c r="H998" s="4" t="str">
        <f>_xlfn.IFNA(VLOOKUP(Table_Query_from_AMULTIQRY45[[#This Row],[WPROD]],'Part# with New'!$A$1:$B$4347,2,0),Table_Query_from_AMULTIQRY45[[#This Row],[WPROD]])</f>
        <v>10306</v>
      </c>
      <c r="I998" s="4" t="s">
        <v>8436</v>
      </c>
      <c r="J998" s="1" t="s">
        <v>1019</v>
      </c>
      <c r="L998" s="11">
        <v>19.21</v>
      </c>
      <c r="M998" s="1"/>
      <c r="N998" s="1" t="s">
        <v>1017</v>
      </c>
      <c r="P998" s="1" t="str">
        <f>CONCATENATE(Table_Query_from_AMULTIQRY45[[#This Row],[WWHS]],"-",Table_Query_from_AMULTIQRY45[[#This Row],[LLOC]])</f>
        <v>E1-RAW</v>
      </c>
      <c r="Q998" s="10">
        <f t="shared" ca="1" si="31"/>
        <v>45775</v>
      </c>
      <c r="R998" s="10"/>
      <c r="S998" s="28">
        <v>0.69</v>
      </c>
      <c r="T998" s="1" t="s">
        <v>2</v>
      </c>
      <c r="U998" s="1" t="s">
        <v>1046</v>
      </c>
      <c r="V998" s="1">
        <v>20231115</v>
      </c>
      <c r="W998" s="8" t="s">
        <v>8443</v>
      </c>
      <c r="Z998" s="1"/>
      <c r="AA998" s="1"/>
      <c r="AC998" s="1"/>
      <c r="AD998" s="1"/>
      <c r="AE998" s="1"/>
      <c r="AF998" s="1"/>
    </row>
    <row r="999" spans="2:32" ht="12.75" x14ac:dyDescent="0.2">
      <c r="B999" s="1" t="s">
        <v>9505</v>
      </c>
      <c r="C999" s="10">
        <f t="shared" ca="1" si="30"/>
        <v>45772</v>
      </c>
      <c r="D999" s="4"/>
      <c r="E999" s="4" t="s">
        <v>8434</v>
      </c>
      <c r="F999" s="4" t="s">
        <v>1293</v>
      </c>
      <c r="G999" s="4"/>
      <c r="H999" s="4" t="str">
        <f>_xlfn.IFNA(VLOOKUP(Table_Query_from_AMULTIQRY45[[#This Row],[WPROD]],'Part# with New'!$A$1:$B$4347,2,0),Table_Query_from_AMULTIQRY45[[#This Row],[WPROD]])</f>
        <v>10307</v>
      </c>
      <c r="I999" s="4" t="s">
        <v>8436</v>
      </c>
      <c r="J999" s="1" t="s">
        <v>1019</v>
      </c>
      <c r="L999" s="11">
        <v>13.06</v>
      </c>
      <c r="M999" s="1"/>
      <c r="N999" s="1" t="s">
        <v>1017</v>
      </c>
      <c r="P999" s="1" t="str">
        <f>CONCATENATE(Table_Query_from_AMULTIQRY45[[#This Row],[WWHS]],"-",Table_Query_from_AMULTIQRY45[[#This Row],[LLOC]])</f>
        <v>E1-RAW</v>
      </c>
      <c r="Q999" s="10">
        <f t="shared" ca="1" si="31"/>
        <v>45775</v>
      </c>
      <c r="R999" s="10"/>
      <c r="S999" s="28">
        <v>933.62599999999998</v>
      </c>
      <c r="T999" s="1" t="s">
        <v>2</v>
      </c>
      <c r="U999" s="1" t="s">
        <v>1047</v>
      </c>
      <c r="V999" s="1">
        <v>20250425</v>
      </c>
      <c r="W999" s="8" t="s">
        <v>8443</v>
      </c>
      <c r="Z999" s="1"/>
      <c r="AA999" s="1"/>
      <c r="AC999" s="1"/>
      <c r="AD999" s="1"/>
      <c r="AE999" s="1"/>
      <c r="AF999" s="1"/>
    </row>
    <row r="1000" spans="2:32" ht="12.75" x14ac:dyDescent="0.2">
      <c r="B1000" s="1" t="s">
        <v>9506</v>
      </c>
      <c r="C1000" s="10">
        <f t="shared" ca="1" si="30"/>
        <v>43944</v>
      </c>
      <c r="D1000" s="4"/>
      <c r="E1000" s="4" t="s">
        <v>8434</v>
      </c>
      <c r="F1000" s="4" t="s">
        <v>1293</v>
      </c>
      <c r="G1000" s="4"/>
      <c r="H1000" s="4" t="str">
        <f>_xlfn.IFNA(VLOOKUP(Table_Query_from_AMULTIQRY45[[#This Row],[WPROD]],'Part# with New'!$A$1:$B$4347,2,0),Table_Query_from_AMULTIQRY45[[#This Row],[WPROD]])</f>
        <v>10315</v>
      </c>
      <c r="I1000" s="4" t="s">
        <v>8436</v>
      </c>
      <c r="J1000" s="1" t="s">
        <v>1027</v>
      </c>
      <c r="L1000" s="11">
        <v>12.18</v>
      </c>
      <c r="M1000" s="1"/>
      <c r="N1000" s="1" t="s">
        <v>1017</v>
      </c>
      <c r="P1000" s="1" t="str">
        <f>CONCATENATE(Table_Query_from_AMULTIQRY45[[#This Row],[WWHS]],"-",Table_Query_from_AMULTIQRY45[[#This Row],[LLOC]])</f>
        <v>E1-RAW</v>
      </c>
      <c r="Q1000" s="10">
        <f t="shared" ca="1" si="31"/>
        <v>45775</v>
      </c>
      <c r="R1000" s="10"/>
      <c r="S1000" s="28">
        <v>0.4</v>
      </c>
      <c r="T1000" s="1" t="s">
        <v>2</v>
      </c>
      <c r="U1000" s="1" t="s">
        <v>1048</v>
      </c>
      <c r="V1000" s="1">
        <v>20200423</v>
      </c>
      <c r="W1000" s="8" t="s">
        <v>8443</v>
      </c>
      <c r="Z1000" s="1"/>
      <c r="AA1000" s="1"/>
      <c r="AC1000" s="1"/>
      <c r="AD1000" s="1"/>
      <c r="AE1000" s="1"/>
      <c r="AF1000" s="1"/>
    </row>
    <row r="1001" spans="2:32" ht="12.75" x14ac:dyDescent="0.2">
      <c r="B1001" s="1" t="s">
        <v>9507</v>
      </c>
      <c r="C1001" s="10">
        <f t="shared" ca="1" si="30"/>
        <v>45541</v>
      </c>
      <c r="D1001" s="4"/>
      <c r="E1001" s="4" t="s">
        <v>8434</v>
      </c>
      <c r="F1001" s="4" t="s">
        <v>1293</v>
      </c>
      <c r="G1001" s="4"/>
      <c r="H1001" s="4" t="str">
        <f>_xlfn.IFNA(VLOOKUP(Table_Query_from_AMULTIQRY45[[#This Row],[WPROD]],'Part# with New'!$A$1:$B$4347,2,0),Table_Query_from_AMULTIQRY45[[#This Row],[WPROD]])</f>
        <v>10317</v>
      </c>
      <c r="I1001" s="4" t="s">
        <v>8436</v>
      </c>
      <c r="J1001" s="1" t="s">
        <v>1027</v>
      </c>
      <c r="L1001" s="11">
        <v>1.91</v>
      </c>
      <c r="M1001" s="1"/>
      <c r="N1001" s="1" t="s">
        <v>1017</v>
      </c>
      <c r="P1001" s="1" t="str">
        <f>CONCATENATE(Table_Query_from_AMULTIQRY45[[#This Row],[WWHS]],"-",Table_Query_from_AMULTIQRY45[[#This Row],[LLOC]])</f>
        <v>E1-RAW</v>
      </c>
      <c r="Q1001" s="10">
        <f t="shared" ca="1" si="31"/>
        <v>45775</v>
      </c>
      <c r="R1001" s="10"/>
      <c r="S1001" s="28">
        <v>108.62</v>
      </c>
      <c r="T1001" s="1" t="s">
        <v>2</v>
      </c>
      <c r="U1001" s="1" t="s">
        <v>1049</v>
      </c>
      <c r="V1001" s="1">
        <v>20240906</v>
      </c>
      <c r="W1001" s="8" t="s">
        <v>8443</v>
      </c>
      <c r="Z1001" s="1"/>
      <c r="AA1001" s="1"/>
      <c r="AC1001" s="1"/>
      <c r="AD1001" s="1"/>
      <c r="AE1001" s="1"/>
      <c r="AF1001" s="1"/>
    </row>
    <row r="1002" spans="2:32" ht="12.75" x14ac:dyDescent="0.2">
      <c r="B1002" s="1" t="s">
        <v>9508</v>
      </c>
      <c r="C1002" s="10">
        <f t="shared" ca="1" si="30"/>
        <v>45191</v>
      </c>
      <c r="D1002" s="4"/>
      <c r="E1002" s="4" t="s">
        <v>8434</v>
      </c>
      <c r="F1002" s="4" t="s">
        <v>1293</v>
      </c>
      <c r="G1002" s="4"/>
      <c r="H1002" s="4" t="str">
        <f>_xlfn.IFNA(VLOOKUP(Table_Query_from_AMULTIQRY45[[#This Row],[WPROD]],'Part# with New'!$A$1:$B$4347,2,0),Table_Query_from_AMULTIQRY45[[#This Row],[WPROD]])</f>
        <v>10321</v>
      </c>
      <c r="I1002" s="4" t="s">
        <v>8436</v>
      </c>
      <c r="J1002" s="1" t="s">
        <v>1019</v>
      </c>
      <c r="L1002" s="11">
        <v>23.958100000000002</v>
      </c>
      <c r="M1002" s="1"/>
      <c r="N1002" s="1" t="s">
        <v>1017</v>
      </c>
      <c r="P1002" s="1" t="str">
        <f>CONCATENATE(Table_Query_from_AMULTIQRY45[[#This Row],[WWHS]],"-",Table_Query_from_AMULTIQRY45[[#This Row],[LLOC]])</f>
        <v>E1-RAW</v>
      </c>
      <c r="Q1002" s="10">
        <f t="shared" ca="1" si="31"/>
        <v>45775</v>
      </c>
      <c r="R1002" s="10"/>
      <c r="S1002" s="28">
        <v>37</v>
      </c>
      <c r="T1002" s="1" t="s">
        <v>2</v>
      </c>
      <c r="U1002" s="1" t="s">
        <v>1050</v>
      </c>
      <c r="V1002" s="1">
        <v>20230922</v>
      </c>
      <c r="W1002" s="8" t="s">
        <v>8443</v>
      </c>
      <c r="Z1002" s="1"/>
      <c r="AA1002" s="1"/>
      <c r="AC1002" s="1"/>
      <c r="AD1002" s="1"/>
      <c r="AE1002" s="1"/>
      <c r="AF1002" s="1"/>
    </row>
    <row r="1003" spans="2:32" ht="12.75" x14ac:dyDescent="0.2">
      <c r="B1003" s="1" t="s">
        <v>9509</v>
      </c>
      <c r="C1003" s="10">
        <f t="shared" ca="1" si="30"/>
        <v>45636</v>
      </c>
      <c r="D1003" s="4"/>
      <c r="E1003" s="4" t="s">
        <v>8434</v>
      </c>
      <c r="F1003" s="4" t="s">
        <v>1293</v>
      </c>
      <c r="G1003" s="4"/>
      <c r="H1003" s="4" t="str">
        <f>_xlfn.IFNA(VLOOKUP(Table_Query_from_AMULTIQRY45[[#This Row],[WPROD]],'Part# with New'!$A$1:$B$4347,2,0),Table_Query_from_AMULTIQRY45[[#This Row],[WPROD]])</f>
        <v>10331</v>
      </c>
      <c r="I1003" s="4" t="s">
        <v>8436</v>
      </c>
      <c r="J1003" s="1" t="s">
        <v>1019</v>
      </c>
      <c r="L1003" s="11">
        <v>19.7685</v>
      </c>
      <c r="M1003" s="1"/>
      <c r="N1003" s="1" t="s">
        <v>1017</v>
      </c>
      <c r="P1003" s="1" t="str">
        <f>CONCATENATE(Table_Query_from_AMULTIQRY45[[#This Row],[WWHS]],"-",Table_Query_from_AMULTIQRY45[[#This Row],[LLOC]])</f>
        <v>E1-RAW</v>
      </c>
      <c r="Q1003" s="10">
        <f t="shared" ca="1" si="31"/>
        <v>45775</v>
      </c>
      <c r="R1003" s="10"/>
      <c r="S1003" s="28">
        <v>51.45</v>
      </c>
      <c r="T1003" s="1" t="s">
        <v>2</v>
      </c>
      <c r="U1003" s="1" t="s">
        <v>1051</v>
      </c>
      <c r="V1003" s="1">
        <v>20241210</v>
      </c>
      <c r="W1003" s="8" t="s">
        <v>8443</v>
      </c>
      <c r="Z1003" s="1"/>
      <c r="AA1003" s="1"/>
      <c r="AC1003" s="1"/>
      <c r="AD1003" s="1"/>
      <c r="AE1003" s="1"/>
      <c r="AF1003" s="1"/>
    </row>
    <row r="1004" spans="2:32" ht="12.75" x14ac:dyDescent="0.2">
      <c r="B1004" s="1" t="s">
        <v>9510</v>
      </c>
      <c r="C1004" s="10">
        <f t="shared" ca="1" si="30"/>
        <v>45286</v>
      </c>
      <c r="D1004" s="4"/>
      <c r="E1004" s="4" t="s">
        <v>8434</v>
      </c>
      <c r="F1004" s="4" t="s">
        <v>1293</v>
      </c>
      <c r="G1004" s="4"/>
      <c r="H1004" s="4" t="str">
        <f>_xlfn.IFNA(VLOOKUP(Table_Query_from_AMULTIQRY45[[#This Row],[WPROD]],'Part# with New'!$A$1:$B$4347,2,0),Table_Query_from_AMULTIQRY45[[#This Row],[WPROD]])</f>
        <v>10334</v>
      </c>
      <c r="I1004" s="4" t="s">
        <v>8436</v>
      </c>
      <c r="J1004" s="1" t="s">
        <v>1019</v>
      </c>
      <c r="L1004" s="11">
        <v>22.01925</v>
      </c>
      <c r="M1004" s="1"/>
      <c r="N1004" s="1" t="s">
        <v>1017</v>
      </c>
      <c r="P1004" s="1" t="str">
        <f>CONCATENATE(Table_Query_from_AMULTIQRY45[[#This Row],[WWHS]],"-",Table_Query_from_AMULTIQRY45[[#This Row],[LLOC]])</f>
        <v>E1-RAW</v>
      </c>
      <c r="Q1004" s="10">
        <f t="shared" ca="1" si="31"/>
        <v>45775</v>
      </c>
      <c r="R1004" s="10"/>
      <c r="S1004" s="28">
        <v>50.86</v>
      </c>
      <c r="T1004" s="1" t="s">
        <v>2</v>
      </c>
      <c r="U1004" s="1" t="s">
        <v>1052</v>
      </c>
      <c r="V1004" s="1">
        <v>20231226</v>
      </c>
      <c r="W1004" s="8" t="s">
        <v>8443</v>
      </c>
      <c r="Z1004" s="1"/>
      <c r="AA1004" s="1"/>
      <c r="AC1004" s="1"/>
      <c r="AD1004" s="1"/>
      <c r="AE1004" s="1"/>
      <c r="AF1004" s="1"/>
    </row>
    <row r="1005" spans="2:32" ht="12.75" x14ac:dyDescent="0.2">
      <c r="B1005" s="1" t="s">
        <v>9511</v>
      </c>
      <c r="C1005" s="10">
        <f t="shared" ca="1" si="30"/>
        <v>44427</v>
      </c>
      <c r="D1005" s="4"/>
      <c r="E1005" s="4" t="s">
        <v>8434</v>
      </c>
      <c r="F1005" s="4" t="s">
        <v>1293</v>
      </c>
      <c r="G1005" s="4"/>
      <c r="H1005" s="4" t="str">
        <f>_xlfn.IFNA(VLOOKUP(Table_Query_from_AMULTIQRY45[[#This Row],[WPROD]],'Part# with New'!$A$1:$B$4347,2,0),Table_Query_from_AMULTIQRY45[[#This Row],[WPROD]])</f>
        <v>10346</v>
      </c>
      <c r="I1005" s="4" t="s">
        <v>8436</v>
      </c>
      <c r="J1005" s="1" t="s">
        <v>1027</v>
      </c>
      <c r="L1005" s="11">
        <v>2.04</v>
      </c>
      <c r="M1005" s="1"/>
      <c r="N1005" s="1" t="s">
        <v>1017</v>
      </c>
      <c r="P1005" s="1" t="str">
        <f>CONCATENATE(Table_Query_from_AMULTIQRY45[[#This Row],[WWHS]],"-",Table_Query_from_AMULTIQRY45[[#This Row],[LLOC]])</f>
        <v>E1-RAW</v>
      </c>
      <c r="Q1005" s="10">
        <f t="shared" ca="1" si="31"/>
        <v>45775</v>
      </c>
      <c r="R1005" s="10"/>
      <c r="S1005" s="28">
        <v>4.08</v>
      </c>
      <c r="T1005" s="1" t="s">
        <v>2</v>
      </c>
      <c r="U1005" s="1" t="s">
        <v>1053</v>
      </c>
      <c r="V1005" s="1">
        <v>20210819</v>
      </c>
      <c r="W1005" s="8" t="s">
        <v>8443</v>
      </c>
      <c r="Z1005" s="1"/>
      <c r="AA1005" s="1"/>
      <c r="AC1005" s="1"/>
      <c r="AD1005" s="1"/>
      <c r="AE1005" s="1"/>
      <c r="AF1005" s="1"/>
    </row>
    <row r="1006" spans="2:32" ht="12.75" x14ac:dyDescent="0.2">
      <c r="B1006" s="1" t="s">
        <v>9512</v>
      </c>
      <c r="C1006" s="10">
        <f t="shared" ca="1" si="30"/>
        <v>45726</v>
      </c>
      <c r="D1006" s="4"/>
      <c r="E1006" s="4" t="s">
        <v>8434</v>
      </c>
      <c r="F1006" s="4" t="s">
        <v>1293</v>
      </c>
      <c r="G1006" s="4"/>
      <c r="H1006" s="4" t="str">
        <f>_xlfn.IFNA(VLOOKUP(Table_Query_from_AMULTIQRY45[[#This Row],[WPROD]],'Part# with New'!$A$1:$B$4347,2,0),Table_Query_from_AMULTIQRY45[[#This Row],[WPROD]])</f>
        <v>10347</v>
      </c>
      <c r="I1006" s="4" t="s">
        <v>8436</v>
      </c>
      <c r="J1006" s="1" t="s">
        <v>1019</v>
      </c>
      <c r="L1006" s="11">
        <v>21.326280000000001</v>
      </c>
      <c r="M1006" s="1"/>
      <c r="N1006" s="1" t="s">
        <v>1017</v>
      </c>
      <c r="P1006" s="1" t="str">
        <f>CONCATENATE(Table_Query_from_AMULTIQRY45[[#This Row],[WWHS]],"-",Table_Query_from_AMULTIQRY45[[#This Row],[LLOC]])</f>
        <v>E1-RAW</v>
      </c>
      <c r="Q1006" s="10">
        <f t="shared" ca="1" si="31"/>
        <v>45775</v>
      </c>
      <c r="R1006" s="10"/>
      <c r="S1006" s="28">
        <v>31.92</v>
      </c>
      <c r="T1006" s="1" t="s">
        <v>2</v>
      </c>
      <c r="U1006" s="1" t="s">
        <v>1054</v>
      </c>
      <c r="V1006" s="1">
        <v>20250310</v>
      </c>
      <c r="W1006" s="8" t="s">
        <v>8443</v>
      </c>
      <c r="Z1006" s="1"/>
      <c r="AA1006" s="1"/>
      <c r="AC1006" s="1"/>
      <c r="AD1006" s="1"/>
      <c r="AE1006" s="1"/>
      <c r="AF1006" s="1"/>
    </row>
    <row r="1007" spans="2:32" ht="12.75" x14ac:dyDescent="0.2">
      <c r="B1007" s="1" t="s">
        <v>9513</v>
      </c>
      <c r="C1007" s="10">
        <f t="shared" ca="1" si="30"/>
        <v>45294</v>
      </c>
      <c r="D1007" s="4"/>
      <c r="E1007" s="4" t="s">
        <v>8434</v>
      </c>
      <c r="F1007" s="4" t="s">
        <v>1293</v>
      </c>
      <c r="G1007" s="4"/>
      <c r="H1007" s="4" t="str">
        <f>_xlfn.IFNA(VLOOKUP(Table_Query_from_AMULTIQRY45[[#This Row],[WPROD]],'Part# with New'!$A$1:$B$4347,2,0),Table_Query_from_AMULTIQRY45[[#This Row],[WPROD]])</f>
        <v>10348</v>
      </c>
      <c r="I1007" s="4" t="s">
        <v>8436</v>
      </c>
      <c r="J1007" s="1" t="s">
        <v>1019</v>
      </c>
      <c r="L1007" s="11">
        <v>22.0688</v>
      </c>
      <c r="M1007" s="1"/>
      <c r="N1007" s="1" t="s">
        <v>1017</v>
      </c>
      <c r="P1007" s="1" t="str">
        <f>CONCATENATE(Table_Query_from_AMULTIQRY45[[#This Row],[WWHS]],"-",Table_Query_from_AMULTIQRY45[[#This Row],[LLOC]])</f>
        <v>E1-RAW</v>
      </c>
      <c r="Q1007" s="10">
        <f t="shared" ca="1" si="31"/>
        <v>45775</v>
      </c>
      <c r="R1007" s="10"/>
      <c r="S1007" s="28">
        <v>31.65</v>
      </c>
      <c r="T1007" s="1" t="s">
        <v>2</v>
      </c>
      <c r="U1007" s="1" t="s">
        <v>1055</v>
      </c>
      <c r="V1007" s="1">
        <v>20240103</v>
      </c>
      <c r="W1007" s="8" t="s">
        <v>8443</v>
      </c>
      <c r="Z1007" s="1"/>
      <c r="AA1007" s="1"/>
      <c r="AC1007" s="1"/>
      <c r="AD1007" s="1"/>
      <c r="AE1007" s="1"/>
      <c r="AF1007" s="1"/>
    </row>
    <row r="1008" spans="2:32" ht="12.75" x14ac:dyDescent="0.2">
      <c r="B1008" s="1" t="s">
        <v>9514</v>
      </c>
      <c r="C1008" s="10">
        <f t="shared" ca="1" si="30"/>
        <v>45435</v>
      </c>
      <c r="D1008" s="4"/>
      <c r="E1008" s="4" t="s">
        <v>8434</v>
      </c>
      <c r="F1008" s="4" t="s">
        <v>1293</v>
      </c>
      <c r="G1008" s="4"/>
      <c r="H1008" s="4" t="str">
        <f>_xlfn.IFNA(VLOOKUP(Table_Query_from_AMULTIQRY45[[#This Row],[WPROD]],'Part# with New'!$A$1:$B$4347,2,0),Table_Query_from_AMULTIQRY45[[#This Row],[WPROD]])</f>
        <v>10353</v>
      </c>
      <c r="I1008" s="4" t="s">
        <v>8436</v>
      </c>
      <c r="J1008" s="1" t="s">
        <v>1019</v>
      </c>
      <c r="L1008" s="11">
        <v>12.2</v>
      </c>
      <c r="M1008" s="1"/>
      <c r="N1008" s="1" t="s">
        <v>1017</v>
      </c>
      <c r="P1008" s="1" t="str">
        <f>CONCATENATE(Table_Query_from_AMULTIQRY45[[#This Row],[WWHS]],"-",Table_Query_from_AMULTIQRY45[[#This Row],[LLOC]])</f>
        <v>E1-RAW</v>
      </c>
      <c r="Q1008" s="10">
        <f t="shared" ca="1" si="31"/>
        <v>45775</v>
      </c>
      <c r="R1008" s="10"/>
      <c r="S1008" s="28">
        <v>2.2999999999999998</v>
      </c>
      <c r="T1008" s="1" t="s">
        <v>2</v>
      </c>
      <c r="U1008" s="1" t="s">
        <v>1056</v>
      </c>
      <c r="V1008" s="1">
        <v>20240523</v>
      </c>
      <c r="W1008" s="8" t="s">
        <v>8443</v>
      </c>
      <c r="Z1008" s="1"/>
      <c r="AA1008" s="1"/>
      <c r="AC1008" s="1"/>
      <c r="AD1008" s="1"/>
      <c r="AE1008" s="1"/>
      <c r="AF1008" s="1"/>
    </row>
    <row r="1009" spans="2:32" ht="12.75" x14ac:dyDescent="0.2">
      <c r="B1009" s="1" t="s">
        <v>9515</v>
      </c>
      <c r="C1009" s="10">
        <f t="shared" ca="1" si="30"/>
        <v>45082</v>
      </c>
      <c r="D1009" s="4"/>
      <c r="E1009" s="4" t="s">
        <v>8434</v>
      </c>
      <c r="F1009" s="4" t="s">
        <v>1293</v>
      </c>
      <c r="G1009" s="4"/>
      <c r="H1009" s="4" t="str">
        <f>_xlfn.IFNA(VLOOKUP(Table_Query_from_AMULTIQRY45[[#This Row],[WPROD]],'Part# with New'!$A$1:$B$4347,2,0),Table_Query_from_AMULTIQRY45[[#This Row],[WPROD]])</f>
        <v>10355</v>
      </c>
      <c r="I1009" s="4" t="s">
        <v>8436</v>
      </c>
      <c r="J1009" s="1" t="s">
        <v>1027</v>
      </c>
      <c r="L1009" s="11">
        <v>1.32</v>
      </c>
      <c r="M1009" s="1"/>
      <c r="N1009" s="1" t="s">
        <v>1017</v>
      </c>
      <c r="P1009" s="1" t="str">
        <f>CONCATENATE(Table_Query_from_AMULTIQRY45[[#This Row],[WWHS]],"-",Table_Query_from_AMULTIQRY45[[#This Row],[LLOC]])</f>
        <v>E1-RAW</v>
      </c>
      <c r="Q1009" s="10">
        <f t="shared" ca="1" si="31"/>
        <v>45775</v>
      </c>
      <c r="R1009" s="10"/>
      <c r="S1009" s="28">
        <v>80.569999999999993</v>
      </c>
      <c r="T1009" s="1" t="s">
        <v>2</v>
      </c>
      <c r="U1009" s="1" t="s">
        <v>1057</v>
      </c>
      <c r="V1009" s="1">
        <v>20230605</v>
      </c>
      <c r="W1009" s="8" t="s">
        <v>8443</v>
      </c>
      <c r="Z1009" s="1"/>
      <c r="AA1009" s="1"/>
      <c r="AC1009" s="1"/>
      <c r="AD1009" s="1"/>
      <c r="AE1009" s="1"/>
      <c r="AF1009" s="1"/>
    </row>
    <row r="1010" spans="2:32" ht="12.75" x14ac:dyDescent="0.2">
      <c r="B1010" s="1" t="s">
        <v>9516</v>
      </c>
      <c r="C1010" s="10">
        <f t="shared" ca="1" si="30"/>
        <v>45434</v>
      </c>
      <c r="D1010" s="4"/>
      <c r="E1010" s="4" t="s">
        <v>8434</v>
      </c>
      <c r="F1010" s="4" t="s">
        <v>1293</v>
      </c>
      <c r="G1010" s="4"/>
      <c r="H1010" s="4" t="str">
        <f>_xlfn.IFNA(VLOOKUP(Table_Query_from_AMULTIQRY45[[#This Row],[WPROD]],'Part# with New'!$A$1:$B$4347,2,0),Table_Query_from_AMULTIQRY45[[#This Row],[WPROD]])</f>
        <v>10356</v>
      </c>
      <c r="I1010" s="4" t="s">
        <v>8436</v>
      </c>
      <c r="J1010" s="1" t="s">
        <v>1027</v>
      </c>
      <c r="L1010" s="11">
        <v>1.72</v>
      </c>
      <c r="M1010" s="1"/>
      <c r="N1010" s="1" t="s">
        <v>1017</v>
      </c>
      <c r="P1010" s="1" t="str">
        <f>CONCATENATE(Table_Query_from_AMULTIQRY45[[#This Row],[WWHS]],"-",Table_Query_from_AMULTIQRY45[[#This Row],[LLOC]])</f>
        <v>E1-RAW</v>
      </c>
      <c r="Q1010" s="10">
        <f t="shared" ca="1" si="31"/>
        <v>45775</v>
      </c>
      <c r="R1010" s="10"/>
      <c r="S1010" s="11">
        <v>2E-3</v>
      </c>
      <c r="T1010" s="1" t="s">
        <v>2</v>
      </c>
      <c r="U1010" s="1" t="s">
        <v>1058</v>
      </c>
      <c r="V1010" s="1">
        <v>20240522</v>
      </c>
      <c r="W1010" s="8" t="s">
        <v>8443</v>
      </c>
      <c r="Z1010" s="1"/>
      <c r="AA1010" s="1"/>
      <c r="AC1010" s="1"/>
      <c r="AD1010" s="1"/>
      <c r="AE1010" s="1"/>
      <c r="AF1010" s="1"/>
    </row>
    <row r="1011" spans="2:32" ht="12.75" x14ac:dyDescent="0.2">
      <c r="B1011" s="1" t="s">
        <v>9517</v>
      </c>
      <c r="C1011" s="10">
        <f t="shared" ca="1" si="30"/>
        <v>45700</v>
      </c>
      <c r="D1011" s="4"/>
      <c r="E1011" s="4" t="s">
        <v>8434</v>
      </c>
      <c r="F1011" s="4" t="s">
        <v>1293</v>
      </c>
      <c r="G1011" s="4"/>
      <c r="H1011" s="4" t="str">
        <f>_xlfn.IFNA(VLOOKUP(Table_Query_from_AMULTIQRY45[[#This Row],[WPROD]],'Part# with New'!$A$1:$B$4347,2,0),Table_Query_from_AMULTIQRY45[[#This Row],[WPROD]])</f>
        <v>10363</v>
      </c>
      <c r="I1011" s="4" t="s">
        <v>8436</v>
      </c>
      <c r="J1011" s="1" t="s">
        <v>1027</v>
      </c>
      <c r="L1011" s="11">
        <v>3.87</v>
      </c>
      <c r="M1011" s="1"/>
      <c r="N1011" s="1" t="s">
        <v>1017</v>
      </c>
      <c r="P1011" s="1" t="str">
        <f>CONCATENATE(Table_Query_from_AMULTIQRY45[[#This Row],[WWHS]],"-",Table_Query_from_AMULTIQRY45[[#This Row],[LLOC]])</f>
        <v>E1-RAW</v>
      </c>
      <c r="Q1011" s="10">
        <f t="shared" ca="1" si="31"/>
        <v>45775</v>
      </c>
      <c r="R1011" s="10"/>
      <c r="S1011" s="28">
        <v>15.215</v>
      </c>
      <c r="T1011" s="1" t="s">
        <v>2</v>
      </c>
      <c r="U1011" s="1" t="s">
        <v>1059</v>
      </c>
      <c r="V1011" s="1">
        <v>20250212</v>
      </c>
      <c r="W1011" s="8" t="s">
        <v>8443</v>
      </c>
      <c r="Z1011" s="1"/>
      <c r="AA1011" s="1"/>
      <c r="AC1011" s="1"/>
      <c r="AD1011" s="1"/>
      <c r="AE1011" s="1"/>
      <c r="AF1011" s="1"/>
    </row>
    <row r="1012" spans="2:32" ht="12.75" x14ac:dyDescent="0.2">
      <c r="B1012" s="1" t="s">
        <v>9518</v>
      </c>
      <c r="C1012" s="10">
        <f t="shared" ca="1" si="30"/>
        <v>45180</v>
      </c>
      <c r="D1012" s="4"/>
      <c r="E1012" s="4" t="s">
        <v>8434</v>
      </c>
      <c r="F1012" s="4" t="s">
        <v>1293</v>
      </c>
      <c r="G1012" s="4"/>
      <c r="H1012" s="4" t="str">
        <f>_xlfn.IFNA(VLOOKUP(Table_Query_from_AMULTIQRY45[[#This Row],[WPROD]],'Part# with New'!$A$1:$B$4347,2,0),Table_Query_from_AMULTIQRY45[[#This Row],[WPROD]])</f>
        <v>10376</v>
      </c>
      <c r="I1012" s="4" t="s">
        <v>8436</v>
      </c>
      <c r="J1012" s="1" t="s">
        <v>1019</v>
      </c>
      <c r="L1012" s="11">
        <v>22.342099999999999</v>
      </c>
      <c r="M1012" s="1"/>
      <c r="N1012" s="1" t="s">
        <v>1017</v>
      </c>
      <c r="P1012" s="1" t="str">
        <f>CONCATENATE(Table_Query_from_AMULTIQRY45[[#This Row],[WWHS]],"-",Table_Query_from_AMULTIQRY45[[#This Row],[LLOC]])</f>
        <v>E1-RAW</v>
      </c>
      <c r="Q1012" s="10">
        <f t="shared" ca="1" si="31"/>
        <v>45775</v>
      </c>
      <c r="R1012" s="10"/>
      <c r="S1012" s="28">
        <v>31.01</v>
      </c>
      <c r="T1012" s="1" t="s">
        <v>2</v>
      </c>
      <c r="U1012" s="1" t="s">
        <v>1060</v>
      </c>
      <c r="V1012" s="1">
        <v>20230911</v>
      </c>
      <c r="W1012" s="8" t="s">
        <v>8443</v>
      </c>
      <c r="Z1012" s="1"/>
      <c r="AA1012" s="1"/>
      <c r="AC1012" s="1"/>
      <c r="AD1012" s="1"/>
      <c r="AE1012" s="1"/>
      <c r="AF1012" s="1"/>
    </row>
    <row r="1013" spans="2:32" ht="12.75" x14ac:dyDescent="0.2">
      <c r="B1013" s="1" t="s">
        <v>9519</v>
      </c>
      <c r="C1013" s="10">
        <f t="shared" ca="1" si="30"/>
        <v>44790</v>
      </c>
      <c r="D1013" s="4"/>
      <c r="E1013" s="4" t="s">
        <v>8434</v>
      </c>
      <c r="F1013" s="4" t="s">
        <v>1293</v>
      </c>
      <c r="G1013" s="4"/>
      <c r="H1013" s="4" t="str">
        <f>_xlfn.IFNA(VLOOKUP(Table_Query_from_AMULTIQRY45[[#This Row],[WPROD]],'Part# with New'!$A$1:$B$4347,2,0),Table_Query_from_AMULTIQRY45[[#This Row],[WPROD]])</f>
        <v>10378</v>
      </c>
      <c r="I1013" s="4" t="s">
        <v>8436</v>
      </c>
      <c r="J1013" s="1" t="s">
        <v>1019</v>
      </c>
      <c r="L1013" s="11">
        <v>17.87</v>
      </c>
      <c r="M1013" s="1"/>
      <c r="N1013" s="1" t="s">
        <v>1017</v>
      </c>
      <c r="P1013" s="1" t="str">
        <f>CONCATENATE(Table_Query_from_AMULTIQRY45[[#This Row],[WWHS]],"-",Table_Query_from_AMULTIQRY45[[#This Row],[LLOC]])</f>
        <v>E1-RAW</v>
      </c>
      <c r="Q1013" s="10">
        <f t="shared" ca="1" si="31"/>
        <v>45775</v>
      </c>
      <c r="R1013" s="10"/>
      <c r="S1013" s="28">
        <v>32.5</v>
      </c>
      <c r="T1013" s="1" t="s">
        <v>2</v>
      </c>
      <c r="U1013" s="1" t="s">
        <v>1061</v>
      </c>
      <c r="V1013" s="1">
        <v>20220817</v>
      </c>
      <c r="W1013" s="8" t="s">
        <v>8443</v>
      </c>
      <c r="Z1013" s="1"/>
      <c r="AA1013" s="1"/>
      <c r="AC1013" s="1"/>
      <c r="AD1013" s="1"/>
      <c r="AE1013" s="1"/>
      <c r="AF1013" s="1"/>
    </row>
    <row r="1014" spans="2:32" ht="12.75" x14ac:dyDescent="0.2">
      <c r="B1014" s="1" t="s">
        <v>9520</v>
      </c>
      <c r="C1014" s="10">
        <f t="shared" ca="1" si="30"/>
        <v>45740</v>
      </c>
      <c r="D1014" s="4"/>
      <c r="E1014" s="4" t="s">
        <v>8434</v>
      </c>
      <c r="F1014" s="4" t="s">
        <v>1293</v>
      </c>
      <c r="G1014" s="4"/>
      <c r="H1014" s="4" t="str">
        <f>_xlfn.IFNA(VLOOKUP(Table_Query_from_AMULTIQRY45[[#This Row],[WPROD]],'Part# with New'!$A$1:$B$4347,2,0),Table_Query_from_AMULTIQRY45[[#This Row],[WPROD]])</f>
        <v>10380</v>
      </c>
      <c r="I1014" s="4" t="s">
        <v>8436</v>
      </c>
      <c r="J1014" s="1" t="s">
        <v>1027</v>
      </c>
      <c r="L1014" s="11">
        <v>9</v>
      </c>
      <c r="M1014" s="1"/>
      <c r="N1014" s="1" t="s">
        <v>1017</v>
      </c>
      <c r="P1014" s="1" t="str">
        <f>CONCATENATE(Table_Query_from_AMULTIQRY45[[#This Row],[WWHS]],"-",Table_Query_from_AMULTIQRY45[[#This Row],[LLOC]])</f>
        <v>E1-RAW</v>
      </c>
      <c r="Q1014" s="10">
        <f t="shared" ca="1" si="31"/>
        <v>45775</v>
      </c>
      <c r="R1014" s="10"/>
      <c r="S1014" s="28">
        <v>35.25</v>
      </c>
      <c r="T1014" s="1" t="s">
        <v>2</v>
      </c>
      <c r="U1014" s="1" t="s">
        <v>1062</v>
      </c>
      <c r="V1014" s="1">
        <v>20250324</v>
      </c>
      <c r="W1014" s="8" t="s">
        <v>8443</v>
      </c>
      <c r="Z1014" s="1"/>
      <c r="AA1014" s="1"/>
      <c r="AC1014" s="1"/>
      <c r="AD1014" s="1"/>
      <c r="AE1014" s="1"/>
      <c r="AF1014" s="1"/>
    </row>
    <row r="1015" spans="2:32" ht="12.75" x14ac:dyDescent="0.2">
      <c r="B1015" s="1" t="s">
        <v>9521</v>
      </c>
      <c r="C1015" s="10">
        <f t="shared" ca="1" si="30"/>
        <v>44140</v>
      </c>
      <c r="D1015" s="4"/>
      <c r="E1015" s="4" t="s">
        <v>8434</v>
      </c>
      <c r="F1015" s="4" t="s">
        <v>1293</v>
      </c>
      <c r="G1015" s="4"/>
      <c r="H1015" s="4" t="str">
        <f>_xlfn.IFNA(VLOOKUP(Table_Query_from_AMULTIQRY45[[#This Row],[WPROD]],'Part# with New'!$A$1:$B$4347,2,0),Table_Query_from_AMULTIQRY45[[#This Row],[WPROD]])</f>
        <v>10389</v>
      </c>
      <c r="I1015" s="4" t="s">
        <v>8436</v>
      </c>
      <c r="J1015" s="1" t="s">
        <v>1027</v>
      </c>
      <c r="L1015" s="11">
        <v>1.44</v>
      </c>
      <c r="M1015" s="1"/>
      <c r="N1015" s="1" t="s">
        <v>1017</v>
      </c>
      <c r="P1015" s="1" t="str">
        <f>CONCATENATE(Table_Query_from_AMULTIQRY45[[#This Row],[WWHS]],"-",Table_Query_from_AMULTIQRY45[[#This Row],[LLOC]])</f>
        <v>E1-RAW</v>
      </c>
      <c r="Q1015" s="10">
        <f t="shared" ca="1" si="31"/>
        <v>45775</v>
      </c>
      <c r="R1015" s="10"/>
      <c r="S1015" s="28">
        <v>16.100000000000001</v>
      </c>
      <c r="T1015" s="1" t="s">
        <v>2</v>
      </c>
      <c r="U1015" s="1" t="s">
        <v>1063</v>
      </c>
      <c r="V1015" s="1">
        <v>20201105</v>
      </c>
      <c r="W1015" s="8" t="s">
        <v>8443</v>
      </c>
      <c r="Z1015" s="1"/>
      <c r="AA1015" s="1"/>
      <c r="AC1015" s="1"/>
      <c r="AD1015" s="1"/>
      <c r="AE1015" s="1"/>
      <c r="AF1015" s="1"/>
    </row>
    <row r="1016" spans="2:32" ht="12.75" x14ac:dyDescent="0.2">
      <c r="B1016" s="1" t="s">
        <v>9522</v>
      </c>
      <c r="C1016" s="10">
        <f t="shared" ca="1" si="30"/>
        <v>45615</v>
      </c>
      <c r="D1016" s="4"/>
      <c r="E1016" s="4" t="s">
        <v>8434</v>
      </c>
      <c r="F1016" s="4" t="s">
        <v>1293</v>
      </c>
      <c r="G1016" s="4"/>
      <c r="H1016" s="4" t="str">
        <f>_xlfn.IFNA(VLOOKUP(Table_Query_from_AMULTIQRY45[[#This Row],[WPROD]],'Part# with New'!$A$1:$B$4347,2,0),Table_Query_from_AMULTIQRY45[[#This Row],[WPROD]])</f>
        <v>10394</v>
      </c>
      <c r="I1016" s="4" t="s">
        <v>8436</v>
      </c>
      <c r="J1016" s="1" t="s">
        <v>1019</v>
      </c>
      <c r="L1016" s="11">
        <v>11.75</v>
      </c>
      <c r="M1016" s="1"/>
      <c r="N1016" s="1" t="s">
        <v>1017</v>
      </c>
      <c r="P1016" s="1" t="str">
        <f>CONCATENATE(Table_Query_from_AMULTIQRY45[[#This Row],[WWHS]],"-",Table_Query_from_AMULTIQRY45[[#This Row],[LLOC]])</f>
        <v>E1-RAW</v>
      </c>
      <c r="Q1016" s="10">
        <f t="shared" ca="1" si="31"/>
        <v>45775</v>
      </c>
      <c r="R1016" s="10"/>
      <c r="S1016" s="28">
        <v>99.08</v>
      </c>
      <c r="T1016" s="1" t="s">
        <v>2</v>
      </c>
      <c r="U1016" s="1" t="s">
        <v>1064</v>
      </c>
      <c r="V1016" s="1">
        <v>20241119</v>
      </c>
      <c r="W1016" s="8" t="s">
        <v>8443</v>
      </c>
      <c r="Z1016" s="1"/>
      <c r="AA1016" s="1"/>
      <c r="AC1016" s="1"/>
      <c r="AD1016" s="1"/>
      <c r="AE1016" s="1"/>
      <c r="AF1016" s="1"/>
    </row>
    <row r="1017" spans="2:32" ht="12.75" x14ac:dyDescent="0.2">
      <c r="B1017" s="1" t="s">
        <v>9523</v>
      </c>
      <c r="C1017" s="10">
        <f t="shared" ca="1" si="30"/>
        <v>45656</v>
      </c>
      <c r="D1017" s="4"/>
      <c r="E1017" s="4" t="s">
        <v>8434</v>
      </c>
      <c r="F1017" s="4" t="s">
        <v>1293</v>
      </c>
      <c r="G1017" s="4"/>
      <c r="H1017" s="4" t="str">
        <f>_xlfn.IFNA(VLOOKUP(Table_Query_from_AMULTIQRY45[[#This Row],[WPROD]],'Part# with New'!$A$1:$B$4347,2,0),Table_Query_from_AMULTIQRY45[[#This Row],[WPROD]])</f>
        <v>10397</v>
      </c>
      <c r="I1017" s="4" t="s">
        <v>8436</v>
      </c>
      <c r="J1017" s="1" t="s">
        <v>1027</v>
      </c>
      <c r="L1017" s="11">
        <v>1.04</v>
      </c>
      <c r="M1017" s="1"/>
      <c r="N1017" s="1" t="s">
        <v>1017</v>
      </c>
      <c r="P1017" s="1" t="str">
        <f>CONCATENATE(Table_Query_from_AMULTIQRY45[[#This Row],[WWHS]],"-",Table_Query_from_AMULTIQRY45[[#This Row],[LLOC]])</f>
        <v>E1-RAW</v>
      </c>
      <c r="Q1017" s="10">
        <f t="shared" ca="1" si="31"/>
        <v>45775</v>
      </c>
      <c r="R1017" s="10"/>
      <c r="S1017" s="28">
        <v>112.79</v>
      </c>
      <c r="T1017" s="1" t="s">
        <v>2</v>
      </c>
      <c r="U1017" s="1" t="s">
        <v>1065</v>
      </c>
      <c r="V1017" s="1">
        <v>20241230</v>
      </c>
      <c r="W1017" s="8" t="s">
        <v>8443</v>
      </c>
      <c r="Z1017" s="1"/>
      <c r="AA1017" s="1"/>
      <c r="AC1017" s="1"/>
      <c r="AD1017" s="1"/>
      <c r="AE1017" s="1"/>
      <c r="AF1017" s="1"/>
    </row>
    <row r="1018" spans="2:32" ht="12.75" x14ac:dyDescent="0.2">
      <c r="B1018" s="1" t="s">
        <v>9524</v>
      </c>
      <c r="C1018" s="10">
        <f t="shared" ca="1" si="30"/>
        <v>44418</v>
      </c>
      <c r="D1018" s="4"/>
      <c r="E1018" s="4" t="s">
        <v>8434</v>
      </c>
      <c r="F1018" s="4" t="s">
        <v>1293</v>
      </c>
      <c r="G1018" s="4"/>
      <c r="H1018" s="4" t="str">
        <f>_xlfn.IFNA(VLOOKUP(Table_Query_from_AMULTIQRY45[[#This Row],[WPROD]],'Part# with New'!$A$1:$B$4347,2,0),Table_Query_from_AMULTIQRY45[[#This Row],[WPROD]])</f>
        <v>10400</v>
      </c>
      <c r="I1018" s="4" t="s">
        <v>8436</v>
      </c>
      <c r="J1018" s="1" t="s">
        <v>1027</v>
      </c>
      <c r="L1018" s="11">
        <v>0.7</v>
      </c>
      <c r="M1018" s="1"/>
      <c r="N1018" s="1" t="s">
        <v>1017</v>
      </c>
      <c r="P1018" s="1" t="str">
        <f>CONCATENATE(Table_Query_from_AMULTIQRY45[[#This Row],[WWHS]],"-",Table_Query_from_AMULTIQRY45[[#This Row],[LLOC]])</f>
        <v>E1-RAW</v>
      </c>
      <c r="Q1018" s="10">
        <f t="shared" ca="1" si="31"/>
        <v>45775</v>
      </c>
      <c r="R1018" s="10"/>
      <c r="S1018" s="28">
        <v>17.510000000000002</v>
      </c>
      <c r="T1018" s="1" t="s">
        <v>2</v>
      </c>
      <c r="U1018" s="1" t="s">
        <v>1066</v>
      </c>
      <c r="V1018" s="1">
        <v>20210810</v>
      </c>
      <c r="W1018" s="8" t="s">
        <v>8443</v>
      </c>
      <c r="Z1018" s="1"/>
      <c r="AA1018" s="1"/>
      <c r="AC1018" s="1"/>
      <c r="AD1018" s="1"/>
      <c r="AE1018" s="1"/>
      <c r="AF1018" s="1"/>
    </row>
    <row r="1019" spans="2:32" ht="12.75" x14ac:dyDescent="0.2">
      <c r="B1019" s="1" t="s">
        <v>9525</v>
      </c>
      <c r="C1019" s="10">
        <f t="shared" ca="1" si="30"/>
        <v>44532</v>
      </c>
      <c r="D1019" s="4"/>
      <c r="E1019" s="4" t="s">
        <v>8434</v>
      </c>
      <c r="F1019" s="4" t="s">
        <v>1293</v>
      </c>
      <c r="G1019" s="4"/>
      <c r="H1019" s="4" t="str">
        <f>_xlfn.IFNA(VLOOKUP(Table_Query_from_AMULTIQRY45[[#This Row],[WPROD]],'Part# with New'!$A$1:$B$4347,2,0),Table_Query_from_AMULTIQRY45[[#This Row],[WPROD]])</f>
        <v>10403</v>
      </c>
      <c r="I1019" s="4" t="s">
        <v>8436</v>
      </c>
      <c r="J1019" s="1" t="s">
        <v>1027</v>
      </c>
      <c r="L1019" s="11">
        <v>2.3199999999999998</v>
      </c>
      <c r="M1019" s="1"/>
      <c r="N1019" s="1" t="s">
        <v>1017</v>
      </c>
      <c r="P1019" s="1" t="str">
        <f>CONCATENATE(Table_Query_from_AMULTIQRY45[[#This Row],[WWHS]],"-",Table_Query_from_AMULTIQRY45[[#This Row],[LLOC]])</f>
        <v>E1-RAW</v>
      </c>
      <c r="Q1019" s="10">
        <f t="shared" ca="1" si="31"/>
        <v>45775</v>
      </c>
      <c r="R1019" s="10"/>
      <c r="S1019" s="28">
        <v>8</v>
      </c>
      <c r="T1019" s="1" t="s">
        <v>2</v>
      </c>
      <c r="U1019" s="1" t="s">
        <v>1067</v>
      </c>
      <c r="V1019" s="1">
        <v>20211202</v>
      </c>
      <c r="W1019" s="8" t="s">
        <v>8443</v>
      </c>
      <c r="Z1019" s="1"/>
      <c r="AA1019" s="1"/>
      <c r="AC1019" s="1"/>
      <c r="AD1019" s="1"/>
      <c r="AE1019" s="1"/>
      <c r="AF1019" s="1"/>
    </row>
    <row r="1020" spans="2:32" ht="12.75" x14ac:dyDescent="0.2">
      <c r="B1020" s="1" t="s">
        <v>9526</v>
      </c>
      <c r="C1020" s="10">
        <f t="shared" ca="1" si="30"/>
        <v>45415</v>
      </c>
      <c r="D1020" s="4"/>
      <c r="E1020" s="4" t="s">
        <v>8434</v>
      </c>
      <c r="F1020" s="4" t="s">
        <v>1293</v>
      </c>
      <c r="G1020" s="4"/>
      <c r="H1020" s="4" t="str">
        <f>_xlfn.IFNA(VLOOKUP(Table_Query_from_AMULTIQRY45[[#This Row],[WPROD]],'Part# with New'!$A$1:$B$4347,2,0),Table_Query_from_AMULTIQRY45[[#This Row],[WPROD]])</f>
        <v>10407</v>
      </c>
      <c r="I1020" s="4" t="s">
        <v>8436</v>
      </c>
      <c r="J1020" s="1" t="s">
        <v>1019</v>
      </c>
      <c r="L1020" s="11">
        <v>26.42</v>
      </c>
      <c r="M1020" s="1"/>
      <c r="N1020" s="1" t="s">
        <v>1017</v>
      </c>
      <c r="P1020" s="1" t="str">
        <f>CONCATENATE(Table_Query_from_AMULTIQRY45[[#This Row],[WWHS]],"-",Table_Query_from_AMULTIQRY45[[#This Row],[LLOC]])</f>
        <v>E1-RAW</v>
      </c>
      <c r="Q1020" s="10">
        <f t="shared" ca="1" si="31"/>
        <v>45775</v>
      </c>
      <c r="R1020" s="10"/>
      <c r="S1020" s="28">
        <v>163.33000000000001</v>
      </c>
      <c r="T1020" s="1" t="s">
        <v>2</v>
      </c>
      <c r="U1020" s="1" t="s">
        <v>1068</v>
      </c>
      <c r="V1020" s="1">
        <v>20240503</v>
      </c>
      <c r="W1020" s="8" t="s">
        <v>8443</v>
      </c>
      <c r="Z1020" s="1"/>
      <c r="AA1020" s="1"/>
      <c r="AC1020" s="1"/>
      <c r="AD1020" s="1"/>
      <c r="AE1020" s="1"/>
      <c r="AF1020" s="1"/>
    </row>
    <row r="1021" spans="2:32" ht="12.75" x14ac:dyDescent="0.2">
      <c r="B1021" s="1" t="s">
        <v>9527</v>
      </c>
      <c r="C1021" s="10">
        <f t="shared" ca="1" si="30"/>
        <v>45544</v>
      </c>
      <c r="D1021" s="4"/>
      <c r="E1021" s="4" t="s">
        <v>8434</v>
      </c>
      <c r="F1021" s="4" t="s">
        <v>1293</v>
      </c>
      <c r="G1021" s="4"/>
      <c r="H1021" s="4" t="str">
        <f>_xlfn.IFNA(VLOOKUP(Table_Query_from_AMULTIQRY45[[#This Row],[WPROD]],'Part# with New'!$A$1:$B$4347,2,0),Table_Query_from_AMULTIQRY45[[#This Row],[WPROD]])</f>
        <v>10412</v>
      </c>
      <c r="I1021" s="4" t="s">
        <v>8436</v>
      </c>
      <c r="J1021" s="1" t="s">
        <v>1027</v>
      </c>
      <c r="L1021" s="11">
        <v>1.92</v>
      </c>
      <c r="M1021" s="1"/>
      <c r="N1021" s="1" t="s">
        <v>1017</v>
      </c>
      <c r="P1021" s="1" t="str">
        <f>CONCATENATE(Table_Query_from_AMULTIQRY45[[#This Row],[WWHS]],"-",Table_Query_from_AMULTIQRY45[[#This Row],[LLOC]])</f>
        <v>E1-RAW</v>
      </c>
      <c r="Q1021" s="10">
        <f t="shared" ca="1" si="31"/>
        <v>45775</v>
      </c>
      <c r="R1021" s="10"/>
      <c r="S1021" s="28">
        <v>31.44</v>
      </c>
      <c r="T1021" s="1" t="s">
        <v>2</v>
      </c>
      <c r="U1021" s="1" t="s">
        <v>1069</v>
      </c>
      <c r="V1021" s="1">
        <v>20240909</v>
      </c>
      <c r="W1021" s="8" t="s">
        <v>8443</v>
      </c>
      <c r="Z1021" s="1"/>
      <c r="AA1021" s="1"/>
      <c r="AC1021" s="1"/>
      <c r="AD1021" s="1"/>
      <c r="AE1021" s="1"/>
      <c r="AF1021" s="1"/>
    </row>
    <row r="1022" spans="2:32" ht="12.75" x14ac:dyDescent="0.2">
      <c r="B1022" s="1" t="s">
        <v>9528</v>
      </c>
      <c r="C1022" s="10">
        <f t="shared" ca="1" si="30"/>
        <v>45694</v>
      </c>
      <c r="D1022" s="4"/>
      <c r="E1022" s="4" t="s">
        <v>8434</v>
      </c>
      <c r="F1022" s="4" t="s">
        <v>1293</v>
      </c>
      <c r="G1022" s="4"/>
      <c r="H1022" s="4" t="str">
        <f>_xlfn.IFNA(VLOOKUP(Table_Query_from_AMULTIQRY45[[#This Row],[WPROD]],'Part# with New'!$A$1:$B$4347,2,0),Table_Query_from_AMULTIQRY45[[#This Row],[WPROD]])</f>
        <v>10413</v>
      </c>
      <c r="I1022" s="4" t="s">
        <v>8436</v>
      </c>
      <c r="J1022" s="1" t="s">
        <v>1027</v>
      </c>
      <c r="L1022" s="11">
        <v>0.83</v>
      </c>
      <c r="M1022" s="1"/>
      <c r="N1022" s="1" t="s">
        <v>1017</v>
      </c>
      <c r="P1022" s="1" t="str">
        <f>CONCATENATE(Table_Query_from_AMULTIQRY45[[#This Row],[WWHS]],"-",Table_Query_from_AMULTIQRY45[[#This Row],[LLOC]])</f>
        <v>E1-RAW</v>
      </c>
      <c r="Q1022" s="10">
        <f t="shared" ca="1" si="31"/>
        <v>45775</v>
      </c>
      <c r="R1022" s="10"/>
      <c r="S1022" s="28">
        <v>7.5759999999999996</v>
      </c>
      <c r="T1022" s="1" t="s">
        <v>2</v>
      </c>
      <c r="U1022" s="1" t="s">
        <v>1070</v>
      </c>
      <c r="V1022" s="1">
        <v>20250206</v>
      </c>
      <c r="W1022" s="8" t="s">
        <v>8443</v>
      </c>
      <c r="Z1022" s="1"/>
      <c r="AA1022" s="1"/>
      <c r="AC1022" s="1"/>
      <c r="AD1022" s="1"/>
      <c r="AE1022" s="1"/>
      <c r="AF1022" s="1"/>
    </row>
    <row r="1023" spans="2:32" ht="12.75" x14ac:dyDescent="0.2">
      <c r="B1023" s="1" t="s">
        <v>9529</v>
      </c>
      <c r="C1023" s="10">
        <f t="shared" ca="1" si="30"/>
        <v>45663</v>
      </c>
      <c r="D1023" s="4"/>
      <c r="E1023" s="4" t="s">
        <v>8434</v>
      </c>
      <c r="F1023" s="4" t="s">
        <v>1293</v>
      </c>
      <c r="G1023" s="4"/>
      <c r="H1023" s="4" t="str">
        <f>_xlfn.IFNA(VLOOKUP(Table_Query_from_AMULTIQRY45[[#This Row],[WPROD]],'Part# with New'!$A$1:$B$4347,2,0),Table_Query_from_AMULTIQRY45[[#This Row],[WPROD]])</f>
        <v>10418</v>
      </c>
      <c r="I1023" s="4" t="s">
        <v>8436</v>
      </c>
      <c r="J1023" s="1" t="s">
        <v>1019</v>
      </c>
      <c r="L1023" s="11">
        <v>13.25</v>
      </c>
      <c r="M1023" s="1"/>
      <c r="N1023" s="1" t="s">
        <v>1017</v>
      </c>
      <c r="P1023" s="1" t="str">
        <f>CONCATENATE(Table_Query_from_AMULTIQRY45[[#This Row],[WWHS]],"-",Table_Query_from_AMULTIQRY45[[#This Row],[LLOC]])</f>
        <v>E1-RAW</v>
      </c>
      <c r="Q1023" s="10">
        <f t="shared" ca="1" si="31"/>
        <v>45775</v>
      </c>
      <c r="R1023" s="10"/>
      <c r="S1023" s="28">
        <v>30.85</v>
      </c>
      <c r="T1023" s="1" t="s">
        <v>2</v>
      </c>
      <c r="U1023" s="1" t="s">
        <v>1071</v>
      </c>
      <c r="V1023" s="1">
        <v>20250106</v>
      </c>
      <c r="W1023" s="8" t="s">
        <v>8443</v>
      </c>
      <c r="Z1023" s="1"/>
      <c r="AA1023" s="1"/>
      <c r="AC1023" s="1"/>
      <c r="AD1023" s="1"/>
      <c r="AE1023" s="1"/>
      <c r="AF1023" s="1"/>
    </row>
    <row r="1024" spans="2:32" ht="12.75" x14ac:dyDescent="0.2">
      <c r="B1024" s="1" t="s">
        <v>9530</v>
      </c>
      <c r="C1024" s="10">
        <f t="shared" ca="1" si="30"/>
        <v>45183</v>
      </c>
      <c r="D1024" s="4"/>
      <c r="E1024" s="4" t="s">
        <v>8434</v>
      </c>
      <c r="F1024" s="4" t="s">
        <v>1293</v>
      </c>
      <c r="G1024" s="4"/>
      <c r="H1024" s="4" t="str">
        <f>_xlfn.IFNA(VLOOKUP(Table_Query_from_AMULTIQRY45[[#This Row],[WPROD]],'Part# with New'!$A$1:$B$4347,2,0),Table_Query_from_AMULTIQRY45[[#This Row],[WPROD]])</f>
        <v>10419</v>
      </c>
      <c r="I1024" s="4" t="s">
        <v>8436</v>
      </c>
      <c r="J1024" s="1" t="s">
        <v>1019</v>
      </c>
      <c r="L1024" s="11">
        <v>28.613800000000001</v>
      </c>
      <c r="M1024" s="1"/>
      <c r="N1024" s="1" t="s">
        <v>1017</v>
      </c>
      <c r="P1024" s="1" t="str">
        <f>CONCATENATE(Table_Query_from_AMULTIQRY45[[#This Row],[WWHS]],"-",Table_Query_from_AMULTIQRY45[[#This Row],[LLOC]])</f>
        <v>E1-RAW</v>
      </c>
      <c r="Q1024" s="10">
        <f t="shared" ca="1" si="31"/>
        <v>45775</v>
      </c>
      <c r="R1024" s="10"/>
      <c r="S1024" s="28">
        <v>2.8</v>
      </c>
      <c r="T1024" s="1" t="s">
        <v>2</v>
      </c>
      <c r="U1024" s="1" t="s">
        <v>1072</v>
      </c>
      <c r="V1024" s="1">
        <v>20230914</v>
      </c>
      <c r="W1024" s="8" t="s">
        <v>8443</v>
      </c>
      <c r="Z1024" s="1"/>
      <c r="AA1024" s="1"/>
      <c r="AC1024" s="1"/>
      <c r="AD1024" s="1"/>
      <c r="AE1024" s="1"/>
      <c r="AF1024" s="1"/>
    </row>
    <row r="1025" spans="2:32" ht="12.75" x14ac:dyDescent="0.2">
      <c r="B1025" s="1" t="s">
        <v>9531</v>
      </c>
      <c r="C1025" s="10">
        <f t="shared" ca="1" si="30"/>
        <v>45582</v>
      </c>
      <c r="D1025" s="4"/>
      <c r="E1025" s="4" t="s">
        <v>8434</v>
      </c>
      <c r="F1025" s="4" t="s">
        <v>1293</v>
      </c>
      <c r="G1025" s="4"/>
      <c r="H1025" s="4" t="str">
        <f>_xlfn.IFNA(VLOOKUP(Table_Query_from_AMULTIQRY45[[#This Row],[WPROD]],'Part# with New'!$A$1:$B$4347,2,0),Table_Query_from_AMULTIQRY45[[#This Row],[WPROD]])</f>
        <v>10423</v>
      </c>
      <c r="I1025" s="4" t="s">
        <v>8436</v>
      </c>
      <c r="J1025" s="1" t="s">
        <v>1019</v>
      </c>
      <c r="L1025" s="11">
        <v>14</v>
      </c>
      <c r="M1025" s="1"/>
      <c r="N1025" s="1" t="s">
        <v>1017</v>
      </c>
      <c r="P1025" s="1" t="str">
        <f>CONCATENATE(Table_Query_from_AMULTIQRY45[[#This Row],[WWHS]],"-",Table_Query_from_AMULTIQRY45[[#This Row],[LLOC]])</f>
        <v>E1-RAW</v>
      </c>
      <c r="Q1025" s="10">
        <f t="shared" ca="1" si="31"/>
        <v>45775</v>
      </c>
      <c r="R1025" s="10"/>
      <c r="S1025" s="28">
        <v>39.57</v>
      </c>
      <c r="T1025" s="1" t="s">
        <v>2</v>
      </c>
      <c r="U1025" s="1" t="s">
        <v>1073</v>
      </c>
      <c r="V1025" s="1">
        <v>20241017</v>
      </c>
      <c r="W1025" s="8" t="s">
        <v>8443</v>
      </c>
      <c r="Z1025" s="1"/>
      <c r="AA1025" s="1"/>
      <c r="AC1025" s="1"/>
      <c r="AD1025" s="1"/>
      <c r="AE1025" s="1"/>
      <c r="AF1025" s="1"/>
    </row>
    <row r="1026" spans="2:32" ht="12.75" x14ac:dyDescent="0.2">
      <c r="B1026" s="1" t="s">
        <v>9532</v>
      </c>
      <c r="C1026" s="10">
        <f t="shared" ca="1" si="30"/>
        <v>44612</v>
      </c>
      <c r="D1026" s="4"/>
      <c r="E1026" s="4" t="s">
        <v>8434</v>
      </c>
      <c r="F1026" s="4" t="s">
        <v>1293</v>
      </c>
      <c r="G1026" s="4"/>
      <c r="H1026" s="4" t="str">
        <f>_xlfn.IFNA(VLOOKUP(Table_Query_from_AMULTIQRY45[[#This Row],[WPROD]],'Part# with New'!$A$1:$B$4347,2,0),Table_Query_from_AMULTIQRY45[[#This Row],[WPROD]])</f>
        <v>10428</v>
      </c>
      <c r="I1026" s="4" t="s">
        <v>8436</v>
      </c>
      <c r="J1026" s="1" t="s">
        <v>1019</v>
      </c>
      <c r="L1026" s="11">
        <v>23.55</v>
      </c>
      <c r="M1026" s="1"/>
      <c r="N1026" s="1" t="s">
        <v>1017</v>
      </c>
      <c r="P1026" s="1" t="str">
        <f>CONCATENATE(Table_Query_from_AMULTIQRY45[[#This Row],[WWHS]],"-",Table_Query_from_AMULTIQRY45[[#This Row],[LLOC]])</f>
        <v>E1-RAW</v>
      </c>
      <c r="Q1026" s="10">
        <f t="shared" ca="1" si="31"/>
        <v>45775</v>
      </c>
      <c r="R1026" s="10"/>
      <c r="S1026" s="28">
        <v>15.72</v>
      </c>
      <c r="T1026" s="1" t="s">
        <v>2</v>
      </c>
      <c r="U1026" s="1" t="s">
        <v>1074</v>
      </c>
      <c r="V1026" s="1">
        <v>20220220</v>
      </c>
      <c r="W1026" s="8" t="s">
        <v>8443</v>
      </c>
      <c r="Z1026" s="1"/>
      <c r="AA1026" s="1"/>
      <c r="AC1026" s="1"/>
      <c r="AD1026" s="1"/>
      <c r="AE1026" s="1"/>
      <c r="AF1026" s="1"/>
    </row>
    <row r="1027" spans="2:32" ht="12.75" x14ac:dyDescent="0.2">
      <c r="B1027" s="1" t="s">
        <v>9533</v>
      </c>
      <c r="C1027" s="10">
        <f t="shared" ca="1" si="30"/>
        <v>44447</v>
      </c>
      <c r="D1027" s="4"/>
      <c r="E1027" s="4" t="s">
        <v>8434</v>
      </c>
      <c r="F1027" s="4" t="s">
        <v>1293</v>
      </c>
      <c r="G1027" s="4"/>
      <c r="H1027" s="4" t="str">
        <f>_xlfn.IFNA(VLOOKUP(Table_Query_from_AMULTIQRY45[[#This Row],[WPROD]],'Part# with New'!$A$1:$B$4347,2,0),Table_Query_from_AMULTIQRY45[[#This Row],[WPROD]])</f>
        <v>10429</v>
      </c>
      <c r="I1027" s="4" t="s">
        <v>8436</v>
      </c>
      <c r="J1027" s="1" t="s">
        <v>1027</v>
      </c>
      <c r="L1027" s="11">
        <v>8.7899999999999991</v>
      </c>
      <c r="M1027" s="1"/>
      <c r="N1027" s="1" t="s">
        <v>1017</v>
      </c>
      <c r="P1027" s="1" t="str">
        <f>CONCATENATE(Table_Query_from_AMULTIQRY45[[#This Row],[WWHS]],"-",Table_Query_from_AMULTIQRY45[[#This Row],[LLOC]])</f>
        <v>E1-RAW</v>
      </c>
      <c r="Q1027" s="10">
        <f t="shared" ca="1" si="31"/>
        <v>45775</v>
      </c>
      <c r="R1027" s="10"/>
      <c r="S1027" s="28">
        <v>2.5</v>
      </c>
      <c r="T1027" s="1" t="s">
        <v>2</v>
      </c>
      <c r="U1027" s="1" t="s">
        <v>1075</v>
      </c>
      <c r="V1027" s="1">
        <v>20210908</v>
      </c>
      <c r="W1027" s="8" t="s">
        <v>8443</v>
      </c>
      <c r="Z1027" s="1"/>
      <c r="AA1027" s="1"/>
      <c r="AC1027" s="1"/>
      <c r="AD1027" s="1"/>
      <c r="AE1027" s="1"/>
      <c r="AF1027" s="1"/>
    </row>
    <row r="1028" spans="2:32" ht="12.75" x14ac:dyDescent="0.2">
      <c r="B1028" s="1" t="s">
        <v>9534</v>
      </c>
      <c r="C1028" s="10">
        <f t="shared" ca="1" si="30"/>
        <v>44859</v>
      </c>
      <c r="D1028" s="4"/>
      <c r="E1028" s="4" t="s">
        <v>8434</v>
      </c>
      <c r="F1028" s="4" t="s">
        <v>1293</v>
      </c>
      <c r="G1028" s="4"/>
      <c r="H1028" s="4" t="str">
        <f>_xlfn.IFNA(VLOOKUP(Table_Query_from_AMULTIQRY45[[#This Row],[WPROD]],'Part# with New'!$A$1:$B$4347,2,0),Table_Query_from_AMULTIQRY45[[#This Row],[WPROD]])</f>
        <v>10431</v>
      </c>
      <c r="I1028" s="4" t="s">
        <v>8436</v>
      </c>
      <c r="J1028" s="1" t="s">
        <v>1019</v>
      </c>
      <c r="L1028" s="11">
        <v>17.885000000000002</v>
      </c>
      <c r="M1028" s="1"/>
      <c r="N1028" s="1" t="s">
        <v>1017</v>
      </c>
      <c r="P1028" s="1" t="str">
        <f>CONCATENATE(Table_Query_from_AMULTIQRY45[[#This Row],[WWHS]],"-",Table_Query_from_AMULTIQRY45[[#This Row],[LLOC]])</f>
        <v>E1-RAW</v>
      </c>
      <c r="Q1028" s="10">
        <f t="shared" ca="1" si="31"/>
        <v>45775</v>
      </c>
      <c r="R1028" s="10"/>
      <c r="S1028" s="28">
        <v>25.18</v>
      </c>
      <c r="T1028" s="1" t="s">
        <v>2</v>
      </c>
      <c r="U1028" s="1" t="s">
        <v>1076</v>
      </c>
      <c r="V1028" s="1">
        <v>20221025</v>
      </c>
      <c r="W1028" s="8" t="s">
        <v>8443</v>
      </c>
      <c r="Z1028" s="1"/>
      <c r="AA1028" s="1"/>
      <c r="AC1028" s="1"/>
      <c r="AD1028" s="1"/>
      <c r="AE1028" s="1"/>
      <c r="AF1028" s="1"/>
    </row>
    <row r="1029" spans="2:32" ht="12.75" x14ac:dyDescent="0.2">
      <c r="B1029" s="1" t="s">
        <v>9535</v>
      </c>
      <c r="C1029" s="10">
        <f t="shared" ca="1" si="30"/>
        <v>45765</v>
      </c>
      <c r="D1029" s="4"/>
      <c r="E1029" s="4" t="s">
        <v>8434</v>
      </c>
      <c r="F1029" s="4" t="s">
        <v>1293</v>
      </c>
      <c r="G1029" s="4"/>
      <c r="H1029" s="4" t="str">
        <f>_xlfn.IFNA(VLOOKUP(Table_Query_from_AMULTIQRY45[[#This Row],[WPROD]],'Part# with New'!$A$1:$B$4347,2,0),Table_Query_from_AMULTIQRY45[[#This Row],[WPROD]])</f>
        <v>10433</v>
      </c>
      <c r="I1029" s="4" t="s">
        <v>8436</v>
      </c>
      <c r="J1029" s="1" t="s">
        <v>1019</v>
      </c>
      <c r="L1029" s="11">
        <v>15.27</v>
      </c>
      <c r="M1029" s="1"/>
      <c r="N1029" s="1" t="s">
        <v>1017</v>
      </c>
      <c r="P1029" s="1" t="str">
        <f>CONCATENATE(Table_Query_from_AMULTIQRY45[[#This Row],[WWHS]],"-",Table_Query_from_AMULTIQRY45[[#This Row],[LLOC]])</f>
        <v>E1-RAW</v>
      </c>
      <c r="Q1029" s="10">
        <f t="shared" ca="1" si="31"/>
        <v>45775</v>
      </c>
      <c r="R1029" s="10"/>
      <c r="S1029" s="28">
        <v>55.14</v>
      </c>
      <c r="T1029" s="1" t="s">
        <v>2</v>
      </c>
      <c r="U1029" s="1" t="s">
        <v>1077</v>
      </c>
      <c r="V1029" s="1">
        <v>20250418</v>
      </c>
      <c r="W1029" s="8" t="s">
        <v>8443</v>
      </c>
      <c r="Z1029" s="1"/>
      <c r="AA1029" s="1"/>
      <c r="AC1029" s="1"/>
      <c r="AD1029" s="1"/>
      <c r="AE1029" s="1"/>
      <c r="AF1029" s="1"/>
    </row>
    <row r="1030" spans="2:32" ht="12.75" x14ac:dyDescent="0.2">
      <c r="B1030" s="1" t="s">
        <v>9536</v>
      </c>
      <c r="C1030" s="10">
        <f t="shared" ca="1" si="30"/>
        <v>45691</v>
      </c>
      <c r="D1030" s="4"/>
      <c r="E1030" s="4" t="s">
        <v>8434</v>
      </c>
      <c r="F1030" s="4" t="s">
        <v>1293</v>
      </c>
      <c r="G1030" s="4"/>
      <c r="H1030" s="4" t="str">
        <f>_xlfn.IFNA(VLOOKUP(Table_Query_from_AMULTIQRY45[[#This Row],[WPROD]],'Part# with New'!$A$1:$B$4347,2,0),Table_Query_from_AMULTIQRY45[[#This Row],[WPROD]])</f>
        <v>10436</v>
      </c>
      <c r="I1030" s="4" t="s">
        <v>8436</v>
      </c>
      <c r="J1030" s="1" t="s">
        <v>1027</v>
      </c>
      <c r="L1030" s="11">
        <v>4.32</v>
      </c>
      <c r="M1030" s="1"/>
      <c r="N1030" s="1" t="s">
        <v>1017</v>
      </c>
      <c r="P1030" s="1" t="str">
        <f>CONCATENATE(Table_Query_from_AMULTIQRY45[[#This Row],[WWHS]],"-",Table_Query_from_AMULTIQRY45[[#This Row],[LLOC]])</f>
        <v>E1-RAW</v>
      </c>
      <c r="Q1030" s="10">
        <f t="shared" ca="1" si="31"/>
        <v>45775</v>
      </c>
      <c r="R1030" s="10"/>
      <c r="S1030" s="28">
        <v>3.1</v>
      </c>
      <c r="T1030" s="1" t="s">
        <v>2</v>
      </c>
      <c r="U1030" s="1" t="s">
        <v>1078</v>
      </c>
      <c r="V1030" s="1">
        <v>20250203</v>
      </c>
      <c r="W1030" s="8" t="s">
        <v>8443</v>
      </c>
      <c r="Z1030" s="1"/>
      <c r="AA1030" s="1"/>
      <c r="AC1030" s="1"/>
      <c r="AD1030" s="1"/>
      <c r="AE1030" s="1"/>
      <c r="AF1030" s="1"/>
    </row>
    <row r="1031" spans="2:32" ht="12.75" x14ac:dyDescent="0.2">
      <c r="B1031" s="1" t="s">
        <v>9537</v>
      </c>
      <c r="C1031" s="10">
        <f t="shared" ref="C1031:C1094" ca="1" si="32">IFERROR(DATE(LEFT($V1031,4),MID($V1031,5,2),RIGHT($V1031,2)),TODAY())</f>
        <v>45566</v>
      </c>
      <c r="D1031" s="4"/>
      <c r="E1031" s="4" t="s">
        <v>8434</v>
      </c>
      <c r="F1031" s="4" t="s">
        <v>1293</v>
      </c>
      <c r="G1031" s="4"/>
      <c r="H1031" s="4" t="str">
        <f>_xlfn.IFNA(VLOOKUP(Table_Query_from_AMULTIQRY45[[#This Row],[WPROD]],'Part# with New'!$A$1:$B$4347,2,0),Table_Query_from_AMULTIQRY45[[#This Row],[WPROD]])</f>
        <v>10438</v>
      </c>
      <c r="I1031" s="4" t="s">
        <v>8436</v>
      </c>
      <c r="J1031" s="1" t="s">
        <v>1027</v>
      </c>
      <c r="L1031" s="11">
        <v>20</v>
      </c>
      <c r="M1031" s="1"/>
      <c r="N1031" s="1" t="s">
        <v>1017</v>
      </c>
      <c r="P1031" s="1" t="str">
        <f>CONCATENATE(Table_Query_from_AMULTIQRY45[[#This Row],[WWHS]],"-",Table_Query_from_AMULTIQRY45[[#This Row],[LLOC]])</f>
        <v>E1-RAW</v>
      </c>
      <c r="Q1031" s="10">
        <f t="shared" ref="Q1031:Q1094" ca="1" si="33">+TODAY()</f>
        <v>45775</v>
      </c>
      <c r="R1031" s="10"/>
      <c r="S1031" s="28">
        <v>10.5</v>
      </c>
      <c r="T1031" s="1" t="s">
        <v>2</v>
      </c>
      <c r="U1031" s="1" t="s">
        <v>1079</v>
      </c>
      <c r="V1031" s="1">
        <v>20241001</v>
      </c>
      <c r="W1031" s="8" t="s">
        <v>8443</v>
      </c>
      <c r="Z1031" s="1"/>
      <c r="AA1031" s="1"/>
      <c r="AC1031" s="1"/>
      <c r="AD1031" s="1"/>
      <c r="AE1031" s="1"/>
      <c r="AF1031" s="1"/>
    </row>
    <row r="1032" spans="2:32" ht="12.75" x14ac:dyDescent="0.2">
      <c r="B1032" s="1" t="s">
        <v>9538</v>
      </c>
      <c r="C1032" s="10">
        <f t="shared" ca="1" si="32"/>
        <v>45756</v>
      </c>
      <c r="D1032" s="4"/>
      <c r="E1032" s="4" t="s">
        <v>8434</v>
      </c>
      <c r="F1032" s="4" t="s">
        <v>1293</v>
      </c>
      <c r="G1032" s="4"/>
      <c r="H1032" s="4" t="str">
        <f>_xlfn.IFNA(VLOOKUP(Table_Query_from_AMULTIQRY45[[#This Row],[WPROD]],'Part# with New'!$A$1:$B$4347,2,0),Table_Query_from_AMULTIQRY45[[#This Row],[WPROD]])</f>
        <v>10440</v>
      </c>
      <c r="I1032" s="4" t="s">
        <v>8436</v>
      </c>
      <c r="J1032" s="1" t="s">
        <v>1019</v>
      </c>
      <c r="L1032" s="11">
        <v>13.25</v>
      </c>
      <c r="M1032" s="1"/>
      <c r="N1032" s="1" t="s">
        <v>1017</v>
      </c>
      <c r="P1032" s="1" t="str">
        <f>CONCATENATE(Table_Query_from_AMULTIQRY45[[#This Row],[WWHS]],"-",Table_Query_from_AMULTIQRY45[[#This Row],[LLOC]])</f>
        <v>E1-RAW</v>
      </c>
      <c r="Q1032" s="10">
        <f t="shared" ca="1" si="33"/>
        <v>45775</v>
      </c>
      <c r="R1032" s="10"/>
      <c r="S1032" s="28">
        <v>49.17</v>
      </c>
      <c r="T1032" s="1" t="s">
        <v>2</v>
      </c>
      <c r="U1032" s="1" t="s">
        <v>1080</v>
      </c>
      <c r="V1032" s="1">
        <v>20250409</v>
      </c>
      <c r="W1032" s="8" t="s">
        <v>8443</v>
      </c>
      <c r="Z1032" s="1"/>
      <c r="AA1032" s="1"/>
      <c r="AC1032" s="1"/>
      <c r="AD1032" s="1"/>
      <c r="AE1032" s="1"/>
      <c r="AF1032" s="1"/>
    </row>
    <row r="1033" spans="2:32" ht="12.75" x14ac:dyDescent="0.2">
      <c r="B1033" s="1" t="s">
        <v>9539</v>
      </c>
      <c r="C1033" s="10">
        <f t="shared" ca="1" si="32"/>
        <v>45727</v>
      </c>
      <c r="D1033" s="4"/>
      <c r="E1033" s="4" t="s">
        <v>8434</v>
      </c>
      <c r="F1033" s="4" t="s">
        <v>1293</v>
      </c>
      <c r="G1033" s="4"/>
      <c r="H1033" s="4" t="str">
        <f>_xlfn.IFNA(VLOOKUP(Table_Query_from_AMULTIQRY45[[#This Row],[WPROD]],'Part# with New'!$A$1:$B$4347,2,0),Table_Query_from_AMULTIQRY45[[#This Row],[WPROD]])</f>
        <v>10441</v>
      </c>
      <c r="I1033" s="4" t="s">
        <v>8436</v>
      </c>
      <c r="J1033" s="1" t="s">
        <v>1019</v>
      </c>
      <c r="L1033" s="11">
        <v>19.350000000000001</v>
      </c>
      <c r="M1033" s="1"/>
      <c r="N1033" s="1" t="s">
        <v>1017</v>
      </c>
      <c r="P1033" s="1" t="str">
        <f>CONCATENATE(Table_Query_from_AMULTIQRY45[[#This Row],[WWHS]],"-",Table_Query_from_AMULTIQRY45[[#This Row],[LLOC]])</f>
        <v>E1-RAW</v>
      </c>
      <c r="Q1033" s="10">
        <f t="shared" ca="1" si="33"/>
        <v>45775</v>
      </c>
      <c r="R1033" s="10"/>
      <c r="S1033" s="28">
        <v>107.89400000000001</v>
      </c>
      <c r="T1033" s="1" t="s">
        <v>2</v>
      </c>
      <c r="U1033" s="1" t="s">
        <v>1081</v>
      </c>
      <c r="V1033" s="1">
        <v>20250311</v>
      </c>
      <c r="W1033" s="8" t="s">
        <v>8443</v>
      </c>
      <c r="Z1033" s="1"/>
      <c r="AA1033" s="1"/>
      <c r="AC1033" s="1"/>
      <c r="AD1033" s="1"/>
      <c r="AE1033" s="1"/>
      <c r="AF1033" s="1"/>
    </row>
    <row r="1034" spans="2:32" ht="12.75" x14ac:dyDescent="0.2">
      <c r="B1034" s="1" t="s">
        <v>9540</v>
      </c>
      <c r="C1034" s="10">
        <f t="shared" ca="1" si="32"/>
        <v>45275</v>
      </c>
      <c r="D1034" s="4"/>
      <c r="E1034" s="4" t="s">
        <v>8434</v>
      </c>
      <c r="F1034" s="4" t="s">
        <v>1293</v>
      </c>
      <c r="G1034" s="4"/>
      <c r="H1034" s="4" t="str">
        <f>_xlfn.IFNA(VLOOKUP(Table_Query_from_AMULTIQRY45[[#This Row],[WPROD]],'Part# with New'!$A$1:$B$4347,2,0),Table_Query_from_AMULTIQRY45[[#This Row],[WPROD]])</f>
        <v>10444</v>
      </c>
      <c r="I1034" s="4" t="s">
        <v>8436</v>
      </c>
      <c r="J1034" s="1" t="s">
        <v>1019</v>
      </c>
      <c r="L1034" s="11">
        <v>16.995000000000001</v>
      </c>
      <c r="M1034" s="1"/>
      <c r="N1034" s="1" t="s">
        <v>1017</v>
      </c>
      <c r="P1034" s="1" t="str">
        <f>CONCATENATE(Table_Query_from_AMULTIQRY45[[#This Row],[WWHS]],"-",Table_Query_from_AMULTIQRY45[[#This Row],[LLOC]])</f>
        <v>E1-RAW</v>
      </c>
      <c r="Q1034" s="10">
        <f t="shared" ca="1" si="33"/>
        <v>45775</v>
      </c>
      <c r="R1034" s="10"/>
      <c r="S1034" s="28">
        <v>16.7</v>
      </c>
      <c r="T1034" s="1" t="s">
        <v>2</v>
      </c>
      <c r="U1034" s="1" t="s">
        <v>1082</v>
      </c>
      <c r="V1034" s="1">
        <v>20231215</v>
      </c>
      <c r="W1034" s="8" t="s">
        <v>8443</v>
      </c>
      <c r="Z1034" s="1"/>
      <c r="AA1034" s="1"/>
      <c r="AC1034" s="1"/>
      <c r="AD1034" s="1"/>
      <c r="AE1034" s="1"/>
      <c r="AF1034" s="1"/>
    </row>
    <row r="1035" spans="2:32" ht="12.75" x14ac:dyDescent="0.2">
      <c r="B1035" s="1" t="s">
        <v>9541</v>
      </c>
      <c r="C1035" s="10">
        <f t="shared" ca="1" si="32"/>
        <v>43705</v>
      </c>
      <c r="D1035" s="4"/>
      <c r="E1035" s="4" t="s">
        <v>8434</v>
      </c>
      <c r="F1035" s="4" t="s">
        <v>1293</v>
      </c>
      <c r="G1035" s="4"/>
      <c r="H1035" s="4" t="str">
        <f>_xlfn.IFNA(VLOOKUP(Table_Query_from_AMULTIQRY45[[#This Row],[WPROD]],'Part# with New'!$A$1:$B$4347,2,0),Table_Query_from_AMULTIQRY45[[#This Row],[WPROD]])</f>
        <v>10447</v>
      </c>
      <c r="I1035" s="4" t="s">
        <v>8436</v>
      </c>
      <c r="J1035" s="1" t="s">
        <v>1019</v>
      </c>
      <c r="L1035" s="11">
        <v>15.9</v>
      </c>
      <c r="M1035" s="1"/>
      <c r="N1035" s="1" t="s">
        <v>1017</v>
      </c>
      <c r="P1035" s="1" t="str">
        <f>CONCATENATE(Table_Query_from_AMULTIQRY45[[#This Row],[WWHS]],"-",Table_Query_from_AMULTIQRY45[[#This Row],[LLOC]])</f>
        <v>E1-RAW</v>
      </c>
      <c r="Q1035" s="10">
        <f t="shared" ca="1" si="33"/>
        <v>45775</v>
      </c>
      <c r="R1035" s="10"/>
      <c r="S1035" s="28">
        <v>30.59</v>
      </c>
      <c r="T1035" s="1" t="s">
        <v>2</v>
      </c>
      <c r="U1035" s="1" t="s">
        <v>1083</v>
      </c>
      <c r="V1035" s="1">
        <v>20190828</v>
      </c>
      <c r="W1035" s="8" t="s">
        <v>8443</v>
      </c>
      <c r="Z1035" s="1"/>
      <c r="AA1035" s="1"/>
      <c r="AC1035" s="1"/>
      <c r="AD1035" s="1"/>
      <c r="AE1035" s="1"/>
      <c r="AF1035" s="1"/>
    </row>
    <row r="1036" spans="2:32" ht="12.75" x14ac:dyDescent="0.2">
      <c r="B1036" s="1" t="s">
        <v>9542</v>
      </c>
      <c r="C1036" s="10">
        <f t="shared" ca="1" si="32"/>
        <v>45517</v>
      </c>
      <c r="D1036" s="4"/>
      <c r="E1036" s="4" t="s">
        <v>8434</v>
      </c>
      <c r="F1036" s="4" t="s">
        <v>1293</v>
      </c>
      <c r="G1036" s="4"/>
      <c r="H1036" s="4" t="str">
        <f>_xlfn.IFNA(VLOOKUP(Table_Query_from_AMULTIQRY45[[#This Row],[WPROD]],'Part# with New'!$A$1:$B$4347,2,0),Table_Query_from_AMULTIQRY45[[#This Row],[WPROD]])</f>
        <v>10448</v>
      </c>
      <c r="I1036" s="4" t="s">
        <v>8436</v>
      </c>
      <c r="J1036" s="1" t="s">
        <v>1019</v>
      </c>
      <c r="L1036" s="11">
        <v>3.28</v>
      </c>
      <c r="M1036" s="1"/>
      <c r="N1036" s="1" t="s">
        <v>1017</v>
      </c>
      <c r="P1036" s="1" t="str">
        <f>CONCATENATE(Table_Query_from_AMULTIQRY45[[#This Row],[WWHS]],"-",Table_Query_from_AMULTIQRY45[[#This Row],[LLOC]])</f>
        <v>E1-RAW</v>
      </c>
      <c r="Q1036" s="10">
        <f t="shared" ca="1" si="33"/>
        <v>45775</v>
      </c>
      <c r="R1036" s="10"/>
      <c r="S1036" s="28">
        <v>186.27</v>
      </c>
      <c r="T1036" s="1" t="s">
        <v>2</v>
      </c>
      <c r="U1036" s="1" t="s">
        <v>1084</v>
      </c>
      <c r="V1036" s="1">
        <v>20240813</v>
      </c>
      <c r="W1036" s="8" t="s">
        <v>8443</v>
      </c>
      <c r="Z1036" s="1"/>
      <c r="AA1036" s="1"/>
      <c r="AC1036" s="1"/>
      <c r="AD1036" s="1"/>
      <c r="AE1036" s="1"/>
      <c r="AF1036" s="1"/>
    </row>
    <row r="1037" spans="2:32" ht="12.75" x14ac:dyDescent="0.2">
      <c r="B1037" s="1" t="s">
        <v>9543</v>
      </c>
      <c r="C1037" s="10">
        <f t="shared" ca="1" si="32"/>
        <v>45688</v>
      </c>
      <c r="D1037" s="4"/>
      <c r="E1037" s="4" t="s">
        <v>8434</v>
      </c>
      <c r="F1037" s="4" t="s">
        <v>1293</v>
      </c>
      <c r="G1037" s="4"/>
      <c r="H1037" s="4" t="str">
        <f>_xlfn.IFNA(VLOOKUP(Table_Query_from_AMULTIQRY45[[#This Row],[WPROD]],'Part# with New'!$A$1:$B$4347,2,0),Table_Query_from_AMULTIQRY45[[#This Row],[WPROD]])</f>
        <v>10459</v>
      </c>
      <c r="I1037" s="4" t="s">
        <v>8436</v>
      </c>
      <c r="J1037" s="1" t="s">
        <v>1019</v>
      </c>
      <c r="L1037" s="11">
        <v>0.2</v>
      </c>
      <c r="M1037" s="1"/>
      <c r="N1037" s="1" t="s">
        <v>1017</v>
      </c>
      <c r="P1037" s="1" t="str">
        <f>CONCATENATE(Table_Query_from_AMULTIQRY45[[#This Row],[WWHS]],"-",Table_Query_from_AMULTIQRY45[[#This Row],[LLOC]])</f>
        <v>E1-RAW</v>
      </c>
      <c r="Q1037" s="10">
        <f t="shared" ca="1" si="33"/>
        <v>45775</v>
      </c>
      <c r="R1037" s="10"/>
      <c r="S1037" s="28">
        <v>1.39</v>
      </c>
      <c r="T1037" s="1" t="s">
        <v>2</v>
      </c>
      <c r="U1037" s="1" t="s">
        <v>1085</v>
      </c>
      <c r="V1037" s="1">
        <v>20250131</v>
      </c>
      <c r="W1037" s="8" t="s">
        <v>8443</v>
      </c>
      <c r="Z1037" s="1"/>
      <c r="AA1037" s="1"/>
      <c r="AC1037" s="1"/>
      <c r="AD1037" s="1"/>
      <c r="AE1037" s="1"/>
      <c r="AF1037" s="1"/>
    </row>
    <row r="1038" spans="2:32" ht="12.75" x14ac:dyDescent="0.2">
      <c r="B1038" s="1" t="s">
        <v>9544</v>
      </c>
      <c r="C1038" s="10">
        <f t="shared" ca="1" si="32"/>
        <v>45187</v>
      </c>
      <c r="D1038" s="4"/>
      <c r="E1038" s="4" t="s">
        <v>8434</v>
      </c>
      <c r="F1038" s="4" t="s">
        <v>1293</v>
      </c>
      <c r="G1038" s="4"/>
      <c r="H1038" s="4" t="str">
        <f>_xlfn.IFNA(VLOOKUP(Table_Query_from_AMULTIQRY45[[#This Row],[WPROD]],'Part# with New'!$A$1:$B$4347,2,0),Table_Query_from_AMULTIQRY45[[#This Row],[WPROD]])</f>
        <v>10462</v>
      </c>
      <c r="I1038" s="4" t="s">
        <v>8436</v>
      </c>
      <c r="J1038" s="1" t="s">
        <v>1019</v>
      </c>
      <c r="L1038" s="11">
        <v>21.221769999999999</v>
      </c>
      <c r="M1038" s="1"/>
      <c r="N1038" s="1" t="s">
        <v>1017</v>
      </c>
      <c r="P1038" s="1" t="str">
        <f>CONCATENATE(Table_Query_from_AMULTIQRY45[[#This Row],[WWHS]],"-",Table_Query_from_AMULTIQRY45[[#This Row],[LLOC]])</f>
        <v>E1-RAW</v>
      </c>
      <c r="Q1038" s="10">
        <f t="shared" ca="1" si="33"/>
        <v>45775</v>
      </c>
      <c r="R1038" s="10"/>
      <c r="S1038" s="28">
        <v>0.61</v>
      </c>
      <c r="T1038" s="1" t="s">
        <v>2</v>
      </c>
      <c r="U1038" s="1" t="s">
        <v>1086</v>
      </c>
      <c r="V1038" s="1">
        <v>20230918</v>
      </c>
      <c r="W1038" s="8" t="s">
        <v>8443</v>
      </c>
      <c r="Z1038" s="1"/>
      <c r="AA1038" s="1"/>
      <c r="AC1038" s="1"/>
      <c r="AD1038" s="1"/>
      <c r="AE1038" s="1"/>
      <c r="AF1038" s="1"/>
    </row>
    <row r="1039" spans="2:32" ht="12.75" x14ac:dyDescent="0.2">
      <c r="B1039" s="1" t="s">
        <v>9545</v>
      </c>
      <c r="C1039" s="10">
        <f t="shared" ca="1" si="32"/>
        <v>39828</v>
      </c>
      <c r="D1039" s="4"/>
      <c r="E1039" s="4" t="s">
        <v>8434</v>
      </c>
      <c r="F1039" s="4" t="s">
        <v>1293</v>
      </c>
      <c r="G1039" s="4"/>
      <c r="H1039" s="4" t="str">
        <f>_xlfn.IFNA(VLOOKUP(Table_Query_from_AMULTIQRY45[[#This Row],[WPROD]],'Part# with New'!$A$1:$B$4347,2,0),Table_Query_from_AMULTIQRY45[[#This Row],[WPROD]])</f>
        <v>10471</v>
      </c>
      <c r="I1039" s="4" t="s">
        <v>8436</v>
      </c>
      <c r="J1039" s="1" t="s">
        <v>1027</v>
      </c>
      <c r="L1039" s="11">
        <v>14</v>
      </c>
      <c r="M1039" s="1"/>
      <c r="N1039" s="1" t="s">
        <v>1017</v>
      </c>
      <c r="P1039" s="1" t="str">
        <f>CONCATENATE(Table_Query_from_AMULTIQRY45[[#This Row],[WWHS]],"-",Table_Query_from_AMULTIQRY45[[#This Row],[LLOC]])</f>
        <v>E1-RAW</v>
      </c>
      <c r="Q1039" s="10">
        <f t="shared" ca="1" si="33"/>
        <v>45775</v>
      </c>
      <c r="R1039" s="10"/>
      <c r="S1039" s="28">
        <v>3.5</v>
      </c>
      <c r="T1039" s="1" t="s">
        <v>2</v>
      </c>
      <c r="U1039" s="1" t="s">
        <v>1087</v>
      </c>
      <c r="V1039" s="1">
        <v>20090115</v>
      </c>
      <c r="W1039" s="8" t="s">
        <v>8443</v>
      </c>
      <c r="Z1039" s="1"/>
      <c r="AA1039" s="1"/>
      <c r="AC1039" s="1"/>
      <c r="AD1039" s="1"/>
      <c r="AE1039" s="1"/>
      <c r="AF1039" s="1"/>
    </row>
    <row r="1040" spans="2:32" ht="12.75" x14ac:dyDescent="0.2">
      <c r="B1040" s="1" t="s">
        <v>9546</v>
      </c>
      <c r="C1040" s="10">
        <f t="shared" ca="1" si="32"/>
        <v>45574</v>
      </c>
      <c r="D1040" s="4"/>
      <c r="E1040" s="4" t="s">
        <v>8434</v>
      </c>
      <c r="F1040" s="4" t="s">
        <v>1293</v>
      </c>
      <c r="G1040" s="4"/>
      <c r="H1040" s="4" t="str">
        <f>_xlfn.IFNA(VLOOKUP(Table_Query_from_AMULTIQRY45[[#This Row],[WPROD]],'Part# with New'!$A$1:$B$4347,2,0),Table_Query_from_AMULTIQRY45[[#This Row],[WPROD]])</f>
        <v>10478</v>
      </c>
      <c r="I1040" s="4" t="s">
        <v>8436</v>
      </c>
      <c r="J1040" s="1" t="s">
        <v>1019</v>
      </c>
      <c r="L1040" s="11">
        <v>14.662559999999999</v>
      </c>
      <c r="M1040" s="1"/>
      <c r="N1040" s="1" t="s">
        <v>1017</v>
      </c>
      <c r="P1040" s="1" t="str">
        <f>CONCATENATE(Table_Query_from_AMULTIQRY45[[#This Row],[WWHS]],"-",Table_Query_from_AMULTIQRY45[[#This Row],[LLOC]])</f>
        <v>E1-RAW</v>
      </c>
      <c r="Q1040" s="10">
        <f t="shared" ca="1" si="33"/>
        <v>45775</v>
      </c>
      <c r="R1040" s="10"/>
      <c r="S1040" s="28">
        <v>10</v>
      </c>
      <c r="T1040" s="1" t="s">
        <v>2</v>
      </c>
      <c r="U1040" s="1" t="s">
        <v>1088</v>
      </c>
      <c r="V1040" s="1">
        <v>20241009</v>
      </c>
      <c r="W1040" s="8" t="s">
        <v>8443</v>
      </c>
      <c r="Z1040" s="1"/>
      <c r="AA1040" s="1"/>
      <c r="AC1040" s="1"/>
      <c r="AD1040" s="1"/>
      <c r="AE1040" s="1"/>
      <c r="AF1040" s="1"/>
    </row>
    <row r="1041" spans="2:32" ht="12.75" x14ac:dyDescent="0.2">
      <c r="B1041" s="1" t="s">
        <v>9547</v>
      </c>
      <c r="C1041" s="10">
        <f t="shared" ca="1" si="32"/>
        <v>44868</v>
      </c>
      <c r="D1041" s="4"/>
      <c r="E1041" s="4" t="s">
        <v>8434</v>
      </c>
      <c r="F1041" s="4" t="s">
        <v>1293</v>
      </c>
      <c r="G1041" s="4"/>
      <c r="H1041" s="4" t="str">
        <f>_xlfn.IFNA(VLOOKUP(Table_Query_from_AMULTIQRY45[[#This Row],[WPROD]],'Part# with New'!$A$1:$B$4347,2,0),Table_Query_from_AMULTIQRY45[[#This Row],[WPROD]])</f>
        <v>10479</v>
      </c>
      <c r="I1041" s="4" t="s">
        <v>8436</v>
      </c>
      <c r="J1041" s="1" t="s">
        <v>1019</v>
      </c>
      <c r="L1041" s="11">
        <v>1E-3</v>
      </c>
      <c r="M1041" s="1"/>
      <c r="N1041" s="1" t="s">
        <v>1017</v>
      </c>
      <c r="P1041" s="1" t="str">
        <f>CONCATENATE(Table_Query_from_AMULTIQRY45[[#This Row],[WWHS]],"-",Table_Query_from_AMULTIQRY45[[#This Row],[LLOC]])</f>
        <v>E1-RAW</v>
      </c>
      <c r="Q1041" s="10">
        <f t="shared" ca="1" si="33"/>
        <v>45775</v>
      </c>
      <c r="R1041" s="10"/>
      <c r="S1041" s="28">
        <v>9.36</v>
      </c>
      <c r="T1041" s="1" t="s">
        <v>2</v>
      </c>
      <c r="U1041" s="1" t="s">
        <v>1089</v>
      </c>
      <c r="V1041" s="1">
        <v>20221103</v>
      </c>
      <c r="W1041" s="8" t="s">
        <v>8443</v>
      </c>
      <c r="Z1041" s="1"/>
      <c r="AA1041" s="1"/>
      <c r="AC1041" s="1"/>
      <c r="AD1041" s="1"/>
      <c r="AE1041" s="1"/>
      <c r="AF1041" s="1"/>
    </row>
    <row r="1042" spans="2:32" ht="12.75" x14ac:dyDescent="0.2">
      <c r="B1042" s="1" t="s">
        <v>9548</v>
      </c>
      <c r="C1042" s="10">
        <f t="shared" ca="1" si="32"/>
        <v>45727</v>
      </c>
      <c r="D1042" s="4"/>
      <c r="E1042" s="4" t="s">
        <v>8434</v>
      </c>
      <c r="F1042" s="4" t="s">
        <v>1293</v>
      </c>
      <c r="G1042" s="4"/>
      <c r="H1042" s="4" t="str">
        <f>_xlfn.IFNA(VLOOKUP(Table_Query_from_AMULTIQRY45[[#This Row],[WPROD]],'Part# with New'!$A$1:$B$4347,2,0),Table_Query_from_AMULTIQRY45[[#This Row],[WPROD]])</f>
        <v>10488</v>
      </c>
      <c r="I1042" s="4" t="s">
        <v>8436</v>
      </c>
      <c r="J1042" s="1" t="s">
        <v>1027</v>
      </c>
      <c r="L1042" s="11">
        <v>42.98</v>
      </c>
      <c r="M1042" s="1"/>
      <c r="N1042" s="1" t="s">
        <v>1017</v>
      </c>
      <c r="P1042" s="1" t="str">
        <f>CONCATENATE(Table_Query_from_AMULTIQRY45[[#This Row],[WWHS]],"-",Table_Query_from_AMULTIQRY45[[#This Row],[LLOC]])</f>
        <v>E1-RAW</v>
      </c>
      <c r="Q1042" s="10">
        <f t="shared" ca="1" si="33"/>
        <v>45775</v>
      </c>
      <c r="R1042" s="10"/>
      <c r="S1042" s="28">
        <v>0.75</v>
      </c>
      <c r="T1042" s="1" t="s">
        <v>2</v>
      </c>
      <c r="U1042" s="1" t="s">
        <v>1090</v>
      </c>
      <c r="V1042" s="1">
        <v>20250311</v>
      </c>
      <c r="W1042" s="8" t="s">
        <v>8443</v>
      </c>
      <c r="Z1042" s="1"/>
      <c r="AA1042" s="1"/>
      <c r="AC1042" s="1"/>
      <c r="AD1042" s="1"/>
      <c r="AE1042" s="1"/>
      <c r="AF1042" s="1"/>
    </row>
    <row r="1043" spans="2:32" ht="12.75" x14ac:dyDescent="0.2">
      <c r="B1043" s="1" t="s">
        <v>9549</v>
      </c>
      <c r="C1043" s="10">
        <f t="shared" ca="1" si="32"/>
        <v>45737</v>
      </c>
      <c r="D1043" s="4"/>
      <c r="E1043" s="4" t="s">
        <v>8434</v>
      </c>
      <c r="F1043" s="4" t="s">
        <v>1293</v>
      </c>
      <c r="G1043" s="4"/>
      <c r="H1043" s="4" t="str">
        <f>_xlfn.IFNA(VLOOKUP(Table_Query_from_AMULTIQRY45[[#This Row],[WPROD]],'Part# with New'!$A$1:$B$4347,2,0),Table_Query_from_AMULTIQRY45[[#This Row],[WPROD]])</f>
        <v>10492</v>
      </c>
      <c r="I1043" s="4" t="s">
        <v>8436</v>
      </c>
      <c r="J1043" s="1" t="s">
        <v>1019</v>
      </c>
      <c r="L1043" s="11">
        <v>12.13</v>
      </c>
      <c r="M1043" s="1"/>
      <c r="N1043" s="1" t="s">
        <v>1017</v>
      </c>
      <c r="P1043" s="1" t="str">
        <f>CONCATENATE(Table_Query_from_AMULTIQRY45[[#This Row],[WWHS]],"-",Table_Query_from_AMULTIQRY45[[#This Row],[LLOC]])</f>
        <v>E1-RAW</v>
      </c>
      <c r="Q1043" s="10">
        <f t="shared" ca="1" si="33"/>
        <v>45775</v>
      </c>
      <c r="R1043" s="10"/>
      <c r="S1043" s="28">
        <v>6</v>
      </c>
      <c r="T1043" s="1" t="s">
        <v>2</v>
      </c>
      <c r="U1043" s="1" t="s">
        <v>1091</v>
      </c>
      <c r="V1043" s="1">
        <v>20250321</v>
      </c>
      <c r="W1043" s="8" t="s">
        <v>8443</v>
      </c>
      <c r="Z1043" s="1"/>
      <c r="AA1043" s="1"/>
      <c r="AC1043" s="1"/>
      <c r="AD1043" s="1"/>
      <c r="AE1043" s="1"/>
      <c r="AF1043" s="1"/>
    </row>
    <row r="1044" spans="2:32" ht="12.75" x14ac:dyDescent="0.2">
      <c r="B1044" s="1" t="s">
        <v>9550</v>
      </c>
      <c r="C1044" s="10">
        <f t="shared" ca="1" si="32"/>
        <v>45734</v>
      </c>
      <c r="D1044" s="4"/>
      <c r="E1044" s="4" t="s">
        <v>8434</v>
      </c>
      <c r="F1044" s="4" t="s">
        <v>1293</v>
      </c>
      <c r="G1044" s="4"/>
      <c r="H1044" s="4" t="str">
        <f>_xlfn.IFNA(VLOOKUP(Table_Query_from_AMULTIQRY45[[#This Row],[WPROD]],'Part# with New'!$A$1:$B$4347,2,0),Table_Query_from_AMULTIQRY45[[#This Row],[WPROD]])</f>
        <v>10494</v>
      </c>
      <c r="I1044" s="4" t="s">
        <v>8436</v>
      </c>
      <c r="J1044" s="1" t="s">
        <v>1019</v>
      </c>
      <c r="L1044" s="11">
        <v>11.38</v>
      </c>
      <c r="M1044" s="1"/>
      <c r="N1044" s="1" t="s">
        <v>1017</v>
      </c>
      <c r="P1044" s="1" t="str">
        <f>CONCATENATE(Table_Query_from_AMULTIQRY45[[#This Row],[WWHS]],"-",Table_Query_from_AMULTIQRY45[[#This Row],[LLOC]])</f>
        <v>E1-RAW</v>
      </c>
      <c r="Q1044" s="10">
        <f t="shared" ca="1" si="33"/>
        <v>45775</v>
      </c>
      <c r="R1044" s="10"/>
      <c r="S1044" s="28">
        <v>43.66</v>
      </c>
      <c r="T1044" s="1" t="s">
        <v>2</v>
      </c>
      <c r="U1044" s="1" t="s">
        <v>1092</v>
      </c>
      <c r="V1044" s="1">
        <v>20250318</v>
      </c>
      <c r="W1044" s="8" t="s">
        <v>8443</v>
      </c>
      <c r="Z1044" s="1"/>
      <c r="AA1044" s="1"/>
      <c r="AC1044" s="1"/>
      <c r="AD1044" s="1"/>
      <c r="AE1044" s="1"/>
      <c r="AF1044" s="1"/>
    </row>
    <row r="1045" spans="2:32" ht="12.75" x14ac:dyDescent="0.2">
      <c r="B1045" s="1" t="s">
        <v>9551</v>
      </c>
      <c r="C1045" s="10">
        <f t="shared" ca="1" si="32"/>
        <v>45737</v>
      </c>
      <c r="D1045" s="4"/>
      <c r="E1045" s="4" t="s">
        <v>8434</v>
      </c>
      <c r="F1045" s="4" t="s">
        <v>1293</v>
      </c>
      <c r="G1045" s="4"/>
      <c r="H1045" s="4" t="str">
        <f>_xlfn.IFNA(VLOOKUP(Table_Query_from_AMULTIQRY45[[#This Row],[WPROD]],'Part# with New'!$A$1:$B$4347,2,0),Table_Query_from_AMULTIQRY45[[#This Row],[WPROD]])</f>
        <v>10496</v>
      </c>
      <c r="I1045" s="4" t="s">
        <v>8436</v>
      </c>
      <c r="J1045" s="1" t="s">
        <v>1019</v>
      </c>
      <c r="L1045" s="11">
        <v>18.8</v>
      </c>
      <c r="M1045" s="1"/>
      <c r="N1045" s="1" t="s">
        <v>1017</v>
      </c>
      <c r="P1045" s="1" t="str">
        <f>CONCATENATE(Table_Query_from_AMULTIQRY45[[#This Row],[WWHS]],"-",Table_Query_from_AMULTIQRY45[[#This Row],[LLOC]])</f>
        <v>E1-RAW</v>
      </c>
      <c r="Q1045" s="10">
        <f t="shared" ca="1" si="33"/>
        <v>45775</v>
      </c>
      <c r="R1045" s="10"/>
      <c r="S1045" s="28">
        <v>456.32</v>
      </c>
      <c r="T1045" s="1" t="s">
        <v>2</v>
      </c>
      <c r="U1045" s="1" t="s">
        <v>1093</v>
      </c>
      <c r="V1045" s="1">
        <v>20250321</v>
      </c>
      <c r="W1045" s="8" t="s">
        <v>8443</v>
      </c>
      <c r="Z1045" s="1"/>
      <c r="AA1045" s="1"/>
      <c r="AC1045" s="1"/>
      <c r="AD1045" s="1"/>
      <c r="AE1045" s="1"/>
      <c r="AF1045" s="1"/>
    </row>
    <row r="1046" spans="2:32" ht="12.75" x14ac:dyDescent="0.2">
      <c r="B1046" s="1" t="s">
        <v>9552</v>
      </c>
      <c r="C1046" s="10">
        <f t="shared" ca="1" si="32"/>
        <v>45726</v>
      </c>
      <c r="D1046" s="4"/>
      <c r="E1046" s="4" t="s">
        <v>8434</v>
      </c>
      <c r="F1046" s="4" t="s">
        <v>1293</v>
      </c>
      <c r="G1046" s="4"/>
      <c r="H1046" s="4" t="str">
        <f>_xlfn.IFNA(VLOOKUP(Table_Query_from_AMULTIQRY45[[#This Row],[WPROD]],'Part# with New'!$A$1:$B$4347,2,0),Table_Query_from_AMULTIQRY45[[#This Row],[WPROD]])</f>
        <v>10499</v>
      </c>
      <c r="I1046" s="4" t="s">
        <v>8436</v>
      </c>
      <c r="J1046" s="1" t="s">
        <v>1019</v>
      </c>
      <c r="L1046" s="11">
        <v>10.48</v>
      </c>
      <c r="M1046" s="1"/>
      <c r="N1046" s="1" t="s">
        <v>1017</v>
      </c>
      <c r="P1046" s="1" t="str">
        <f>CONCATENATE(Table_Query_from_AMULTIQRY45[[#This Row],[WWHS]],"-",Table_Query_from_AMULTIQRY45[[#This Row],[LLOC]])</f>
        <v>E1-RAW</v>
      </c>
      <c r="Q1046" s="10">
        <f t="shared" ca="1" si="33"/>
        <v>45775</v>
      </c>
      <c r="R1046" s="10"/>
      <c r="S1046" s="28">
        <v>48.49</v>
      </c>
      <c r="T1046" s="1" t="s">
        <v>2</v>
      </c>
      <c r="U1046" s="1" t="s">
        <v>1094</v>
      </c>
      <c r="V1046" s="1">
        <v>20250310</v>
      </c>
      <c r="W1046" s="8" t="s">
        <v>8443</v>
      </c>
      <c r="Z1046" s="1"/>
      <c r="AA1046" s="1"/>
      <c r="AC1046" s="1"/>
      <c r="AD1046" s="1"/>
      <c r="AE1046" s="1"/>
      <c r="AF1046" s="1"/>
    </row>
    <row r="1047" spans="2:32" ht="12.75" x14ac:dyDescent="0.2">
      <c r="B1047" s="1" t="s">
        <v>9553</v>
      </c>
      <c r="C1047" s="10">
        <f t="shared" ca="1" si="32"/>
        <v>45772</v>
      </c>
      <c r="D1047" s="4"/>
      <c r="E1047" s="4" t="s">
        <v>8434</v>
      </c>
      <c r="F1047" s="4" t="s">
        <v>1293</v>
      </c>
      <c r="G1047" s="4"/>
      <c r="H1047" s="4" t="str">
        <f>_xlfn.IFNA(VLOOKUP(Table_Query_from_AMULTIQRY45[[#This Row],[WPROD]],'Part# with New'!$A$1:$B$4347,2,0),Table_Query_from_AMULTIQRY45[[#This Row],[WPROD]])</f>
        <v>10500</v>
      </c>
      <c r="I1047" s="4" t="s">
        <v>8436</v>
      </c>
      <c r="J1047" s="1" t="s">
        <v>1019</v>
      </c>
      <c r="L1047" s="11">
        <v>12.87</v>
      </c>
      <c r="M1047" s="1"/>
      <c r="N1047" s="1" t="s">
        <v>1017</v>
      </c>
      <c r="P1047" s="1" t="str">
        <f>CONCATENATE(Table_Query_from_AMULTIQRY45[[#This Row],[WWHS]],"-",Table_Query_from_AMULTIQRY45[[#This Row],[LLOC]])</f>
        <v>E1-RAW</v>
      </c>
      <c r="Q1047" s="10">
        <f t="shared" ca="1" si="33"/>
        <v>45775</v>
      </c>
      <c r="R1047" s="10"/>
      <c r="S1047" s="28">
        <v>403.25</v>
      </c>
      <c r="T1047" s="1" t="s">
        <v>2</v>
      </c>
      <c r="U1047" s="1" t="s">
        <v>1095</v>
      </c>
      <c r="V1047" s="1">
        <v>20250425</v>
      </c>
      <c r="W1047" s="8" t="s">
        <v>8443</v>
      </c>
      <c r="Z1047" s="1"/>
      <c r="AA1047" s="1"/>
      <c r="AC1047" s="1"/>
      <c r="AD1047" s="1"/>
      <c r="AE1047" s="1"/>
      <c r="AF1047" s="1"/>
    </row>
    <row r="1048" spans="2:32" ht="12.75" x14ac:dyDescent="0.2">
      <c r="B1048" s="1" t="s">
        <v>9554</v>
      </c>
      <c r="C1048" s="10">
        <f t="shared" ca="1" si="32"/>
        <v>45736</v>
      </c>
      <c r="D1048" s="4"/>
      <c r="E1048" s="4" t="s">
        <v>8434</v>
      </c>
      <c r="F1048" s="4" t="s">
        <v>1293</v>
      </c>
      <c r="G1048" s="4"/>
      <c r="H1048" s="4" t="str">
        <f>_xlfn.IFNA(VLOOKUP(Table_Query_from_AMULTIQRY45[[#This Row],[WPROD]],'Part# with New'!$A$1:$B$4347,2,0),Table_Query_from_AMULTIQRY45[[#This Row],[WPROD]])</f>
        <v>10502</v>
      </c>
      <c r="I1048" s="4" t="s">
        <v>8436</v>
      </c>
      <c r="J1048" s="1" t="s">
        <v>1027</v>
      </c>
      <c r="L1048" s="11">
        <v>1.03</v>
      </c>
      <c r="M1048" s="1"/>
      <c r="N1048" s="1" t="s">
        <v>1017</v>
      </c>
      <c r="P1048" s="1" t="str">
        <f>CONCATENATE(Table_Query_from_AMULTIQRY45[[#This Row],[WWHS]],"-",Table_Query_from_AMULTIQRY45[[#This Row],[LLOC]])</f>
        <v>E1-RAW</v>
      </c>
      <c r="Q1048" s="10">
        <f t="shared" ca="1" si="33"/>
        <v>45775</v>
      </c>
      <c r="R1048" s="10"/>
      <c r="S1048" s="28">
        <v>5.94</v>
      </c>
      <c r="T1048" s="1" t="s">
        <v>2</v>
      </c>
      <c r="U1048" s="1" t="s">
        <v>1096</v>
      </c>
      <c r="V1048" s="1">
        <v>20250320</v>
      </c>
      <c r="W1048" s="8" t="s">
        <v>8443</v>
      </c>
      <c r="Z1048" s="1"/>
      <c r="AA1048" s="1"/>
      <c r="AC1048" s="1"/>
      <c r="AD1048" s="1"/>
      <c r="AE1048" s="1"/>
      <c r="AF1048" s="1"/>
    </row>
    <row r="1049" spans="2:32" ht="12.75" x14ac:dyDescent="0.2">
      <c r="B1049" s="1" t="s">
        <v>9555</v>
      </c>
      <c r="C1049" s="10">
        <f t="shared" ca="1" si="32"/>
        <v>45769</v>
      </c>
      <c r="D1049" s="4"/>
      <c r="E1049" s="4" t="s">
        <v>8434</v>
      </c>
      <c r="F1049" s="4" t="s">
        <v>1293</v>
      </c>
      <c r="G1049" s="4"/>
      <c r="H1049" s="4" t="str">
        <f>_xlfn.IFNA(VLOOKUP(Table_Query_from_AMULTIQRY45[[#This Row],[WPROD]],'Part# with New'!$A$1:$B$4347,2,0),Table_Query_from_AMULTIQRY45[[#This Row],[WPROD]])</f>
        <v>10504</v>
      </c>
      <c r="I1049" s="4" t="s">
        <v>8436</v>
      </c>
      <c r="J1049" s="1" t="s">
        <v>1019</v>
      </c>
      <c r="L1049" s="11">
        <v>12.65</v>
      </c>
      <c r="M1049" s="1"/>
      <c r="N1049" s="1" t="s">
        <v>1017</v>
      </c>
      <c r="P1049" s="1" t="str">
        <f>CONCATENATE(Table_Query_from_AMULTIQRY45[[#This Row],[WWHS]],"-",Table_Query_from_AMULTIQRY45[[#This Row],[LLOC]])</f>
        <v>E1-RAW</v>
      </c>
      <c r="Q1049" s="10">
        <f t="shared" ca="1" si="33"/>
        <v>45775</v>
      </c>
      <c r="R1049" s="10"/>
      <c r="S1049" s="28">
        <v>207.61</v>
      </c>
      <c r="T1049" s="1" t="s">
        <v>2</v>
      </c>
      <c r="U1049" s="1" t="s">
        <v>1097</v>
      </c>
      <c r="V1049" s="1">
        <v>20250422</v>
      </c>
      <c r="W1049" s="8" t="s">
        <v>8443</v>
      </c>
      <c r="Z1049" s="1"/>
      <c r="AA1049" s="1"/>
      <c r="AC1049" s="1"/>
      <c r="AD1049" s="1"/>
      <c r="AE1049" s="1"/>
      <c r="AF1049" s="1"/>
    </row>
    <row r="1050" spans="2:32" ht="12.75" x14ac:dyDescent="0.2">
      <c r="B1050" s="1" t="s">
        <v>9556</v>
      </c>
      <c r="C1050" s="10">
        <f t="shared" ca="1" si="32"/>
        <v>42152</v>
      </c>
      <c r="D1050" s="4"/>
      <c r="E1050" s="4" t="s">
        <v>8434</v>
      </c>
      <c r="F1050" s="4" t="s">
        <v>1293</v>
      </c>
      <c r="G1050" s="4"/>
      <c r="H1050" s="4" t="str">
        <f>_xlfn.IFNA(VLOOKUP(Table_Query_from_AMULTIQRY45[[#This Row],[WPROD]],'Part# with New'!$A$1:$B$4347,2,0),Table_Query_from_AMULTIQRY45[[#This Row],[WPROD]])</f>
        <v>10506</v>
      </c>
      <c r="I1050" s="4" t="s">
        <v>8436</v>
      </c>
      <c r="J1050" s="1" t="s">
        <v>46</v>
      </c>
      <c r="L1050" s="11">
        <v>11</v>
      </c>
      <c r="M1050" s="1"/>
      <c r="N1050" s="1" t="s">
        <v>1017</v>
      </c>
      <c r="P1050" s="1" t="str">
        <f>CONCATENATE(Table_Query_from_AMULTIQRY45[[#This Row],[WWHS]],"-",Table_Query_from_AMULTIQRY45[[#This Row],[LLOC]])</f>
        <v>E1-RAW</v>
      </c>
      <c r="Q1050" s="10">
        <f t="shared" ca="1" si="33"/>
        <v>45775</v>
      </c>
      <c r="R1050" s="10"/>
      <c r="S1050" s="28">
        <v>298.95</v>
      </c>
      <c r="T1050" s="1" t="s">
        <v>2</v>
      </c>
      <c r="U1050" s="1" t="s">
        <v>1098</v>
      </c>
      <c r="V1050" s="1">
        <v>20150528</v>
      </c>
      <c r="W1050" s="8" t="s">
        <v>8443</v>
      </c>
      <c r="Z1050" s="1"/>
      <c r="AA1050" s="1"/>
      <c r="AC1050" s="1"/>
      <c r="AD1050" s="1"/>
      <c r="AE1050" s="1"/>
      <c r="AF1050" s="1"/>
    </row>
    <row r="1051" spans="2:32" ht="12.75" x14ac:dyDescent="0.2">
      <c r="B1051" s="1" t="s">
        <v>9557</v>
      </c>
      <c r="C1051" s="10">
        <f t="shared" ca="1" si="32"/>
        <v>45771</v>
      </c>
      <c r="D1051" s="4"/>
      <c r="E1051" s="4" t="s">
        <v>8434</v>
      </c>
      <c r="F1051" s="4" t="s">
        <v>1293</v>
      </c>
      <c r="G1051" s="4"/>
      <c r="H1051" s="4" t="str">
        <f>_xlfn.IFNA(VLOOKUP(Table_Query_from_AMULTIQRY45[[#This Row],[WPROD]],'Part# with New'!$A$1:$B$4347,2,0),Table_Query_from_AMULTIQRY45[[#This Row],[WPROD]])</f>
        <v>10510</v>
      </c>
      <c r="I1051" s="4" t="s">
        <v>8436</v>
      </c>
      <c r="J1051" s="1" t="s">
        <v>1027</v>
      </c>
      <c r="L1051" s="11">
        <v>1.52</v>
      </c>
      <c r="M1051" s="1"/>
      <c r="N1051" s="1" t="s">
        <v>1017</v>
      </c>
      <c r="P1051" s="1" t="str">
        <f>CONCATENATE(Table_Query_from_AMULTIQRY45[[#This Row],[WWHS]],"-",Table_Query_from_AMULTIQRY45[[#This Row],[LLOC]])</f>
        <v>E1-RAW</v>
      </c>
      <c r="Q1051" s="10">
        <f t="shared" ca="1" si="33"/>
        <v>45775</v>
      </c>
      <c r="R1051" s="10"/>
      <c r="S1051" s="28">
        <v>1133.0060000000001</v>
      </c>
      <c r="T1051" s="1" t="s">
        <v>2</v>
      </c>
      <c r="U1051" s="1" t="s">
        <v>1099</v>
      </c>
      <c r="V1051" s="1">
        <v>20250424</v>
      </c>
      <c r="W1051" s="8" t="s">
        <v>8443</v>
      </c>
      <c r="Z1051" s="1"/>
      <c r="AA1051" s="1"/>
      <c r="AC1051" s="1"/>
      <c r="AD1051" s="1"/>
      <c r="AE1051" s="1"/>
      <c r="AF1051" s="1"/>
    </row>
    <row r="1052" spans="2:32" ht="12.75" x14ac:dyDescent="0.2">
      <c r="B1052" s="1" t="s">
        <v>9558</v>
      </c>
      <c r="C1052" s="10">
        <f t="shared" ca="1" si="32"/>
        <v>45709</v>
      </c>
      <c r="D1052" s="4"/>
      <c r="E1052" s="4" t="s">
        <v>8434</v>
      </c>
      <c r="F1052" s="4" t="s">
        <v>1293</v>
      </c>
      <c r="G1052" s="4"/>
      <c r="H1052" s="4" t="str">
        <f>_xlfn.IFNA(VLOOKUP(Table_Query_from_AMULTIQRY45[[#This Row],[WPROD]],'Part# with New'!$A$1:$B$4347,2,0),Table_Query_from_AMULTIQRY45[[#This Row],[WPROD]])</f>
        <v>10516</v>
      </c>
      <c r="I1052" s="4" t="s">
        <v>8436</v>
      </c>
      <c r="J1052" s="1" t="s">
        <v>1027</v>
      </c>
      <c r="L1052" s="11">
        <v>1.4728000000000001</v>
      </c>
      <c r="M1052" s="1"/>
      <c r="N1052" s="1" t="s">
        <v>1017</v>
      </c>
      <c r="P1052" s="1" t="str">
        <f>CONCATENATE(Table_Query_from_AMULTIQRY45[[#This Row],[WWHS]],"-",Table_Query_from_AMULTIQRY45[[#This Row],[LLOC]])</f>
        <v>E1-RAW</v>
      </c>
      <c r="Q1052" s="10">
        <f t="shared" ca="1" si="33"/>
        <v>45775</v>
      </c>
      <c r="R1052" s="10"/>
      <c r="S1052" s="28">
        <v>29.98</v>
      </c>
      <c r="T1052" s="1" t="s">
        <v>2</v>
      </c>
      <c r="U1052" s="1" t="s">
        <v>1100</v>
      </c>
      <c r="V1052" s="1">
        <v>20250221</v>
      </c>
      <c r="W1052" s="8" t="s">
        <v>8443</v>
      </c>
      <c r="Z1052" s="1"/>
      <c r="AA1052" s="1"/>
      <c r="AC1052" s="1"/>
      <c r="AD1052" s="1"/>
      <c r="AE1052" s="1"/>
      <c r="AF1052" s="1"/>
    </row>
    <row r="1053" spans="2:32" ht="12.75" x14ac:dyDescent="0.2">
      <c r="B1053" s="1" t="s">
        <v>9559</v>
      </c>
      <c r="C1053" s="10">
        <f t="shared" ca="1" si="32"/>
        <v>45771</v>
      </c>
      <c r="D1053" s="4"/>
      <c r="E1053" s="4" t="s">
        <v>8434</v>
      </c>
      <c r="F1053" s="4" t="s">
        <v>1293</v>
      </c>
      <c r="G1053" s="4"/>
      <c r="H1053" s="4" t="str">
        <f>_xlfn.IFNA(VLOOKUP(Table_Query_from_AMULTIQRY45[[#This Row],[WPROD]],'Part# with New'!$A$1:$B$4347,2,0),Table_Query_from_AMULTIQRY45[[#This Row],[WPROD]])</f>
        <v>10518</v>
      </c>
      <c r="I1053" s="4" t="s">
        <v>8436</v>
      </c>
      <c r="J1053" s="1" t="s">
        <v>1019</v>
      </c>
      <c r="L1053" s="11">
        <v>12.17</v>
      </c>
      <c r="M1053" s="1"/>
      <c r="N1053" s="1" t="s">
        <v>1017</v>
      </c>
      <c r="P1053" s="1" t="str">
        <f>CONCATENATE(Table_Query_from_AMULTIQRY45[[#This Row],[WWHS]],"-",Table_Query_from_AMULTIQRY45[[#This Row],[LLOC]])</f>
        <v>E1-RAW</v>
      </c>
      <c r="Q1053" s="10">
        <f t="shared" ca="1" si="33"/>
        <v>45775</v>
      </c>
      <c r="R1053" s="10"/>
      <c r="S1053" s="28">
        <v>276</v>
      </c>
      <c r="T1053" s="1" t="s">
        <v>2</v>
      </c>
      <c r="U1053" s="1" t="s">
        <v>112</v>
      </c>
      <c r="V1053" s="1">
        <v>20250424</v>
      </c>
      <c r="W1053" s="8" t="s">
        <v>8443</v>
      </c>
      <c r="Z1053" s="1"/>
      <c r="AA1053" s="1"/>
      <c r="AC1053" s="1"/>
      <c r="AD1053" s="1"/>
      <c r="AE1053" s="1"/>
      <c r="AF1053" s="1"/>
    </row>
    <row r="1054" spans="2:32" ht="12.75" x14ac:dyDescent="0.2">
      <c r="B1054" s="1" t="s">
        <v>9560</v>
      </c>
      <c r="C1054" s="10">
        <f t="shared" ca="1" si="32"/>
        <v>45117</v>
      </c>
      <c r="D1054" s="4"/>
      <c r="E1054" s="4" t="s">
        <v>8434</v>
      </c>
      <c r="F1054" s="4" t="s">
        <v>1293</v>
      </c>
      <c r="G1054" s="4"/>
      <c r="H1054" s="4" t="str">
        <f>_xlfn.IFNA(VLOOKUP(Table_Query_from_AMULTIQRY45[[#This Row],[WPROD]],'Part# with New'!$A$1:$B$4347,2,0),Table_Query_from_AMULTIQRY45[[#This Row],[WPROD]])</f>
        <v>10525</v>
      </c>
      <c r="I1054" s="4" t="s">
        <v>8436</v>
      </c>
      <c r="J1054" s="1" t="s">
        <v>1019</v>
      </c>
      <c r="L1054" s="11">
        <v>20.85426</v>
      </c>
      <c r="M1054" s="1"/>
      <c r="N1054" s="1" t="s">
        <v>1017</v>
      </c>
      <c r="P1054" s="1" t="str">
        <f>CONCATENATE(Table_Query_from_AMULTIQRY45[[#This Row],[WWHS]],"-",Table_Query_from_AMULTIQRY45[[#This Row],[LLOC]])</f>
        <v>E1-RAW</v>
      </c>
      <c r="Q1054" s="10">
        <f t="shared" ca="1" si="33"/>
        <v>45775</v>
      </c>
      <c r="R1054" s="10"/>
      <c r="S1054" s="28">
        <v>3.04</v>
      </c>
      <c r="T1054" s="1" t="s">
        <v>2</v>
      </c>
      <c r="U1054" s="1" t="s">
        <v>1101</v>
      </c>
      <c r="V1054" s="1">
        <v>20230710</v>
      </c>
      <c r="W1054" s="8" t="s">
        <v>8443</v>
      </c>
      <c r="Z1054" s="1"/>
      <c r="AA1054" s="1"/>
      <c r="AC1054" s="1"/>
      <c r="AD1054" s="1"/>
      <c r="AE1054" s="1"/>
      <c r="AF1054" s="1"/>
    </row>
    <row r="1055" spans="2:32" ht="12.75" x14ac:dyDescent="0.2">
      <c r="B1055" s="1" t="s">
        <v>9561</v>
      </c>
      <c r="C1055" s="10">
        <f t="shared" ca="1" si="32"/>
        <v>43608</v>
      </c>
      <c r="D1055" s="4"/>
      <c r="E1055" s="4" t="s">
        <v>8434</v>
      </c>
      <c r="F1055" s="4" t="s">
        <v>1293</v>
      </c>
      <c r="G1055" s="4"/>
      <c r="H1055" s="4" t="str">
        <f>_xlfn.IFNA(VLOOKUP(Table_Query_from_AMULTIQRY45[[#This Row],[WPROD]],'Part# with New'!$A$1:$B$4347,2,0),Table_Query_from_AMULTIQRY45[[#This Row],[WPROD]])</f>
        <v>10526</v>
      </c>
      <c r="I1055" s="4" t="s">
        <v>8436</v>
      </c>
      <c r="J1055" s="1" t="s">
        <v>1027</v>
      </c>
      <c r="L1055" s="11">
        <v>10.33</v>
      </c>
      <c r="M1055" s="1"/>
      <c r="N1055" s="1" t="s">
        <v>1017</v>
      </c>
      <c r="P1055" s="1" t="str">
        <f>CONCATENATE(Table_Query_from_AMULTIQRY45[[#This Row],[WWHS]],"-",Table_Query_from_AMULTIQRY45[[#This Row],[LLOC]])</f>
        <v>E1-RAW</v>
      </c>
      <c r="Q1055" s="10">
        <f t="shared" ca="1" si="33"/>
        <v>45775</v>
      </c>
      <c r="R1055" s="10"/>
      <c r="S1055" s="28">
        <v>3.56</v>
      </c>
      <c r="T1055" s="1" t="s">
        <v>2</v>
      </c>
      <c r="U1055" s="1" t="s">
        <v>1102</v>
      </c>
      <c r="V1055" s="1">
        <v>20190523</v>
      </c>
      <c r="W1055" s="8" t="s">
        <v>8443</v>
      </c>
      <c r="Z1055" s="1"/>
      <c r="AA1055" s="1"/>
      <c r="AC1055" s="1"/>
      <c r="AD1055" s="1"/>
      <c r="AE1055" s="1"/>
      <c r="AF1055" s="1"/>
    </row>
    <row r="1056" spans="2:32" ht="12.75" x14ac:dyDescent="0.2">
      <c r="B1056" s="1" t="s">
        <v>9562</v>
      </c>
      <c r="C1056" s="10">
        <f t="shared" ca="1" si="32"/>
        <v>45772</v>
      </c>
      <c r="D1056" s="4"/>
      <c r="E1056" s="4" t="s">
        <v>8434</v>
      </c>
      <c r="F1056" s="4" t="s">
        <v>1293</v>
      </c>
      <c r="G1056" s="4"/>
      <c r="H1056" s="4" t="str">
        <f>_xlfn.IFNA(VLOOKUP(Table_Query_from_AMULTIQRY45[[#This Row],[WPROD]],'Part# with New'!$A$1:$B$4347,2,0),Table_Query_from_AMULTIQRY45[[#This Row],[WPROD]])</f>
        <v>10528</v>
      </c>
      <c r="I1056" s="4" t="s">
        <v>8436</v>
      </c>
      <c r="J1056" s="1" t="s">
        <v>1019</v>
      </c>
      <c r="L1056" s="11">
        <v>9.5</v>
      </c>
      <c r="M1056" s="1"/>
      <c r="N1056" s="1" t="s">
        <v>1017</v>
      </c>
      <c r="P1056" s="1" t="str">
        <f>CONCATENATE(Table_Query_from_AMULTIQRY45[[#This Row],[WWHS]],"-",Table_Query_from_AMULTIQRY45[[#This Row],[LLOC]])</f>
        <v>E1-RAW</v>
      </c>
      <c r="Q1056" s="10">
        <f t="shared" ca="1" si="33"/>
        <v>45775</v>
      </c>
      <c r="R1056" s="10"/>
      <c r="S1056" s="28">
        <v>4840.8739999999998</v>
      </c>
      <c r="T1056" s="1" t="s">
        <v>2</v>
      </c>
      <c r="U1056" s="1" t="s">
        <v>106</v>
      </c>
      <c r="V1056" s="1">
        <v>20250425</v>
      </c>
      <c r="W1056" s="8" t="s">
        <v>8443</v>
      </c>
      <c r="Z1056" s="1"/>
      <c r="AA1056" s="1"/>
      <c r="AC1056" s="1"/>
      <c r="AD1056" s="1"/>
      <c r="AE1056" s="1"/>
      <c r="AF1056" s="1"/>
    </row>
    <row r="1057" spans="2:32" ht="12.75" x14ac:dyDescent="0.2">
      <c r="B1057" s="1" t="s">
        <v>9563</v>
      </c>
      <c r="C1057" s="10">
        <f t="shared" ca="1" si="32"/>
        <v>45764</v>
      </c>
      <c r="D1057" s="4"/>
      <c r="E1057" s="4" t="s">
        <v>8434</v>
      </c>
      <c r="F1057" s="4" t="s">
        <v>1293</v>
      </c>
      <c r="G1057" s="4"/>
      <c r="H1057" s="4" t="str">
        <f>_xlfn.IFNA(VLOOKUP(Table_Query_from_AMULTIQRY45[[#This Row],[WPROD]],'Part# with New'!$A$1:$B$4347,2,0),Table_Query_from_AMULTIQRY45[[#This Row],[WPROD]])</f>
        <v>10530</v>
      </c>
      <c r="I1057" s="4" t="s">
        <v>8436</v>
      </c>
      <c r="J1057" s="1" t="s">
        <v>1019</v>
      </c>
      <c r="L1057" s="11">
        <v>12.3</v>
      </c>
      <c r="M1057" s="1"/>
      <c r="N1057" s="1" t="s">
        <v>1017</v>
      </c>
      <c r="P1057" s="1" t="str">
        <f>CONCATENATE(Table_Query_from_AMULTIQRY45[[#This Row],[WWHS]],"-",Table_Query_from_AMULTIQRY45[[#This Row],[LLOC]])</f>
        <v>E1-RAW</v>
      </c>
      <c r="Q1057" s="10">
        <f t="shared" ca="1" si="33"/>
        <v>45775</v>
      </c>
      <c r="R1057" s="10"/>
      <c r="S1057" s="28">
        <v>83.13</v>
      </c>
      <c r="T1057" s="1" t="s">
        <v>2</v>
      </c>
      <c r="U1057" s="1" t="s">
        <v>1103</v>
      </c>
      <c r="V1057" s="1">
        <v>20250417</v>
      </c>
      <c r="W1057" s="8" t="s">
        <v>8443</v>
      </c>
      <c r="Z1057" s="1"/>
      <c r="AA1057" s="1"/>
      <c r="AC1057" s="1"/>
      <c r="AD1057" s="1"/>
      <c r="AE1057" s="1"/>
      <c r="AF1057" s="1"/>
    </row>
    <row r="1058" spans="2:32" ht="12.75" x14ac:dyDescent="0.2">
      <c r="B1058" s="1" t="s">
        <v>9564</v>
      </c>
      <c r="C1058" s="10">
        <f t="shared" ca="1" si="32"/>
        <v>45644</v>
      </c>
      <c r="D1058" s="4"/>
      <c r="E1058" s="4" t="s">
        <v>8434</v>
      </c>
      <c r="F1058" s="4" t="s">
        <v>1293</v>
      </c>
      <c r="G1058" s="4"/>
      <c r="H1058" s="4" t="str">
        <f>_xlfn.IFNA(VLOOKUP(Table_Query_from_AMULTIQRY45[[#This Row],[WPROD]],'Part# with New'!$A$1:$B$4347,2,0),Table_Query_from_AMULTIQRY45[[#This Row],[WPROD]])</f>
        <v>10534</v>
      </c>
      <c r="I1058" s="4" t="s">
        <v>8436</v>
      </c>
      <c r="J1058" s="1" t="s">
        <v>1019</v>
      </c>
      <c r="L1058" s="11">
        <v>14.11</v>
      </c>
      <c r="M1058" s="1"/>
      <c r="N1058" s="1" t="s">
        <v>1017</v>
      </c>
      <c r="P1058" s="1" t="str">
        <f>CONCATENATE(Table_Query_from_AMULTIQRY45[[#This Row],[WWHS]],"-",Table_Query_from_AMULTIQRY45[[#This Row],[LLOC]])</f>
        <v>E1-RAW</v>
      </c>
      <c r="Q1058" s="10">
        <f t="shared" ca="1" si="33"/>
        <v>45775</v>
      </c>
      <c r="R1058" s="10"/>
      <c r="S1058" s="28">
        <v>14.2</v>
      </c>
      <c r="T1058" s="1" t="s">
        <v>2</v>
      </c>
      <c r="U1058" s="1" t="s">
        <v>1104</v>
      </c>
      <c r="V1058" s="1">
        <v>20241218</v>
      </c>
      <c r="W1058" s="8" t="s">
        <v>8443</v>
      </c>
      <c r="Z1058" s="1"/>
      <c r="AA1058" s="1"/>
      <c r="AC1058" s="1"/>
      <c r="AD1058" s="1"/>
      <c r="AE1058" s="1"/>
      <c r="AF1058" s="1"/>
    </row>
    <row r="1059" spans="2:32" ht="12.75" x14ac:dyDescent="0.2">
      <c r="B1059" s="1" t="s">
        <v>9565</v>
      </c>
      <c r="C1059" s="10">
        <f t="shared" ca="1" si="32"/>
        <v>45709</v>
      </c>
      <c r="D1059" s="4"/>
      <c r="E1059" s="4" t="s">
        <v>8434</v>
      </c>
      <c r="F1059" s="4" t="s">
        <v>1293</v>
      </c>
      <c r="G1059" s="4"/>
      <c r="H1059" s="4" t="str">
        <f>_xlfn.IFNA(VLOOKUP(Table_Query_from_AMULTIQRY45[[#This Row],[WPROD]],'Part# with New'!$A$1:$B$4347,2,0),Table_Query_from_AMULTIQRY45[[#This Row],[WPROD]])</f>
        <v>10535</v>
      </c>
      <c r="I1059" s="4" t="s">
        <v>8436</v>
      </c>
      <c r="J1059" s="1" t="s">
        <v>1019</v>
      </c>
      <c r="L1059" s="11">
        <v>13.5</v>
      </c>
      <c r="M1059" s="1"/>
      <c r="N1059" s="1" t="s">
        <v>1017</v>
      </c>
      <c r="P1059" s="1" t="str">
        <f>CONCATENATE(Table_Query_from_AMULTIQRY45[[#This Row],[WWHS]],"-",Table_Query_from_AMULTIQRY45[[#This Row],[LLOC]])</f>
        <v>E1-RAW</v>
      </c>
      <c r="Q1059" s="10">
        <f t="shared" ca="1" si="33"/>
        <v>45775</v>
      </c>
      <c r="R1059" s="10"/>
      <c r="S1059" s="28">
        <v>29.15</v>
      </c>
      <c r="T1059" s="1" t="s">
        <v>2</v>
      </c>
      <c r="U1059" s="1" t="s">
        <v>114</v>
      </c>
      <c r="V1059" s="1">
        <v>20250221</v>
      </c>
      <c r="W1059" s="8" t="s">
        <v>8443</v>
      </c>
      <c r="Z1059" s="1"/>
      <c r="AA1059" s="1"/>
      <c r="AC1059" s="1"/>
      <c r="AD1059" s="1"/>
      <c r="AE1059" s="1"/>
      <c r="AF1059" s="1"/>
    </row>
    <row r="1060" spans="2:32" ht="12.75" x14ac:dyDescent="0.2">
      <c r="B1060" s="1" t="s">
        <v>9566</v>
      </c>
      <c r="C1060" s="10">
        <f t="shared" ca="1" si="32"/>
        <v>45770</v>
      </c>
      <c r="D1060" s="4"/>
      <c r="E1060" s="4" t="s">
        <v>8434</v>
      </c>
      <c r="F1060" s="4" t="s">
        <v>1293</v>
      </c>
      <c r="G1060" s="4"/>
      <c r="H1060" s="4" t="str">
        <f>_xlfn.IFNA(VLOOKUP(Table_Query_from_AMULTIQRY45[[#This Row],[WPROD]],'Part# with New'!$A$1:$B$4347,2,0),Table_Query_from_AMULTIQRY45[[#This Row],[WPROD]])</f>
        <v>10538</v>
      </c>
      <c r="I1060" s="4" t="s">
        <v>8436</v>
      </c>
      <c r="J1060" s="1" t="s">
        <v>1019</v>
      </c>
      <c r="L1060" s="11">
        <v>10.87</v>
      </c>
      <c r="M1060" s="1"/>
      <c r="N1060" s="1" t="s">
        <v>1017</v>
      </c>
      <c r="P1060" s="1" t="str">
        <f>CONCATENATE(Table_Query_from_AMULTIQRY45[[#This Row],[WWHS]],"-",Table_Query_from_AMULTIQRY45[[#This Row],[LLOC]])</f>
        <v>E1-RAW</v>
      </c>
      <c r="Q1060" s="10">
        <f t="shared" ca="1" si="33"/>
        <v>45775</v>
      </c>
      <c r="R1060" s="10"/>
      <c r="S1060" s="28">
        <v>371.25</v>
      </c>
      <c r="T1060" s="1" t="s">
        <v>2</v>
      </c>
      <c r="U1060" s="1" t="s">
        <v>1105</v>
      </c>
      <c r="V1060" s="1">
        <v>20250423</v>
      </c>
      <c r="W1060" s="8" t="s">
        <v>8443</v>
      </c>
      <c r="Z1060" s="1"/>
      <c r="AA1060" s="1"/>
      <c r="AC1060" s="1"/>
      <c r="AD1060" s="1"/>
      <c r="AE1060" s="1"/>
      <c r="AF1060" s="1"/>
    </row>
    <row r="1061" spans="2:32" ht="12.75" x14ac:dyDescent="0.2">
      <c r="B1061" s="1" t="s">
        <v>9567</v>
      </c>
      <c r="C1061" s="10">
        <f t="shared" ca="1" si="32"/>
        <v>45033</v>
      </c>
      <c r="D1061" s="4"/>
      <c r="E1061" s="4" t="s">
        <v>8434</v>
      </c>
      <c r="F1061" s="4" t="s">
        <v>1293</v>
      </c>
      <c r="G1061" s="4"/>
      <c r="H1061" s="4" t="str">
        <f>_xlfn.IFNA(VLOOKUP(Table_Query_from_AMULTIQRY45[[#This Row],[WPROD]],'Part# with New'!$A$1:$B$4347,2,0),Table_Query_from_AMULTIQRY45[[#This Row],[WPROD]])</f>
        <v>10540</v>
      </c>
      <c r="I1061" s="4" t="s">
        <v>8436</v>
      </c>
      <c r="J1061" s="1" t="s">
        <v>1019</v>
      </c>
      <c r="L1061" s="11">
        <v>14.33</v>
      </c>
      <c r="M1061" s="1"/>
      <c r="N1061" s="1" t="s">
        <v>1017</v>
      </c>
      <c r="P1061" s="1" t="str">
        <f>CONCATENATE(Table_Query_from_AMULTIQRY45[[#This Row],[WWHS]],"-",Table_Query_from_AMULTIQRY45[[#This Row],[LLOC]])</f>
        <v>E1-RAW</v>
      </c>
      <c r="Q1061" s="10">
        <f t="shared" ca="1" si="33"/>
        <v>45775</v>
      </c>
      <c r="R1061" s="10"/>
      <c r="S1061" s="28">
        <v>78.94</v>
      </c>
      <c r="T1061" s="1" t="s">
        <v>2</v>
      </c>
      <c r="U1061" s="1" t="s">
        <v>1106</v>
      </c>
      <c r="V1061" s="1">
        <v>20230417</v>
      </c>
      <c r="W1061" s="8" t="s">
        <v>8443</v>
      </c>
      <c r="Z1061" s="1"/>
      <c r="AA1061" s="1"/>
      <c r="AC1061" s="1"/>
      <c r="AD1061" s="1"/>
      <c r="AE1061" s="1"/>
      <c r="AF1061" s="1"/>
    </row>
    <row r="1062" spans="2:32" ht="12.75" x14ac:dyDescent="0.2">
      <c r="B1062" s="1" t="s">
        <v>9568</v>
      </c>
      <c r="C1062" s="10">
        <f t="shared" ca="1" si="32"/>
        <v>45164</v>
      </c>
      <c r="D1062" s="4"/>
      <c r="E1062" s="4" t="s">
        <v>8434</v>
      </c>
      <c r="F1062" s="4" t="s">
        <v>1293</v>
      </c>
      <c r="G1062" s="4"/>
      <c r="H1062" s="4" t="str">
        <f>_xlfn.IFNA(VLOOKUP(Table_Query_from_AMULTIQRY45[[#This Row],[WPROD]],'Part# with New'!$A$1:$B$4347,2,0),Table_Query_from_AMULTIQRY45[[#This Row],[WPROD]])</f>
        <v>10541</v>
      </c>
      <c r="I1062" s="4" t="s">
        <v>8436</v>
      </c>
      <c r="J1062" s="1" t="s">
        <v>1027</v>
      </c>
      <c r="L1062" s="11">
        <v>39.6</v>
      </c>
      <c r="M1062" s="1"/>
      <c r="N1062" s="1" t="s">
        <v>1017</v>
      </c>
      <c r="P1062" s="1" t="str">
        <f>CONCATENATE(Table_Query_from_AMULTIQRY45[[#This Row],[WWHS]],"-",Table_Query_from_AMULTIQRY45[[#This Row],[LLOC]])</f>
        <v>E1-RAW</v>
      </c>
      <c r="Q1062" s="10">
        <f t="shared" ca="1" si="33"/>
        <v>45775</v>
      </c>
      <c r="R1062" s="10"/>
      <c r="S1062" s="28">
        <v>17.5</v>
      </c>
      <c r="T1062" s="1" t="s">
        <v>2</v>
      </c>
      <c r="U1062" s="1" t="s">
        <v>1107</v>
      </c>
      <c r="V1062" s="1">
        <v>20230826</v>
      </c>
      <c r="W1062" s="8" t="s">
        <v>8443</v>
      </c>
      <c r="Z1062" s="1"/>
      <c r="AA1062" s="1"/>
      <c r="AC1062" s="1"/>
      <c r="AD1062" s="1"/>
      <c r="AE1062" s="1"/>
      <c r="AF1062" s="1"/>
    </row>
    <row r="1063" spans="2:32" ht="12.75" x14ac:dyDescent="0.2">
      <c r="B1063" s="1" t="s">
        <v>9569</v>
      </c>
      <c r="C1063" s="10">
        <f t="shared" ca="1" si="32"/>
        <v>43774</v>
      </c>
      <c r="D1063" s="4"/>
      <c r="E1063" s="4" t="s">
        <v>8434</v>
      </c>
      <c r="F1063" s="4" t="s">
        <v>1293</v>
      </c>
      <c r="G1063" s="4"/>
      <c r="H1063" s="4" t="str">
        <f>_xlfn.IFNA(VLOOKUP(Table_Query_from_AMULTIQRY45[[#This Row],[WPROD]],'Part# with New'!$A$1:$B$4347,2,0),Table_Query_from_AMULTIQRY45[[#This Row],[WPROD]])</f>
        <v>10544</v>
      </c>
      <c r="I1063" s="4" t="s">
        <v>8436</v>
      </c>
      <c r="J1063" s="1" t="s">
        <v>1019</v>
      </c>
      <c r="L1063" s="11">
        <v>9.2000000000000003E-4</v>
      </c>
      <c r="M1063" s="1"/>
      <c r="N1063" s="1" t="s">
        <v>1017</v>
      </c>
      <c r="P1063" s="1" t="str">
        <f>CONCATENATE(Table_Query_from_AMULTIQRY45[[#This Row],[WWHS]],"-",Table_Query_from_AMULTIQRY45[[#This Row],[LLOC]])</f>
        <v>E1-RAW</v>
      </c>
      <c r="Q1063" s="10">
        <f t="shared" ca="1" si="33"/>
        <v>45775</v>
      </c>
      <c r="R1063" s="10"/>
      <c r="S1063" s="28">
        <v>27.25</v>
      </c>
      <c r="T1063" s="1" t="s">
        <v>2</v>
      </c>
      <c r="U1063" s="1" t="s">
        <v>1108</v>
      </c>
      <c r="V1063" s="1">
        <v>20191105</v>
      </c>
      <c r="W1063" s="8" t="s">
        <v>8443</v>
      </c>
      <c r="Z1063" s="1"/>
      <c r="AA1063" s="1"/>
      <c r="AC1063" s="1"/>
      <c r="AD1063" s="1"/>
      <c r="AE1063" s="1"/>
      <c r="AF1063" s="1"/>
    </row>
    <row r="1064" spans="2:32" ht="12.75" x14ac:dyDescent="0.2">
      <c r="B1064" s="1" t="s">
        <v>9570</v>
      </c>
      <c r="C1064" s="10">
        <f t="shared" ca="1" si="32"/>
        <v>45531</v>
      </c>
      <c r="D1064" s="4"/>
      <c r="E1064" s="4" t="s">
        <v>8434</v>
      </c>
      <c r="F1064" s="4" t="s">
        <v>1293</v>
      </c>
      <c r="G1064" s="4"/>
      <c r="H1064" s="4" t="str">
        <f>_xlfn.IFNA(VLOOKUP(Table_Query_from_AMULTIQRY45[[#This Row],[WPROD]],'Part# with New'!$A$1:$B$4347,2,0),Table_Query_from_AMULTIQRY45[[#This Row],[WPROD]])</f>
        <v>10545</v>
      </c>
      <c r="I1064" s="4" t="s">
        <v>8436</v>
      </c>
      <c r="J1064" s="1" t="s">
        <v>1027</v>
      </c>
      <c r="L1064" s="11">
        <v>12.03</v>
      </c>
      <c r="M1064" s="1"/>
      <c r="N1064" s="1" t="s">
        <v>1017</v>
      </c>
      <c r="P1064" s="1" t="str">
        <f>CONCATENATE(Table_Query_from_AMULTIQRY45[[#This Row],[WWHS]],"-",Table_Query_from_AMULTIQRY45[[#This Row],[LLOC]])</f>
        <v>E1-RAW</v>
      </c>
      <c r="Q1064" s="10">
        <f t="shared" ca="1" si="33"/>
        <v>45775</v>
      </c>
      <c r="R1064" s="10"/>
      <c r="S1064" s="28">
        <v>6.03</v>
      </c>
      <c r="T1064" s="1" t="s">
        <v>2</v>
      </c>
      <c r="U1064" s="1" t="s">
        <v>1109</v>
      </c>
      <c r="V1064" s="1">
        <v>20240827</v>
      </c>
      <c r="W1064" s="8" t="s">
        <v>8443</v>
      </c>
      <c r="Z1064" s="1"/>
      <c r="AA1064" s="1"/>
      <c r="AC1064" s="1"/>
      <c r="AD1064" s="1"/>
      <c r="AE1064" s="1"/>
      <c r="AF1064" s="1"/>
    </row>
    <row r="1065" spans="2:32" ht="12.75" x14ac:dyDescent="0.2">
      <c r="B1065" s="1" t="s">
        <v>9571</v>
      </c>
      <c r="C1065" s="10">
        <f t="shared" ca="1" si="32"/>
        <v>45519</v>
      </c>
      <c r="D1065" s="4"/>
      <c r="E1065" s="4" t="s">
        <v>8434</v>
      </c>
      <c r="F1065" s="4" t="s">
        <v>1293</v>
      </c>
      <c r="G1065" s="4"/>
      <c r="H1065" s="4" t="str">
        <f>_xlfn.IFNA(VLOOKUP(Table_Query_from_AMULTIQRY45[[#This Row],[WPROD]],'Part# with New'!$A$1:$B$4347,2,0),Table_Query_from_AMULTIQRY45[[#This Row],[WPROD]])</f>
        <v>10546</v>
      </c>
      <c r="I1065" s="4" t="s">
        <v>8436</v>
      </c>
      <c r="J1065" s="1" t="s">
        <v>1027</v>
      </c>
      <c r="L1065" s="11">
        <v>30.677409999999998</v>
      </c>
      <c r="M1065" s="1"/>
      <c r="N1065" s="1" t="s">
        <v>1017</v>
      </c>
      <c r="P1065" s="1" t="str">
        <f>CONCATENATE(Table_Query_from_AMULTIQRY45[[#This Row],[WWHS]],"-",Table_Query_from_AMULTIQRY45[[#This Row],[LLOC]])</f>
        <v>E1-RAW</v>
      </c>
      <c r="Q1065" s="10">
        <f t="shared" ca="1" si="33"/>
        <v>45775</v>
      </c>
      <c r="R1065" s="10"/>
      <c r="S1065" s="28">
        <v>14.074</v>
      </c>
      <c r="T1065" s="1" t="s">
        <v>2</v>
      </c>
      <c r="U1065" s="1" t="s">
        <v>1110</v>
      </c>
      <c r="V1065" s="1">
        <v>20240815</v>
      </c>
      <c r="W1065" s="8" t="s">
        <v>8443</v>
      </c>
      <c r="Z1065" s="1"/>
      <c r="AA1065" s="1"/>
      <c r="AC1065" s="1"/>
      <c r="AD1065" s="1"/>
      <c r="AE1065" s="1"/>
      <c r="AF1065" s="1"/>
    </row>
    <row r="1066" spans="2:32" ht="12.75" x14ac:dyDescent="0.2">
      <c r="B1066" s="1" t="s">
        <v>9572</v>
      </c>
      <c r="C1066" s="10">
        <f t="shared" ca="1" si="32"/>
        <v>45534</v>
      </c>
      <c r="D1066" s="4"/>
      <c r="E1066" s="4" t="s">
        <v>8434</v>
      </c>
      <c r="F1066" s="4" t="s">
        <v>1293</v>
      </c>
      <c r="G1066" s="4"/>
      <c r="H1066" s="4" t="str">
        <f>_xlfn.IFNA(VLOOKUP(Table_Query_from_AMULTIQRY45[[#This Row],[WPROD]],'Part# with New'!$A$1:$B$4347,2,0),Table_Query_from_AMULTIQRY45[[#This Row],[WPROD]])</f>
        <v>10549</v>
      </c>
      <c r="I1066" s="4" t="s">
        <v>8436</v>
      </c>
      <c r="J1066" s="1" t="s">
        <v>1019</v>
      </c>
      <c r="L1066" s="11">
        <v>17.59</v>
      </c>
      <c r="M1066" s="1"/>
      <c r="N1066" s="1" t="s">
        <v>1017</v>
      </c>
      <c r="P1066" s="1" t="str">
        <f>CONCATENATE(Table_Query_from_AMULTIQRY45[[#This Row],[WWHS]],"-",Table_Query_from_AMULTIQRY45[[#This Row],[LLOC]])</f>
        <v>E1-RAW</v>
      </c>
      <c r="Q1066" s="10">
        <f t="shared" ca="1" si="33"/>
        <v>45775</v>
      </c>
      <c r="R1066" s="10"/>
      <c r="S1066" s="28">
        <v>13</v>
      </c>
      <c r="T1066" s="1" t="s">
        <v>2</v>
      </c>
      <c r="U1066" s="1" t="s">
        <v>1111</v>
      </c>
      <c r="V1066" s="1">
        <v>20240830</v>
      </c>
      <c r="W1066" s="8" t="s">
        <v>8443</v>
      </c>
      <c r="Z1066" s="1"/>
      <c r="AA1066" s="1"/>
      <c r="AC1066" s="1"/>
      <c r="AD1066" s="1"/>
      <c r="AE1066" s="1"/>
      <c r="AF1066" s="1"/>
    </row>
    <row r="1067" spans="2:32" ht="12.75" x14ac:dyDescent="0.2">
      <c r="B1067" s="1" t="s">
        <v>9573</v>
      </c>
      <c r="C1067" s="10">
        <f t="shared" ca="1" si="32"/>
        <v>45623</v>
      </c>
      <c r="D1067" s="4"/>
      <c r="E1067" s="4" t="s">
        <v>8434</v>
      </c>
      <c r="F1067" s="4" t="s">
        <v>1293</v>
      </c>
      <c r="G1067" s="4"/>
      <c r="H1067" s="4" t="str">
        <f>_xlfn.IFNA(VLOOKUP(Table_Query_from_AMULTIQRY45[[#This Row],[WPROD]],'Part# with New'!$A$1:$B$4347,2,0),Table_Query_from_AMULTIQRY45[[#This Row],[WPROD]])</f>
        <v>10550</v>
      </c>
      <c r="I1067" s="4" t="s">
        <v>8436</v>
      </c>
      <c r="J1067" s="1" t="s">
        <v>1019</v>
      </c>
      <c r="L1067" s="11">
        <v>15.47</v>
      </c>
      <c r="M1067" s="1"/>
      <c r="N1067" s="1" t="s">
        <v>1017</v>
      </c>
      <c r="P1067" s="1" t="str">
        <f>CONCATENATE(Table_Query_from_AMULTIQRY45[[#This Row],[WWHS]],"-",Table_Query_from_AMULTIQRY45[[#This Row],[LLOC]])</f>
        <v>E1-RAW</v>
      </c>
      <c r="Q1067" s="10">
        <f t="shared" ca="1" si="33"/>
        <v>45775</v>
      </c>
      <c r="R1067" s="10"/>
      <c r="S1067" s="28">
        <v>58.01</v>
      </c>
      <c r="T1067" s="1" t="s">
        <v>2</v>
      </c>
      <c r="U1067" s="1" t="s">
        <v>1112</v>
      </c>
      <c r="V1067" s="1">
        <v>20241127</v>
      </c>
      <c r="W1067" s="8" t="s">
        <v>8443</v>
      </c>
      <c r="Z1067" s="1"/>
      <c r="AA1067" s="1"/>
      <c r="AC1067" s="1"/>
      <c r="AD1067" s="1"/>
      <c r="AE1067" s="1"/>
      <c r="AF1067" s="1"/>
    </row>
    <row r="1068" spans="2:32" ht="12.75" x14ac:dyDescent="0.2">
      <c r="B1068" s="1" t="s">
        <v>9574</v>
      </c>
      <c r="C1068" s="10">
        <f t="shared" ca="1" si="32"/>
        <v>45761</v>
      </c>
      <c r="D1068" s="4"/>
      <c r="E1068" s="4" t="s">
        <v>8434</v>
      </c>
      <c r="F1068" s="4" t="s">
        <v>1293</v>
      </c>
      <c r="G1068" s="4"/>
      <c r="H1068" s="4" t="str">
        <f>_xlfn.IFNA(VLOOKUP(Table_Query_from_AMULTIQRY45[[#This Row],[WPROD]],'Part# with New'!$A$1:$B$4347,2,0),Table_Query_from_AMULTIQRY45[[#This Row],[WPROD]])</f>
        <v>10551</v>
      </c>
      <c r="I1068" s="4" t="s">
        <v>8436</v>
      </c>
      <c r="J1068" s="1" t="s">
        <v>1019</v>
      </c>
      <c r="L1068" s="11">
        <v>16.010000000000002</v>
      </c>
      <c r="M1068" s="1"/>
      <c r="N1068" s="1" t="s">
        <v>1017</v>
      </c>
      <c r="P1068" s="1" t="str">
        <f>CONCATENATE(Table_Query_from_AMULTIQRY45[[#This Row],[WWHS]],"-",Table_Query_from_AMULTIQRY45[[#This Row],[LLOC]])</f>
        <v>E1-RAW</v>
      </c>
      <c r="Q1068" s="10">
        <f t="shared" ca="1" si="33"/>
        <v>45775</v>
      </c>
      <c r="R1068" s="10"/>
      <c r="S1068" s="28">
        <v>37.57</v>
      </c>
      <c r="T1068" s="1" t="s">
        <v>2</v>
      </c>
      <c r="U1068" s="1" t="s">
        <v>1113</v>
      </c>
      <c r="V1068" s="1">
        <v>20250414</v>
      </c>
      <c r="W1068" s="8" t="s">
        <v>8443</v>
      </c>
      <c r="Z1068" s="1"/>
      <c r="AA1068" s="1"/>
      <c r="AC1068" s="1"/>
      <c r="AD1068" s="1"/>
      <c r="AE1068" s="1"/>
      <c r="AF1068" s="1"/>
    </row>
    <row r="1069" spans="2:32" ht="12.75" x14ac:dyDescent="0.2">
      <c r="B1069" s="1" t="s">
        <v>9575</v>
      </c>
      <c r="C1069" s="10">
        <f t="shared" ca="1" si="32"/>
        <v>43732</v>
      </c>
      <c r="D1069" s="4"/>
      <c r="E1069" s="4" t="s">
        <v>8434</v>
      </c>
      <c r="F1069" s="4" t="s">
        <v>1293</v>
      </c>
      <c r="G1069" s="4"/>
      <c r="H1069" s="4" t="str">
        <f>_xlfn.IFNA(VLOOKUP(Table_Query_from_AMULTIQRY45[[#This Row],[WPROD]],'Part# with New'!$A$1:$B$4347,2,0),Table_Query_from_AMULTIQRY45[[#This Row],[WPROD]])</f>
        <v>10553</v>
      </c>
      <c r="I1069" s="4" t="s">
        <v>8436</v>
      </c>
      <c r="J1069" s="1" t="s">
        <v>1019</v>
      </c>
      <c r="L1069" s="11">
        <v>24</v>
      </c>
      <c r="M1069" s="1"/>
      <c r="N1069" s="1" t="s">
        <v>1017</v>
      </c>
      <c r="P1069" s="1" t="str">
        <f>CONCATENATE(Table_Query_from_AMULTIQRY45[[#This Row],[WWHS]],"-",Table_Query_from_AMULTIQRY45[[#This Row],[LLOC]])</f>
        <v>E1-RAW</v>
      </c>
      <c r="Q1069" s="10">
        <f t="shared" ca="1" si="33"/>
        <v>45775</v>
      </c>
      <c r="R1069" s="10"/>
      <c r="S1069" s="28">
        <v>43.4</v>
      </c>
      <c r="T1069" s="1" t="s">
        <v>2</v>
      </c>
      <c r="U1069" s="1" t="s">
        <v>1114</v>
      </c>
      <c r="V1069" s="1">
        <v>20190924</v>
      </c>
      <c r="W1069" s="8" t="s">
        <v>8443</v>
      </c>
      <c r="Z1069" s="1"/>
      <c r="AA1069" s="1"/>
      <c r="AC1069" s="1"/>
      <c r="AD1069" s="1"/>
      <c r="AE1069" s="1"/>
      <c r="AF1069" s="1"/>
    </row>
    <row r="1070" spans="2:32" ht="12.75" x14ac:dyDescent="0.2">
      <c r="B1070" s="1" t="s">
        <v>9576</v>
      </c>
      <c r="C1070" s="10">
        <f t="shared" ca="1" si="32"/>
        <v>45510</v>
      </c>
      <c r="D1070" s="4"/>
      <c r="E1070" s="4" t="s">
        <v>8434</v>
      </c>
      <c r="F1070" s="4" t="s">
        <v>1293</v>
      </c>
      <c r="G1070" s="4"/>
      <c r="H1070" s="4" t="str">
        <f>_xlfn.IFNA(VLOOKUP(Table_Query_from_AMULTIQRY45[[#This Row],[WPROD]],'Part# with New'!$A$1:$B$4347,2,0),Table_Query_from_AMULTIQRY45[[#This Row],[WPROD]])</f>
        <v>10554</v>
      </c>
      <c r="I1070" s="4" t="s">
        <v>8436</v>
      </c>
      <c r="J1070" s="1" t="s">
        <v>1027</v>
      </c>
      <c r="L1070" s="11">
        <v>1.2051000000000001</v>
      </c>
      <c r="M1070" s="1"/>
      <c r="N1070" s="1" t="s">
        <v>1017</v>
      </c>
      <c r="P1070" s="1" t="str">
        <f>CONCATENATE(Table_Query_from_AMULTIQRY45[[#This Row],[WWHS]],"-",Table_Query_from_AMULTIQRY45[[#This Row],[LLOC]])</f>
        <v>E1-RAW</v>
      </c>
      <c r="Q1070" s="10">
        <f t="shared" ca="1" si="33"/>
        <v>45775</v>
      </c>
      <c r="R1070" s="10"/>
      <c r="S1070" s="28">
        <v>27.495000000000001</v>
      </c>
      <c r="T1070" s="1" t="s">
        <v>2</v>
      </c>
      <c r="U1070" s="1" t="s">
        <v>1115</v>
      </c>
      <c r="V1070" s="1">
        <v>20240806</v>
      </c>
      <c r="W1070" s="8" t="s">
        <v>8443</v>
      </c>
      <c r="Z1070" s="1"/>
      <c r="AA1070" s="1"/>
      <c r="AC1070" s="1"/>
      <c r="AD1070" s="1"/>
      <c r="AE1070" s="1"/>
      <c r="AF1070" s="1"/>
    </row>
    <row r="1071" spans="2:32" ht="12.75" x14ac:dyDescent="0.2">
      <c r="B1071" s="1" t="s">
        <v>9577</v>
      </c>
      <c r="C1071" s="10">
        <f t="shared" ca="1" si="32"/>
        <v>44543</v>
      </c>
      <c r="D1071" s="4"/>
      <c r="E1071" s="4" t="s">
        <v>8434</v>
      </c>
      <c r="F1071" s="4" t="s">
        <v>1293</v>
      </c>
      <c r="G1071" s="4"/>
      <c r="H1071" s="4" t="str">
        <f>_xlfn.IFNA(VLOOKUP(Table_Query_from_AMULTIQRY45[[#This Row],[WPROD]],'Part# with New'!$A$1:$B$4347,2,0),Table_Query_from_AMULTIQRY45[[#This Row],[WPROD]])</f>
        <v>10556</v>
      </c>
      <c r="I1071" s="4" t="s">
        <v>8436</v>
      </c>
      <c r="J1071" s="1" t="s">
        <v>1019</v>
      </c>
      <c r="L1071" s="11">
        <v>17.46255</v>
      </c>
      <c r="M1071" s="1"/>
      <c r="N1071" s="1" t="s">
        <v>1017</v>
      </c>
      <c r="P1071" s="1" t="str">
        <f>CONCATENATE(Table_Query_from_AMULTIQRY45[[#This Row],[WWHS]],"-",Table_Query_from_AMULTIQRY45[[#This Row],[LLOC]])</f>
        <v>E1-RAW</v>
      </c>
      <c r="Q1071" s="10">
        <f t="shared" ca="1" si="33"/>
        <v>45775</v>
      </c>
      <c r="R1071" s="10"/>
      <c r="S1071" s="28">
        <v>55.7</v>
      </c>
      <c r="T1071" s="1" t="s">
        <v>2</v>
      </c>
      <c r="U1071" s="1" t="s">
        <v>1116</v>
      </c>
      <c r="V1071" s="1">
        <v>20211213</v>
      </c>
      <c r="W1071" s="8" t="s">
        <v>8443</v>
      </c>
      <c r="Z1071" s="1"/>
      <c r="AA1071" s="1"/>
      <c r="AC1071" s="1"/>
      <c r="AD1071" s="1"/>
      <c r="AE1071" s="1"/>
      <c r="AF1071" s="1"/>
    </row>
    <row r="1072" spans="2:32" ht="12.75" x14ac:dyDescent="0.2">
      <c r="B1072" s="1" t="s">
        <v>9578</v>
      </c>
      <c r="C1072" s="10">
        <f t="shared" ca="1" si="32"/>
        <v>45628</v>
      </c>
      <c r="D1072" s="4"/>
      <c r="E1072" s="4" t="s">
        <v>8434</v>
      </c>
      <c r="F1072" s="4" t="s">
        <v>1293</v>
      </c>
      <c r="G1072" s="4"/>
      <c r="H1072" s="4" t="str">
        <f>_xlfn.IFNA(VLOOKUP(Table_Query_from_AMULTIQRY45[[#This Row],[WPROD]],'Part# with New'!$A$1:$B$4347,2,0),Table_Query_from_AMULTIQRY45[[#This Row],[WPROD]])</f>
        <v>10560</v>
      </c>
      <c r="I1072" s="4" t="s">
        <v>8436</v>
      </c>
      <c r="J1072" s="1" t="s">
        <v>1019</v>
      </c>
      <c r="L1072" s="11">
        <v>20.73</v>
      </c>
      <c r="M1072" s="1"/>
      <c r="N1072" s="1" t="s">
        <v>1017</v>
      </c>
      <c r="P1072" s="1" t="str">
        <f>CONCATENATE(Table_Query_from_AMULTIQRY45[[#This Row],[WWHS]],"-",Table_Query_from_AMULTIQRY45[[#This Row],[LLOC]])</f>
        <v>E1-RAW</v>
      </c>
      <c r="Q1072" s="10">
        <f t="shared" ca="1" si="33"/>
        <v>45775</v>
      </c>
      <c r="R1072" s="10"/>
      <c r="S1072" s="28">
        <v>38</v>
      </c>
      <c r="T1072" s="1" t="s">
        <v>2</v>
      </c>
      <c r="U1072" s="1" t="s">
        <v>1117</v>
      </c>
      <c r="V1072" s="1">
        <v>20241202</v>
      </c>
      <c r="W1072" s="8" t="s">
        <v>8443</v>
      </c>
      <c r="Z1072" s="1"/>
      <c r="AA1072" s="1"/>
      <c r="AC1072" s="1"/>
      <c r="AD1072" s="1"/>
      <c r="AE1072" s="1"/>
      <c r="AF1072" s="1"/>
    </row>
    <row r="1073" spans="2:32" ht="12.75" x14ac:dyDescent="0.2">
      <c r="B1073" s="1" t="s">
        <v>9579</v>
      </c>
      <c r="C1073" s="10">
        <f t="shared" ca="1" si="32"/>
        <v>44249</v>
      </c>
      <c r="D1073" s="4"/>
      <c r="E1073" s="4" t="s">
        <v>8434</v>
      </c>
      <c r="F1073" s="4" t="s">
        <v>1293</v>
      </c>
      <c r="G1073" s="4"/>
      <c r="H1073" s="4" t="str">
        <f>_xlfn.IFNA(VLOOKUP(Table_Query_from_AMULTIQRY45[[#This Row],[WPROD]],'Part# with New'!$A$1:$B$4347,2,0),Table_Query_from_AMULTIQRY45[[#This Row],[WPROD]])</f>
        <v>10563</v>
      </c>
      <c r="I1073" s="4" t="s">
        <v>8436</v>
      </c>
      <c r="J1073" s="1" t="s">
        <v>1019</v>
      </c>
      <c r="L1073" s="11">
        <v>12.18</v>
      </c>
      <c r="M1073" s="1"/>
      <c r="N1073" s="1" t="s">
        <v>1017</v>
      </c>
      <c r="P1073" s="1" t="str">
        <f>CONCATENATE(Table_Query_from_AMULTIQRY45[[#This Row],[WWHS]],"-",Table_Query_from_AMULTIQRY45[[#This Row],[LLOC]])</f>
        <v>E1-RAW</v>
      </c>
      <c r="Q1073" s="10">
        <f t="shared" ca="1" si="33"/>
        <v>45775</v>
      </c>
      <c r="R1073" s="10"/>
      <c r="S1073" s="28">
        <v>25.6</v>
      </c>
      <c r="T1073" s="1" t="s">
        <v>2</v>
      </c>
      <c r="U1073" s="1" t="s">
        <v>1118</v>
      </c>
      <c r="V1073" s="1">
        <v>20210222</v>
      </c>
      <c r="W1073" s="8" t="s">
        <v>8443</v>
      </c>
      <c r="Z1073" s="1"/>
      <c r="AA1073" s="1"/>
      <c r="AC1073" s="1"/>
      <c r="AD1073" s="1"/>
      <c r="AE1073" s="1"/>
      <c r="AF1073" s="1"/>
    </row>
    <row r="1074" spans="2:32" ht="12.75" x14ac:dyDescent="0.2">
      <c r="B1074" s="1" t="s">
        <v>9580</v>
      </c>
      <c r="C1074" s="10">
        <f t="shared" ca="1" si="32"/>
        <v>45764</v>
      </c>
      <c r="D1074" s="4"/>
      <c r="E1074" s="4" t="s">
        <v>8434</v>
      </c>
      <c r="F1074" s="4" t="s">
        <v>1293</v>
      </c>
      <c r="G1074" s="4"/>
      <c r="H1074" s="4" t="str">
        <f>_xlfn.IFNA(VLOOKUP(Table_Query_from_AMULTIQRY45[[#This Row],[WPROD]],'Part# with New'!$A$1:$B$4347,2,0),Table_Query_from_AMULTIQRY45[[#This Row],[WPROD]])</f>
        <v>10564</v>
      </c>
      <c r="I1074" s="4" t="s">
        <v>8436</v>
      </c>
      <c r="J1074" s="1" t="s">
        <v>1027</v>
      </c>
      <c r="L1074" s="11">
        <v>37.6</v>
      </c>
      <c r="M1074" s="1"/>
      <c r="N1074" s="1" t="s">
        <v>1017</v>
      </c>
      <c r="P1074" s="1" t="str">
        <f>CONCATENATE(Table_Query_from_AMULTIQRY45[[#This Row],[WWHS]],"-",Table_Query_from_AMULTIQRY45[[#This Row],[LLOC]])</f>
        <v>E1-RAW</v>
      </c>
      <c r="Q1074" s="10">
        <f t="shared" ca="1" si="33"/>
        <v>45775</v>
      </c>
      <c r="R1074" s="10"/>
      <c r="S1074" s="28">
        <v>20.5</v>
      </c>
      <c r="T1074" s="1" t="s">
        <v>2</v>
      </c>
      <c r="U1074" s="1" t="s">
        <v>1119</v>
      </c>
      <c r="V1074" s="1">
        <v>20250417</v>
      </c>
      <c r="W1074" s="8" t="s">
        <v>8443</v>
      </c>
      <c r="Z1074" s="1"/>
      <c r="AA1074" s="1"/>
      <c r="AC1074" s="1"/>
      <c r="AD1074" s="1"/>
      <c r="AE1074" s="1"/>
      <c r="AF1074" s="1"/>
    </row>
    <row r="1075" spans="2:32" ht="12.75" x14ac:dyDescent="0.2">
      <c r="B1075" s="1" t="s">
        <v>9581</v>
      </c>
      <c r="C1075" s="10">
        <f t="shared" ca="1" si="32"/>
        <v>43657</v>
      </c>
      <c r="D1075" s="4"/>
      <c r="E1075" s="4" t="s">
        <v>8434</v>
      </c>
      <c r="F1075" s="4" t="s">
        <v>1293</v>
      </c>
      <c r="G1075" s="4"/>
      <c r="H1075" s="4" t="str">
        <f>_xlfn.IFNA(VLOOKUP(Table_Query_from_AMULTIQRY45[[#This Row],[WPROD]],'Part# with New'!$A$1:$B$4347,2,0),Table_Query_from_AMULTIQRY45[[#This Row],[WPROD]])</f>
        <v>10568</v>
      </c>
      <c r="I1075" s="4" t="s">
        <v>8436</v>
      </c>
      <c r="J1075" s="1" t="s">
        <v>1027</v>
      </c>
      <c r="L1075" s="11">
        <v>240</v>
      </c>
      <c r="M1075" s="1"/>
      <c r="N1075" s="1" t="s">
        <v>1017</v>
      </c>
      <c r="P1075" s="1" t="str">
        <f>CONCATENATE(Table_Query_from_AMULTIQRY45[[#This Row],[WWHS]],"-",Table_Query_from_AMULTIQRY45[[#This Row],[LLOC]])</f>
        <v>E1-RAW</v>
      </c>
      <c r="Q1075" s="10">
        <f t="shared" ca="1" si="33"/>
        <v>45775</v>
      </c>
      <c r="R1075" s="10"/>
      <c r="S1075" s="28">
        <v>0.5</v>
      </c>
      <c r="T1075" s="1" t="s">
        <v>2</v>
      </c>
      <c r="U1075" s="1" t="s">
        <v>1120</v>
      </c>
      <c r="V1075" s="1">
        <v>20190711</v>
      </c>
      <c r="W1075" s="8" t="s">
        <v>8443</v>
      </c>
      <c r="Z1075" s="1"/>
      <c r="AA1075" s="1"/>
      <c r="AC1075" s="1"/>
      <c r="AD1075" s="1"/>
      <c r="AE1075" s="1"/>
      <c r="AF1075" s="1"/>
    </row>
    <row r="1076" spans="2:32" ht="12.75" x14ac:dyDescent="0.2">
      <c r="B1076" s="1" t="s">
        <v>9582</v>
      </c>
      <c r="C1076" s="10">
        <f t="shared" ca="1" si="32"/>
        <v>45679</v>
      </c>
      <c r="D1076" s="4"/>
      <c r="E1076" s="4" t="s">
        <v>8434</v>
      </c>
      <c r="F1076" s="4" t="s">
        <v>1293</v>
      </c>
      <c r="G1076" s="4"/>
      <c r="H1076" s="4" t="str">
        <f>_xlfn.IFNA(VLOOKUP(Table_Query_from_AMULTIQRY45[[#This Row],[WPROD]],'Part# with New'!$A$1:$B$4347,2,0),Table_Query_from_AMULTIQRY45[[#This Row],[WPROD]])</f>
        <v>10570</v>
      </c>
      <c r="I1076" s="4" t="s">
        <v>8436</v>
      </c>
      <c r="J1076" s="1" t="s">
        <v>1027</v>
      </c>
      <c r="L1076" s="11">
        <v>168</v>
      </c>
      <c r="M1076" s="1"/>
      <c r="N1076" s="1" t="s">
        <v>1017</v>
      </c>
      <c r="P1076" s="1" t="str">
        <f>CONCATENATE(Table_Query_from_AMULTIQRY45[[#This Row],[WWHS]],"-",Table_Query_from_AMULTIQRY45[[#This Row],[LLOC]])</f>
        <v>E1-RAW</v>
      </c>
      <c r="Q1076" s="10">
        <f t="shared" ca="1" si="33"/>
        <v>45775</v>
      </c>
      <c r="R1076" s="10"/>
      <c r="S1076" s="28">
        <v>0.5</v>
      </c>
      <c r="T1076" s="1" t="s">
        <v>2</v>
      </c>
      <c r="U1076" s="1" t="s">
        <v>1121</v>
      </c>
      <c r="V1076" s="1">
        <v>20250122</v>
      </c>
      <c r="W1076" s="8" t="s">
        <v>8443</v>
      </c>
      <c r="Z1076" s="1"/>
      <c r="AA1076" s="1"/>
      <c r="AC1076" s="1"/>
      <c r="AD1076" s="1"/>
      <c r="AE1076" s="1"/>
      <c r="AF1076" s="1"/>
    </row>
    <row r="1077" spans="2:32" ht="12.75" x14ac:dyDescent="0.2">
      <c r="B1077" s="1" t="s">
        <v>9583</v>
      </c>
      <c r="C1077" s="10">
        <f t="shared" ca="1" si="32"/>
        <v>44949</v>
      </c>
      <c r="D1077" s="4"/>
      <c r="E1077" s="4" t="s">
        <v>8434</v>
      </c>
      <c r="F1077" s="4" t="s">
        <v>1293</v>
      </c>
      <c r="G1077" s="4"/>
      <c r="H1077" s="4" t="str">
        <f>_xlfn.IFNA(VLOOKUP(Table_Query_from_AMULTIQRY45[[#This Row],[WPROD]],'Part# with New'!$A$1:$B$4347,2,0),Table_Query_from_AMULTIQRY45[[#This Row],[WPROD]])</f>
        <v>10573</v>
      </c>
      <c r="I1077" s="4" t="s">
        <v>8436</v>
      </c>
      <c r="J1077" s="1" t="s">
        <v>1027</v>
      </c>
      <c r="L1077" s="11">
        <v>12.82</v>
      </c>
      <c r="M1077" s="1"/>
      <c r="N1077" s="1" t="s">
        <v>1017</v>
      </c>
      <c r="P1077" s="1" t="str">
        <f>CONCATENATE(Table_Query_from_AMULTIQRY45[[#This Row],[WWHS]],"-",Table_Query_from_AMULTIQRY45[[#This Row],[LLOC]])</f>
        <v>E1-RAW</v>
      </c>
      <c r="Q1077" s="10">
        <f t="shared" ca="1" si="33"/>
        <v>45775</v>
      </c>
      <c r="R1077" s="10"/>
      <c r="S1077" s="28">
        <v>0.83</v>
      </c>
      <c r="T1077" s="1" t="s">
        <v>2</v>
      </c>
      <c r="U1077" s="1" t="s">
        <v>1122</v>
      </c>
      <c r="V1077" s="1">
        <v>20230123</v>
      </c>
      <c r="W1077" s="8" t="s">
        <v>8443</v>
      </c>
      <c r="Z1077" s="1"/>
      <c r="AA1077" s="1"/>
      <c r="AC1077" s="1"/>
      <c r="AD1077" s="1"/>
      <c r="AE1077" s="1"/>
      <c r="AF1077" s="1"/>
    </row>
    <row r="1078" spans="2:32" ht="12.75" x14ac:dyDescent="0.2">
      <c r="B1078" s="1" t="s">
        <v>9584</v>
      </c>
      <c r="C1078" s="10">
        <f t="shared" ca="1" si="32"/>
        <v>45582</v>
      </c>
      <c r="D1078" s="4"/>
      <c r="E1078" s="4" t="s">
        <v>8434</v>
      </c>
      <c r="F1078" s="4" t="s">
        <v>1293</v>
      </c>
      <c r="G1078" s="4"/>
      <c r="H1078" s="4" t="str">
        <f>_xlfn.IFNA(VLOOKUP(Table_Query_from_AMULTIQRY45[[#This Row],[WPROD]],'Part# with New'!$A$1:$B$4347,2,0),Table_Query_from_AMULTIQRY45[[#This Row],[WPROD]])</f>
        <v>10580</v>
      </c>
      <c r="I1078" s="4" t="s">
        <v>8436</v>
      </c>
      <c r="J1078" s="1" t="s">
        <v>1027</v>
      </c>
      <c r="L1078" s="11">
        <v>82.9</v>
      </c>
      <c r="M1078" s="1"/>
      <c r="N1078" s="1" t="s">
        <v>1017</v>
      </c>
      <c r="P1078" s="1" t="str">
        <f>CONCATENATE(Table_Query_from_AMULTIQRY45[[#This Row],[WWHS]],"-",Table_Query_from_AMULTIQRY45[[#This Row],[LLOC]])</f>
        <v>E1-RAW</v>
      </c>
      <c r="Q1078" s="10">
        <f t="shared" ca="1" si="33"/>
        <v>45775</v>
      </c>
      <c r="R1078" s="10"/>
      <c r="S1078" s="28">
        <v>1.54</v>
      </c>
      <c r="T1078" s="1" t="s">
        <v>2</v>
      </c>
      <c r="U1078" s="1" t="s">
        <v>1123</v>
      </c>
      <c r="V1078" s="1">
        <v>20241017</v>
      </c>
      <c r="W1078" s="8" t="s">
        <v>8443</v>
      </c>
      <c r="Z1078" s="1"/>
      <c r="AA1078" s="1"/>
      <c r="AC1078" s="1"/>
      <c r="AD1078" s="1"/>
      <c r="AE1078" s="1"/>
      <c r="AF1078" s="1"/>
    </row>
    <row r="1079" spans="2:32" ht="12.75" x14ac:dyDescent="0.2">
      <c r="B1079" s="1" t="s">
        <v>9585</v>
      </c>
      <c r="C1079" s="10">
        <f t="shared" ca="1" si="32"/>
        <v>44607</v>
      </c>
      <c r="D1079" s="4"/>
      <c r="E1079" s="4" t="s">
        <v>8434</v>
      </c>
      <c r="F1079" s="4" t="s">
        <v>1293</v>
      </c>
      <c r="G1079" s="4"/>
      <c r="H1079" s="4" t="str">
        <f>_xlfn.IFNA(VLOOKUP(Table_Query_from_AMULTIQRY45[[#This Row],[WPROD]],'Part# with New'!$A$1:$B$4347,2,0),Table_Query_from_AMULTIQRY45[[#This Row],[WPROD]])</f>
        <v>10592</v>
      </c>
      <c r="I1079" s="4" t="s">
        <v>8436</v>
      </c>
      <c r="J1079" s="1" t="s">
        <v>1027</v>
      </c>
      <c r="L1079" s="11">
        <v>15.85</v>
      </c>
      <c r="M1079" s="1"/>
      <c r="N1079" s="1" t="s">
        <v>1017</v>
      </c>
      <c r="P1079" s="1" t="str">
        <f>CONCATENATE(Table_Query_from_AMULTIQRY45[[#This Row],[WWHS]],"-",Table_Query_from_AMULTIQRY45[[#This Row],[LLOC]])</f>
        <v>E1-RAW</v>
      </c>
      <c r="Q1079" s="10">
        <f t="shared" ca="1" si="33"/>
        <v>45775</v>
      </c>
      <c r="R1079" s="10"/>
      <c r="S1079" s="28">
        <v>8.25</v>
      </c>
      <c r="T1079" s="1" t="s">
        <v>2</v>
      </c>
      <c r="U1079" s="1" t="s">
        <v>1124</v>
      </c>
      <c r="V1079" s="1">
        <v>20220215</v>
      </c>
      <c r="W1079" s="8" t="s">
        <v>8443</v>
      </c>
      <c r="Z1079" s="1"/>
      <c r="AA1079" s="1"/>
      <c r="AC1079" s="1"/>
      <c r="AD1079" s="1"/>
      <c r="AE1079" s="1"/>
      <c r="AF1079" s="1"/>
    </row>
    <row r="1080" spans="2:32" ht="12.75" x14ac:dyDescent="0.2">
      <c r="B1080" s="1" t="s">
        <v>9586</v>
      </c>
      <c r="C1080" s="10">
        <f t="shared" ca="1" si="32"/>
        <v>45539</v>
      </c>
      <c r="D1080" s="4"/>
      <c r="E1080" s="4" t="s">
        <v>8434</v>
      </c>
      <c r="F1080" s="4" t="s">
        <v>1293</v>
      </c>
      <c r="G1080" s="4"/>
      <c r="H1080" s="4" t="str">
        <f>_xlfn.IFNA(VLOOKUP(Table_Query_from_AMULTIQRY45[[#This Row],[WPROD]],'Part# with New'!$A$1:$B$4347,2,0),Table_Query_from_AMULTIQRY45[[#This Row],[WPROD]])</f>
        <v>10593</v>
      </c>
      <c r="I1080" s="4" t="s">
        <v>8436</v>
      </c>
      <c r="J1080" s="1" t="s">
        <v>1019</v>
      </c>
      <c r="L1080" s="11">
        <v>12.9</v>
      </c>
      <c r="M1080" s="1"/>
      <c r="N1080" s="1" t="s">
        <v>1017</v>
      </c>
      <c r="P1080" s="1" t="str">
        <f>CONCATENATE(Table_Query_from_AMULTIQRY45[[#This Row],[WWHS]],"-",Table_Query_from_AMULTIQRY45[[#This Row],[LLOC]])</f>
        <v>E1-RAW</v>
      </c>
      <c r="Q1080" s="10">
        <f t="shared" ca="1" si="33"/>
        <v>45775</v>
      </c>
      <c r="R1080" s="10"/>
      <c r="S1080" s="28">
        <v>35</v>
      </c>
      <c r="T1080" s="1" t="s">
        <v>2</v>
      </c>
      <c r="U1080" s="1" t="s">
        <v>1125</v>
      </c>
      <c r="V1080" s="1">
        <v>20240904</v>
      </c>
      <c r="W1080" s="8" t="s">
        <v>8443</v>
      </c>
      <c r="Z1080" s="1"/>
      <c r="AA1080" s="1"/>
      <c r="AC1080" s="1"/>
      <c r="AD1080" s="1"/>
      <c r="AE1080" s="1"/>
      <c r="AF1080" s="1"/>
    </row>
    <row r="1081" spans="2:32" ht="12.75" x14ac:dyDescent="0.2">
      <c r="B1081" s="1" t="s">
        <v>9587</v>
      </c>
      <c r="C1081" s="10">
        <f t="shared" ca="1" si="32"/>
        <v>45629</v>
      </c>
      <c r="D1081" s="4"/>
      <c r="E1081" s="4" t="s">
        <v>8434</v>
      </c>
      <c r="F1081" s="4" t="s">
        <v>1293</v>
      </c>
      <c r="G1081" s="4"/>
      <c r="H1081" s="4" t="str">
        <f>_xlfn.IFNA(VLOOKUP(Table_Query_from_AMULTIQRY45[[#This Row],[WPROD]],'Part# with New'!$A$1:$B$4347,2,0),Table_Query_from_AMULTIQRY45[[#This Row],[WPROD]])</f>
        <v>10596</v>
      </c>
      <c r="I1081" s="4" t="s">
        <v>8436</v>
      </c>
      <c r="J1081" s="1" t="s">
        <v>1027</v>
      </c>
      <c r="L1081" s="11">
        <v>9.6300000000000008</v>
      </c>
      <c r="M1081" s="1"/>
      <c r="N1081" s="1" t="s">
        <v>1017</v>
      </c>
      <c r="P1081" s="1" t="str">
        <f>CONCATENATE(Table_Query_from_AMULTIQRY45[[#This Row],[WWHS]],"-",Table_Query_from_AMULTIQRY45[[#This Row],[LLOC]])</f>
        <v>E1-RAW</v>
      </c>
      <c r="Q1081" s="10">
        <f t="shared" ca="1" si="33"/>
        <v>45775</v>
      </c>
      <c r="R1081" s="10"/>
      <c r="S1081" s="28">
        <v>23.4</v>
      </c>
      <c r="T1081" s="1" t="s">
        <v>2</v>
      </c>
      <c r="U1081" s="1" t="s">
        <v>1126</v>
      </c>
      <c r="V1081" s="1">
        <v>20241203</v>
      </c>
      <c r="W1081" s="8" t="s">
        <v>8443</v>
      </c>
      <c r="Z1081" s="1"/>
      <c r="AA1081" s="1"/>
      <c r="AC1081" s="1"/>
      <c r="AD1081" s="1"/>
      <c r="AE1081" s="1"/>
      <c r="AF1081" s="1"/>
    </row>
    <row r="1082" spans="2:32" ht="12.75" x14ac:dyDescent="0.2">
      <c r="B1082" s="1" t="s">
        <v>9588</v>
      </c>
      <c r="C1082" s="10">
        <f t="shared" ca="1" si="32"/>
        <v>45660</v>
      </c>
      <c r="D1082" s="4"/>
      <c r="E1082" s="4" t="s">
        <v>8434</v>
      </c>
      <c r="F1082" s="4" t="s">
        <v>1293</v>
      </c>
      <c r="G1082" s="4"/>
      <c r="H1082" s="4" t="str">
        <f>_xlfn.IFNA(VLOOKUP(Table_Query_from_AMULTIQRY45[[#This Row],[WPROD]],'Part# with New'!$A$1:$B$4347,2,0),Table_Query_from_AMULTIQRY45[[#This Row],[WPROD]])</f>
        <v>10598</v>
      </c>
      <c r="I1082" s="4" t="s">
        <v>8436</v>
      </c>
      <c r="J1082" s="1" t="s">
        <v>1027</v>
      </c>
      <c r="L1082" s="11">
        <v>22.17</v>
      </c>
      <c r="M1082" s="1"/>
      <c r="N1082" s="1" t="s">
        <v>1017</v>
      </c>
      <c r="P1082" s="1" t="str">
        <f>CONCATENATE(Table_Query_from_AMULTIQRY45[[#This Row],[WWHS]],"-",Table_Query_from_AMULTIQRY45[[#This Row],[LLOC]])</f>
        <v>E1-RAW</v>
      </c>
      <c r="Q1082" s="10">
        <f t="shared" ca="1" si="33"/>
        <v>45775</v>
      </c>
      <c r="R1082" s="10"/>
      <c r="S1082" s="28">
        <v>8</v>
      </c>
      <c r="T1082" s="1" t="s">
        <v>2</v>
      </c>
      <c r="U1082" s="1" t="s">
        <v>1127</v>
      </c>
      <c r="V1082" s="1">
        <v>20250103</v>
      </c>
      <c r="W1082" s="8" t="s">
        <v>8443</v>
      </c>
      <c r="Z1082" s="1"/>
      <c r="AA1082" s="1"/>
      <c r="AC1082" s="1"/>
      <c r="AD1082" s="1"/>
      <c r="AE1082" s="1"/>
      <c r="AF1082" s="1"/>
    </row>
    <row r="1083" spans="2:32" ht="12.75" x14ac:dyDescent="0.2">
      <c r="B1083" s="1" t="s">
        <v>9589</v>
      </c>
      <c r="C1083" s="10">
        <f t="shared" ca="1" si="32"/>
        <v>45747</v>
      </c>
      <c r="D1083" s="4"/>
      <c r="E1083" s="4" t="s">
        <v>8434</v>
      </c>
      <c r="F1083" s="4" t="s">
        <v>1293</v>
      </c>
      <c r="G1083" s="4"/>
      <c r="H1083" s="4" t="str">
        <f>_xlfn.IFNA(VLOOKUP(Table_Query_from_AMULTIQRY45[[#This Row],[WPROD]],'Part# with New'!$A$1:$B$4347,2,0),Table_Query_from_AMULTIQRY45[[#This Row],[WPROD]])</f>
        <v>10599</v>
      </c>
      <c r="I1083" s="4" t="s">
        <v>8436</v>
      </c>
      <c r="J1083" s="1" t="s">
        <v>1019</v>
      </c>
      <c r="L1083" s="11">
        <v>14.5</v>
      </c>
      <c r="M1083" s="1"/>
      <c r="N1083" s="1" t="s">
        <v>1017</v>
      </c>
      <c r="P1083" s="1" t="str">
        <f>CONCATENATE(Table_Query_from_AMULTIQRY45[[#This Row],[WWHS]],"-",Table_Query_from_AMULTIQRY45[[#This Row],[LLOC]])</f>
        <v>E1-RAW</v>
      </c>
      <c r="Q1083" s="10">
        <f t="shared" ca="1" si="33"/>
        <v>45775</v>
      </c>
      <c r="R1083" s="10"/>
      <c r="S1083" s="28">
        <v>787</v>
      </c>
      <c r="T1083" s="1" t="s">
        <v>2</v>
      </c>
      <c r="U1083" s="1" t="s">
        <v>1128</v>
      </c>
      <c r="V1083" s="1">
        <v>20250331</v>
      </c>
      <c r="W1083" s="8" t="s">
        <v>8443</v>
      </c>
      <c r="Z1083" s="1"/>
      <c r="AA1083" s="1"/>
      <c r="AC1083" s="1"/>
      <c r="AD1083" s="1"/>
      <c r="AE1083" s="1"/>
      <c r="AF1083" s="1"/>
    </row>
    <row r="1084" spans="2:32" ht="12.75" x14ac:dyDescent="0.2">
      <c r="B1084" s="1" t="s">
        <v>9590</v>
      </c>
      <c r="C1084" s="10">
        <f t="shared" ca="1" si="32"/>
        <v>45548</v>
      </c>
      <c r="D1084" s="4"/>
      <c r="E1084" s="4" t="s">
        <v>8434</v>
      </c>
      <c r="F1084" s="4" t="s">
        <v>1293</v>
      </c>
      <c r="G1084" s="4"/>
      <c r="H1084" s="4" t="str">
        <f>_xlfn.IFNA(VLOOKUP(Table_Query_from_AMULTIQRY45[[#This Row],[WPROD]],'Part# with New'!$A$1:$B$4347,2,0),Table_Query_from_AMULTIQRY45[[#This Row],[WPROD]])</f>
        <v>10601</v>
      </c>
      <c r="I1084" s="4" t="s">
        <v>8436</v>
      </c>
      <c r="J1084" s="1" t="s">
        <v>1027</v>
      </c>
      <c r="L1084" s="11">
        <v>10.57</v>
      </c>
      <c r="M1084" s="1"/>
      <c r="N1084" s="1" t="s">
        <v>1017</v>
      </c>
      <c r="P1084" s="1" t="str">
        <f>CONCATENATE(Table_Query_from_AMULTIQRY45[[#This Row],[WWHS]],"-",Table_Query_from_AMULTIQRY45[[#This Row],[LLOC]])</f>
        <v>E1-RAW</v>
      </c>
      <c r="Q1084" s="10">
        <f t="shared" ca="1" si="33"/>
        <v>45775</v>
      </c>
      <c r="R1084" s="10"/>
      <c r="S1084" s="28">
        <v>27.251000000000001</v>
      </c>
      <c r="T1084" s="1" t="s">
        <v>2</v>
      </c>
      <c r="U1084" s="1" t="s">
        <v>1129</v>
      </c>
      <c r="V1084" s="1">
        <v>20240913</v>
      </c>
      <c r="W1084" s="8" t="s">
        <v>8443</v>
      </c>
      <c r="Z1084" s="1"/>
      <c r="AA1084" s="1"/>
      <c r="AC1084" s="1"/>
      <c r="AD1084" s="1"/>
      <c r="AE1084" s="1"/>
      <c r="AF1084" s="1"/>
    </row>
    <row r="1085" spans="2:32" ht="12.75" x14ac:dyDescent="0.2">
      <c r="B1085" s="1" t="s">
        <v>9591</v>
      </c>
      <c r="C1085" s="10">
        <f t="shared" ca="1" si="32"/>
        <v>43614</v>
      </c>
      <c r="D1085" s="4"/>
      <c r="E1085" s="4" t="s">
        <v>8434</v>
      </c>
      <c r="F1085" s="4" t="s">
        <v>1293</v>
      </c>
      <c r="G1085" s="4"/>
      <c r="H1085" s="4" t="str">
        <f>_xlfn.IFNA(VLOOKUP(Table_Query_from_AMULTIQRY45[[#This Row],[WPROD]],'Part# with New'!$A$1:$B$4347,2,0),Table_Query_from_AMULTIQRY45[[#This Row],[WPROD]])</f>
        <v>10604</v>
      </c>
      <c r="I1085" s="4" t="s">
        <v>8436</v>
      </c>
      <c r="J1085" s="1" t="s">
        <v>1027</v>
      </c>
      <c r="L1085" s="11">
        <v>9.6999999999999993</v>
      </c>
      <c r="M1085" s="1"/>
      <c r="N1085" s="1" t="s">
        <v>1017</v>
      </c>
      <c r="P1085" s="1" t="str">
        <f>CONCATENATE(Table_Query_from_AMULTIQRY45[[#This Row],[WWHS]],"-",Table_Query_from_AMULTIQRY45[[#This Row],[LLOC]])</f>
        <v>E1-RAW</v>
      </c>
      <c r="Q1085" s="10">
        <f t="shared" ca="1" si="33"/>
        <v>45775</v>
      </c>
      <c r="R1085" s="10"/>
      <c r="S1085" s="28">
        <v>13.51</v>
      </c>
      <c r="T1085" s="1" t="s">
        <v>2</v>
      </c>
      <c r="U1085" s="1" t="s">
        <v>1130</v>
      </c>
      <c r="V1085" s="1">
        <v>20190529</v>
      </c>
      <c r="W1085" s="8" t="s">
        <v>8443</v>
      </c>
      <c r="Z1085" s="1"/>
      <c r="AA1085" s="1"/>
      <c r="AC1085" s="1"/>
      <c r="AD1085" s="1"/>
      <c r="AE1085" s="1"/>
      <c r="AF1085" s="1"/>
    </row>
    <row r="1086" spans="2:32" ht="12.75" x14ac:dyDescent="0.2">
      <c r="B1086" s="1" t="s">
        <v>9592</v>
      </c>
      <c r="C1086" s="10">
        <f t="shared" ca="1" si="32"/>
        <v>45236</v>
      </c>
      <c r="D1086" s="4"/>
      <c r="E1086" s="4" t="s">
        <v>8434</v>
      </c>
      <c r="F1086" s="4" t="s">
        <v>1293</v>
      </c>
      <c r="G1086" s="4"/>
      <c r="H1086" s="4" t="str">
        <f>_xlfn.IFNA(VLOOKUP(Table_Query_from_AMULTIQRY45[[#This Row],[WPROD]],'Part# with New'!$A$1:$B$4347,2,0),Table_Query_from_AMULTIQRY45[[#This Row],[WPROD]])</f>
        <v>10610</v>
      </c>
      <c r="I1086" s="4" t="s">
        <v>8436</v>
      </c>
      <c r="J1086" s="1" t="s">
        <v>1027</v>
      </c>
      <c r="L1086" s="11">
        <v>50.924810000000001</v>
      </c>
      <c r="M1086" s="1"/>
      <c r="N1086" s="1" t="s">
        <v>1017</v>
      </c>
      <c r="P1086" s="1" t="str">
        <f>CONCATENATE(Table_Query_from_AMULTIQRY45[[#This Row],[WWHS]],"-",Table_Query_from_AMULTIQRY45[[#This Row],[LLOC]])</f>
        <v>E1-RAW</v>
      </c>
      <c r="Q1086" s="10">
        <f t="shared" ca="1" si="33"/>
        <v>45775</v>
      </c>
      <c r="R1086" s="10"/>
      <c r="S1086" s="28">
        <v>35.950000000000003</v>
      </c>
      <c r="T1086" s="1" t="s">
        <v>2</v>
      </c>
      <c r="U1086" s="1" t="s">
        <v>1131</v>
      </c>
      <c r="V1086" s="1">
        <v>20231106</v>
      </c>
      <c r="W1086" s="8" t="s">
        <v>8443</v>
      </c>
      <c r="Z1086" s="1"/>
      <c r="AA1086" s="1"/>
      <c r="AC1086" s="1"/>
      <c r="AD1086" s="1"/>
      <c r="AE1086" s="1"/>
      <c r="AF1086" s="1"/>
    </row>
    <row r="1087" spans="2:32" ht="12.75" x14ac:dyDescent="0.2">
      <c r="B1087" s="1" t="s">
        <v>9593</v>
      </c>
      <c r="C1087" s="10">
        <f t="shared" ca="1" si="32"/>
        <v>45356</v>
      </c>
      <c r="D1087" s="4"/>
      <c r="E1087" s="4" t="s">
        <v>8434</v>
      </c>
      <c r="F1087" s="4" t="s">
        <v>1293</v>
      </c>
      <c r="G1087" s="4"/>
      <c r="H1087" s="4" t="str">
        <f>_xlfn.IFNA(VLOOKUP(Table_Query_from_AMULTIQRY45[[#This Row],[WPROD]],'Part# with New'!$A$1:$B$4347,2,0),Table_Query_from_AMULTIQRY45[[#This Row],[WPROD]])</f>
        <v>10614</v>
      </c>
      <c r="I1087" s="4" t="s">
        <v>8436</v>
      </c>
      <c r="J1087" s="1" t="s">
        <v>1019</v>
      </c>
      <c r="L1087" s="11">
        <v>21.221730000000001</v>
      </c>
      <c r="M1087" s="1"/>
      <c r="N1087" s="1" t="s">
        <v>1017</v>
      </c>
      <c r="P1087" s="1" t="str">
        <f>CONCATENATE(Table_Query_from_AMULTIQRY45[[#This Row],[WWHS]],"-",Table_Query_from_AMULTIQRY45[[#This Row],[LLOC]])</f>
        <v>E1-RAW</v>
      </c>
      <c r="Q1087" s="10">
        <f t="shared" ca="1" si="33"/>
        <v>45775</v>
      </c>
      <c r="R1087" s="10"/>
      <c r="S1087" s="28">
        <v>13.93</v>
      </c>
      <c r="T1087" s="1" t="s">
        <v>2</v>
      </c>
      <c r="U1087" s="1" t="s">
        <v>1132</v>
      </c>
      <c r="V1087" s="1">
        <v>20240305</v>
      </c>
      <c r="W1087" s="8" t="s">
        <v>8443</v>
      </c>
      <c r="Z1087" s="1"/>
      <c r="AA1087" s="1"/>
      <c r="AC1087" s="1"/>
      <c r="AD1087" s="1"/>
      <c r="AE1087" s="1"/>
      <c r="AF1087" s="1"/>
    </row>
    <row r="1088" spans="2:32" ht="12.75" x14ac:dyDescent="0.2">
      <c r="B1088" s="1" t="s">
        <v>9594</v>
      </c>
      <c r="C1088" s="10">
        <f t="shared" ca="1" si="32"/>
        <v>44634</v>
      </c>
      <c r="D1088" s="4"/>
      <c r="E1088" s="4" t="s">
        <v>8434</v>
      </c>
      <c r="F1088" s="4" t="s">
        <v>1293</v>
      </c>
      <c r="G1088" s="4"/>
      <c r="H1088" s="4" t="str">
        <f>_xlfn.IFNA(VLOOKUP(Table_Query_from_AMULTIQRY45[[#This Row],[WPROD]],'Part# with New'!$A$1:$B$4347,2,0),Table_Query_from_AMULTIQRY45[[#This Row],[WPROD]])</f>
        <v>10615</v>
      </c>
      <c r="I1088" s="4" t="s">
        <v>8436</v>
      </c>
      <c r="J1088" s="1" t="s">
        <v>1019</v>
      </c>
      <c r="L1088" s="11">
        <v>17.905000000000001</v>
      </c>
      <c r="M1088" s="1"/>
      <c r="N1088" s="1" t="s">
        <v>1017</v>
      </c>
      <c r="P1088" s="1" t="str">
        <f>CONCATENATE(Table_Query_from_AMULTIQRY45[[#This Row],[WWHS]],"-",Table_Query_from_AMULTIQRY45[[#This Row],[LLOC]])</f>
        <v>E1-RAW</v>
      </c>
      <c r="Q1088" s="10">
        <f t="shared" ca="1" si="33"/>
        <v>45775</v>
      </c>
      <c r="R1088" s="10"/>
      <c r="S1088" s="28">
        <v>0.1</v>
      </c>
      <c r="T1088" s="1" t="s">
        <v>2</v>
      </c>
      <c r="U1088" s="1" t="s">
        <v>1133</v>
      </c>
      <c r="V1088" s="1">
        <v>20220314</v>
      </c>
      <c r="W1088" s="8" t="s">
        <v>8443</v>
      </c>
      <c r="Z1088" s="1"/>
      <c r="AA1088" s="1"/>
      <c r="AC1088" s="1"/>
      <c r="AD1088" s="1"/>
      <c r="AE1088" s="1"/>
      <c r="AF1088" s="1"/>
    </row>
    <row r="1089" spans="2:32" ht="12.75" x14ac:dyDescent="0.2">
      <c r="B1089" s="1" t="s">
        <v>9595</v>
      </c>
      <c r="C1089" s="10">
        <f t="shared" ca="1" si="32"/>
        <v>45747</v>
      </c>
      <c r="D1089" s="4"/>
      <c r="E1089" s="4" t="s">
        <v>8434</v>
      </c>
      <c r="F1089" s="4" t="s">
        <v>1293</v>
      </c>
      <c r="G1089" s="4"/>
      <c r="H1089" s="4" t="str">
        <f>_xlfn.IFNA(VLOOKUP(Table_Query_from_AMULTIQRY45[[#This Row],[WPROD]],'Part# with New'!$A$1:$B$4347,2,0),Table_Query_from_AMULTIQRY45[[#This Row],[WPROD]])</f>
        <v>10618</v>
      </c>
      <c r="I1089" s="4" t="s">
        <v>8436</v>
      </c>
      <c r="J1089" s="1" t="s">
        <v>1027</v>
      </c>
      <c r="L1089" s="11">
        <v>7.85</v>
      </c>
      <c r="M1089" s="1"/>
      <c r="N1089" s="1" t="s">
        <v>1017</v>
      </c>
      <c r="P1089" s="1" t="str">
        <f>CONCATENATE(Table_Query_from_AMULTIQRY45[[#This Row],[WWHS]],"-",Table_Query_from_AMULTIQRY45[[#This Row],[LLOC]])</f>
        <v>E1-RAW</v>
      </c>
      <c r="Q1089" s="10">
        <f t="shared" ca="1" si="33"/>
        <v>45775</v>
      </c>
      <c r="R1089" s="10"/>
      <c r="S1089" s="28">
        <v>35</v>
      </c>
      <c r="T1089" s="1" t="s">
        <v>2</v>
      </c>
      <c r="U1089" s="1" t="s">
        <v>1134</v>
      </c>
      <c r="V1089" s="1">
        <v>20250331</v>
      </c>
      <c r="W1089" s="8" t="s">
        <v>8443</v>
      </c>
      <c r="Z1089" s="1"/>
      <c r="AA1089" s="1"/>
      <c r="AC1089" s="1"/>
      <c r="AD1089" s="1"/>
      <c r="AE1089" s="1"/>
      <c r="AF1089" s="1"/>
    </row>
    <row r="1090" spans="2:32" ht="12.75" x14ac:dyDescent="0.2">
      <c r="B1090" s="1" t="s">
        <v>9596</v>
      </c>
      <c r="C1090" s="10">
        <f t="shared" ca="1" si="32"/>
        <v>45742</v>
      </c>
      <c r="D1090" s="4"/>
      <c r="E1090" s="4" t="s">
        <v>8434</v>
      </c>
      <c r="F1090" s="4" t="s">
        <v>1293</v>
      </c>
      <c r="G1090" s="4"/>
      <c r="H1090" s="4" t="str">
        <f>_xlfn.IFNA(VLOOKUP(Table_Query_from_AMULTIQRY45[[#This Row],[WPROD]],'Part# with New'!$A$1:$B$4347,2,0),Table_Query_from_AMULTIQRY45[[#This Row],[WPROD]])</f>
        <v>10620</v>
      </c>
      <c r="I1090" s="4" t="s">
        <v>8436</v>
      </c>
      <c r="J1090" s="1" t="s">
        <v>1019</v>
      </c>
      <c r="L1090" s="11">
        <v>15.96</v>
      </c>
      <c r="M1090" s="1"/>
      <c r="N1090" s="1" t="s">
        <v>1017</v>
      </c>
      <c r="P1090" s="1" t="str">
        <f>CONCATENATE(Table_Query_from_AMULTIQRY45[[#This Row],[WWHS]],"-",Table_Query_from_AMULTIQRY45[[#This Row],[LLOC]])</f>
        <v>E1-RAW</v>
      </c>
      <c r="Q1090" s="10">
        <f t="shared" ca="1" si="33"/>
        <v>45775</v>
      </c>
      <c r="R1090" s="10"/>
      <c r="S1090" s="28">
        <v>14</v>
      </c>
      <c r="T1090" s="1" t="s">
        <v>2</v>
      </c>
      <c r="U1090" s="1" t="s">
        <v>1135</v>
      </c>
      <c r="V1090" s="1">
        <v>20250326</v>
      </c>
      <c r="W1090" s="8" t="s">
        <v>8443</v>
      </c>
      <c r="Z1090" s="1"/>
      <c r="AA1090" s="1"/>
      <c r="AC1090" s="1"/>
      <c r="AD1090" s="1"/>
      <c r="AE1090" s="1"/>
      <c r="AF1090" s="1"/>
    </row>
    <row r="1091" spans="2:32" ht="12.75" x14ac:dyDescent="0.2">
      <c r="B1091" s="1" t="s">
        <v>9597</v>
      </c>
      <c r="C1091" s="10">
        <f t="shared" ca="1" si="32"/>
        <v>43928</v>
      </c>
      <c r="D1091" s="4"/>
      <c r="E1091" s="4" t="s">
        <v>8434</v>
      </c>
      <c r="F1091" s="4" t="s">
        <v>1293</v>
      </c>
      <c r="G1091" s="4"/>
      <c r="H1091" s="4" t="str">
        <f>_xlfn.IFNA(VLOOKUP(Table_Query_from_AMULTIQRY45[[#This Row],[WPROD]],'Part# with New'!$A$1:$B$4347,2,0),Table_Query_from_AMULTIQRY45[[#This Row],[WPROD]])</f>
        <v>10622</v>
      </c>
      <c r="I1091" s="4" t="s">
        <v>8436</v>
      </c>
      <c r="J1091" s="1" t="s">
        <v>1027</v>
      </c>
      <c r="L1091" s="11">
        <v>11.23</v>
      </c>
      <c r="M1091" s="1"/>
      <c r="N1091" s="1" t="s">
        <v>1017</v>
      </c>
      <c r="P1091" s="1" t="str">
        <f>CONCATENATE(Table_Query_from_AMULTIQRY45[[#This Row],[WWHS]],"-",Table_Query_from_AMULTIQRY45[[#This Row],[LLOC]])</f>
        <v>E1-RAW</v>
      </c>
      <c r="Q1091" s="10">
        <f t="shared" ca="1" si="33"/>
        <v>45775</v>
      </c>
      <c r="R1091" s="10"/>
      <c r="S1091" s="28">
        <v>8.625</v>
      </c>
      <c r="T1091" s="1" t="s">
        <v>2</v>
      </c>
      <c r="U1091" s="1" t="s">
        <v>1136</v>
      </c>
      <c r="V1091" s="1">
        <v>20200407</v>
      </c>
      <c r="W1091" s="8" t="s">
        <v>8443</v>
      </c>
      <c r="Z1091" s="1"/>
      <c r="AA1091" s="1"/>
      <c r="AC1091" s="1"/>
      <c r="AD1091" s="1"/>
      <c r="AE1091" s="1"/>
      <c r="AF1091" s="1"/>
    </row>
    <row r="1092" spans="2:32" ht="12.75" x14ac:dyDescent="0.2">
      <c r="B1092" s="1" t="s">
        <v>9598</v>
      </c>
      <c r="C1092" s="10">
        <f t="shared" ca="1" si="32"/>
        <v>45768</v>
      </c>
      <c r="D1092" s="4"/>
      <c r="E1092" s="4" t="s">
        <v>8434</v>
      </c>
      <c r="F1092" s="4" t="s">
        <v>1293</v>
      </c>
      <c r="G1092" s="4"/>
      <c r="H1092" s="4" t="str">
        <f>_xlfn.IFNA(VLOOKUP(Table_Query_from_AMULTIQRY45[[#This Row],[WPROD]],'Part# with New'!$A$1:$B$4347,2,0),Table_Query_from_AMULTIQRY45[[#This Row],[WPROD]])</f>
        <v>10624</v>
      </c>
      <c r="I1092" s="4" t="s">
        <v>8436</v>
      </c>
      <c r="J1092" s="1" t="s">
        <v>1019</v>
      </c>
      <c r="L1092" s="11">
        <v>19.07</v>
      </c>
      <c r="M1092" s="1"/>
      <c r="N1092" s="1" t="s">
        <v>1017</v>
      </c>
      <c r="P1092" s="1" t="str">
        <f>CONCATENATE(Table_Query_from_AMULTIQRY45[[#This Row],[WWHS]],"-",Table_Query_from_AMULTIQRY45[[#This Row],[LLOC]])</f>
        <v>E1-RAW</v>
      </c>
      <c r="Q1092" s="10">
        <f t="shared" ca="1" si="33"/>
        <v>45775</v>
      </c>
      <c r="R1092" s="10"/>
      <c r="S1092" s="28">
        <v>3.59</v>
      </c>
      <c r="T1092" s="1" t="s">
        <v>2</v>
      </c>
      <c r="U1092" s="1" t="s">
        <v>1137</v>
      </c>
      <c r="V1092" s="1">
        <v>20250421</v>
      </c>
      <c r="W1092" s="8" t="s">
        <v>8443</v>
      </c>
      <c r="Z1092" s="1"/>
      <c r="AA1092" s="1"/>
      <c r="AC1092" s="1"/>
      <c r="AD1092" s="1"/>
      <c r="AE1092" s="1"/>
      <c r="AF1092" s="1"/>
    </row>
    <row r="1093" spans="2:32" ht="12.75" x14ac:dyDescent="0.2">
      <c r="B1093" s="1" t="s">
        <v>9599</v>
      </c>
      <c r="C1093" s="10">
        <f t="shared" ca="1" si="32"/>
        <v>45043</v>
      </c>
      <c r="D1093" s="4"/>
      <c r="E1093" s="4" t="s">
        <v>8434</v>
      </c>
      <c r="F1093" s="4" t="s">
        <v>1293</v>
      </c>
      <c r="G1093" s="4"/>
      <c r="H1093" s="4" t="str">
        <f>_xlfn.IFNA(VLOOKUP(Table_Query_from_AMULTIQRY45[[#This Row],[WPROD]],'Part# with New'!$A$1:$B$4347,2,0),Table_Query_from_AMULTIQRY45[[#This Row],[WPROD]])</f>
        <v>10626</v>
      </c>
      <c r="I1093" s="4" t="s">
        <v>8436</v>
      </c>
      <c r="J1093" s="1" t="s">
        <v>1019</v>
      </c>
      <c r="L1093" s="11">
        <v>15.72</v>
      </c>
      <c r="M1093" s="1"/>
      <c r="N1093" s="1" t="s">
        <v>1017</v>
      </c>
      <c r="P1093" s="1" t="str">
        <f>CONCATENATE(Table_Query_from_AMULTIQRY45[[#This Row],[WWHS]],"-",Table_Query_from_AMULTIQRY45[[#This Row],[LLOC]])</f>
        <v>E1-RAW</v>
      </c>
      <c r="Q1093" s="10">
        <f t="shared" ca="1" si="33"/>
        <v>45775</v>
      </c>
      <c r="R1093" s="10"/>
      <c r="S1093" s="28">
        <v>298.43</v>
      </c>
      <c r="T1093" s="1" t="s">
        <v>2</v>
      </c>
      <c r="U1093" s="1" t="s">
        <v>1138</v>
      </c>
      <c r="V1093" s="1">
        <v>20230427</v>
      </c>
      <c r="W1093" s="8" t="s">
        <v>8443</v>
      </c>
      <c r="Z1093" s="1"/>
      <c r="AA1093" s="1"/>
      <c r="AC1093" s="1"/>
      <c r="AD1093" s="1"/>
      <c r="AE1093" s="1"/>
      <c r="AF1093" s="1"/>
    </row>
    <row r="1094" spans="2:32" ht="12.75" x14ac:dyDescent="0.2">
      <c r="B1094" s="1" t="s">
        <v>9600</v>
      </c>
      <c r="C1094" s="10">
        <f t="shared" ca="1" si="32"/>
        <v>45761</v>
      </c>
      <c r="D1094" s="4"/>
      <c r="E1094" s="4" t="s">
        <v>8434</v>
      </c>
      <c r="F1094" s="4" t="s">
        <v>1293</v>
      </c>
      <c r="G1094" s="4"/>
      <c r="H1094" s="4" t="str">
        <f>_xlfn.IFNA(VLOOKUP(Table_Query_from_AMULTIQRY45[[#This Row],[WPROD]],'Part# with New'!$A$1:$B$4347,2,0),Table_Query_from_AMULTIQRY45[[#This Row],[WPROD]])</f>
        <v>10627</v>
      </c>
      <c r="I1094" s="4" t="s">
        <v>8436</v>
      </c>
      <c r="J1094" s="1" t="s">
        <v>1019</v>
      </c>
      <c r="L1094" s="11">
        <v>13.77</v>
      </c>
      <c r="M1094" s="1"/>
      <c r="N1094" s="1" t="s">
        <v>1017</v>
      </c>
      <c r="P1094" s="1" t="str">
        <f>CONCATENATE(Table_Query_from_AMULTIQRY45[[#This Row],[WWHS]],"-",Table_Query_from_AMULTIQRY45[[#This Row],[LLOC]])</f>
        <v>E1-RAW</v>
      </c>
      <c r="Q1094" s="10">
        <f t="shared" ca="1" si="33"/>
        <v>45775</v>
      </c>
      <c r="R1094" s="10"/>
      <c r="S1094" s="28">
        <v>9.6069999999999993</v>
      </c>
      <c r="T1094" s="1" t="s">
        <v>2</v>
      </c>
      <c r="U1094" s="1" t="s">
        <v>1139</v>
      </c>
      <c r="V1094" s="1">
        <v>20250414</v>
      </c>
      <c r="W1094" s="8" t="s">
        <v>8443</v>
      </c>
      <c r="Z1094" s="1"/>
      <c r="AA1094" s="1"/>
      <c r="AC1094" s="1"/>
      <c r="AD1094" s="1"/>
      <c r="AE1094" s="1"/>
      <c r="AF1094" s="1"/>
    </row>
    <row r="1095" spans="2:32" ht="12.75" x14ac:dyDescent="0.2">
      <c r="B1095" s="1" t="s">
        <v>9601</v>
      </c>
      <c r="C1095" s="10">
        <f t="shared" ref="C1095:C1158" ca="1" si="34">IFERROR(DATE(LEFT($V1095,4),MID($V1095,5,2),RIGHT($V1095,2)),TODAY())</f>
        <v>45736</v>
      </c>
      <c r="D1095" s="4"/>
      <c r="E1095" s="4" t="s">
        <v>8434</v>
      </c>
      <c r="F1095" s="4" t="s">
        <v>1293</v>
      </c>
      <c r="G1095" s="4"/>
      <c r="H1095" s="4" t="str">
        <f>_xlfn.IFNA(VLOOKUP(Table_Query_from_AMULTIQRY45[[#This Row],[WPROD]],'Part# with New'!$A$1:$B$4347,2,0),Table_Query_from_AMULTIQRY45[[#This Row],[WPROD]])</f>
        <v>10628</v>
      </c>
      <c r="I1095" s="4" t="s">
        <v>8436</v>
      </c>
      <c r="J1095" s="1" t="s">
        <v>1019</v>
      </c>
      <c r="L1095" s="11">
        <v>13.9</v>
      </c>
      <c r="M1095" s="1"/>
      <c r="N1095" s="1" t="s">
        <v>1017</v>
      </c>
      <c r="P1095" s="1" t="str">
        <f>CONCATENATE(Table_Query_from_AMULTIQRY45[[#This Row],[WWHS]],"-",Table_Query_from_AMULTIQRY45[[#This Row],[LLOC]])</f>
        <v>E1-RAW</v>
      </c>
      <c r="Q1095" s="10">
        <f t="shared" ref="Q1095:Q1158" ca="1" si="35">+TODAY()</f>
        <v>45775</v>
      </c>
      <c r="R1095" s="10"/>
      <c r="S1095" s="28">
        <v>86.07</v>
      </c>
      <c r="T1095" s="1" t="s">
        <v>2</v>
      </c>
      <c r="U1095" s="1" t="s">
        <v>1140</v>
      </c>
      <c r="V1095" s="1">
        <v>20250320</v>
      </c>
      <c r="W1095" s="8" t="s">
        <v>8443</v>
      </c>
      <c r="Z1095" s="1"/>
      <c r="AA1095" s="1"/>
      <c r="AC1095" s="1"/>
      <c r="AD1095" s="1"/>
      <c r="AE1095" s="1"/>
      <c r="AF1095" s="1"/>
    </row>
    <row r="1096" spans="2:32" ht="12.75" x14ac:dyDescent="0.2">
      <c r="B1096" s="1" t="s">
        <v>9602</v>
      </c>
      <c r="C1096" s="10">
        <f t="shared" ca="1" si="34"/>
        <v>45729</v>
      </c>
      <c r="D1096" s="4"/>
      <c r="E1096" s="4" t="s">
        <v>8434</v>
      </c>
      <c r="F1096" s="4" t="s">
        <v>1293</v>
      </c>
      <c r="G1096" s="4"/>
      <c r="H1096" s="4" t="str">
        <f>_xlfn.IFNA(VLOOKUP(Table_Query_from_AMULTIQRY45[[#This Row],[WPROD]],'Part# with New'!$A$1:$B$4347,2,0),Table_Query_from_AMULTIQRY45[[#This Row],[WPROD]])</f>
        <v>10629</v>
      </c>
      <c r="I1096" s="4" t="s">
        <v>8436</v>
      </c>
      <c r="J1096" s="1" t="s">
        <v>1019</v>
      </c>
      <c r="L1096" s="11">
        <v>9.15</v>
      </c>
      <c r="M1096" s="1"/>
      <c r="N1096" s="1" t="s">
        <v>1017</v>
      </c>
      <c r="P1096" s="1" t="str">
        <f>CONCATENATE(Table_Query_from_AMULTIQRY45[[#This Row],[WWHS]],"-",Table_Query_from_AMULTIQRY45[[#This Row],[LLOC]])</f>
        <v>E1-RAW</v>
      </c>
      <c r="Q1096" s="10">
        <f t="shared" ca="1" si="35"/>
        <v>45775</v>
      </c>
      <c r="R1096" s="10"/>
      <c r="S1096" s="28">
        <v>152.34</v>
      </c>
      <c r="T1096" s="1" t="s">
        <v>2</v>
      </c>
      <c r="U1096" s="1" t="s">
        <v>1141</v>
      </c>
      <c r="V1096" s="1">
        <v>20250313</v>
      </c>
      <c r="W1096" s="8" t="s">
        <v>8443</v>
      </c>
      <c r="Z1096" s="1"/>
      <c r="AA1096" s="1"/>
      <c r="AC1096" s="1"/>
      <c r="AD1096" s="1"/>
      <c r="AE1096" s="1"/>
      <c r="AF1096" s="1"/>
    </row>
    <row r="1097" spans="2:32" ht="12.75" x14ac:dyDescent="0.2">
      <c r="B1097" s="1" t="s">
        <v>9603</v>
      </c>
      <c r="C1097" s="10">
        <f t="shared" ca="1" si="34"/>
        <v>45761</v>
      </c>
      <c r="D1097" s="4"/>
      <c r="E1097" s="4" t="s">
        <v>8434</v>
      </c>
      <c r="F1097" s="4" t="s">
        <v>1293</v>
      </c>
      <c r="G1097" s="4"/>
      <c r="H1097" s="4" t="str">
        <f>_xlfn.IFNA(VLOOKUP(Table_Query_from_AMULTIQRY45[[#This Row],[WPROD]],'Part# with New'!$A$1:$B$4347,2,0),Table_Query_from_AMULTIQRY45[[#This Row],[WPROD]])</f>
        <v>10630</v>
      </c>
      <c r="I1097" s="4" t="s">
        <v>8436</v>
      </c>
      <c r="J1097" s="1" t="s">
        <v>1019</v>
      </c>
      <c r="L1097" s="11">
        <v>8</v>
      </c>
      <c r="M1097" s="1"/>
      <c r="N1097" s="1" t="s">
        <v>1017</v>
      </c>
      <c r="P1097" s="1" t="str">
        <f>CONCATENATE(Table_Query_from_AMULTIQRY45[[#This Row],[WWHS]],"-",Table_Query_from_AMULTIQRY45[[#This Row],[LLOC]])</f>
        <v>E1-RAW</v>
      </c>
      <c r="Q1097" s="10">
        <f t="shared" ca="1" si="35"/>
        <v>45775</v>
      </c>
      <c r="R1097" s="10"/>
      <c r="S1097" s="28">
        <v>459.95</v>
      </c>
      <c r="T1097" s="1" t="s">
        <v>2</v>
      </c>
      <c r="U1097" s="1" t="s">
        <v>1142</v>
      </c>
      <c r="V1097" s="1">
        <v>20250414</v>
      </c>
      <c r="W1097" s="8" t="s">
        <v>8443</v>
      </c>
      <c r="Z1097" s="1"/>
      <c r="AA1097" s="1"/>
      <c r="AC1097" s="1"/>
      <c r="AD1097" s="1"/>
      <c r="AE1097" s="1"/>
      <c r="AF1097" s="1"/>
    </row>
    <row r="1098" spans="2:32" ht="12.75" x14ac:dyDescent="0.2">
      <c r="B1098" s="1" t="s">
        <v>9604</v>
      </c>
      <c r="C1098" s="10">
        <f t="shared" ca="1" si="34"/>
        <v>45268</v>
      </c>
      <c r="D1098" s="4"/>
      <c r="E1098" s="4" t="s">
        <v>8434</v>
      </c>
      <c r="F1098" s="4" t="s">
        <v>1293</v>
      </c>
      <c r="G1098" s="4"/>
      <c r="H1098" s="4" t="str">
        <f>_xlfn.IFNA(VLOOKUP(Table_Query_from_AMULTIQRY45[[#This Row],[WPROD]],'Part# with New'!$A$1:$B$4347,2,0),Table_Query_from_AMULTIQRY45[[#This Row],[WPROD]])</f>
        <v>10634</v>
      </c>
      <c r="I1098" s="4" t="s">
        <v>8436</v>
      </c>
      <c r="J1098" s="1" t="s">
        <v>1027</v>
      </c>
      <c r="L1098" s="11">
        <v>0.17543</v>
      </c>
      <c r="M1098" s="1"/>
      <c r="N1098" s="1" t="s">
        <v>1017</v>
      </c>
      <c r="P1098" s="1" t="str">
        <f>CONCATENATE(Table_Query_from_AMULTIQRY45[[#This Row],[WWHS]],"-",Table_Query_from_AMULTIQRY45[[#This Row],[LLOC]])</f>
        <v>E1-RAW</v>
      </c>
      <c r="Q1098" s="10">
        <f t="shared" ca="1" si="35"/>
        <v>45775</v>
      </c>
      <c r="R1098" s="10"/>
      <c r="S1098" s="28">
        <v>4.2910000000000004</v>
      </c>
      <c r="T1098" s="1" t="s">
        <v>2</v>
      </c>
      <c r="U1098" s="1" t="s">
        <v>1143</v>
      </c>
      <c r="V1098" s="1">
        <v>20231208</v>
      </c>
      <c r="W1098" s="8" t="s">
        <v>8443</v>
      </c>
      <c r="Z1098" s="1"/>
      <c r="AA1098" s="1"/>
      <c r="AC1098" s="1"/>
      <c r="AD1098" s="1"/>
      <c r="AE1098" s="1"/>
      <c r="AF1098" s="1"/>
    </row>
    <row r="1099" spans="2:32" ht="12.75" x14ac:dyDescent="0.2">
      <c r="B1099" s="1" t="s">
        <v>9605</v>
      </c>
      <c r="C1099" s="10">
        <f t="shared" ca="1" si="34"/>
        <v>45764</v>
      </c>
      <c r="D1099" s="4"/>
      <c r="E1099" s="4" t="s">
        <v>8434</v>
      </c>
      <c r="F1099" s="4" t="s">
        <v>1293</v>
      </c>
      <c r="G1099" s="4"/>
      <c r="H1099" s="4" t="str">
        <f>_xlfn.IFNA(VLOOKUP(Table_Query_from_AMULTIQRY45[[#This Row],[WPROD]],'Part# with New'!$A$1:$B$4347,2,0),Table_Query_from_AMULTIQRY45[[#This Row],[WPROD]])</f>
        <v>10639</v>
      </c>
      <c r="I1099" s="4" t="s">
        <v>8436</v>
      </c>
      <c r="J1099" s="1" t="s">
        <v>1019</v>
      </c>
      <c r="L1099" s="11">
        <v>13.74</v>
      </c>
      <c r="M1099" s="1"/>
      <c r="N1099" s="1" t="s">
        <v>1017</v>
      </c>
      <c r="P1099" s="1" t="str">
        <f>CONCATENATE(Table_Query_from_AMULTIQRY45[[#This Row],[WWHS]],"-",Table_Query_from_AMULTIQRY45[[#This Row],[LLOC]])</f>
        <v>E1-RAW</v>
      </c>
      <c r="Q1099" s="10">
        <f t="shared" ca="1" si="35"/>
        <v>45775</v>
      </c>
      <c r="R1099" s="10"/>
      <c r="S1099" s="28">
        <v>59.22</v>
      </c>
      <c r="T1099" s="1" t="s">
        <v>2</v>
      </c>
      <c r="U1099" s="1" t="s">
        <v>1144</v>
      </c>
      <c r="V1099" s="1">
        <v>20250417</v>
      </c>
      <c r="W1099" s="8" t="s">
        <v>8443</v>
      </c>
      <c r="Z1099" s="1"/>
      <c r="AA1099" s="1"/>
      <c r="AC1099" s="1"/>
      <c r="AD1099" s="1"/>
      <c r="AE1099" s="1"/>
      <c r="AF1099" s="1"/>
    </row>
    <row r="1100" spans="2:32" ht="12.75" x14ac:dyDescent="0.2">
      <c r="B1100" s="1" t="s">
        <v>9606</v>
      </c>
      <c r="C1100" s="10">
        <f t="shared" ca="1" si="34"/>
        <v>43734</v>
      </c>
      <c r="D1100" s="4"/>
      <c r="E1100" s="4" t="s">
        <v>8434</v>
      </c>
      <c r="F1100" s="4" t="s">
        <v>1293</v>
      </c>
      <c r="G1100" s="4"/>
      <c r="H1100" s="4" t="str">
        <f>_xlfn.IFNA(VLOOKUP(Table_Query_from_AMULTIQRY45[[#This Row],[WPROD]],'Part# with New'!$A$1:$B$4347,2,0),Table_Query_from_AMULTIQRY45[[#This Row],[WPROD]])</f>
        <v>10640</v>
      </c>
      <c r="I1100" s="4" t="s">
        <v>8436</v>
      </c>
      <c r="J1100" s="1" t="s">
        <v>1027</v>
      </c>
      <c r="L1100" s="11">
        <v>0.96</v>
      </c>
      <c r="M1100" s="1"/>
      <c r="N1100" s="1" t="s">
        <v>1017</v>
      </c>
      <c r="P1100" s="1" t="str">
        <f>CONCATENATE(Table_Query_from_AMULTIQRY45[[#This Row],[WWHS]],"-",Table_Query_from_AMULTIQRY45[[#This Row],[LLOC]])</f>
        <v>E1-RAW</v>
      </c>
      <c r="Q1100" s="10">
        <f t="shared" ca="1" si="35"/>
        <v>45775</v>
      </c>
      <c r="R1100" s="10"/>
      <c r="S1100" s="28">
        <v>11.25</v>
      </c>
      <c r="T1100" s="1" t="s">
        <v>2</v>
      </c>
      <c r="U1100" s="1" t="s">
        <v>1145</v>
      </c>
      <c r="V1100" s="1">
        <v>20190926</v>
      </c>
      <c r="W1100" s="8" t="s">
        <v>8443</v>
      </c>
      <c r="Z1100" s="1"/>
      <c r="AA1100" s="1"/>
      <c r="AC1100" s="1"/>
      <c r="AD1100" s="1"/>
      <c r="AE1100" s="1"/>
      <c r="AF1100" s="1"/>
    </row>
    <row r="1101" spans="2:32" ht="12.75" x14ac:dyDescent="0.2">
      <c r="B1101" s="1" t="s">
        <v>9607</v>
      </c>
      <c r="C1101" s="10">
        <f t="shared" ca="1" si="34"/>
        <v>45359</v>
      </c>
      <c r="D1101" s="4"/>
      <c r="E1101" s="4" t="s">
        <v>8434</v>
      </c>
      <c r="F1101" s="4" t="s">
        <v>1293</v>
      </c>
      <c r="G1101" s="4"/>
      <c r="H1101" s="4" t="str">
        <f>_xlfn.IFNA(VLOOKUP(Table_Query_from_AMULTIQRY45[[#This Row],[WPROD]],'Part# with New'!$A$1:$B$4347,2,0),Table_Query_from_AMULTIQRY45[[#This Row],[WPROD]])</f>
        <v>10641</v>
      </c>
      <c r="I1101" s="4" t="s">
        <v>8436</v>
      </c>
      <c r="J1101" s="1" t="s">
        <v>1027</v>
      </c>
      <c r="L1101" s="11">
        <v>2.1</v>
      </c>
      <c r="M1101" s="1"/>
      <c r="N1101" s="1" t="s">
        <v>1017</v>
      </c>
      <c r="P1101" s="1" t="str">
        <f>CONCATENATE(Table_Query_from_AMULTIQRY45[[#This Row],[WWHS]],"-",Table_Query_from_AMULTIQRY45[[#This Row],[LLOC]])</f>
        <v>E1-RAW</v>
      </c>
      <c r="Q1101" s="10">
        <f t="shared" ca="1" si="35"/>
        <v>45775</v>
      </c>
      <c r="R1101" s="10"/>
      <c r="S1101" s="28">
        <v>4.25</v>
      </c>
      <c r="T1101" s="1" t="s">
        <v>2</v>
      </c>
      <c r="U1101" s="1" t="s">
        <v>1146</v>
      </c>
      <c r="V1101" s="1">
        <v>20240308</v>
      </c>
      <c r="W1101" s="8" t="s">
        <v>8443</v>
      </c>
      <c r="Z1101" s="1"/>
      <c r="AA1101" s="1"/>
      <c r="AC1101" s="1"/>
      <c r="AD1101" s="1"/>
      <c r="AE1101" s="1"/>
      <c r="AF1101" s="1"/>
    </row>
    <row r="1102" spans="2:32" ht="12.75" x14ac:dyDescent="0.2">
      <c r="B1102" s="1" t="s">
        <v>9608</v>
      </c>
      <c r="C1102" s="10">
        <f t="shared" ca="1" si="34"/>
        <v>45721</v>
      </c>
      <c r="D1102" s="4"/>
      <c r="E1102" s="4" t="s">
        <v>8434</v>
      </c>
      <c r="F1102" s="4" t="s">
        <v>1293</v>
      </c>
      <c r="G1102" s="4"/>
      <c r="H1102" s="4" t="str">
        <f>_xlfn.IFNA(VLOOKUP(Table_Query_from_AMULTIQRY45[[#This Row],[WPROD]],'Part# with New'!$A$1:$B$4347,2,0),Table_Query_from_AMULTIQRY45[[#This Row],[WPROD]])</f>
        <v>10642</v>
      </c>
      <c r="I1102" s="4" t="s">
        <v>8436</v>
      </c>
      <c r="J1102" s="1" t="s">
        <v>1019</v>
      </c>
      <c r="L1102" s="11">
        <v>10.97</v>
      </c>
      <c r="M1102" s="1"/>
      <c r="N1102" s="1" t="s">
        <v>1017</v>
      </c>
      <c r="P1102" s="1" t="str">
        <f>CONCATENATE(Table_Query_from_AMULTIQRY45[[#This Row],[WWHS]],"-",Table_Query_from_AMULTIQRY45[[#This Row],[LLOC]])</f>
        <v>E1-RAW</v>
      </c>
      <c r="Q1102" s="10">
        <f t="shared" ca="1" si="35"/>
        <v>45775</v>
      </c>
      <c r="R1102" s="10"/>
      <c r="S1102" s="28">
        <v>4.54</v>
      </c>
      <c r="T1102" s="1" t="s">
        <v>2</v>
      </c>
      <c r="U1102" s="1" t="s">
        <v>1147</v>
      </c>
      <c r="V1102" s="1">
        <v>20250305</v>
      </c>
      <c r="W1102" s="8" t="s">
        <v>8443</v>
      </c>
      <c r="Z1102" s="1"/>
      <c r="AA1102" s="1"/>
      <c r="AC1102" s="1"/>
      <c r="AD1102" s="1"/>
      <c r="AE1102" s="1"/>
      <c r="AF1102" s="1"/>
    </row>
    <row r="1103" spans="2:32" ht="12.75" x14ac:dyDescent="0.2">
      <c r="B1103" s="1" t="s">
        <v>9609</v>
      </c>
      <c r="C1103" s="10">
        <f t="shared" ca="1" si="34"/>
        <v>45442</v>
      </c>
      <c r="D1103" s="4"/>
      <c r="E1103" s="4" t="s">
        <v>8434</v>
      </c>
      <c r="F1103" s="4" t="s">
        <v>1293</v>
      </c>
      <c r="G1103" s="4"/>
      <c r="H1103" s="4" t="str">
        <f>_xlfn.IFNA(VLOOKUP(Table_Query_from_AMULTIQRY45[[#This Row],[WPROD]],'Part# with New'!$A$1:$B$4347,2,0),Table_Query_from_AMULTIQRY45[[#This Row],[WPROD]])</f>
        <v>10643</v>
      </c>
      <c r="I1103" s="4" t="s">
        <v>8436</v>
      </c>
      <c r="J1103" s="1" t="s">
        <v>1019</v>
      </c>
      <c r="L1103" s="11">
        <v>13.62</v>
      </c>
      <c r="M1103" s="1"/>
      <c r="N1103" s="1" t="s">
        <v>1017</v>
      </c>
      <c r="P1103" s="1" t="str">
        <f>CONCATENATE(Table_Query_from_AMULTIQRY45[[#This Row],[WWHS]],"-",Table_Query_from_AMULTIQRY45[[#This Row],[LLOC]])</f>
        <v>E1-RAW</v>
      </c>
      <c r="Q1103" s="10">
        <f t="shared" ca="1" si="35"/>
        <v>45775</v>
      </c>
      <c r="R1103" s="10"/>
      <c r="S1103" s="11">
        <v>48.55</v>
      </c>
      <c r="T1103" s="1" t="s">
        <v>2</v>
      </c>
      <c r="U1103" s="1" t="s">
        <v>1148</v>
      </c>
      <c r="V1103" s="1">
        <v>20240530</v>
      </c>
      <c r="W1103" s="8" t="s">
        <v>8443</v>
      </c>
      <c r="Z1103" s="1"/>
      <c r="AA1103" s="1"/>
      <c r="AC1103" s="1"/>
      <c r="AD1103" s="1"/>
      <c r="AE1103" s="1"/>
      <c r="AF1103" s="1"/>
    </row>
    <row r="1104" spans="2:32" ht="12.75" x14ac:dyDescent="0.2">
      <c r="B1104" s="1" t="s">
        <v>9610</v>
      </c>
      <c r="C1104" s="10">
        <f t="shared" ca="1" si="34"/>
        <v>45344</v>
      </c>
      <c r="D1104" s="4"/>
      <c r="E1104" s="4" t="s">
        <v>8434</v>
      </c>
      <c r="F1104" s="4" t="s">
        <v>1293</v>
      </c>
      <c r="G1104" s="4"/>
      <c r="H1104" s="4" t="str">
        <f>_xlfn.IFNA(VLOOKUP(Table_Query_from_AMULTIQRY45[[#This Row],[WPROD]],'Part# with New'!$A$1:$B$4347,2,0),Table_Query_from_AMULTIQRY45[[#This Row],[WPROD]])</f>
        <v>10649</v>
      </c>
      <c r="I1104" s="4" t="s">
        <v>8436</v>
      </c>
      <c r="J1104" s="1" t="s">
        <v>1027</v>
      </c>
      <c r="L1104" s="11">
        <v>35.49</v>
      </c>
      <c r="M1104" s="1"/>
      <c r="N1104" s="1" t="s">
        <v>1017</v>
      </c>
      <c r="P1104" s="1" t="str">
        <f>CONCATENATE(Table_Query_from_AMULTIQRY45[[#This Row],[WWHS]],"-",Table_Query_from_AMULTIQRY45[[#This Row],[LLOC]])</f>
        <v>E1-RAW</v>
      </c>
      <c r="Q1104" s="10">
        <f t="shared" ca="1" si="35"/>
        <v>45775</v>
      </c>
      <c r="R1104" s="10"/>
      <c r="S1104" s="28">
        <v>1E-3</v>
      </c>
      <c r="T1104" s="1" t="s">
        <v>2</v>
      </c>
      <c r="U1104" s="1" t="s">
        <v>1149</v>
      </c>
      <c r="V1104" s="1">
        <v>20240222</v>
      </c>
      <c r="W1104" s="8" t="s">
        <v>8443</v>
      </c>
      <c r="Z1104" s="1"/>
      <c r="AA1104" s="1"/>
      <c r="AC1104" s="1"/>
      <c r="AD1104" s="1"/>
      <c r="AE1104" s="1"/>
      <c r="AF1104" s="1"/>
    </row>
    <row r="1105" spans="2:32" ht="12.75" x14ac:dyDescent="0.2">
      <c r="B1105" s="1" t="s">
        <v>9611</v>
      </c>
      <c r="C1105" s="10">
        <f t="shared" ca="1" si="34"/>
        <v>45764</v>
      </c>
      <c r="D1105" s="4"/>
      <c r="E1105" s="4" t="s">
        <v>8434</v>
      </c>
      <c r="F1105" s="4" t="s">
        <v>1293</v>
      </c>
      <c r="G1105" s="4"/>
      <c r="H1105" s="4" t="str">
        <f>_xlfn.IFNA(VLOOKUP(Table_Query_from_AMULTIQRY45[[#This Row],[WPROD]],'Part# with New'!$A$1:$B$4347,2,0),Table_Query_from_AMULTIQRY45[[#This Row],[WPROD]])</f>
        <v>10651</v>
      </c>
      <c r="I1105" s="4" t="s">
        <v>8436</v>
      </c>
      <c r="J1105" s="1" t="s">
        <v>1027</v>
      </c>
      <c r="L1105" s="11">
        <v>9.26</v>
      </c>
      <c r="M1105" s="1"/>
      <c r="N1105" s="1" t="s">
        <v>1017</v>
      </c>
      <c r="P1105" s="1" t="str">
        <f>CONCATENATE(Table_Query_from_AMULTIQRY45[[#This Row],[WWHS]],"-",Table_Query_from_AMULTIQRY45[[#This Row],[LLOC]])</f>
        <v>E1-RAW</v>
      </c>
      <c r="Q1105" s="10">
        <f t="shared" ca="1" si="35"/>
        <v>45775</v>
      </c>
      <c r="R1105" s="10"/>
      <c r="S1105" s="28">
        <v>56.9</v>
      </c>
      <c r="T1105" s="1" t="s">
        <v>2</v>
      </c>
      <c r="U1105" s="1" t="s">
        <v>1150</v>
      </c>
      <c r="V1105" s="1">
        <v>20250417</v>
      </c>
      <c r="W1105" s="8" t="s">
        <v>8443</v>
      </c>
      <c r="Z1105" s="1"/>
      <c r="AA1105" s="1"/>
      <c r="AC1105" s="1"/>
      <c r="AD1105" s="1"/>
      <c r="AE1105" s="1"/>
      <c r="AF1105" s="1"/>
    </row>
    <row r="1106" spans="2:32" ht="12.75" x14ac:dyDescent="0.2">
      <c r="B1106" s="1" t="s">
        <v>9612</v>
      </c>
      <c r="C1106" s="10">
        <f t="shared" ca="1" si="34"/>
        <v>45763</v>
      </c>
      <c r="D1106" s="4"/>
      <c r="E1106" s="4" t="s">
        <v>8434</v>
      </c>
      <c r="F1106" s="4" t="s">
        <v>1293</v>
      </c>
      <c r="G1106" s="4"/>
      <c r="H1106" s="4" t="str">
        <f>_xlfn.IFNA(VLOOKUP(Table_Query_from_AMULTIQRY45[[#This Row],[WPROD]],'Part# with New'!$A$1:$B$4347,2,0),Table_Query_from_AMULTIQRY45[[#This Row],[WPROD]])</f>
        <v>10652</v>
      </c>
      <c r="I1106" s="4" t="s">
        <v>8436</v>
      </c>
      <c r="J1106" s="1" t="s">
        <v>1019</v>
      </c>
      <c r="L1106" s="11">
        <v>9.89</v>
      </c>
      <c r="M1106" s="1"/>
      <c r="N1106" s="1" t="s">
        <v>1017</v>
      </c>
      <c r="P1106" s="1" t="str">
        <f>CONCATENATE(Table_Query_from_AMULTIQRY45[[#This Row],[WWHS]],"-",Table_Query_from_AMULTIQRY45[[#This Row],[LLOC]])</f>
        <v>E1-RAW</v>
      </c>
      <c r="Q1106" s="10">
        <f t="shared" ca="1" si="35"/>
        <v>45775</v>
      </c>
      <c r="R1106" s="10"/>
      <c r="S1106" s="28">
        <v>115.77</v>
      </c>
      <c r="T1106" s="1" t="s">
        <v>2</v>
      </c>
      <c r="U1106" s="1" t="s">
        <v>1151</v>
      </c>
      <c r="V1106" s="1">
        <v>20250416</v>
      </c>
      <c r="W1106" s="8" t="s">
        <v>8443</v>
      </c>
      <c r="Z1106" s="1"/>
      <c r="AA1106" s="1"/>
      <c r="AC1106" s="1"/>
      <c r="AD1106" s="1"/>
      <c r="AE1106" s="1"/>
      <c r="AF1106" s="1"/>
    </row>
    <row r="1107" spans="2:32" ht="12.75" x14ac:dyDescent="0.2">
      <c r="B1107" s="1" t="s">
        <v>9613</v>
      </c>
      <c r="C1107" s="10">
        <f t="shared" ca="1" si="34"/>
        <v>45764</v>
      </c>
      <c r="D1107" s="4"/>
      <c r="E1107" s="4" t="s">
        <v>8434</v>
      </c>
      <c r="F1107" s="4" t="s">
        <v>1293</v>
      </c>
      <c r="G1107" s="4"/>
      <c r="H1107" s="4" t="str">
        <f>_xlfn.IFNA(VLOOKUP(Table_Query_from_AMULTIQRY45[[#This Row],[WPROD]],'Part# with New'!$A$1:$B$4347,2,0),Table_Query_from_AMULTIQRY45[[#This Row],[WPROD]])</f>
        <v>10653</v>
      </c>
      <c r="I1107" s="4" t="s">
        <v>8436</v>
      </c>
      <c r="J1107" s="1" t="s">
        <v>1019</v>
      </c>
      <c r="L1107" s="11">
        <v>11.12</v>
      </c>
      <c r="M1107" s="1"/>
      <c r="N1107" s="1" t="s">
        <v>1017</v>
      </c>
      <c r="P1107" s="1" t="str">
        <f>CONCATENATE(Table_Query_from_AMULTIQRY45[[#This Row],[WWHS]],"-",Table_Query_from_AMULTIQRY45[[#This Row],[LLOC]])</f>
        <v>E1-RAW</v>
      </c>
      <c r="Q1107" s="10">
        <f t="shared" ca="1" si="35"/>
        <v>45775</v>
      </c>
      <c r="R1107" s="10"/>
      <c r="S1107" s="28">
        <v>66.099999999999994</v>
      </c>
      <c r="T1107" s="1" t="s">
        <v>2</v>
      </c>
      <c r="U1107" s="1" t="s">
        <v>1152</v>
      </c>
      <c r="V1107" s="1">
        <v>20250417</v>
      </c>
      <c r="W1107" s="8" t="s">
        <v>8443</v>
      </c>
      <c r="Z1107" s="1"/>
      <c r="AA1107" s="1"/>
      <c r="AC1107" s="1"/>
      <c r="AD1107" s="1"/>
      <c r="AE1107" s="1"/>
      <c r="AF1107" s="1"/>
    </row>
    <row r="1108" spans="2:32" ht="12.75" x14ac:dyDescent="0.2">
      <c r="B1108" s="1" t="s">
        <v>9614</v>
      </c>
      <c r="C1108" s="10">
        <f t="shared" ca="1" si="34"/>
        <v>45764</v>
      </c>
      <c r="D1108" s="4"/>
      <c r="E1108" s="4" t="s">
        <v>8434</v>
      </c>
      <c r="F1108" s="4" t="s">
        <v>1293</v>
      </c>
      <c r="G1108" s="4"/>
      <c r="H1108" s="4" t="str">
        <f>_xlfn.IFNA(VLOOKUP(Table_Query_from_AMULTIQRY45[[#This Row],[WPROD]],'Part# with New'!$A$1:$B$4347,2,0),Table_Query_from_AMULTIQRY45[[#This Row],[WPROD]])</f>
        <v>10654</v>
      </c>
      <c r="I1108" s="4" t="s">
        <v>8436</v>
      </c>
      <c r="J1108" s="1" t="s">
        <v>1019</v>
      </c>
      <c r="L1108" s="11">
        <v>13.34</v>
      </c>
      <c r="M1108" s="1"/>
      <c r="N1108" s="1" t="s">
        <v>1017</v>
      </c>
      <c r="P1108" s="1" t="str">
        <f>CONCATENATE(Table_Query_from_AMULTIQRY45[[#This Row],[WWHS]],"-",Table_Query_from_AMULTIQRY45[[#This Row],[LLOC]])</f>
        <v>E1-RAW</v>
      </c>
      <c r="Q1108" s="10">
        <f t="shared" ca="1" si="35"/>
        <v>45775</v>
      </c>
      <c r="R1108" s="10"/>
      <c r="S1108" s="28">
        <v>19.414000000000001</v>
      </c>
      <c r="T1108" s="1" t="s">
        <v>2</v>
      </c>
      <c r="U1108" s="1" t="s">
        <v>1153</v>
      </c>
      <c r="V1108" s="1">
        <v>20250417</v>
      </c>
      <c r="W1108" s="8" t="s">
        <v>8443</v>
      </c>
      <c r="Z1108" s="1"/>
      <c r="AA1108" s="1"/>
      <c r="AC1108" s="1"/>
      <c r="AD1108" s="1"/>
      <c r="AE1108" s="1"/>
      <c r="AF1108" s="1"/>
    </row>
    <row r="1109" spans="2:32" ht="12.75" x14ac:dyDescent="0.2">
      <c r="B1109" s="1" t="s">
        <v>9615</v>
      </c>
      <c r="C1109" s="10">
        <f t="shared" ca="1" si="34"/>
        <v>44512</v>
      </c>
      <c r="D1109" s="4"/>
      <c r="E1109" s="4" t="s">
        <v>8434</v>
      </c>
      <c r="F1109" s="4" t="s">
        <v>1293</v>
      </c>
      <c r="G1109" s="4"/>
      <c r="H1109" s="4" t="str">
        <f>_xlfn.IFNA(VLOOKUP(Table_Query_from_AMULTIQRY45[[#This Row],[WPROD]],'Part# with New'!$A$1:$B$4347,2,0),Table_Query_from_AMULTIQRY45[[#This Row],[WPROD]])</f>
        <v>10657</v>
      </c>
      <c r="I1109" s="4" t="s">
        <v>8436</v>
      </c>
      <c r="J1109" s="1" t="s">
        <v>1019</v>
      </c>
      <c r="L1109" s="11">
        <v>11.1</v>
      </c>
      <c r="M1109" s="1"/>
      <c r="N1109" s="1" t="s">
        <v>1017</v>
      </c>
      <c r="P1109" s="1" t="str">
        <f>CONCATENATE(Table_Query_from_AMULTIQRY45[[#This Row],[WWHS]],"-",Table_Query_from_AMULTIQRY45[[#This Row],[LLOC]])</f>
        <v>E1-RAW</v>
      </c>
      <c r="Q1109" s="10">
        <f t="shared" ca="1" si="35"/>
        <v>45775</v>
      </c>
      <c r="R1109" s="10"/>
      <c r="S1109" s="28">
        <v>250</v>
      </c>
      <c r="T1109" s="1" t="s">
        <v>2</v>
      </c>
      <c r="U1109" s="1" t="s">
        <v>1154</v>
      </c>
      <c r="V1109" s="1">
        <v>20211112</v>
      </c>
      <c r="W1109" s="8" t="s">
        <v>8443</v>
      </c>
      <c r="Z1109" s="1"/>
      <c r="AA1109" s="1"/>
      <c r="AC1109" s="1"/>
      <c r="AD1109" s="1"/>
      <c r="AE1109" s="1"/>
      <c r="AF1109" s="1"/>
    </row>
    <row r="1110" spans="2:32" ht="12.75" x14ac:dyDescent="0.2">
      <c r="B1110" s="1" t="s">
        <v>9616</v>
      </c>
      <c r="C1110" s="10">
        <f t="shared" ca="1" si="34"/>
        <v>44588</v>
      </c>
      <c r="D1110" s="4"/>
      <c r="E1110" s="4" t="s">
        <v>8434</v>
      </c>
      <c r="F1110" s="4" t="s">
        <v>1293</v>
      </c>
      <c r="G1110" s="4"/>
      <c r="H1110" s="4" t="str">
        <f>_xlfn.IFNA(VLOOKUP(Table_Query_from_AMULTIQRY45[[#This Row],[WPROD]],'Part# with New'!$A$1:$B$4347,2,0),Table_Query_from_AMULTIQRY45[[#This Row],[WPROD]])</f>
        <v>10659</v>
      </c>
      <c r="I1110" s="4" t="s">
        <v>8436</v>
      </c>
      <c r="J1110" s="1" t="s">
        <v>1019</v>
      </c>
      <c r="L1110" s="11">
        <v>18.86</v>
      </c>
      <c r="M1110" s="1"/>
      <c r="N1110" s="1" t="s">
        <v>1017</v>
      </c>
      <c r="P1110" s="1" t="str">
        <f>CONCATENATE(Table_Query_from_AMULTIQRY45[[#This Row],[WWHS]],"-",Table_Query_from_AMULTIQRY45[[#This Row],[LLOC]])</f>
        <v>E1-RAW</v>
      </c>
      <c r="Q1110" s="10">
        <f t="shared" ca="1" si="35"/>
        <v>45775</v>
      </c>
      <c r="R1110" s="10"/>
      <c r="S1110" s="28">
        <v>27.46</v>
      </c>
      <c r="T1110" s="1" t="s">
        <v>2</v>
      </c>
      <c r="U1110" s="1" t="s">
        <v>1155</v>
      </c>
      <c r="V1110" s="1">
        <v>20220127</v>
      </c>
      <c r="W1110" s="8" t="s">
        <v>8443</v>
      </c>
      <c r="Z1110" s="1"/>
      <c r="AA1110" s="1"/>
      <c r="AC1110" s="1"/>
      <c r="AD1110" s="1"/>
      <c r="AE1110" s="1"/>
      <c r="AF1110" s="1"/>
    </row>
    <row r="1111" spans="2:32" ht="12.75" x14ac:dyDescent="0.2">
      <c r="B1111" s="1" t="s">
        <v>9617</v>
      </c>
      <c r="C1111" s="10">
        <f t="shared" ca="1" si="34"/>
        <v>44774</v>
      </c>
      <c r="D1111" s="4"/>
      <c r="E1111" s="4" t="s">
        <v>8434</v>
      </c>
      <c r="F1111" s="4" t="s">
        <v>1293</v>
      </c>
      <c r="G1111" s="4"/>
      <c r="H1111" s="4" t="str">
        <f>_xlfn.IFNA(VLOOKUP(Table_Query_from_AMULTIQRY45[[#This Row],[WPROD]],'Part# with New'!$A$1:$B$4347,2,0),Table_Query_from_AMULTIQRY45[[#This Row],[WPROD]])</f>
        <v>10661</v>
      </c>
      <c r="I1111" s="4" t="s">
        <v>8436</v>
      </c>
      <c r="J1111" s="1" t="s">
        <v>1027</v>
      </c>
      <c r="L1111" s="11">
        <v>1.78</v>
      </c>
      <c r="M1111" s="1"/>
      <c r="N1111" s="1" t="s">
        <v>1017</v>
      </c>
      <c r="P1111" s="1" t="str">
        <f>CONCATENATE(Table_Query_from_AMULTIQRY45[[#This Row],[WWHS]],"-",Table_Query_from_AMULTIQRY45[[#This Row],[LLOC]])</f>
        <v>E1-RAW</v>
      </c>
      <c r="Q1111" s="10">
        <f t="shared" ca="1" si="35"/>
        <v>45775</v>
      </c>
      <c r="R1111" s="10"/>
      <c r="S1111" s="28">
        <v>17.5</v>
      </c>
      <c r="T1111" s="1" t="s">
        <v>2</v>
      </c>
      <c r="U1111" s="1" t="s">
        <v>1156</v>
      </c>
      <c r="V1111" s="1">
        <v>20220801</v>
      </c>
      <c r="W1111" s="8" t="s">
        <v>8443</v>
      </c>
      <c r="Z1111" s="1"/>
      <c r="AA1111" s="1"/>
      <c r="AC1111" s="1"/>
      <c r="AD1111" s="1"/>
      <c r="AE1111" s="1"/>
      <c r="AF1111" s="1"/>
    </row>
    <row r="1112" spans="2:32" ht="12.75" x14ac:dyDescent="0.2">
      <c r="B1112" s="1" t="s">
        <v>9618</v>
      </c>
      <c r="C1112" s="10">
        <f t="shared" ca="1" si="34"/>
        <v>44693</v>
      </c>
      <c r="D1112" s="4"/>
      <c r="E1112" s="4" t="s">
        <v>8434</v>
      </c>
      <c r="F1112" s="4" t="s">
        <v>1293</v>
      </c>
      <c r="G1112" s="4"/>
      <c r="H1112" s="4" t="str">
        <f>_xlfn.IFNA(VLOOKUP(Table_Query_from_AMULTIQRY45[[#This Row],[WPROD]],'Part# with New'!$A$1:$B$4347,2,0),Table_Query_from_AMULTIQRY45[[#This Row],[WPROD]])</f>
        <v>10662</v>
      </c>
      <c r="I1112" s="4" t="s">
        <v>8436</v>
      </c>
      <c r="J1112" s="1" t="s">
        <v>1027</v>
      </c>
      <c r="L1112" s="11">
        <v>7.2</v>
      </c>
      <c r="M1112" s="1"/>
      <c r="N1112" s="1" t="s">
        <v>1017</v>
      </c>
      <c r="P1112" s="1" t="str">
        <f>CONCATENATE(Table_Query_from_AMULTIQRY45[[#This Row],[WWHS]],"-",Table_Query_from_AMULTIQRY45[[#This Row],[LLOC]])</f>
        <v>E1-RAW</v>
      </c>
      <c r="Q1112" s="10">
        <f t="shared" ca="1" si="35"/>
        <v>45775</v>
      </c>
      <c r="R1112" s="10"/>
      <c r="S1112" s="28">
        <v>21.25</v>
      </c>
      <c r="T1112" s="1" t="s">
        <v>2</v>
      </c>
      <c r="U1112" s="1" t="s">
        <v>1157</v>
      </c>
      <c r="V1112" s="1">
        <v>20220512</v>
      </c>
      <c r="W1112" s="8" t="s">
        <v>8443</v>
      </c>
      <c r="Z1112" s="1"/>
      <c r="AA1112" s="1"/>
      <c r="AC1112" s="1"/>
      <c r="AD1112" s="1"/>
      <c r="AE1112" s="1"/>
      <c r="AF1112" s="1"/>
    </row>
    <row r="1113" spans="2:32" ht="12.75" x14ac:dyDescent="0.2">
      <c r="B1113" s="1" t="s">
        <v>9619</v>
      </c>
      <c r="C1113" s="10">
        <f t="shared" ca="1" si="34"/>
        <v>44713</v>
      </c>
      <c r="D1113" s="4"/>
      <c r="E1113" s="4" t="s">
        <v>8434</v>
      </c>
      <c r="F1113" s="4" t="s">
        <v>1293</v>
      </c>
      <c r="G1113" s="4"/>
      <c r="H1113" s="4" t="str">
        <f>_xlfn.IFNA(VLOOKUP(Table_Query_from_AMULTIQRY45[[#This Row],[WPROD]],'Part# with New'!$A$1:$B$4347,2,0),Table_Query_from_AMULTIQRY45[[#This Row],[WPROD]])</f>
        <v>10663</v>
      </c>
      <c r="I1113" s="4" t="s">
        <v>8436</v>
      </c>
      <c r="J1113" s="1" t="s">
        <v>1027</v>
      </c>
      <c r="L1113" s="11">
        <v>10.5</v>
      </c>
      <c r="M1113" s="1"/>
      <c r="N1113" s="1" t="s">
        <v>1017</v>
      </c>
      <c r="P1113" s="1" t="str">
        <f>CONCATENATE(Table_Query_from_AMULTIQRY45[[#This Row],[WWHS]],"-",Table_Query_from_AMULTIQRY45[[#This Row],[LLOC]])</f>
        <v>E1-RAW</v>
      </c>
      <c r="Q1113" s="10">
        <f t="shared" ca="1" si="35"/>
        <v>45775</v>
      </c>
      <c r="R1113" s="10"/>
      <c r="S1113" s="28">
        <v>80.5</v>
      </c>
      <c r="T1113" s="1" t="s">
        <v>2</v>
      </c>
      <c r="U1113" s="1" t="s">
        <v>1158</v>
      </c>
      <c r="V1113" s="1">
        <v>20220601</v>
      </c>
      <c r="W1113" s="8" t="s">
        <v>8443</v>
      </c>
      <c r="Z1113" s="1"/>
      <c r="AA1113" s="1"/>
      <c r="AC1113" s="1"/>
      <c r="AD1113" s="1"/>
      <c r="AE1113" s="1"/>
      <c r="AF1113" s="1"/>
    </row>
    <row r="1114" spans="2:32" ht="12.75" x14ac:dyDescent="0.2">
      <c r="B1114" s="1" t="s">
        <v>9620</v>
      </c>
      <c r="C1114" s="10">
        <f t="shared" ca="1" si="34"/>
        <v>45756</v>
      </c>
      <c r="D1114" s="4"/>
      <c r="E1114" s="4" t="s">
        <v>8434</v>
      </c>
      <c r="F1114" s="4" t="s">
        <v>1293</v>
      </c>
      <c r="G1114" s="4"/>
      <c r="H1114" s="4" t="str">
        <f>_xlfn.IFNA(VLOOKUP(Table_Query_from_AMULTIQRY45[[#This Row],[WPROD]],'Part# with New'!$A$1:$B$4347,2,0),Table_Query_from_AMULTIQRY45[[#This Row],[WPROD]])</f>
        <v>10667</v>
      </c>
      <c r="I1114" s="4" t="s">
        <v>8436</v>
      </c>
      <c r="J1114" s="1" t="s">
        <v>1019</v>
      </c>
      <c r="L1114" s="11">
        <v>10.92</v>
      </c>
      <c r="M1114" s="1"/>
      <c r="N1114" s="1" t="s">
        <v>1017</v>
      </c>
      <c r="P1114" s="1" t="str">
        <f>CONCATENATE(Table_Query_from_AMULTIQRY45[[#This Row],[WWHS]],"-",Table_Query_from_AMULTIQRY45[[#This Row],[LLOC]])</f>
        <v>E1-RAW</v>
      </c>
      <c r="Q1114" s="10">
        <f t="shared" ca="1" si="35"/>
        <v>45775</v>
      </c>
      <c r="R1114" s="10"/>
      <c r="S1114" s="28">
        <v>153</v>
      </c>
      <c r="T1114" s="1" t="s">
        <v>2</v>
      </c>
      <c r="U1114" s="1" t="s">
        <v>1159</v>
      </c>
      <c r="V1114" s="1">
        <v>20250409</v>
      </c>
      <c r="W1114" s="8" t="s">
        <v>8443</v>
      </c>
      <c r="Z1114" s="1"/>
      <c r="AA1114" s="1"/>
      <c r="AC1114" s="1"/>
      <c r="AD1114" s="1"/>
      <c r="AE1114" s="1"/>
      <c r="AF1114" s="1"/>
    </row>
    <row r="1115" spans="2:32" ht="12.75" x14ac:dyDescent="0.2">
      <c r="B1115" s="1" t="s">
        <v>9621</v>
      </c>
      <c r="C1115" s="10">
        <f t="shared" ca="1" si="34"/>
        <v>45755</v>
      </c>
      <c r="D1115" s="4"/>
      <c r="E1115" s="4" t="s">
        <v>8434</v>
      </c>
      <c r="F1115" s="4" t="s">
        <v>1293</v>
      </c>
      <c r="G1115" s="4"/>
      <c r="H1115" s="4" t="str">
        <f>_xlfn.IFNA(VLOOKUP(Table_Query_from_AMULTIQRY45[[#This Row],[WPROD]],'Part# with New'!$A$1:$B$4347,2,0),Table_Query_from_AMULTIQRY45[[#This Row],[WPROD]])</f>
        <v>10668</v>
      </c>
      <c r="I1115" s="4" t="s">
        <v>8436</v>
      </c>
      <c r="J1115" s="1" t="s">
        <v>1019</v>
      </c>
      <c r="L1115" s="11">
        <v>12.51</v>
      </c>
      <c r="M1115" s="1"/>
      <c r="N1115" s="1" t="s">
        <v>1017</v>
      </c>
      <c r="P1115" s="1" t="str">
        <f>CONCATENATE(Table_Query_from_AMULTIQRY45[[#This Row],[WWHS]],"-",Table_Query_from_AMULTIQRY45[[#This Row],[LLOC]])</f>
        <v>E1-RAW</v>
      </c>
      <c r="Q1115" s="10">
        <f t="shared" ca="1" si="35"/>
        <v>45775</v>
      </c>
      <c r="R1115" s="10"/>
      <c r="S1115" s="28">
        <v>18.66</v>
      </c>
      <c r="T1115" s="1" t="s">
        <v>2</v>
      </c>
      <c r="U1115" s="1" t="s">
        <v>1160</v>
      </c>
      <c r="V1115" s="1">
        <v>20250408</v>
      </c>
      <c r="W1115" s="8" t="s">
        <v>8443</v>
      </c>
      <c r="Z1115" s="1"/>
      <c r="AA1115" s="1"/>
      <c r="AC1115" s="1"/>
      <c r="AD1115" s="1"/>
      <c r="AE1115" s="1"/>
      <c r="AF1115" s="1"/>
    </row>
    <row r="1116" spans="2:32" ht="12.75" x14ac:dyDescent="0.2">
      <c r="B1116" s="1" t="s">
        <v>9622</v>
      </c>
      <c r="C1116" s="10">
        <f t="shared" ca="1" si="34"/>
        <v>44741</v>
      </c>
      <c r="D1116" s="4"/>
      <c r="E1116" s="4" t="s">
        <v>8434</v>
      </c>
      <c r="F1116" s="4" t="s">
        <v>1293</v>
      </c>
      <c r="G1116" s="4"/>
      <c r="H1116" s="4" t="str">
        <f>_xlfn.IFNA(VLOOKUP(Table_Query_from_AMULTIQRY45[[#This Row],[WPROD]],'Part# with New'!$A$1:$B$4347,2,0),Table_Query_from_AMULTIQRY45[[#This Row],[WPROD]])</f>
        <v>10669</v>
      </c>
      <c r="I1116" s="4" t="s">
        <v>8436</v>
      </c>
      <c r="J1116" s="1" t="s">
        <v>1027</v>
      </c>
      <c r="L1116" s="11">
        <v>1.07</v>
      </c>
      <c r="M1116" s="1"/>
      <c r="N1116" s="1" t="s">
        <v>1017</v>
      </c>
      <c r="P1116" s="1" t="str">
        <f>CONCATENATE(Table_Query_from_AMULTIQRY45[[#This Row],[WWHS]],"-",Table_Query_from_AMULTIQRY45[[#This Row],[LLOC]])</f>
        <v>E1-RAW</v>
      </c>
      <c r="Q1116" s="10">
        <f t="shared" ca="1" si="35"/>
        <v>45775</v>
      </c>
      <c r="R1116" s="10"/>
      <c r="S1116" s="28">
        <v>10.06</v>
      </c>
      <c r="T1116" s="1" t="s">
        <v>2</v>
      </c>
      <c r="U1116" s="1" t="s">
        <v>1161</v>
      </c>
      <c r="V1116" s="1">
        <v>20220629</v>
      </c>
      <c r="W1116" s="8" t="s">
        <v>8443</v>
      </c>
      <c r="Z1116" s="1"/>
      <c r="AA1116" s="1"/>
      <c r="AC1116" s="1"/>
      <c r="AD1116" s="1"/>
      <c r="AE1116" s="1"/>
      <c r="AF1116" s="1"/>
    </row>
    <row r="1117" spans="2:32" ht="12.75" x14ac:dyDescent="0.2">
      <c r="B1117" s="1" t="s">
        <v>9623</v>
      </c>
      <c r="C1117" s="10">
        <f t="shared" ca="1" si="34"/>
        <v>45687</v>
      </c>
      <c r="D1117" s="4"/>
      <c r="E1117" s="4" t="s">
        <v>8434</v>
      </c>
      <c r="F1117" s="4" t="s">
        <v>1293</v>
      </c>
      <c r="G1117" s="4"/>
      <c r="H1117" s="4" t="str">
        <f>_xlfn.IFNA(VLOOKUP(Table_Query_from_AMULTIQRY45[[#This Row],[WPROD]],'Part# with New'!$A$1:$B$4347,2,0),Table_Query_from_AMULTIQRY45[[#This Row],[WPROD]])</f>
        <v>10670</v>
      </c>
      <c r="I1117" s="4" t="s">
        <v>8436</v>
      </c>
      <c r="J1117" s="1" t="s">
        <v>1027</v>
      </c>
      <c r="L1117" s="11">
        <v>1.75</v>
      </c>
      <c r="M1117" s="1"/>
      <c r="N1117" s="1" t="s">
        <v>1017</v>
      </c>
      <c r="P1117" s="1" t="str">
        <f>CONCATENATE(Table_Query_from_AMULTIQRY45[[#This Row],[WWHS]],"-",Table_Query_from_AMULTIQRY45[[#This Row],[LLOC]])</f>
        <v>E1-RAW</v>
      </c>
      <c r="Q1117" s="10">
        <f t="shared" ca="1" si="35"/>
        <v>45775</v>
      </c>
      <c r="R1117" s="10"/>
      <c r="S1117" s="28">
        <v>5</v>
      </c>
      <c r="T1117" s="1" t="s">
        <v>2</v>
      </c>
      <c r="U1117" s="1" t="s">
        <v>1162</v>
      </c>
      <c r="V1117" s="1">
        <v>20250130</v>
      </c>
      <c r="W1117" s="8" t="s">
        <v>8443</v>
      </c>
      <c r="Z1117" s="1"/>
      <c r="AA1117" s="1"/>
      <c r="AC1117" s="1"/>
      <c r="AD1117" s="1"/>
      <c r="AE1117" s="1"/>
      <c r="AF1117" s="1"/>
    </row>
    <row r="1118" spans="2:32" ht="12.75" x14ac:dyDescent="0.2">
      <c r="B1118" s="1" t="s">
        <v>9624</v>
      </c>
      <c r="C1118" s="10">
        <f t="shared" ca="1" si="34"/>
        <v>45740</v>
      </c>
      <c r="D1118" s="4"/>
      <c r="E1118" s="4" t="s">
        <v>8434</v>
      </c>
      <c r="F1118" s="4" t="s">
        <v>1293</v>
      </c>
      <c r="G1118" s="4"/>
      <c r="H1118" s="4" t="str">
        <f>_xlfn.IFNA(VLOOKUP(Table_Query_from_AMULTIQRY45[[#This Row],[WPROD]],'Part# with New'!$A$1:$B$4347,2,0),Table_Query_from_AMULTIQRY45[[#This Row],[WPROD]])</f>
        <v>10671</v>
      </c>
      <c r="I1118" s="4" t="s">
        <v>8436</v>
      </c>
      <c r="J1118" s="1" t="s">
        <v>1019</v>
      </c>
      <c r="L1118" s="11">
        <v>12.18</v>
      </c>
      <c r="M1118" s="1"/>
      <c r="N1118" s="1" t="s">
        <v>1017</v>
      </c>
      <c r="P1118" s="1" t="str">
        <f>CONCATENATE(Table_Query_from_AMULTIQRY45[[#This Row],[WWHS]],"-",Table_Query_from_AMULTIQRY45[[#This Row],[LLOC]])</f>
        <v>E1-RAW</v>
      </c>
      <c r="Q1118" s="10">
        <f t="shared" ca="1" si="35"/>
        <v>45775</v>
      </c>
      <c r="R1118" s="10"/>
      <c r="S1118" s="28">
        <v>106.84</v>
      </c>
      <c r="T1118" s="1" t="s">
        <v>2</v>
      </c>
      <c r="U1118" s="1" t="s">
        <v>1163</v>
      </c>
      <c r="V1118" s="1">
        <v>20250324</v>
      </c>
      <c r="W1118" s="8" t="s">
        <v>8443</v>
      </c>
      <c r="Z1118" s="1"/>
      <c r="AA1118" s="1"/>
      <c r="AC1118" s="1"/>
      <c r="AD1118" s="1"/>
      <c r="AE1118" s="1"/>
      <c r="AF1118" s="1"/>
    </row>
    <row r="1119" spans="2:32" ht="12.75" x14ac:dyDescent="0.2">
      <c r="B1119" s="1" t="s">
        <v>9625</v>
      </c>
      <c r="C1119" s="10">
        <f t="shared" ca="1" si="34"/>
        <v>45744</v>
      </c>
      <c r="D1119" s="4"/>
      <c r="E1119" s="4" t="s">
        <v>8434</v>
      </c>
      <c r="F1119" s="4" t="s">
        <v>1293</v>
      </c>
      <c r="G1119" s="4"/>
      <c r="H1119" s="4" t="str">
        <f>_xlfn.IFNA(VLOOKUP(Table_Query_from_AMULTIQRY45[[#This Row],[WPROD]],'Part# with New'!$A$1:$B$4347,2,0),Table_Query_from_AMULTIQRY45[[#This Row],[WPROD]])</f>
        <v>10672</v>
      </c>
      <c r="I1119" s="4" t="s">
        <v>8436</v>
      </c>
      <c r="J1119" s="1" t="s">
        <v>1019</v>
      </c>
      <c r="L1119" s="11">
        <v>10.48</v>
      </c>
      <c r="M1119" s="1"/>
      <c r="N1119" s="1" t="s">
        <v>1017</v>
      </c>
      <c r="P1119" s="1" t="str">
        <f>CONCATENATE(Table_Query_from_AMULTIQRY45[[#This Row],[WWHS]],"-",Table_Query_from_AMULTIQRY45[[#This Row],[LLOC]])</f>
        <v>E1-RAW</v>
      </c>
      <c r="Q1119" s="10">
        <f t="shared" ca="1" si="35"/>
        <v>45775</v>
      </c>
      <c r="R1119" s="10"/>
      <c r="S1119" s="28">
        <v>154.57</v>
      </c>
      <c r="T1119" s="1" t="s">
        <v>2</v>
      </c>
      <c r="U1119" s="1" t="s">
        <v>1164</v>
      </c>
      <c r="V1119" s="1">
        <v>20250328</v>
      </c>
      <c r="W1119" s="8" t="s">
        <v>8443</v>
      </c>
      <c r="Z1119" s="1"/>
      <c r="AA1119" s="1"/>
      <c r="AC1119" s="1"/>
      <c r="AD1119" s="1"/>
      <c r="AE1119" s="1"/>
      <c r="AF1119" s="1"/>
    </row>
    <row r="1120" spans="2:32" ht="12.75" x14ac:dyDescent="0.2">
      <c r="B1120" s="1" t="s">
        <v>9626</v>
      </c>
      <c r="C1120" s="10">
        <f t="shared" ca="1" si="34"/>
        <v>45656</v>
      </c>
      <c r="D1120" s="4"/>
      <c r="E1120" s="4" t="s">
        <v>8434</v>
      </c>
      <c r="F1120" s="4" t="s">
        <v>1293</v>
      </c>
      <c r="G1120" s="4"/>
      <c r="H1120" s="4" t="str">
        <f>_xlfn.IFNA(VLOOKUP(Table_Query_from_AMULTIQRY45[[#This Row],[WPROD]],'Part# with New'!$A$1:$B$4347,2,0),Table_Query_from_AMULTIQRY45[[#This Row],[WPROD]])</f>
        <v>10674</v>
      </c>
      <c r="I1120" s="4" t="s">
        <v>8436</v>
      </c>
      <c r="J1120" s="1" t="s">
        <v>1019</v>
      </c>
      <c r="L1120" s="11">
        <v>11.3</v>
      </c>
      <c r="M1120" s="1"/>
      <c r="N1120" s="1" t="s">
        <v>1017</v>
      </c>
      <c r="P1120" s="1" t="str">
        <f>CONCATENATE(Table_Query_from_AMULTIQRY45[[#This Row],[WWHS]],"-",Table_Query_from_AMULTIQRY45[[#This Row],[LLOC]])</f>
        <v>E1-RAW</v>
      </c>
      <c r="Q1120" s="10">
        <f t="shared" ca="1" si="35"/>
        <v>45775</v>
      </c>
      <c r="R1120" s="10"/>
      <c r="S1120" s="28">
        <v>50.03</v>
      </c>
      <c r="T1120" s="1" t="s">
        <v>2</v>
      </c>
      <c r="U1120" s="1" t="s">
        <v>1165</v>
      </c>
      <c r="V1120" s="1">
        <v>20241230</v>
      </c>
      <c r="W1120" s="8" t="s">
        <v>8443</v>
      </c>
      <c r="Z1120" s="1"/>
      <c r="AA1120" s="1"/>
      <c r="AC1120" s="1"/>
      <c r="AD1120" s="1"/>
      <c r="AE1120" s="1"/>
      <c r="AF1120" s="1"/>
    </row>
    <row r="1121" spans="2:32" ht="12.75" x14ac:dyDescent="0.2">
      <c r="B1121" s="1" t="s">
        <v>9627</v>
      </c>
      <c r="C1121" s="10">
        <f t="shared" ca="1" si="34"/>
        <v>45631</v>
      </c>
      <c r="D1121" s="4"/>
      <c r="E1121" s="4" t="s">
        <v>8434</v>
      </c>
      <c r="F1121" s="4" t="s">
        <v>1293</v>
      </c>
      <c r="G1121" s="4"/>
      <c r="H1121" s="4" t="str">
        <f>_xlfn.IFNA(VLOOKUP(Table_Query_from_AMULTIQRY45[[#This Row],[WPROD]],'Part# with New'!$A$1:$B$4347,2,0),Table_Query_from_AMULTIQRY45[[#This Row],[WPROD]])</f>
        <v>10675</v>
      </c>
      <c r="I1121" s="4" t="s">
        <v>8436</v>
      </c>
      <c r="J1121" s="1" t="s">
        <v>1019</v>
      </c>
      <c r="L1121" s="11">
        <v>10.5</v>
      </c>
      <c r="M1121" s="1"/>
      <c r="N1121" s="1" t="s">
        <v>1017</v>
      </c>
      <c r="P1121" s="1" t="str">
        <f>CONCATENATE(Table_Query_from_AMULTIQRY45[[#This Row],[WWHS]],"-",Table_Query_from_AMULTIQRY45[[#This Row],[LLOC]])</f>
        <v>E1-RAW</v>
      </c>
      <c r="Q1121" s="10">
        <f t="shared" ca="1" si="35"/>
        <v>45775</v>
      </c>
      <c r="R1121" s="10"/>
      <c r="S1121" s="28">
        <v>20.13</v>
      </c>
      <c r="T1121" s="1" t="s">
        <v>2</v>
      </c>
      <c r="U1121" s="1" t="s">
        <v>1166</v>
      </c>
      <c r="V1121" s="1">
        <v>20241205</v>
      </c>
      <c r="W1121" s="8" t="s">
        <v>8443</v>
      </c>
      <c r="Z1121" s="1"/>
      <c r="AA1121" s="1"/>
      <c r="AC1121" s="1"/>
      <c r="AD1121" s="1"/>
      <c r="AE1121" s="1"/>
      <c r="AF1121" s="1"/>
    </row>
    <row r="1122" spans="2:32" ht="12.75" x14ac:dyDescent="0.2">
      <c r="B1122" s="1" t="s">
        <v>9628</v>
      </c>
      <c r="C1122" s="10">
        <f t="shared" ca="1" si="34"/>
        <v>45772</v>
      </c>
      <c r="D1122" s="4"/>
      <c r="E1122" s="4" t="s">
        <v>8434</v>
      </c>
      <c r="F1122" s="4" t="s">
        <v>1293</v>
      </c>
      <c r="G1122" s="4"/>
      <c r="H1122" s="4" t="str">
        <f>_xlfn.IFNA(VLOOKUP(Table_Query_from_AMULTIQRY45[[#This Row],[WPROD]],'Part# with New'!$A$1:$B$4347,2,0),Table_Query_from_AMULTIQRY45[[#This Row],[WPROD]])</f>
        <v>10677</v>
      </c>
      <c r="I1122" s="4" t="s">
        <v>8436</v>
      </c>
      <c r="J1122" s="1" t="s">
        <v>1019</v>
      </c>
      <c r="L1122" s="11">
        <v>16.41</v>
      </c>
      <c r="M1122" s="1"/>
      <c r="N1122" s="1" t="s">
        <v>1017</v>
      </c>
      <c r="P1122" s="1" t="str">
        <f>CONCATENATE(Table_Query_from_AMULTIQRY45[[#This Row],[WWHS]],"-",Table_Query_from_AMULTIQRY45[[#This Row],[LLOC]])</f>
        <v>E1-RAW</v>
      </c>
      <c r="Q1122" s="10">
        <f t="shared" ca="1" si="35"/>
        <v>45775</v>
      </c>
      <c r="R1122" s="10"/>
      <c r="S1122" s="28">
        <v>0.12</v>
      </c>
      <c r="T1122" s="1" t="s">
        <v>2</v>
      </c>
      <c r="U1122" s="1" t="s">
        <v>1167</v>
      </c>
      <c r="V1122" s="1">
        <v>20250425</v>
      </c>
      <c r="W1122" s="8" t="s">
        <v>8443</v>
      </c>
      <c r="Z1122" s="1"/>
      <c r="AA1122" s="1"/>
      <c r="AC1122" s="1"/>
      <c r="AD1122" s="1"/>
      <c r="AE1122" s="1"/>
      <c r="AF1122" s="1"/>
    </row>
    <row r="1123" spans="2:32" ht="12.75" x14ac:dyDescent="0.2">
      <c r="B1123" s="1" t="s">
        <v>9629</v>
      </c>
      <c r="C1123" s="10">
        <f t="shared" ca="1" si="34"/>
        <v>45756</v>
      </c>
      <c r="D1123" s="4"/>
      <c r="E1123" s="4" t="s">
        <v>8434</v>
      </c>
      <c r="F1123" s="4" t="s">
        <v>1293</v>
      </c>
      <c r="G1123" s="4"/>
      <c r="H1123" s="4" t="str">
        <f>_xlfn.IFNA(VLOOKUP(Table_Query_from_AMULTIQRY45[[#This Row],[WPROD]],'Part# with New'!$A$1:$B$4347,2,0),Table_Query_from_AMULTIQRY45[[#This Row],[WPROD]])</f>
        <v>10678</v>
      </c>
      <c r="I1123" s="4" t="s">
        <v>8436</v>
      </c>
      <c r="J1123" s="1" t="s">
        <v>1019</v>
      </c>
      <c r="L1123" s="11">
        <v>13.84</v>
      </c>
      <c r="M1123" s="1"/>
      <c r="N1123" s="1" t="s">
        <v>1017</v>
      </c>
      <c r="P1123" s="1" t="str">
        <f>CONCATENATE(Table_Query_from_AMULTIQRY45[[#This Row],[WWHS]],"-",Table_Query_from_AMULTIQRY45[[#This Row],[LLOC]])</f>
        <v>E1-RAW</v>
      </c>
      <c r="Q1123" s="10">
        <f t="shared" ca="1" si="35"/>
        <v>45775</v>
      </c>
      <c r="R1123" s="10"/>
      <c r="S1123" s="28">
        <v>2.5</v>
      </c>
      <c r="T1123" s="1" t="s">
        <v>2</v>
      </c>
      <c r="U1123" s="1" t="s">
        <v>1168</v>
      </c>
      <c r="V1123" s="1">
        <v>20250409</v>
      </c>
      <c r="W1123" s="8" t="s">
        <v>8443</v>
      </c>
      <c r="Z1123" s="1"/>
      <c r="AA1123" s="1"/>
      <c r="AC1123" s="1"/>
      <c r="AD1123" s="1"/>
      <c r="AE1123" s="1"/>
      <c r="AF1123" s="1"/>
    </row>
    <row r="1124" spans="2:32" ht="12.75" x14ac:dyDescent="0.2">
      <c r="B1124" s="1" t="s">
        <v>9630</v>
      </c>
      <c r="C1124" s="10">
        <f t="shared" ca="1" si="34"/>
        <v>45638</v>
      </c>
      <c r="D1124" s="4"/>
      <c r="E1124" s="4" t="s">
        <v>8434</v>
      </c>
      <c r="F1124" s="4" t="s">
        <v>1293</v>
      </c>
      <c r="G1124" s="4"/>
      <c r="H1124" s="4" t="str">
        <f>_xlfn.IFNA(VLOOKUP(Table_Query_from_AMULTIQRY45[[#This Row],[WPROD]],'Part# with New'!$A$1:$B$4347,2,0),Table_Query_from_AMULTIQRY45[[#This Row],[WPROD]])</f>
        <v>10679</v>
      </c>
      <c r="I1124" s="4" t="s">
        <v>8436</v>
      </c>
      <c r="J1124" s="1" t="s">
        <v>1019</v>
      </c>
      <c r="L1124" s="11">
        <v>10.56</v>
      </c>
      <c r="M1124" s="1"/>
      <c r="N1124" s="1" t="s">
        <v>1017</v>
      </c>
      <c r="P1124" s="1" t="str">
        <f>CONCATENATE(Table_Query_from_AMULTIQRY45[[#This Row],[WWHS]],"-",Table_Query_from_AMULTIQRY45[[#This Row],[LLOC]])</f>
        <v>E1-RAW</v>
      </c>
      <c r="Q1124" s="10">
        <f t="shared" ca="1" si="35"/>
        <v>45775</v>
      </c>
      <c r="R1124" s="10"/>
      <c r="S1124" s="28">
        <v>65</v>
      </c>
      <c r="T1124" s="1" t="s">
        <v>2</v>
      </c>
      <c r="U1124" s="1" t="s">
        <v>1169</v>
      </c>
      <c r="V1124" s="1">
        <v>20241212</v>
      </c>
      <c r="W1124" s="8" t="s">
        <v>8443</v>
      </c>
      <c r="Z1124" s="1"/>
      <c r="AA1124" s="1"/>
      <c r="AC1124" s="1"/>
      <c r="AD1124" s="1"/>
      <c r="AE1124" s="1"/>
      <c r="AF1124" s="1"/>
    </row>
    <row r="1125" spans="2:32" ht="12.75" x14ac:dyDescent="0.2">
      <c r="B1125" s="1" t="s">
        <v>9631</v>
      </c>
      <c r="C1125" s="10">
        <f t="shared" ca="1" si="34"/>
        <v>45757</v>
      </c>
      <c r="D1125" s="4"/>
      <c r="E1125" s="4" t="s">
        <v>8434</v>
      </c>
      <c r="F1125" s="4" t="s">
        <v>1293</v>
      </c>
      <c r="G1125" s="4"/>
      <c r="H1125" s="4" t="str">
        <f>_xlfn.IFNA(VLOOKUP(Table_Query_from_AMULTIQRY45[[#This Row],[WPROD]],'Part# with New'!$A$1:$B$4347,2,0),Table_Query_from_AMULTIQRY45[[#This Row],[WPROD]])</f>
        <v>10680</v>
      </c>
      <c r="I1125" s="4" t="s">
        <v>8436</v>
      </c>
      <c r="J1125" s="1" t="s">
        <v>1019</v>
      </c>
      <c r="L1125" s="11">
        <v>11.9</v>
      </c>
      <c r="M1125" s="1"/>
      <c r="N1125" s="1" t="s">
        <v>1017</v>
      </c>
      <c r="P1125" s="1" t="str">
        <f>CONCATENATE(Table_Query_from_AMULTIQRY45[[#This Row],[WWHS]],"-",Table_Query_from_AMULTIQRY45[[#This Row],[LLOC]])</f>
        <v>E1-RAW</v>
      </c>
      <c r="Q1125" s="10">
        <f t="shared" ca="1" si="35"/>
        <v>45775</v>
      </c>
      <c r="R1125" s="10"/>
      <c r="S1125" s="28">
        <v>6.72</v>
      </c>
      <c r="T1125" s="1" t="s">
        <v>2</v>
      </c>
      <c r="U1125" s="1" t="s">
        <v>1170</v>
      </c>
      <c r="V1125" s="1">
        <v>20250410</v>
      </c>
      <c r="W1125" s="8" t="s">
        <v>8443</v>
      </c>
      <c r="Z1125" s="1"/>
      <c r="AA1125" s="1"/>
      <c r="AC1125" s="1"/>
      <c r="AD1125" s="1"/>
      <c r="AE1125" s="1"/>
      <c r="AF1125" s="1"/>
    </row>
    <row r="1126" spans="2:32" ht="12.75" x14ac:dyDescent="0.2">
      <c r="B1126" s="1" t="s">
        <v>9632</v>
      </c>
      <c r="C1126" s="10">
        <f t="shared" ca="1" si="34"/>
        <v>45768</v>
      </c>
      <c r="D1126" s="4"/>
      <c r="E1126" s="4" t="s">
        <v>8434</v>
      </c>
      <c r="F1126" s="4" t="s">
        <v>1293</v>
      </c>
      <c r="G1126" s="4"/>
      <c r="H1126" s="4" t="str">
        <f>_xlfn.IFNA(VLOOKUP(Table_Query_from_AMULTIQRY45[[#This Row],[WPROD]],'Part# with New'!$A$1:$B$4347,2,0),Table_Query_from_AMULTIQRY45[[#This Row],[WPROD]])</f>
        <v>10681</v>
      </c>
      <c r="I1126" s="4" t="s">
        <v>8436</v>
      </c>
      <c r="J1126" s="1" t="s">
        <v>1019</v>
      </c>
      <c r="L1126" s="11">
        <v>16.079999999999998</v>
      </c>
      <c r="M1126" s="1"/>
      <c r="N1126" s="1" t="s">
        <v>1017</v>
      </c>
      <c r="P1126" s="1" t="str">
        <f>CONCATENATE(Table_Query_from_AMULTIQRY45[[#This Row],[WWHS]],"-",Table_Query_from_AMULTIQRY45[[#This Row],[LLOC]])</f>
        <v>E1-RAW</v>
      </c>
      <c r="Q1126" s="10">
        <f t="shared" ca="1" si="35"/>
        <v>45775</v>
      </c>
      <c r="R1126" s="10"/>
      <c r="S1126" s="28">
        <v>4.17</v>
      </c>
      <c r="T1126" s="1" t="s">
        <v>2</v>
      </c>
      <c r="U1126" s="1" t="s">
        <v>1171</v>
      </c>
      <c r="V1126" s="1">
        <v>20250421</v>
      </c>
      <c r="W1126" s="8" t="s">
        <v>8443</v>
      </c>
      <c r="Z1126" s="1"/>
      <c r="AA1126" s="1"/>
      <c r="AC1126" s="1"/>
      <c r="AD1126" s="1"/>
      <c r="AE1126" s="1"/>
      <c r="AF1126" s="1"/>
    </row>
    <row r="1127" spans="2:32" ht="12.75" x14ac:dyDescent="0.2">
      <c r="B1127" s="1" t="s">
        <v>9633</v>
      </c>
      <c r="C1127" s="10">
        <f t="shared" ca="1" si="34"/>
        <v>45721</v>
      </c>
      <c r="D1127" s="4"/>
      <c r="E1127" s="4" t="s">
        <v>8434</v>
      </c>
      <c r="F1127" s="4" t="s">
        <v>1293</v>
      </c>
      <c r="G1127" s="4"/>
      <c r="H1127" s="4" t="str">
        <f>_xlfn.IFNA(VLOOKUP(Table_Query_from_AMULTIQRY45[[#This Row],[WPROD]],'Part# with New'!$A$1:$B$4347,2,0),Table_Query_from_AMULTIQRY45[[#This Row],[WPROD]])</f>
        <v>10683</v>
      </c>
      <c r="I1127" s="4" t="s">
        <v>8436</v>
      </c>
      <c r="J1127" s="1" t="s">
        <v>1019</v>
      </c>
      <c r="L1127" s="11">
        <v>12.91</v>
      </c>
      <c r="M1127" s="1"/>
      <c r="N1127" s="1" t="s">
        <v>1017</v>
      </c>
      <c r="P1127" s="1" t="str">
        <f>CONCATENATE(Table_Query_from_AMULTIQRY45[[#This Row],[WWHS]],"-",Table_Query_from_AMULTIQRY45[[#This Row],[LLOC]])</f>
        <v>E1-RAW</v>
      </c>
      <c r="Q1127" s="10">
        <f t="shared" ca="1" si="35"/>
        <v>45775</v>
      </c>
      <c r="R1127" s="10"/>
      <c r="S1127" s="28">
        <v>80</v>
      </c>
      <c r="T1127" s="1" t="s">
        <v>2</v>
      </c>
      <c r="U1127" s="1" t="s">
        <v>1172</v>
      </c>
      <c r="V1127" s="1">
        <v>20250305</v>
      </c>
      <c r="W1127" s="8" t="s">
        <v>8443</v>
      </c>
      <c r="Z1127" s="1"/>
      <c r="AA1127" s="1"/>
      <c r="AC1127" s="1"/>
      <c r="AD1127" s="1"/>
      <c r="AE1127" s="1"/>
      <c r="AF1127" s="1"/>
    </row>
    <row r="1128" spans="2:32" ht="12.75" x14ac:dyDescent="0.2">
      <c r="B1128" s="1" t="s">
        <v>9634</v>
      </c>
      <c r="C1128" s="10">
        <f t="shared" ca="1" si="34"/>
        <v>45769</v>
      </c>
      <c r="D1128" s="4"/>
      <c r="E1128" s="4" t="s">
        <v>8434</v>
      </c>
      <c r="F1128" s="4" t="s">
        <v>1293</v>
      </c>
      <c r="G1128" s="4"/>
      <c r="H1128" s="4" t="str">
        <f>_xlfn.IFNA(VLOOKUP(Table_Query_from_AMULTIQRY45[[#This Row],[WPROD]],'Part# with New'!$A$1:$B$4347,2,0),Table_Query_from_AMULTIQRY45[[#This Row],[WPROD]])</f>
        <v>10684</v>
      </c>
      <c r="I1128" s="4" t="s">
        <v>8436</v>
      </c>
      <c r="J1128" s="1" t="s">
        <v>1019</v>
      </c>
      <c r="L1128" s="11">
        <v>17.05</v>
      </c>
      <c r="M1128" s="1"/>
      <c r="N1128" s="1" t="s">
        <v>1017</v>
      </c>
      <c r="P1128" s="1" t="str">
        <f>CONCATENATE(Table_Query_from_AMULTIQRY45[[#This Row],[WWHS]],"-",Table_Query_from_AMULTIQRY45[[#This Row],[LLOC]])</f>
        <v>E1-RAW</v>
      </c>
      <c r="Q1128" s="10">
        <f t="shared" ca="1" si="35"/>
        <v>45775</v>
      </c>
      <c r="R1128" s="10"/>
      <c r="S1128" s="28">
        <v>316.87</v>
      </c>
      <c r="T1128" s="1" t="s">
        <v>2</v>
      </c>
      <c r="U1128" s="1" t="s">
        <v>1173</v>
      </c>
      <c r="V1128" s="1">
        <v>20250422</v>
      </c>
      <c r="W1128" s="8" t="s">
        <v>8443</v>
      </c>
      <c r="Z1128" s="1"/>
      <c r="AA1128" s="1"/>
      <c r="AC1128" s="1"/>
      <c r="AD1128" s="1"/>
      <c r="AE1128" s="1"/>
      <c r="AF1128" s="1"/>
    </row>
    <row r="1129" spans="2:32" ht="12.75" x14ac:dyDescent="0.2">
      <c r="B1129" s="1" t="s">
        <v>9635</v>
      </c>
      <c r="C1129" s="10">
        <f t="shared" ca="1" si="34"/>
        <v>45240</v>
      </c>
      <c r="D1129" s="4"/>
      <c r="E1129" s="4" t="s">
        <v>8434</v>
      </c>
      <c r="F1129" s="4" t="s">
        <v>1293</v>
      </c>
      <c r="G1129" s="4"/>
      <c r="H1129" s="4" t="str">
        <f>_xlfn.IFNA(VLOOKUP(Table_Query_from_AMULTIQRY45[[#This Row],[WPROD]],'Part# with New'!$A$1:$B$4347,2,0),Table_Query_from_AMULTIQRY45[[#This Row],[WPROD]])</f>
        <v>10686</v>
      </c>
      <c r="I1129" s="4" t="s">
        <v>8436</v>
      </c>
      <c r="J1129" s="1" t="s">
        <v>1019</v>
      </c>
      <c r="L1129" s="11">
        <v>15.62</v>
      </c>
      <c r="M1129" s="1"/>
      <c r="N1129" s="1" t="s">
        <v>1017</v>
      </c>
      <c r="P1129" s="1" t="str">
        <f>CONCATENATE(Table_Query_from_AMULTIQRY45[[#This Row],[WWHS]],"-",Table_Query_from_AMULTIQRY45[[#This Row],[LLOC]])</f>
        <v>E1-RAW</v>
      </c>
      <c r="Q1129" s="10">
        <f t="shared" ca="1" si="35"/>
        <v>45775</v>
      </c>
      <c r="R1129" s="10"/>
      <c r="S1129" s="28">
        <v>42.87</v>
      </c>
      <c r="T1129" s="1" t="s">
        <v>2</v>
      </c>
      <c r="U1129" s="1" t="s">
        <v>1174</v>
      </c>
      <c r="V1129" s="1">
        <v>20231110</v>
      </c>
      <c r="W1129" s="8" t="s">
        <v>8443</v>
      </c>
      <c r="Z1129" s="1"/>
      <c r="AA1129" s="1"/>
      <c r="AC1129" s="1"/>
      <c r="AD1129" s="1"/>
      <c r="AE1129" s="1"/>
      <c r="AF1129" s="1"/>
    </row>
    <row r="1130" spans="2:32" ht="12.75" x14ac:dyDescent="0.2">
      <c r="B1130" s="1" t="s">
        <v>9636</v>
      </c>
      <c r="C1130" s="10">
        <f t="shared" ca="1" si="34"/>
        <v>45489</v>
      </c>
      <c r="D1130" s="4"/>
      <c r="E1130" s="4" t="s">
        <v>8434</v>
      </c>
      <c r="F1130" s="4" t="s">
        <v>1293</v>
      </c>
      <c r="G1130" s="4"/>
      <c r="H1130" s="4" t="str">
        <f>_xlfn.IFNA(VLOOKUP(Table_Query_from_AMULTIQRY45[[#This Row],[WPROD]],'Part# with New'!$A$1:$B$4347,2,0),Table_Query_from_AMULTIQRY45[[#This Row],[WPROD]])</f>
        <v>10687</v>
      </c>
      <c r="I1130" s="4" t="s">
        <v>8436</v>
      </c>
      <c r="J1130" s="1" t="s">
        <v>1019</v>
      </c>
      <c r="L1130" s="11">
        <v>13.97</v>
      </c>
      <c r="M1130" s="1"/>
      <c r="N1130" s="1" t="s">
        <v>1017</v>
      </c>
      <c r="P1130" s="1" t="str">
        <f>CONCATENATE(Table_Query_from_AMULTIQRY45[[#This Row],[WWHS]],"-",Table_Query_from_AMULTIQRY45[[#This Row],[LLOC]])</f>
        <v>E1-RAW</v>
      </c>
      <c r="Q1130" s="10">
        <f t="shared" ca="1" si="35"/>
        <v>45775</v>
      </c>
      <c r="R1130" s="10"/>
      <c r="S1130" s="28">
        <v>21.65</v>
      </c>
      <c r="T1130" s="1" t="s">
        <v>2</v>
      </c>
      <c r="U1130" s="1" t="s">
        <v>1175</v>
      </c>
      <c r="V1130" s="1">
        <v>20240716</v>
      </c>
      <c r="W1130" s="8" t="s">
        <v>8443</v>
      </c>
      <c r="Z1130" s="1"/>
      <c r="AA1130" s="1"/>
      <c r="AC1130" s="1"/>
      <c r="AD1130" s="1"/>
      <c r="AE1130" s="1"/>
      <c r="AF1130" s="1"/>
    </row>
    <row r="1131" spans="2:32" ht="12.75" x14ac:dyDescent="0.2">
      <c r="B1131" s="1" t="s">
        <v>9637</v>
      </c>
      <c r="C1131" s="10">
        <f t="shared" ca="1" si="34"/>
        <v>45182</v>
      </c>
      <c r="D1131" s="4"/>
      <c r="E1131" s="4" t="s">
        <v>8434</v>
      </c>
      <c r="F1131" s="4" t="s">
        <v>1293</v>
      </c>
      <c r="G1131" s="4"/>
      <c r="H1131" s="4" t="str">
        <f>_xlfn.IFNA(VLOOKUP(Table_Query_from_AMULTIQRY45[[#This Row],[WPROD]],'Part# with New'!$A$1:$B$4347,2,0),Table_Query_from_AMULTIQRY45[[#This Row],[WPROD]])</f>
        <v>10688</v>
      </c>
      <c r="I1131" s="4" t="s">
        <v>8436</v>
      </c>
      <c r="J1131" s="1" t="s">
        <v>1019</v>
      </c>
      <c r="L1131" s="11">
        <v>11.34</v>
      </c>
      <c r="M1131" s="1"/>
      <c r="N1131" s="1" t="s">
        <v>1017</v>
      </c>
      <c r="P1131" s="1" t="str">
        <f>CONCATENATE(Table_Query_from_AMULTIQRY45[[#This Row],[WWHS]],"-",Table_Query_from_AMULTIQRY45[[#This Row],[LLOC]])</f>
        <v>E1-RAW</v>
      </c>
      <c r="Q1131" s="10">
        <f t="shared" ca="1" si="35"/>
        <v>45775</v>
      </c>
      <c r="R1131" s="10"/>
      <c r="S1131" s="28">
        <v>166.15</v>
      </c>
      <c r="T1131" s="1" t="s">
        <v>2</v>
      </c>
      <c r="U1131" s="1" t="s">
        <v>1176</v>
      </c>
      <c r="V1131" s="1">
        <v>20230913</v>
      </c>
      <c r="W1131" s="8" t="s">
        <v>8443</v>
      </c>
      <c r="Z1131" s="1"/>
      <c r="AA1131" s="1"/>
      <c r="AC1131" s="1"/>
      <c r="AD1131" s="1"/>
      <c r="AE1131" s="1"/>
      <c r="AF1131" s="1"/>
    </row>
    <row r="1132" spans="2:32" ht="12.75" x14ac:dyDescent="0.2">
      <c r="B1132" s="1" t="s">
        <v>9638</v>
      </c>
      <c r="C1132" s="10">
        <f t="shared" ca="1" si="34"/>
        <v>45576</v>
      </c>
      <c r="D1132" s="4"/>
      <c r="E1132" s="4" t="s">
        <v>8434</v>
      </c>
      <c r="F1132" s="4" t="s">
        <v>1293</v>
      </c>
      <c r="G1132" s="4"/>
      <c r="H1132" s="4" t="str">
        <f>_xlfn.IFNA(VLOOKUP(Table_Query_from_AMULTIQRY45[[#This Row],[WPROD]],'Part# with New'!$A$1:$B$4347,2,0),Table_Query_from_AMULTIQRY45[[#This Row],[WPROD]])</f>
        <v>10689</v>
      </c>
      <c r="I1132" s="4" t="s">
        <v>8436</v>
      </c>
      <c r="J1132" s="1" t="s">
        <v>1027</v>
      </c>
      <c r="L1132" s="11">
        <v>1.65</v>
      </c>
      <c r="M1132" s="1"/>
      <c r="N1132" s="1" t="s">
        <v>1017</v>
      </c>
      <c r="P1132" s="1" t="str">
        <f>CONCATENATE(Table_Query_from_AMULTIQRY45[[#This Row],[WWHS]],"-",Table_Query_from_AMULTIQRY45[[#This Row],[LLOC]])</f>
        <v>E1-RAW</v>
      </c>
      <c r="Q1132" s="10">
        <f t="shared" ca="1" si="35"/>
        <v>45775</v>
      </c>
      <c r="R1132" s="10"/>
      <c r="S1132" s="28">
        <v>30</v>
      </c>
      <c r="T1132" s="1" t="s">
        <v>2</v>
      </c>
      <c r="U1132" s="1" t="s">
        <v>1177</v>
      </c>
      <c r="V1132" s="1">
        <v>20241011</v>
      </c>
      <c r="W1132" s="8" t="s">
        <v>8443</v>
      </c>
      <c r="Z1132" s="1"/>
      <c r="AA1132" s="1"/>
      <c r="AC1132" s="1"/>
      <c r="AD1132" s="1"/>
      <c r="AE1132" s="1"/>
      <c r="AF1132" s="1"/>
    </row>
    <row r="1133" spans="2:32" ht="12.75" x14ac:dyDescent="0.2">
      <c r="B1133" s="1" t="s">
        <v>9639</v>
      </c>
      <c r="C1133" s="10">
        <f t="shared" ca="1" si="34"/>
        <v>45740</v>
      </c>
      <c r="D1133" s="4"/>
      <c r="E1133" s="4" t="s">
        <v>8434</v>
      </c>
      <c r="F1133" s="4" t="s">
        <v>1293</v>
      </c>
      <c r="G1133" s="4"/>
      <c r="H1133" s="4" t="str">
        <f>_xlfn.IFNA(VLOOKUP(Table_Query_from_AMULTIQRY45[[#This Row],[WPROD]],'Part# with New'!$A$1:$B$4347,2,0),Table_Query_from_AMULTIQRY45[[#This Row],[WPROD]])</f>
        <v>10690</v>
      </c>
      <c r="I1133" s="4" t="s">
        <v>8436</v>
      </c>
      <c r="J1133" s="1" t="s">
        <v>1019</v>
      </c>
      <c r="L1133" s="11">
        <v>10.32</v>
      </c>
      <c r="M1133" s="1"/>
      <c r="N1133" s="1" t="s">
        <v>1017</v>
      </c>
      <c r="P1133" s="1" t="str">
        <f>CONCATENATE(Table_Query_from_AMULTIQRY45[[#This Row],[WWHS]],"-",Table_Query_from_AMULTIQRY45[[#This Row],[LLOC]])</f>
        <v>E1-RAW</v>
      </c>
      <c r="Q1133" s="10">
        <f t="shared" ca="1" si="35"/>
        <v>45775</v>
      </c>
      <c r="R1133" s="10"/>
      <c r="S1133" s="28">
        <v>42.23</v>
      </c>
      <c r="T1133" s="1" t="s">
        <v>2</v>
      </c>
      <c r="U1133" s="1" t="s">
        <v>1178</v>
      </c>
      <c r="V1133" s="1">
        <v>20250324</v>
      </c>
      <c r="W1133" s="8" t="s">
        <v>8443</v>
      </c>
      <c r="Z1133" s="1"/>
      <c r="AA1133" s="1"/>
      <c r="AC1133" s="1"/>
      <c r="AD1133" s="1"/>
      <c r="AE1133" s="1"/>
      <c r="AF1133" s="1"/>
    </row>
    <row r="1134" spans="2:32" ht="12.75" x14ac:dyDescent="0.2">
      <c r="B1134" s="1" t="s">
        <v>9640</v>
      </c>
      <c r="C1134" s="10">
        <f t="shared" ca="1" si="34"/>
        <v>45772</v>
      </c>
      <c r="D1134" s="4"/>
      <c r="E1134" s="4" t="s">
        <v>8434</v>
      </c>
      <c r="F1134" s="4" t="s">
        <v>1293</v>
      </c>
      <c r="G1134" s="4"/>
      <c r="H1134" s="4" t="str">
        <f>_xlfn.IFNA(VLOOKUP(Table_Query_from_AMULTIQRY45[[#This Row],[WPROD]],'Part# with New'!$A$1:$B$4347,2,0),Table_Query_from_AMULTIQRY45[[#This Row],[WPROD]])</f>
        <v>10691</v>
      </c>
      <c r="I1134" s="4" t="s">
        <v>8436</v>
      </c>
      <c r="J1134" s="1" t="s">
        <v>1019</v>
      </c>
      <c r="L1134" s="11">
        <v>10.26</v>
      </c>
      <c r="M1134" s="1"/>
      <c r="N1134" s="1" t="s">
        <v>1017</v>
      </c>
      <c r="P1134" s="1" t="str">
        <f>CONCATENATE(Table_Query_from_AMULTIQRY45[[#This Row],[WWHS]],"-",Table_Query_from_AMULTIQRY45[[#This Row],[LLOC]])</f>
        <v>E1-RAW</v>
      </c>
      <c r="Q1134" s="10">
        <f t="shared" ca="1" si="35"/>
        <v>45775</v>
      </c>
      <c r="R1134" s="10"/>
      <c r="S1134" s="28">
        <v>315.66000000000003</v>
      </c>
      <c r="T1134" s="1" t="s">
        <v>2</v>
      </c>
      <c r="U1134" s="1" t="s">
        <v>1179</v>
      </c>
      <c r="V1134" s="1">
        <v>20250425</v>
      </c>
      <c r="W1134" s="8" t="s">
        <v>8443</v>
      </c>
      <c r="Z1134" s="1"/>
      <c r="AA1134" s="1"/>
      <c r="AC1134" s="1"/>
      <c r="AD1134" s="1"/>
      <c r="AE1134" s="1"/>
      <c r="AF1134" s="1"/>
    </row>
    <row r="1135" spans="2:32" ht="12.75" x14ac:dyDescent="0.2">
      <c r="B1135" s="1" t="s">
        <v>9641</v>
      </c>
      <c r="C1135" s="10">
        <f t="shared" ca="1" si="34"/>
        <v>45721</v>
      </c>
      <c r="D1135" s="4"/>
      <c r="E1135" s="4" t="s">
        <v>8434</v>
      </c>
      <c r="F1135" s="4" t="s">
        <v>1293</v>
      </c>
      <c r="G1135" s="4"/>
      <c r="H1135" s="4" t="str">
        <f>_xlfn.IFNA(VLOOKUP(Table_Query_from_AMULTIQRY45[[#This Row],[WPROD]],'Part# with New'!$A$1:$B$4347,2,0),Table_Query_from_AMULTIQRY45[[#This Row],[WPROD]])</f>
        <v>10692</v>
      </c>
      <c r="I1135" s="4" t="s">
        <v>8436</v>
      </c>
      <c r="J1135" s="1" t="s">
        <v>1019</v>
      </c>
      <c r="L1135" s="11">
        <v>15.35</v>
      </c>
      <c r="M1135" s="1"/>
      <c r="N1135" s="1" t="s">
        <v>1017</v>
      </c>
      <c r="P1135" s="1" t="str">
        <f>CONCATENATE(Table_Query_from_AMULTIQRY45[[#This Row],[WWHS]],"-",Table_Query_from_AMULTIQRY45[[#This Row],[LLOC]])</f>
        <v>E1-RAW</v>
      </c>
      <c r="Q1135" s="10">
        <f t="shared" ca="1" si="35"/>
        <v>45775</v>
      </c>
      <c r="R1135" s="10"/>
      <c r="S1135" s="28">
        <v>40.409999999999997</v>
      </c>
      <c r="T1135" s="1" t="s">
        <v>2</v>
      </c>
      <c r="U1135" s="1" t="s">
        <v>1180</v>
      </c>
      <c r="V1135" s="1">
        <v>20250305</v>
      </c>
      <c r="W1135" s="8" t="s">
        <v>8443</v>
      </c>
      <c r="Z1135" s="1"/>
      <c r="AA1135" s="1"/>
      <c r="AC1135" s="1"/>
      <c r="AD1135" s="1"/>
      <c r="AE1135" s="1"/>
      <c r="AF1135" s="1"/>
    </row>
    <row r="1136" spans="2:32" ht="12.75" x14ac:dyDescent="0.2">
      <c r="B1136" s="1" t="s">
        <v>9642</v>
      </c>
      <c r="C1136" s="10">
        <f t="shared" ca="1" si="34"/>
        <v>45756</v>
      </c>
      <c r="D1136" s="4"/>
      <c r="E1136" s="4" t="s">
        <v>8434</v>
      </c>
      <c r="F1136" s="4" t="s">
        <v>1293</v>
      </c>
      <c r="G1136" s="4"/>
      <c r="H1136" s="4" t="str">
        <f>_xlfn.IFNA(VLOOKUP(Table_Query_from_AMULTIQRY45[[#This Row],[WPROD]],'Part# with New'!$A$1:$B$4347,2,0),Table_Query_from_AMULTIQRY45[[#This Row],[WPROD]])</f>
        <v>10693</v>
      </c>
      <c r="I1136" s="4" t="s">
        <v>8436</v>
      </c>
      <c r="J1136" s="1" t="s">
        <v>1019</v>
      </c>
      <c r="L1136" s="11">
        <v>12.75</v>
      </c>
      <c r="M1136" s="1"/>
      <c r="N1136" s="1" t="s">
        <v>1017</v>
      </c>
      <c r="P1136" s="1" t="str">
        <f>CONCATENATE(Table_Query_from_AMULTIQRY45[[#This Row],[WWHS]],"-",Table_Query_from_AMULTIQRY45[[#This Row],[LLOC]])</f>
        <v>E1-RAW</v>
      </c>
      <c r="Q1136" s="10">
        <f t="shared" ca="1" si="35"/>
        <v>45775</v>
      </c>
      <c r="R1136" s="10"/>
      <c r="S1136" s="28">
        <v>42.667000000000002</v>
      </c>
      <c r="T1136" s="1" t="s">
        <v>2</v>
      </c>
      <c r="U1136" s="1" t="s">
        <v>1181</v>
      </c>
      <c r="V1136" s="1">
        <v>20250409</v>
      </c>
      <c r="W1136" s="8" t="s">
        <v>8443</v>
      </c>
      <c r="Z1136" s="1"/>
      <c r="AA1136" s="1"/>
      <c r="AC1136" s="1"/>
      <c r="AD1136" s="1"/>
      <c r="AE1136" s="1"/>
      <c r="AF1136" s="1"/>
    </row>
    <row r="1137" spans="2:32" ht="12.75" x14ac:dyDescent="0.2">
      <c r="B1137" s="1" t="s">
        <v>9643</v>
      </c>
      <c r="C1137" s="10">
        <f t="shared" ca="1" si="34"/>
        <v>45735</v>
      </c>
      <c r="D1137" s="4"/>
      <c r="E1137" s="4" t="s">
        <v>8434</v>
      </c>
      <c r="F1137" s="4" t="s">
        <v>1293</v>
      </c>
      <c r="G1137" s="4"/>
      <c r="H1137" s="4" t="str">
        <f>_xlfn.IFNA(VLOOKUP(Table_Query_from_AMULTIQRY45[[#This Row],[WPROD]],'Part# with New'!$A$1:$B$4347,2,0),Table_Query_from_AMULTIQRY45[[#This Row],[WPROD]])</f>
        <v>10694</v>
      </c>
      <c r="I1137" s="4" t="s">
        <v>8436</v>
      </c>
      <c r="J1137" s="1" t="s">
        <v>1019</v>
      </c>
      <c r="L1137" s="11">
        <v>20</v>
      </c>
      <c r="M1137" s="1"/>
      <c r="N1137" s="1" t="s">
        <v>1017</v>
      </c>
      <c r="P1137" s="1" t="str">
        <f>CONCATENATE(Table_Query_from_AMULTIQRY45[[#This Row],[WWHS]],"-",Table_Query_from_AMULTIQRY45[[#This Row],[LLOC]])</f>
        <v>E1-RAW</v>
      </c>
      <c r="Q1137" s="10">
        <f t="shared" ca="1" si="35"/>
        <v>45775</v>
      </c>
      <c r="R1137" s="10"/>
      <c r="S1137" s="28">
        <v>4.7069999999999999</v>
      </c>
      <c r="T1137" s="1" t="s">
        <v>2</v>
      </c>
      <c r="U1137" s="1" t="s">
        <v>1182</v>
      </c>
      <c r="V1137" s="1">
        <v>20250319</v>
      </c>
      <c r="W1137" s="8" t="s">
        <v>8443</v>
      </c>
      <c r="Z1137" s="1"/>
      <c r="AA1137" s="1"/>
      <c r="AC1137" s="1"/>
      <c r="AD1137" s="1"/>
      <c r="AE1137" s="1"/>
      <c r="AF1137" s="1"/>
    </row>
    <row r="1138" spans="2:32" ht="12.75" x14ac:dyDescent="0.2">
      <c r="B1138" s="1" t="s">
        <v>9644</v>
      </c>
      <c r="C1138" s="10">
        <f t="shared" ca="1" si="34"/>
        <v>45189</v>
      </c>
      <c r="D1138" s="4"/>
      <c r="E1138" s="4" t="s">
        <v>8434</v>
      </c>
      <c r="F1138" s="4" t="s">
        <v>1293</v>
      </c>
      <c r="G1138" s="4"/>
      <c r="H1138" s="4" t="str">
        <f>_xlfn.IFNA(VLOOKUP(Table_Query_from_AMULTIQRY45[[#This Row],[WPROD]],'Part# with New'!$A$1:$B$4347,2,0),Table_Query_from_AMULTIQRY45[[#This Row],[WPROD]])</f>
        <v>10695</v>
      </c>
      <c r="I1138" s="4" t="s">
        <v>8436</v>
      </c>
      <c r="J1138" s="1" t="s">
        <v>1019</v>
      </c>
      <c r="L1138" s="11">
        <v>10.61</v>
      </c>
      <c r="M1138" s="1"/>
      <c r="N1138" s="1" t="s">
        <v>1017</v>
      </c>
      <c r="P1138" s="1" t="str">
        <f>CONCATENATE(Table_Query_from_AMULTIQRY45[[#This Row],[WWHS]],"-",Table_Query_from_AMULTIQRY45[[#This Row],[LLOC]])</f>
        <v>E1-RAW</v>
      </c>
      <c r="Q1138" s="10">
        <f t="shared" ca="1" si="35"/>
        <v>45775</v>
      </c>
      <c r="R1138" s="10"/>
      <c r="S1138" s="28">
        <v>26.92</v>
      </c>
      <c r="T1138" s="1" t="s">
        <v>2</v>
      </c>
      <c r="U1138" s="1" t="s">
        <v>1183</v>
      </c>
      <c r="V1138" s="1">
        <v>20230920</v>
      </c>
      <c r="W1138" s="8" t="s">
        <v>8443</v>
      </c>
      <c r="Z1138" s="1"/>
      <c r="AA1138" s="1"/>
      <c r="AC1138" s="1"/>
      <c r="AD1138" s="1"/>
      <c r="AE1138" s="1"/>
      <c r="AF1138" s="1"/>
    </row>
    <row r="1139" spans="2:32" ht="12.75" x14ac:dyDescent="0.2">
      <c r="B1139" s="1" t="s">
        <v>9645</v>
      </c>
      <c r="C1139" s="10">
        <f t="shared" ca="1" si="34"/>
        <v>45708</v>
      </c>
      <c r="D1139" s="4"/>
      <c r="E1139" s="4" t="s">
        <v>8434</v>
      </c>
      <c r="F1139" s="4" t="s">
        <v>1293</v>
      </c>
      <c r="G1139" s="4"/>
      <c r="H1139" s="4" t="str">
        <f>_xlfn.IFNA(VLOOKUP(Table_Query_from_AMULTIQRY45[[#This Row],[WPROD]],'Part# with New'!$A$1:$B$4347,2,0),Table_Query_from_AMULTIQRY45[[#This Row],[WPROD]])</f>
        <v>10696</v>
      </c>
      <c r="I1139" s="4" t="s">
        <v>8436</v>
      </c>
      <c r="J1139" s="1" t="s">
        <v>1019</v>
      </c>
      <c r="L1139" s="11">
        <v>13.85</v>
      </c>
      <c r="M1139" s="1"/>
      <c r="N1139" s="1" t="s">
        <v>1017</v>
      </c>
      <c r="P1139" s="1" t="str">
        <f>CONCATENATE(Table_Query_from_AMULTIQRY45[[#This Row],[WWHS]],"-",Table_Query_from_AMULTIQRY45[[#This Row],[LLOC]])</f>
        <v>E1-RAW</v>
      </c>
      <c r="Q1139" s="10">
        <f t="shared" ca="1" si="35"/>
        <v>45775</v>
      </c>
      <c r="R1139" s="10"/>
      <c r="S1139" s="28">
        <v>67.77</v>
      </c>
      <c r="T1139" s="1" t="s">
        <v>2</v>
      </c>
      <c r="U1139" s="1" t="s">
        <v>1184</v>
      </c>
      <c r="V1139" s="1">
        <v>20250220</v>
      </c>
      <c r="W1139" s="8" t="s">
        <v>8443</v>
      </c>
      <c r="Z1139" s="1"/>
      <c r="AA1139" s="1"/>
      <c r="AC1139" s="1"/>
      <c r="AD1139" s="1"/>
      <c r="AE1139" s="1"/>
      <c r="AF1139" s="1"/>
    </row>
    <row r="1140" spans="2:32" ht="12.75" x14ac:dyDescent="0.2">
      <c r="B1140" s="1" t="s">
        <v>9646</v>
      </c>
      <c r="C1140" s="10">
        <f t="shared" ca="1" si="34"/>
        <v>45523</v>
      </c>
      <c r="D1140" s="4"/>
      <c r="E1140" s="4" t="s">
        <v>8434</v>
      </c>
      <c r="F1140" s="4" t="s">
        <v>1293</v>
      </c>
      <c r="G1140" s="4"/>
      <c r="H1140" s="4" t="str">
        <f>_xlfn.IFNA(VLOOKUP(Table_Query_from_AMULTIQRY45[[#This Row],[WPROD]],'Part# with New'!$A$1:$B$4347,2,0),Table_Query_from_AMULTIQRY45[[#This Row],[WPROD]])</f>
        <v>10697</v>
      </c>
      <c r="I1140" s="4" t="s">
        <v>8436</v>
      </c>
      <c r="J1140" s="1" t="s">
        <v>1019</v>
      </c>
      <c r="L1140" s="11">
        <v>10.95</v>
      </c>
      <c r="M1140" s="1"/>
      <c r="N1140" s="1" t="s">
        <v>1017</v>
      </c>
      <c r="P1140" s="1" t="str">
        <f>CONCATENATE(Table_Query_from_AMULTIQRY45[[#This Row],[WWHS]],"-",Table_Query_from_AMULTIQRY45[[#This Row],[LLOC]])</f>
        <v>E1-RAW</v>
      </c>
      <c r="Q1140" s="10">
        <f t="shared" ca="1" si="35"/>
        <v>45775</v>
      </c>
      <c r="R1140" s="10"/>
      <c r="S1140" s="28">
        <v>492.5</v>
      </c>
      <c r="T1140" s="1" t="s">
        <v>2</v>
      </c>
      <c r="U1140" s="1" t="s">
        <v>1185</v>
      </c>
      <c r="V1140" s="1">
        <v>20240819</v>
      </c>
      <c r="W1140" s="8" t="s">
        <v>8443</v>
      </c>
      <c r="Z1140" s="1"/>
      <c r="AA1140" s="1"/>
      <c r="AC1140" s="1"/>
      <c r="AD1140" s="1"/>
      <c r="AE1140" s="1"/>
      <c r="AF1140" s="1"/>
    </row>
    <row r="1141" spans="2:32" ht="12.75" x14ac:dyDescent="0.2">
      <c r="B1141" s="1" t="s">
        <v>9647</v>
      </c>
      <c r="C1141" s="10">
        <f t="shared" ca="1" si="34"/>
        <v>45772</v>
      </c>
      <c r="D1141" s="4"/>
      <c r="E1141" s="4" t="s">
        <v>8434</v>
      </c>
      <c r="F1141" s="4" t="s">
        <v>1293</v>
      </c>
      <c r="G1141" s="4"/>
      <c r="H1141" s="4" t="str">
        <f>_xlfn.IFNA(VLOOKUP(Table_Query_from_AMULTIQRY45[[#This Row],[WPROD]],'Part# with New'!$A$1:$B$4347,2,0),Table_Query_from_AMULTIQRY45[[#This Row],[WPROD]])</f>
        <v>10701</v>
      </c>
      <c r="I1141" s="4" t="s">
        <v>8436</v>
      </c>
      <c r="J1141" s="1" t="s">
        <v>1019</v>
      </c>
      <c r="L1141" s="11">
        <v>10.05199</v>
      </c>
      <c r="M1141" s="1"/>
      <c r="N1141" s="1" t="s">
        <v>1017</v>
      </c>
      <c r="P1141" s="1" t="str">
        <f>CONCATENATE(Table_Query_from_AMULTIQRY45[[#This Row],[WWHS]],"-",Table_Query_from_AMULTIQRY45[[#This Row],[LLOC]])</f>
        <v>E1-RAW</v>
      </c>
      <c r="Q1141" s="10">
        <f t="shared" ca="1" si="35"/>
        <v>45775</v>
      </c>
      <c r="R1141" s="10"/>
      <c r="S1141" s="28">
        <v>1181.325</v>
      </c>
      <c r="T1141" s="1" t="s">
        <v>2</v>
      </c>
      <c r="U1141" s="1" t="s">
        <v>1186</v>
      </c>
      <c r="V1141" s="1">
        <v>20250425</v>
      </c>
      <c r="W1141" s="8" t="s">
        <v>8443</v>
      </c>
      <c r="Z1141" s="1"/>
      <c r="AA1141" s="1"/>
      <c r="AC1141" s="1"/>
      <c r="AD1141" s="1"/>
      <c r="AE1141" s="1"/>
      <c r="AF1141" s="1"/>
    </row>
    <row r="1142" spans="2:32" ht="12.75" x14ac:dyDescent="0.2">
      <c r="B1142" s="1" t="s">
        <v>9648</v>
      </c>
      <c r="C1142" s="10">
        <f t="shared" ca="1" si="34"/>
        <v>45769</v>
      </c>
      <c r="D1142" s="4"/>
      <c r="E1142" s="4" t="s">
        <v>8434</v>
      </c>
      <c r="F1142" s="4" t="s">
        <v>1293</v>
      </c>
      <c r="G1142" s="4"/>
      <c r="H1142" s="4" t="str">
        <f>_xlfn.IFNA(VLOOKUP(Table_Query_from_AMULTIQRY45[[#This Row],[WPROD]],'Part# with New'!$A$1:$B$4347,2,0),Table_Query_from_AMULTIQRY45[[#This Row],[WPROD]])</f>
        <v>10702</v>
      </c>
      <c r="I1142" s="4" t="s">
        <v>8436</v>
      </c>
      <c r="J1142" s="1" t="s">
        <v>1019</v>
      </c>
      <c r="L1142" s="11">
        <v>10.370010000000001</v>
      </c>
      <c r="M1142" s="1"/>
      <c r="N1142" s="1" t="s">
        <v>1017</v>
      </c>
      <c r="P1142" s="1" t="str">
        <f>CONCATENATE(Table_Query_from_AMULTIQRY45[[#This Row],[WWHS]],"-",Table_Query_from_AMULTIQRY45[[#This Row],[LLOC]])</f>
        <v>E1-RAW</v>
      </c>
      <c r="Q1142" s="10">
        <f t="shared" ca="1" si="35"/>
        <v>45775</v>
      </c>
      <c r="R1142" s="10"/>
      <c r="S1142" s="28">
        <v>661.18</v>
      </c>
      <c r="T1142" s="1" t="s">
        <v>2</v>
      </c>
      <c r="U1142" s="1" t="s">
        <v>1187</v>
      </c>
      <c r="V1142" s="1">
        <v>20250422</v>
      </c>
      <c r="W1142" s="8" t="s">
        <v>8443</v>
      </c>
      <c r="Z1142" s="1"/>
      <c r="AA1142" s="1"/>
      <c r="AC1142" s="1"/>
      <c r="AD1142" s="1"/>
      <c r="AE1142" s="1"/>
      <c r="AF1142" s="1"/>
    </row>
    <row r="1143" spans="2:32" ht="12.75" x14ac:dyDescent="0.2">
      <c r="B1143" s="1" t="s">
        <v>9649</v>
      </c>
      <c r="C1143" s="10">
        <f t="shared" ca="1" si="34"/>
        <v>45432</v>
      </c>
      <c r="D1143" s="4"/>
      <c r="E1143" s="4" t="s">
        <v>8434</v>
      </c>
      <c r="F1143" s="4" t="s">
        <v>1293</v>
      </c>
      <c r="G1143" s="4"/>
      <c r="H1143" s="4" t="str">
        <f>_xlfn.IFNA(VLOOKUP(Table_Query_from_AMULTIQRY45[[#This Row],[WPROD]],'Part# with New'!$A$1:$B$4347,2,0),Table_Query_from_AMULTIQRY45[[#This Row],[WPROD]])</f>
        <v>10703</v>
      </c>
      <c r="I1143" s="4" t="s">
        <v>8436</v>
      </c>
      <c r="J1143" s="1" t="s">
        <v>1019</v>
      </c>
      <c r="L1143" s="11">
        <v>10.6</v>
      </c>
      <c r="M1143" s="1"/>
      <c r="N1143" s="1" t="s">
        <v>1017</v>
      </c>
      <c r="P1143" s="1" t="str">
        <f>CONCATENATE(Table_Query_from_AMULTIQRY45[[#This Row],[WWHS]],"-",Table_Query_from_AMULTIQRY45[[#This Row],[LLOC]])</f>
        <v>E1-RAW</v>
      </c>
      <c r="Q1143" s="10">
        <f t="shared" ca="1" si="35"/>
        <v>45775</v>
      </c>
      <c r="R1143" s="10"/>
      <c r="S1143" s="28">
        <v>4.4000000000000004</v>
      </c>
      <c r="T1143" s="1" t="s">
        <v>2</v>
      </c>
      <c r="U1143" s="1" t="s">
        <v>1188</v>
      </c>
      <c r="V1143" s="1">
        <v>20240520</v>
      </c>
      <c r="W1143" s="8" t="s">
        <v>8443</v>
      </c>
      <c r="Z1143" s="1"/>
      <c r="AA1143" s="1"/>
      <c r="AC1143" s="1"/>
      <c r="AD1143" s="1"/>
      <c r="AE1143" s="1"/>
      <c r="AF1143" s="1"/>
    </row>
    <row r="1144" spans="2:32" ht="12.75" x14ac:dyDescent="0.2">
      <c r="B1144" s="1" t="s">
        <v>9650</v>
      </c>
      <c r="C1144" s="10">
        <f t="shared" ca="1" si="34"/>
        <v>45308</v>
      </c>
      <c r="D1144" s="4"/>
      <c r="E1144" s="4" t="s">
        <v>8434</v>
      </c>
      <c r="F1144" s="4" t="s">
        <v>1293</v>
      </c>
      <c r="G1144" s="4"/>
      <c r="H1144" s="4" t="str">
        <f>_xlfn.IFNA(VLOOKUP(Table_Query_from_AMULTIQRY45[[#This Row],[WPROD]],'Part# with New'!$A$1:$B$4347,2,0),Table_Query_from_AMULTIQRY45[[#This Row],[WPROD]])</f>
        <v>10704</v>
      </c>
      <c r="I1144" s="4" t="s">
        <v>8436</v>
      </c>
      <c r="J1144" s="1" t="s">
        <v>1019</v>
      </c>
      <c r="L1144" s="11">
        <v>11.7</v>
      </c>
      <c r="M1144" s="1"/>
      <c r="N1144" s="1" t="s">
        <v>1017</v>
      </c>
      <c r="P1144" s="1" t="str">
        <f>CONCATENATE(Table_Query_from_AMULTIQRY45[[#This Row],[WWHS]],"-",Table_Query_from_AMULTIQRY45[[#This Row],[LLOC]])</f>
        <v>E1-RAW</v>
      </c>
      <c r="Q1144" s="10">
        <f t="shared" ca="1" si="35"/>
        <v>45775</v>
      </c>
      <c r="R1144" s="10"/>
      <c r="S1144" s="28">
        <v>55.13</v>
      </c>
      <c r="T1144" s="1" t="s">
        <v>2</v>
      </c>
      <c r="U1144" s="1" t="s">
        <v>1189</v>
      </c>
      <c r="V1144" s="1">
        <v>20240117</v>
      </c>
      <c r="W1144" s="8" t="s">
        <v>8443</v>
      </c>
      <c r="Z1144" s="1"/>
      <c r="AA1144" s="1"/>
      <c r="AC1144" s="1"/>
      <c r="AD1144" s="1"/>
      <c r="AE1144" s="1"/>
      <c r="AF1144" s="1"/>
    </row>
    <row r="1145" spans="2:32" ht="12.75" x14ac:dyDescent="0.2">
      <c r="B1145" s="1" t="s">
        <v>9651</v>
      </c>
      <c r="C1145" s="10">
        <f t="shared" ca="1" si="34"/>
        <v>45280</v>
      </c>
      <c r="D1145" s="4"/>
      <c r="E1145" s="4" t="s">
        <v>8434</v>
      </c>
      <c r="F1145" s="4" t="s">
        <v>1293</v>
      </c>
      <c r="G1145" s="4"/>
      <c r="H1145" s="4" t="str">
        <f>_xlfn.IFNA(VLOOKUP(Table_Query_from_AMULTIQRY45[[#This Row],[WPROD]],'Part# with New'!$A$1:$B$4347,2,0),Table_Query_from_AMULTIQRY45[[#This Row],[WPROD]])</f>
        <v>10705</v>
      </c>
      <c r="I1145" s="4" t="s">
        <v>8436</v>
      </c>
      <c r="J1145" s="1" t="s">
        <v>1019</v>
      </c>
      <c r="L1145" s="11">
        <v>16.670000000000002</v>
      </c>
      <c r="M1145" s="1"/>
      <c r="N1145" s="1" t="s">
        <v>1017</v>
      </c>
      <c r="P1145" s="1" t="str">
        <f>CONCATENATE(Table_Query_from_AMULTIQRY45[[#This Row],[WWHS]],"-",Table_Query_from_AMULTIQRY45[[#This Row],[LLOC]])</f>
        <v>E1-RAW</v>
      </c>
      <c r="Q1145" s="10">
        <f t="shared" ca="1" si="35"/>
        <v>45775</v>
      </c>
      <c r="R1145" s="10"/>
      <c r="S1145" s="28">
        <v>19.239999999999998</v>
      </c>
      <c r="T1145" s="1" t="s">
        <v>2</v>
      </c>
      <c r="U1145" s="1" t="s">
        <v>1190</v>
      </c>
      <c r="V1145" s="1">
        <v>20231220</v>
      </c>
      <c r="W1145" s="8" t="s">
        <v>8443</v>
      </c>
      <c r="Z1145" s="1"/>
      <c r="AA1145" s="1"/>
      <c r="AC1145" s="1"/>
      <c r="AD1145" s="1"/>
      <c r="AE1145" s="1"/>
      <c r="AF1145" s="1"/>
    </row>
    <row r="1146" spans="2:32" ht="12.75" x14ac:dyDescent="0.2">
      <c r="B1146" s="1" t="s">
        <v>9652</v>
      </c>
      <c r="C1146" s="10">
        <f t="shared" ca="1" si="34"/>
        <v>45314</v>
      </c>
      <c r="D1146" s="4"/>
      <c r="E1146" s="4" t="s">
        <v>8434</v>
      </c>
      <c r="F1146" s="4" t="s">
        <v>1293</v>
      </c>
      <c r="G1146" s="4"/>
      <c r="H1146" s="4" t="str">
        <f>_xlfn.IFNA(VLOOKUP(Table_Query_from_AMULTIQRY45[[#This Row],[WPROD]],'Part# with New'!$A$1:$B$4347,2,0),Table_Query_from_AMULTIQRY45[[#This Row],[WPROD]])</f>
        <v>10706</v>
      </c>
      <c r="I1146" s="4" t="s">
        <v>8436</v>
      </c>
      <c r="J1146" s="1" t="s">
        <v>1027</v>
      </c>
      <c r="L1146" s="11">
        <v>610.24</v>
      </c>
      <c r="M1146" s="1"/>
      <c r="N1146" s="1" t="s">
        <v>1017</v>
      </c>
      <c r="P1146" s="1" t="str">
        <f>CONCATENATE(Table_Query_from_AMULTIQRY45[[#This Row],[WWHS]],"-",Table_Query_from_AMULTIQRY45[[#This Row],[LLOC]])</f>
        <v>E1-RAW</v>
      </c>
      <c r="Q1146" s="10">
        <f t="shared" ca="1" si="35"/>
        <v>45775</v>
      </c>
      <c r="R1146" s="10"/>
      <c r="S1146" s="28">
        <v>0.157</v>
      </c>
      <c r="T1146" s="1" t="s">
        <v>2</v>
      </c>
      <c r="U1146" s="1" t="s">
        <v>1191</v>
      </c>
      <c r="V1146" s="1">
        <v>20240123</v>
      </c>
      <c r="W1146" s="8" t="s">
        <v>8443</v>
      </c>
      <c r="Z1146" s="1"/>
      <c r="AA1146" s="1"/>
      <c r="AC1146" s="1"/>
      <c r="AD1146" s="1"/>
      <c r="AE1146" s="1"/>
      <c r="AF1146" s="1"/>
    </row>
    <row r="1147" spans="2:32" ht="12.75" x14ac:dyDescent="0.2">
      <c r="B1147" s="1" t="s">
        <v>9653</v>
      </c>
      <c r="C1147" s="10">
        <f t="shared" ca="1" si="34"/>
        <v>45705</v>
      </c>
      <c r="D1147" s="4"/>
      <c r="E1147" s="4" t="s">
        <v>8434</v>
      </c>
      <c r="F1147" s="4" t="s">
        <v>1293</v>
      </c>
      <c r="G1147" s="4"/>
      <c r="H1147" s="4" t="str">
        <f>_xlfn.IFNA(VLOOKUP(Table_Query_from_AMULTIQRY45[[#This Row],[WPROD]],'Part# with New'!$A$1:$B$4347,2,0),Table_Query_from_AMULTIQRY45[[#This Row],[WPROD]])</f>
        <v>10710</v>
      </c>
      <c r="I1147" s="4" t="s">
        <v>8436</v>
      </c>
      <c r="J1147" s="1" t="s">
        <v>1019</v>
      </c>
      <c r="L1147" s="11">
        <v>14.9003</v>
      </c>
      <c r="M1147" s="1"/>
      <c r="N1147" s="1" t="s">
        <v>1017</v>
      </c>
      <c r="P1147" s="1" t="str">
        <f>CONCATENATE(Table_Query_from_AMULTIQRY45[[#This Row],[WWHS]],"-",Table_Query_from_AMULTIQRY45[[#This Row],[LLOC]])</f>
        <v>E1-RAW</v>
      </c>
      <c r="Q1147" s="10">
        <f t="shared" ca="1" si="35"/>
        <v>45775</v>
      </c>
      <c r="R1147" s="10"/>
      <c r="S1147" s="28">
        <v>394.7</v>
      </c>
      <c r="T1147" s="1" t="s">
        <v>2</v>
      </c>
      <c r="U1147" s="1" t="s">
        <v>1192</v>
      </c>
      <c r="V1147" s="1">
        <v>20250217</v>
      </c>
      <c r="W1147" s="8" t="s">
        <v>8443</v>
      </c>
      <c r="Z1147" s="1"/>
      <c r="AA1147" s="1"/>
      <c r="AC1147" s="1"/>
      <c r="AD1147" s="1"/>
      <c r="AE1147" s="1"/>
      <c r="AF1147" s="1"/>
    </row>
    <row r="1148" spans="2:32" ht="12.75" x14ac:dyDescent="0.2">
      <c r="B1148" s="1" t="s">
        <v>9654</v>
      </c>
      <c r="C1148" s="10">
        <f t="shared" ca="1" si="34"/>
        <v>45518</v>
      </c>
      <c r="D1148" s="4"/>
      <c r="E1148" s="4" t="s">
        <v>8434</v>
      </c>
      <c r="F1148" s="4" t="s">
        <v>1293</v>
      </c>
      <c r="G1148" s="4"/>
      <c r="H1148" s="4" t="str">
        <f>_xlfn.IFNA(VLOOKUP(Table_Query_from_AMULTIQRY45[[#This Row],[WPROD]],'Part# with New'!$A$1:$B$4347,2,0),Table_Query_from_AMULTIQRY45[[#This Row],[WPROD]])</f>
        <v>10711</v>
      </c>
      <c r="I1148" s="4" t="s">
        <v>8436</v>
      </c>
      <c r="J1148" s="1" t="s">
        <v>1019</v>
      </c>
      <c r="L1148" s="11">
        <v>8.76</v>
      </c>
      <c r="M1148" s="1"/>
      <c r="N1148" s="1" t="s">
        <v>1017</v>
      </c>
      <c r="P1148" s="1" t="str">
        <f>CONCATENATE(Table_Query_from_AMULTIQRY45[[#This Row],[WWHS]],"-",Table_Query_from_AMULTIQRY45[[#This Row],[LLOC]])</f>
        <v>E1-RAW</v>
      </c>
      <c r="Q1148" s="10">
        <f t="shared" ca="1" si="35"/>
        <v>45775</v>
      </c>
      <c r="R1148" s="10"/>
      <c r="S1148" s="28">
        <v>22.42</v>
      </c>
      <c r="T1148" s="1" t="s">
        <v>2</v>
      </c>
      <c r="U1148" s="1" t="s">
        <v>1193</v>
      </c>
      <c r="V1148" s="1">
        <v>20240814</v>
      </c>
      <c r="W1148" s="8" t="s">
        <v>8443</v>
      </c>
      <c r="Z1148" s="1"/>
      <c r="AA1148" s="1"/>
      <c r="AC1148" s="1"/>
      <c r="AD1148" s="1"/>
      <c r="AE1148" s="1"/>
      <c r="AF1148" s="1"/>
    </row>
    <row r="1149" spans="2:32" ht="12.75" x14ac:dyDescent="0.2">
      <c r="B1149" s="1" t="s">
        <v>9655</v>
      </c>
      <c r="C1149" s="10">
        <f t="shared" ca="1" si="34"/>
        <v>45757</v>
      </c>
      <c r="D1149" s="4"/>
      <c r="E1149" s="4" t="s">
        <v>8434</v>
      </c>
      <c r="F1149" s="4" t="s">
        <v>1293</v>
      </c>
      <c r="G1149" s="4"/>
      <c r="H1149" s="4" t="str">
        <f>_xlfn.IFNA(VLOOKUP(Table_Query_from_AMULTIQRY45[[#This Row],[WPROD]],'Part# with New'!$A$1:$B$4347,2,0),Table_Query_from_AMULTIQRY45[[#This Row],[WPROD]])</f>
        <v>10712</v>
      </c>
      <c r="I1149" s="4" t="s">
        <v>8436</v>
      </c>
      <c r="J1149" s="1" t="s">
        <v>1027</v>
      </c>
      <c r="L1149" s="11">
        <v>0.55000000000000004</v>
      </c>
      <c r="M1149" s="1"/>
      <c r="N1149" s="1" t="s">
        <v>1017</v>
      </c>
      <c r="P1149" s="1" t="str">
        <f>CONCATENATE(Table_Query_from_AMULTIQRY45[[#This Row],[WWHS]],"-",Table_Query_from_AMULTIQRY45[[#This Row],[LLOC]])</f>
        <v>E1-RAW</v>
      </c>
      <c r="Q1149" s="10">
        <f t="shared" ca="1" si="35"/>
        <v>45775</v>
      </c>
      <c r="R1149" s="10"/>
      <c r="S1149" s="28">
        <v>66</v>
      </c>
      <c r="T1149" s="1" t="s">
        <v>2</v>
      </c>
      <c r="U1149" s="1" t="s">
        <v>1194</v>
      </c>
      <c r="V1149" s="1">
        <v>20250410</v>
      </c>
      <c r="W1149" s="8" t="s">
        <v>8443</v>
      </c>
      <c r="Z1149" s="1"/>
      <c r="AA1149" s="1"/>
      <c r="AC1149" s="1"/>
      <c r="AD1149" s="1"/>
      <c r="AE1149" s="1"/>
      <c r="AF1149" s="1"/>
    </row>
    <row r="1150" spans="2:32" ht="12.75" x14ac:dyDescent="0.2">
      <c r="B1150" s="1" t="s">
        <v>9656</v>
      </c>
      <c r="C1150" s="10">
        <f t="shared" ca="1" si="34"/>
        <v>45642</v>
      </c>
      <c r="D1150" s="4"/>
      <c r="E1150" s="4" t="s">
        <v>8434</v>
      </c>
      <c r="F1150" s="4" t="s">
        <v>1293</v>
      </c>
      <c r="G1150" s="4"/>
      <c r="H1150" s="4" t="str">
        <f>_xlfn.IFNA(VLOOKUP(Table_Query_from_AMULTIQRY45[[#This Row],[WPROD]],'Part# with New'!$A$1:$B$4347,2,0),Table_Query_from_AMULTIQRY45[[#This Row],[WPROD]])</f>
        <v>10714</v>
      </c>
      <c r="I1150" s="4" t="s">
        <v>8436</v>
      </c>
      <c r="J1150" s="1" t="s">
        <v>1019</v>
      </c>
      <c r="L1150" s="11">
        <v>16.010000000000002</v>
      </c>
      <c r="M1150" s="1"/>
      <c r="N1150" s="1" t="s">
        <v>1017</v>
      </c>
      <c r="P1150" s="1" t="str">
        <f>CONCATENATE(Table_Query_from_AMULTIQRY45[[#This Row],[WWHS]],"-",Table_Query_from_AMULTIQRY45[[#This Row],[LLOC]])</f>
        <v>E1-RAW</v>
      </c>
      <c r="Q1150" s="10">
        <f t="shared" ca="1" si="35"/>
        <v>45775</v>
      </c>
      <c r="R1150" s="10"/>
      <c r="S1150" s="28">
        <v>38.93</v>
      </c>
      <c r="T1150" s="1" t="s">
        <v>2</v>
      </c>
      <c r="U1150" s="1" t="s">
        <v>1195</v>
      </c>
      <c r="V1150" s="1">
        <v>20241216</v>
      </c>
      <c r="W1150" s="8" t="s">
        <v>8443</v>
      </c>
      <c r="Z1150" s="1"/>
      <c r="AA1150" s="1"/>
      <c r="AC1150" s="1"/>
      <c r="AD1150" s="1"/>
      <c r="AE1150" s="1"/>
      <c r="AF1150" s="1"/>
    </row>
    <row r="1151" spans="2:32" ht="12.75" x14ac:dyDescent="0.2">
      <c r="B1151" s="1" t="s">
        <v>9657</v>
      </c>
      <c r="C1151" s="10">
        <f t="shared" ca="1" si="34"/>
        <v>45502</v>
      </c>
      <c r="D1151" s="4"/>
      <c r="E1151" s="4" t="s">
        <v>8434</v>
      </c>
      <c r="F1151" s="4" t="s">
        <v>1293</v>
      </c>
      <c r="G1151" s="4"/>
      <c r="H1151" s="4" t="str">
        <f>_xlfn.IFNA(VLOOKUP(Table_Query_from_AMULTIQRY45[[#This Row],[WPROD]],'Part# with New'!$A$1:$B$4347,2,0),Table_Query_from_AMULTIQRY45[[#This Row],[WPROD]])</f>
        <v>10715</v>
      </c>
      <c r="I1151" s="4" t="s">
        <v>8436</v>
      </c>
      <c r="J1151" s="1" t="s">
        <v>1019</v>
      </c>
      <c r="L1151" s="11">
        <v>15.15</v>
      </c>
      <c r="M1151" s="1"/>
      <c r="N1151" s="1" t="s">
        <v>1017</v>
      </c>
      <c r="P1151" s="1" t="str">
        <f>CONCATENATE(Table_Query_from_AMULTIQRY45[[#This Row],[WWHS]],"-",Table_Query_from_AMULTIQRY45[[#This Row],[LLOC]])</f>
        <v>E1-RAW</v>
      </c>
      <c r="Q1151" s="10">
        <f t="shared" ca="1" si="35"/>
        <v>45775</v>
      </c>
      <c r="R1151" s="10"/>
      <c r="S1151" s="28">
        <v>39.479999999999997</v>
      </c>
      <c r="T1151" s="1" t="s">
        <v>2</v>
      </c>
      <c r="U1151" s="1" t="s">
        <v>1196</v>
      </c>
      <c r="V1151" s="1">
        <v>20240729</v>
      </c>
      <c r="W1151" s="8" t="s">
        <v>8443</v>
      </c>
      <c r="Z1151" s="1"/>
      <c r="AA1151" s="1"/>
      <c r="AC1151" s="1"/>
      <c r="AD1151" s="1"/>
      <c r="AE1151" s="1"/>
      <c r="AF1151" s="1"/>
    </row>
    <row r="1152" spans="2:32" ht="12.75" x14ac:dyDescent="0.2">
      <c r="B1152" s="1" t="s">
        <v>9658</v>
      </c>
      <c r="C1152" s="10">
        <f t="shared" ca="1" si="34"/>
        <v>45757</v>
      </c>
      <c r="D1152" s="4"/>
      <c r="E1152" s="4" t="s">
        <v>8434</v>
      </c>
      <c r="F1152" s="4" t="s">
        <v>1293</v>
      </c>
      <c r="G1152" s="4"/>
      <c r="H1152" s="4" t="str">
        <f>_xlfn.IFNA(VLOOKUP(Table_Query_from_AMULTIQRY45[[#This Row],[WPROD]],'Part# with New'!$A$1:$B$4347,2,0),Table_Query_from_AMULTIQRY45[[#This Row],[WPROD]])</f>
        <v>10716</v>
      </c>
      <c r="I1152" s="4" t="s">
        <v>8436</v>
      </c>
      <c r="J1152" s="1" t="s">
        <v>1019</v>
      </c>
      <c r="L1152" s="11">
        <v>14.58</v>
      </c>
      <c r="M1152" s="1"/>
      <c r="N1152" s="1" t="s">
        <v>1017</v>
      </c>
      <c r="P1152" s="1" t="str">
        <f>CONCATENATE(Table_Query_from_AMULTIQRY45[[#This Row],[WWHS]],"-",Table_Query_from_AMULTIQRY45[[#This Row],[LLOC]])</f>
        <v>E1-RAW</v>
      </c>
      <c r="Q1152" s="10">
        <f t="shared" ca="1" si="35"/>
        <v>45775</v>
      </c>
      <c r="R1152" s="10"/>
      <c r="S1152" s="28">
        <v>50.82</v>
      </c>
      <c r="T1152" s="1" t="s">
        <v>2</v>
      </c>
      <c r="U1152" s="1" t="s">
        <v>1197</v>
      </c>
      <c r="V1152" s="1">
        <v>20250410</v>
      </c>
      <c r="W1152" s="8" t="s">
        <v>8443</v>
      </c>
      <c r="Z1152" s="1"/>
      <c r="AA1152" s="1"/>
      <c r="AC1152" s="1"/>
      <c r="AD1152" s="1"/>
      <c r="AE1152" s="1"/>
      <c r="AF1152" s="1"/>
    </row>
    <row r="1153" spans="2:32" ht="12.75" x14ac:dyDescent="0.2">
      <c r="B1153" s="1" t="s">
        <v>9659</v>
      </c>
      <c r="C1153" s="10">
        <f t="shared" ca="1" si="34"/>
        <v>45727</v>
      </c>
      <c r="D1153" s="4"/>
      <c r="E1153" s="4" t="s">
        <v>8434</v>
      </c>
      <c r="F1153" s="4" t="s">
        <v>1293</v>
      </c>
      <c r="G1153" s="4"/>
      <c r="H1153" s="4" t="str">
        <f>_xlfn.IFNA(VLOOKUP(Table_Query_from_AMULTIQRY45[[#This Row],[WPROD]],'Part# with New'!$A$1:$B$4347,2,0),Table_Query_from_AMULTIQRY45[[#This Row],[WPROD]])</f>
        <v>10717</v>
      </c>
      <c r="I1153" s="4" t="s">
        <v>8436</v>
      </c>
      <c r="J1153" s="1" t="s">
        <v>1019</v>
      </c>
      <c r="L1153" s="11">
        <v>9.8800000000000008</v>
      </c>
      <c r="M1153" s="1"/>
      <c r="N1153" s="1" t="s">
        <v>1017</v>
      </c>
      <c r="P1153" s="1" t="str">
        <f>CONCATENATE(Table_Query_from_AMULTIQRY45[[#This Row],[WWHS]],"-",Table_Query_from_AMULTIQRY45[[#This Row],[LLOC]])</f>
        <v>E1-RAW</v>
      </c>
      <c r="Q1153" s="10">
        <f t="shared" ca="1" si="35"/>
        <v>45775</v>
      </c>
      <c r="R1153" s="10"/>
      <c r="S1153" s="28">
        <v>44.33</v>
      </c>
      <c r="T1153" s="1" t="s">
        <v>2</v>
      </c>
      <c r="U1153" s="1" t="s">
        <v>1198</v>
      </c>
      <c r="V1153" s="1">
        <v>20250311</v>
      </c>
      <c r="W1153" s="8" t="s">
        <v>8443</v>
      </c>
      <c r="Z1153" s="1"/>
      <c r="AA1153" s="1"/>
      <c r="AC1153" s="1"/>
      <c r="AD1153" s="1"/>
      <c r="AE1153" s="1"/>
      <c r="AF1153" s="1"/>
    </row>
    <row r="1154" spans="2:32" ht="12.75" x14ac:dyDescent="0.2">
      <c r="B1154" s="1" t="s">
        <v>9660</v>
      </c>
      <c r="C1154" s="10">
        <f t="shared" ca="1" si="34"/>
        <v>45743</v>
      </c>
      <c r="D1154" s="4"/>
      <c r="E1154" s="4" t="s">
        <v>8434</v>
      </c>
      <c r="F1154" s="4" t="s">
        <v>1293</v>
      </c>
      <c r="G1154" s="4"/>
      <c r="H1154" s="4" t="str">
        <f>_xlfn.IFNA(VLOOKUP(Table_Query_from_AMULTIQRY45[[#This Row],[WPROD]],'Part# with New'!$A$1:$B$4347,2,0),Table_Query_from_AMULTIQRY45[[#This Row],[WPROD]])</f>
        <v>10720</v>
      </c>
      <c r="I1154" s="4" t="s">
        <v>8436</v>
      </c>
      <c r="J1154" s="1" t="s">
        <v>1019</v>
      </c>
      <c r="L1154" s="11">
        <v>9.57</v>
      </c>
      <c r="M1154" s="1"/>
      <c r="N1154" s="1" t="s">
        <v>1017</v>
      </c>
      <c r="P1154" s="1" t="str">
        <f>CONCATENATE(Table_Query_from_AMULTIQRY45[[#This Row],[WWHS]],"-",Table_Query_from_AMULTIQRY45[[#This Row],[LLOC]])</f>
        <v>E1-RAW</v>
      </c>
      <c r="Q1154" s="10">
        <f t="shared" ca="1" si="35"/>
        <v>45775</v>
      </c>
      <c r="R1154" s="10"/>
      <c r="S1154" s="28">
        <v>361.49</v>
      </c>
      <c r="T1154" s="1" t="s">
        <v>2</v>
      </c>
      <c r="U1154" s="1" t="s">
        <v>1199</v>
      </c>
      <c r="V1154" s="1">
        <v>20250327</v>
      </c>
      <c r="W1154" s="8" t="s">
        <v>8443</v>
      </c>
      <c r="Z1154" s="1"/>
      <c r="AA1154" s="1"/>
      <c r="AC1154" s="1"/>
      <c r="AD1154" s="1"/>
      <c r="AE1154" s="1"/>
      <c r="AF1154" s="1"/>
    </row>
    <row r="1155" spans="2:32" ht="12.75" x14ac:dyDescent="0.2">
      <c r="B1155" s="1" t="s">
        <v>9661</v>
      </c>
      <c r="C1155" s="10">
        <f t="shared" ca="1" si="34"/>
        <v>45750</v>
      </c>
      <c r="D1155" s="4"/>
      <c r="E1155" s="4" t="s">
        <v>8434</v>
      </c>
      <c r="F1155" s="4" t="s">
        <v>1293</v>
      </c>
      <c r="G1155" s="4"/>
      <c r="H1155" s="4" t="str">
        <f>_xlfn.IFNA(VLOOKUP(Table_Query_from_AMULTIQRY45[[#This Row],[WPROD]],'Part# with New'!$A$1:$B$4347,2,0),Table_Query_from_AMULTIQRY45[[#This Row],[WPROD]])</f>
        <v>10722</v>
      </c>
      <c r="I1155" s="4" t="s">
        <v>8436</v>
      </c>
      <c r="J1155" s="1" t="s">
        <v>1019</v>
      </c>
      <c r="L1155" s="11">
        <v>9.44</v>
      </c>
      <c r="M1155" s="1"/>
      <c r="N1155" s="1" t="s">
        <v>1017</v>
      </c>
      <c r="P1155" s="1" t="str">
        <f>CONCATENATE(Table_Query_from_AMULTIQRY45[[#This Row],[WWHS]],"-",Table_Query_from_AMULTIQRY45[[#This Row],[LLOC]])</f>
        <v>E1-RAW</v>
      </c>
      <c r="Q1155" s="10">
        <f t="shared" ca="1" si="35"/>
        <v>45775</v>
      </c>
      <c r="R1155" s="10"/>
      <c r="S1155" s="28">
        <v>5</v>
      </c>
      <c r="T1155" s="1" t="s">
        <v>2</v>
      </c>
      <c r="U1155" s="1" t="s">
        <v>1200</v>
      </c>
      <c r="V1155" s="1">
        <v>20250403</v>
      </c>
      <c r="W1155" s="8" t="s">
        <v>8443</v>
      </c>
      <c r="Z1155" s="1"/>
      <c r="AA1155" s="1"/>
      <c r="AC1155" s="1"/>
      <c r="AD1155" s="1"/>
      <c r="AE1155" s="1"/>
      <c r="AF1155" s="1"/>
    </row>
    <row r="1156" spans="2:32" ht="12.75" x14ac:dyDescent="0.2">
      <c r="B1156" s="1" t="s">
        <v>9662</v>
      </c>
      <c r="C1156" s="10">
        <f t="shared" ca="1" si="34"/>
        <v>45717</v>
      </c>
      <c r="D1156" s="4"/>
      <c r="E1156" s="4" t="s">
        <v>8434</v>
      </c>
      <c r="F1156" s="4" t="s">
        <v>1293</v>
      </c>
      <c r="G1156" s="4"/>
      <c r="H1156" s="4" t="str">
        <f>_xlfn.IFNA(VLOOKUP(Table_Query_from_AMULTIQRY45[[#This Row],[WPROD]],'Part# with New'!$A$1:$B$4347,2,0),Table_Query_from_AMULTIQRY45[[#This Row],[WPROD]])</f>
        <v>10723</v>
      </c>
      <c r="I1156" s="4" t="s">
        <v>8436</v>
      </c>
      <c r="J1156" s="1" t="s">
        <v>1019</v>
      </c>
      <c r="L1156" s="11">
        <v>13.16</v>
      </c>
      <c r="M1156" s="1"/>
      <c r="N1156" s="1" t="s">
        <v>1017</v>
      </c>
      <c r="P1156" s="1" t="str">
        <f>CONCATENATE(Table_Query_from_AMULTIQRY45[[#This Row],[WWHS]],"-",Table_Query_from_AMULTIQRY45[[#This Row],[LLOC]])</f>
        <v>E1-RAW</v>
      </c>
      <c r="Q1156" s="10">
        <f t="shared" ca="1" si="35"/>
        <v>45775</v>
      </c>
      <c r="R1156" s="10"/>
      <c r="S1156" s="28">
        <v>13.6</v>
      </c>
      <c r="T1156" s="1" t="s">
        <v>2</v>
      </c>
      <c r="U1156" s="1" t="s">
        <v>1201</v>
      </c>
      <c r="V1156" s="1">
        <v>20250301</v>
      </c>
      <c r="W1156" s="8" t="s">
        <v>8443</v>
      </c>
      <c r="Z1156" s="1"/>
      <c r="AA1156" s="1"/>
      <c r="AC1156" s="1"/>
      <c r="AD1156" s="1"/>
      <c r="AE1156" s="1"/>
      <c r="AF1156" s="1"/>
    </row>
    <row r="1157" spans="2:32" ht="12.75" x14ac:dyDescent="0.2">
      <c r="B1157" s="1" t="s">
        <v>9663</v>
      </c>
      <c r="C1157" s="10">
        <f t="shared" ca="1" si="34"/>
        <v>45735</v>
      </c>
      <c r="D1157" s="4"/>
      <c r="E1157" s="4" t="s">
        <v>8434</v>
      </c>
      <c r="F1157" s="4" t="s">
        <v>1293</v>
      </c>
      <c r="G1157" s="4"/>
      <c r="H1157" s="4" t="str">
        <f>_xlfn.IFNA(VLOOKUP(Table_Query_from_AMULTIQRY45[[#This Row],[WPROD]],'Part# with New'!$A$1:$B$4347,2,0),Table_Query_from_AMULTIQRY45[[#This Row],[WPROD]])</f>
        <v>10726</v>
      </c>
      <c r="I1157" s="4" t="s">
        <v>8436</v>
      </c>
      <c r="J1157" s="1" t="s">
        <v>1019</v>
      </c>
      <c r="L1157" s="11">
        <v>11.37</v>
      </c>
      <c r="M1157" s="1"/>
      <c r="N1157" s="1" t="s">
        <v>1017</v>
      </c>
      <c r="P1157" s="1" t="str">
        <f>CONCATENATE(Table_Query_from_AMULTIQRY45[[#This Row],[WWHS]],"-",Table_Query_from_AMULTIQRY45[[#This Row],[LLOC]])</f>
        <v>E1-RAW</v>
      </c>
      <c r="Q1157" s="10">
        <f t="shared" ca="1" si="35"/>
        <v>45775</v>
      </c>
      <c r="R1157" s="10"/>
      <c r="S1157" s="28">
        <v>37</v>
      </c>
      <c r="T1157" s="1" t="s">
        <v>2</v>
      </c>
      <c r="U1157" s="1" t="s">
        <v>1202</v>
      </c>
      <c r="V1157" s="1">
        <v>20250319</v>
      </c>
      <c r="W1157" s="8" t="s">
        <v>8443</v>
      </c>
      <c r="Z1157" s="1"/>
      <c r="AA1157" s="1"/>
      <c r="AC1157" s="1"/>
      <c r="AD1157" s="1"/>
      <c r="AE1157" s="1"/>
      <c r="AF1157" s="1"/>
    </row>
    <row r="1158" spans="2:32" ht="12.75" x14ac:dyDescent="0.2">
      <c r="B1158" s="1" t="s">
        <v>9664</v>
      </c>
      <c r="C1158" s="10">
        <f t="shared" ca="1" si="34"/>
        <v>45744</v>
      </c>
      <c r="D1158" s="4"/>
      <c r="E1158" s="4" t="s">
        <v>8434</v>
      </c>
      <c r="F1158" s="4" t="s">
        <v>1293</v>
      </c>
      <c r="G1158" s="4"/>
      <c r="H1158" s="4" t="str">
        <f>_xlfn.IFNA(VLOOKUP(Table_Query_from_AMULTIQRY45[[#This Row],[WPROD]],'Part# with New'!$A$1:$B$4347,2,0),Table_Query_from_AMULTIQRY45[[#This Row],[WPROD]])</f>
        <v>26613</v>
      </c>
      <c r="I1158" s="4" t="s">
        <v>8436</v>
      </c>
      <c r="J1158" s="1" t="s">
        <v>1019</v>
      </c>
      <c r="L1158" s="11">
        <v>5.5</v>
      </c>
      <c r="M1158" s="1"/>
      <c r="N1158" s="1" t="s">
        <v>1203</v>
      </c>
      <c r="P1158" s="1" t="str">
        <f>CONCATENATE(Table_Query_from_AMULTIQRY45[[#This Row],[WWHS]],"-",Table_Query_from_AMULTIQRY45[[#This Row],[LLOC]])</f>
        <v>E1-RAW</v>
      </c>
      <c r="Q1158" s="10">
        <f t="shared" ca="1" si="35"/>
        <v>45775</v>
      </c>
      <c r="R1158" s="10"/>
      <c r="S1158" s="28">
        <v>64.5</v>
      </c>
      <c r="T1158" s="1" t="s">
        <v>2</v>
      </c>
      <c r="U1158" s="1" t="s">
        <v>1204</v>
      </c>
      <c r="V1158" s="1">
        <v>20250328</v>
      </c>
      <c r="W1158" s="8" t="s">
        <v>8443</v>
      </c>
      <c r="Z1158" s="1"/>
      <c r="AA1158" s="1"/>
      <c r="AC1158" s="1"/>
      <c r="AD1158" s="1"/>
      <c r="AE1158" s="1"/>
      <c r="AF1158" s="1"/>
    </row>
    <row r="1159" spans="2:32" ht="12.75" x14ac:dyDescent="0.2">
      <c r="B1159" s="1" t="s">
        <v>9665</v>
      </c>
      <c r="C1159" s="10">
        <f t="shared" ref="C1159:C1222" ca="1" si="36">IFERROR(DATE(LEFT($V1159,4),MID($V1159,5,2),RIGHT($V1159,2)),TODAY())</f>
        <v>45768</v>
      </c>
      <c r="D1159" s="4"/>
      <c r="E1159" s="4" t="s">
        <v>8434</v>
      </c>
      <c r="F1159" s="4" t="s">
        <v>1293</v>
      </c>
      <c r="G1159" s="4"/>
      <c r="H1159" s="4" t="str">
        <f>_xlfn.IFNA(VLOOKUP(Table_Query_from_AMULTIQRY45[[#This Row],[WPROD]],'Part# with New'!$A$1:$B$4347,2,0),Table_Query_from_AMULTIQRY45[[#This Row],[WPROD]])</f>
        <v>2667</v>
      </c>
      <c r="I1159" s="4" t="s">
        <v>8436</v>
      </c>
      <c r="J1159" s="1" t="s">
        <v>1019</v>
      </c>
      <c r="L1159" s="11">
        <v>3.25</v>
      </c>
      <c r="M1159" s="1"/>
      <c r="N1159" s="1" t="s">
        <v>1203</v>
      </c>
      <c r="P1159" s="1" t="str">
        <f>CONCATENATE(Table_Query_from_AMULTIQRY45[[#This Row],[WWHS]],"-",Table_Query_from_AMULTIQRY45[[#This Row],[LLOC]])</f>
        <v>E1-RAW</v>
      </c>
      <c r="Q1159" s="10">
        <f t="shared" ref="Q1159:Q1222" ca="1" si="37">+TODAY()</f>
        <v>45775</v>
      </c>
      <c r="R1159" s="10"/>
      <c r="S1159" s="28">
        <v>3851</v>
      </c>
      <c r="T1159" s="1" t="s">
        <v>2</v>
      </c>
      <c r="U1159" s="1" t="s">
        <v>1205</v>
      </c>
      <c r="V1159" s="1">
        <v>20250421</v>
      </c>
      <c r="W1159" s="8" t="s">
        <v>8443</v>
      </c>
      <c r="Z1159" s="1"/>
      <c r="AA1159" s="1"/>
      <c r="AC1159" s="1"/>
      <c r="AD1159" s="1"/>
      <c r="AE1159" s="1"/>
      <c r="AF1159" s="1"/>
    </row>
    <row r="1160" spans="2:32" ht="12.75" x14ac:dyDescent="0.2">
      <c r="B1160" s="1" t="s">
        <v>9666</v>
      </c>
      <c r="C1160" s="10">
        <f t="shared" ca="1" si="36"/>
        <v>45741</v>
      </c>
      <c r="D1160" s="4"/>
      <c r="E1160" s="4" t="s">
        <v>8434</v>
      </c>
      <c r="F1160" s="4" t="s">
        <v>1293</v>
      </c>
      <c r="G1160" s="4"/>
      <c r="H1160" s="4" t="str">
        <f>_xlfn.IFNA(VLOOKUP(Table_Query_from_AMULTIQRY45[[#This Row],[WPROD]],'Part# with New'!$A$1:$B$4347,2,0),Table_Query_from_AMULTIQRY45[[#This Row],[WPROD]])</f>
        <v>26701</v>
      </c>
      <c r="I1160" s="4" t="s">
        <v>8436</v>
      </c>
      <c r="J1160" s="1" t="s">
        <v>1019</v>
      </c>
      <c r="L1160" s="11">
        <v>4.9000000000000004</v>
      </c>
      <c r="M1160" s="1"/>
      <c r="N1160" s="1" t="s">
        <v>1203</v>
      </c>
      <c r="P1160" s="1" t="str">
        <f>CONCATENATE(Table_Query_from_AMULTIQRY45[[#This Row],[WWHS]],"-",Table_Query_from_AMULTIQRY45[[#This Row],[LLOC]])</f>
        <v>E1-RAW</v>
      </c>
      <c r="Q1160" s="10">
        <f t="shared" ca="1" si="37"/>
        <v>45775</v>
      </c>
      <c r="R1160" s="10"/>
      <c r="S1160" s="28">
        <v>476</v>
      </c>
      <c r="T1160" s="1" t="s">
        <v>2</v>
      </c>
      <c r="U1160" s="1" t="s">
        <v>1206</v>
      </c>
      <c r="V1160" s="1">
        <v>20250325</v>
      </c>
      <c r="W1160" s="8" t="s">
        <v>8443</v>
      </c>
      <c r="Z1160" s="1"/>
      <c r="AA1160" s="1"/>
      <c r="AC1160" s="1"/>
      <c r="AD1160" s="1"/>
      <c r="AE1160" s="1"/>
      <c r="AF1160" s="1"/>
    </row>
    <row r="1161" spans="2:32" ht="12.75" x14ac:dyDescent="0.2">
      <c r="B1161" s="1" t="s">
        <v>9667</v>
      </c>
      <c r="C1161" s="10">
        <f t="shared" ca="1" si="36"/>
        <v>45755</v>
      </c>
      <c r="D1161" s="4"/>
      <c r="E1161" s="4" t="s">
        <v>8434</v>
      </c>
      <c r="F1161" s="4" t="s">
        <v>1293</v>
      </c>
      <c r="G1161" s="4"/>
      <c r="H1161" s="4" t="str">
        <f>_xlfn.IFNA(VLOOKUP(Table_Query_from_AMULTIQRY45[[#This Row],[WPROD]],'Part# with New'!$A$1:$B$4347,2,0),Table_Query_from_AMULTIQRY45[[#This Row],[WPROD]])</f>
        <v>2674</v>
      </c>
      <c r="I1161" s="4" t="s">
        <v>8436</v>
      </c>
      <c r="J1161" s="1" t="s">
        <v>1019</v>
      </c>
      <c r="L1161" s="11">
        <v>2.6030000000000002</v>
      </c>
      <c r="M1161" s="1"/>
      <c r="N1161" s="1" t="s">
        <v>1203</v>
      </c>
      <c r="P1161" s="1" t="str">
        <f>CONCATENATE(Table_Query_from_AMULTIQRY45[[#This Row],[WWHS]],"-",Table_Query_from_AMULTIQRY45[[#This Row],[LLOC]])</f>
        <v>E1-RAW</v>
      </c>
      <c r="Q1161" s="10">
        <f t="shared" ca="1" si="37"/>
        <v>45775</v>
      </c>
      <c r="R1161" s="10"/>
      <c r="S1161" s="28">
        <v>200</v>
      </c>
      <c r="T1161" s="1" t="s">
        <v>2</v>
      </c>
      <c r="U1161" s="1" t="s">
        <v>1207</v>
      </c>
      <c r="V1161" s="1">
        <v>20250408</v>
      </c>
      <c r="W1161" s="8" t="s">
        <v>8443</v>
      </c>
      <c r="Z1161" s="1"/>
      <c r="AA1161" s="1"/>
      <c r="AC1161" s="1"/>
      <c r="AD1161" s="1"/>
      <c r="AE1161" s="1"/>
      <c r="AF1161" s="1"/>
    </row>
    <row r="1162" spans="2:32" ht="12.75" x14ac:dyDescent="0.2">
      <c r="B1162" s="1" t="s">
        <v>9668</v>
      </c>
      <c r="C1162" s="10">
        <f t="shared" ca="1" si="36"/>
        <v>45701</v>
      </c>
      <c r="D1162" s="4"/>
      <c r="E1162" s="4" t="s">
        <v>8434</v>
      </c>
      <c r="F1162" s="4" t="s">
        <v>1293</v>
      </c>
      <c r="G1162" s="4"/>
      <c r="H1162" s="4" t="str">
        <f>_xlfn.IFNA(VLOOKUP(Table_Query_from_AMULTIQRY45[[#This Row],[WPROD]],'Part# with New'!$A$1:$B$4347,2,0),Table_Query_from_AMULTIQRY45[[#This Row],[WPROD]])</f>
        <v>30617</v>
      </c>
      <c r="I1162" s="4" t="s">
        <v>8436</v>
      </c>
      <c r="J1162" s="1" t="s">
        <v>1019</v>
      </c>
      <c r="L1162" s="11">
        <v>23.27</v>
      </c>
      <c r="M1162" s="1"/>
      <c r="N1162" s="1" t="s">
        <v>1203</v>
      </c>
      <c r="P1162" s="1" t="str">
        <f>CONCATENATE(Table_Query_from_AMULTIQRY45[[#This Row],[WWHS]],"-",Table_Query_from_AMULTIQRY45[[#This Row],[LLOC]])</f>
        <v>E1-RAW</v>
      </c>
      <c r="Q1162" s="10">
        <f t="shared" ca="1" si="37"/>
        <v>45775</v>
      </c>
      <c r="R1162" s="10"/>
      <c r="S1162" s="28">
        <v>28</v>
      </c>
      <c r="T1162" s="1" t="s">
        <v>2</v>
      </c>
      <c r="U1162" s="1" t="s">
        <v>1208</v>
      </c>
      <c r="V1162" s="1">
        <v>20250213</v>
      </c>
      <c r="W1162" s="8" t="s">
        <v>8443</v>
      </c>
      <c r="Z1162" s="1"/>
      <c r="AA1162" s="1"/>
      <c r="AC1162" s="1"/>
      <c r="AD1162" s="1"/>
      <c r="AE1162" s="1"/>
      <c r="AF1162" s="1"/>
    </row>
    <row r="1163" spans="2:32" ht="12.75" x14ac:dyDescent="0.2">
      <c r="B1163" s="1" t="s">
        <v>9669</v>
      </c>
      <c r="C1163" s="10">
        <f t="shared" ca="1" si="36"/>
        <v>45771</v>
      </c>
      <c r="D1163" s="4"/>
      <c r="E1163" s="4" t="s">
        <v>8434</v>
      </c>
      <c r="F1163" s="4" t="s">
        <v>1293</v>
      </c>
      <c r="G1163" s="4"/>
      <c r="H1163" s="4" t="str">
        <f>_xlfn.IFNA(VLOOKUP(Table_Query_from_AMULTIQRY45[[#This Row],[WPROD]],'Part# with New'!$A$1:$B$4347,2,0),Table_Query_from_AMULTIQRY45[[#This Row],[WPROD]])</f>
        <v>3852</v>
      </c>
      <c r="I1163" s="4" t="s">
        <v>8436</v>
      </c>
      <c r="J1163" s="1" t="s">
        <v>1019</v>
      </c>
      <c r="L1163" s="11">
        <v>2.177</v>
      </c>
      <c r="M1163" s="1"/>
      <c r="N1163" s="1" t="s">
        <v>1203</v>
      </c>
      <c r="P1163" s="1" t="str">
        <f>CONCATENATE(Table_Query_from_AMULTIQRY45[[#This Row],[WWHS]],"-",Table_Query_from_AMULTIQRY45[[#This Row],[LLOC]])</f>
        <v>E1-RAW</v>
      </c>
      <c r="Q1163" s="10">
        <f t="shared" ca="1" si="37"/>
        <v>45775</v>
      </c>
      <c r="R1163" s="10"/>
      <c r="S1163" s="28">
        <v>71</v>
      </c>
      <c r="T1163" s="1" t="s">
        <v>2</v>
      </c>
      <c r="U1163" s="1" t="s">
        <v>1209</v>
      </c>
      <c r="V1163" s="1">
        <v>20250424</v>
      </c>
      <c r="W1163" s="8" t="s">
        <v>8443</v>
      </c>
      <c r="Z1163" s="1"/>
      <c r="AA1163" s="1"/>
      <c r="AC1163" s="1"/>
      <c r="AD1163" s="1"/>
      <c r="AE1163" s="1"/>
      <c r="AF1163" s="1"/>
    </row>
    <row r="1164" spans="2:32" ht="12.75" x14ac:dyDescent="0.2">
      <c r="B1164" s="1" t="s">
        <v>9670</v>
      </c>
      <c r="C1164" s="10">
        <f t="shared" ca="1" si="36"/>
        <v>45751</v>
      </c>
      <c r="D1164" s="4"/>
      <c r="E1164" s="4" t="s">
        <v>8434</v>
      </c>
      <c r="F1164" s="4" t="s">
        <v>1293</v>
      </c>
      <c r="G1164" s="4"/>
      <c r="H1164" s="4" t="str">
        <f>_xlfn.IFNA(VLOOKUP(Table_Query_from_AMULTIQRY45[[#This Row],[WPROD]],'Part# with New'!$A$1:$B$4347,2,0),Table_Query_from_AMULTIQRY45[[#This Row],[WPROD]])</f>
        <v>4629</v>
      </c>
      <c r="I1164" s="4" t="s">
        <v>8436</v>
      </c>
      <c r="J1164" s="1" t="s">
        <v>1019</v>
      </c>
      <c r="L1164" s="11">
        <v>4.22</v>
      </c>
      <c r="M1164" s="1"/>
      <c r="N1164" s="1" t="s">
        <v>1203</v>
      </c>
      <c r="P1164" s="1" t="str">
        <f>CONCATENATE(Table_Query_from_AMULTIQRY45[[#This Row],[WWHS]],"-",Table_Query_from_AMULTIQRY45[[#This Row],[LLOC]])</f>
        <v>E1-RAW</v>
      </c>
      <c r="Q1164" s="10">
        <f t="shared" ca="1" si="37"/>
        <v>45775</v>
      </c>
      <c r="R1164" s="10"/>
      <c r="S1164" s="28">
        <v>1073</v>
      </c>
      <c r="T1164" s="1" t="s">
        <v>2</v>
      </c>
      <c r="U1164" s="1" t="s">
        <v>1210</v>
      </c>
      <c r="V1164" s="1">
        <v>20250404</v>
      </c>
      <c r="W1164" s="8" t="s">
        <v>8443</v>
      </c>
      <c r="Z1164" s="1"/>
      <c r="AA1164" s="1"/>
      <c r="AC1164" s="1"/>
      <c r="AD1164" s="1"/>
      <c r="AE1164" s="1"/>
      <c r="AF1164" s="1"/>
    </row>
    <row r="1165" spans="2:32" ht="12.75" x14ac:dyDescent="0.2">
      <c r="B1165" s="1" t="s">
        <v>9671</v>
      </c>
      <c r="C1165" s="10">
        <f t="shared" ca="1" si="36"/>
        <v>45768</v>
      </c>
      <c r="D1165" s="4"/>
      <c r="E1165" s="4" t="s">
        <v>8434</v>
      </c>
      <c r="F1165" s="4" t="s">
        <v>1293</v>
      </c>
      <c r="G1165" s="4"/>
      <c r="H1165" s="4" t="str">
        <f>_xlfn.IFNA(VLOOKUP(Table_Query_from_AMULTIQRY45[[#This Row],[WPROD]],'Part# with New'!$A$1:$B$4347,2,0),Table_Query_from_AMULTIQRY45[[#This Row],[WPROD]])</f>
        <v>4664</v>
      </c>
      <c r="I1165" s="4" t="s">
        <v>8436</v>
      </c>
      <c r="J1165" s="1" t="s">
        <v>1019</v>
      </c>
      <c r="L1165" s="11">
        <v>3.88</v>
      </c>
      <c r="M1165" s="1"/>
      <c r="N1165" s="1" t="s">
        <v>1203</v>
      </c>
      <c r="P1165" s="1" t="str">
        <f>CONCATENATE(Table_Query_from_AMULTIQRY45[[#This Row],[WWHS]],"-",Table_Query_from_AMULTIQRY45[[#This Row],[LLOC]])</f>
        <v>E1-RAW</v>
      </c>
      <c r="Q1165" s="10">
        <f t="shared" ca="1" si="37"/>
        <v>45775</v>
      </c>
      <c r="R1165" s="10"/>
      <c r="S1165" s="28">
        <v>77</v>
      </c>
      <c r="T1165" s="1" t="s">
        <v>2</v>
      </c>
      <c r="U1165" s="1" t="s">
        <v>1211</v>
      </c>
      <c r="V1165" s="1">
        <v>20250421</v>
      </c>
      <c r="W1165" s="8" t="s">
        <v>8443</v>
      </c>
      <c r="Z1165" s="1"/>
      <c r="AA1165" s="1"/>
      <c r="AC1165" s="1"/>
      <c r="AD1165" s="1"/>
      <c r="AE1165" s="1"/>
      <c r="AF1165" s="1"/>
    </row>
    <row r="1166" spans="2:32" ht="12.75" x14ac:dyDescent="0.2">
      <c r="B1166" s="1" t="s">
        <v>9672</v>
      </c>
      <c r="C1166" s="10">
        <f t="shared" ca="1" si="36"/>
        <v>45771</v>
      </c>
      <c r="D1166" s="4"/>
      <c r="E1166" s="4" t="s">
        <v>8434</v>
      </c>
      <c r="F1166" s="4" t="s">
        <v>1293</v>
      </c>
      <c r="G1166" s="4"/>
      <c r="H1166" s="4" t="str">
        <f>_xlfn.IFNA(VLOOKUP(Table_Query_from_AMULTIQRY45[[#This Row],[WPROD]],'Part# with New'!$A$1:$B$4347,2,0),Table_Query_from_AMULTIQRY45[[#This Row],[WPROD]])</f>
        <v>4766</v>
      </c>
      <c r="I1166" s="4" t="s">
        <v>8436</v>
      </c>
      <c r="J1166" s="1" t="s">
        <v>1019</v>
      </c>
      <c r="L1166" s="11">
        <v>3.89</v>
      </c>
      <c r="M1166" s="1"/>
      <c r="N1166" s="1" t="s">
        <v>1203</v>
      </c>
      <c r="P1166" s="1" t="str">
        <f>CONCATENATE(Table_Query_from_AMULTIQRY45[[#This Row],[WWHS]],"-",Table_Query_from_AMULTIQRY45[[#This Row],[LLOC]])</f>
        <v>E1-RAW</v>
      </c>
      <c r="Q1166" s="10">
        <f t="shared" ca="1" si="37"/>
        <v>45775</v>
      </c>
      <c r="R1166" s="10"/>
      <c r="S1166" s="28">
        <v>272</v>
      </c>
      <c r="T1166" s="1" t="s">
        <v>2</v>
      </c>
      <c r="U1166" s="1" t="s">
        <v>1212</v>
      </c>
      <c r="V1166" s="1">
        <v>20250424</v>
      </c>
      <c r="W1166" s="8" t="s">
        <v>8443</v>
      </c>
      <c r="Z1166" s="1"/>
      <c r="AA1166" s="1"/>
      <c r="AC1166" s="1"/>
      <c r="AD1166" s="1"/>
      <c r="AE1166" s="1"/>
      <c r="AF1166" s="1"/>
    </row>
    <row r="1167" spans="2:32" ht="12.75" x14ac:dyDescent="0.2">
      <c r="B1167" s="1" t="s">
        <v>9673</v>
      </c>
      <c r="C1167" s="10">
        <f t="shared" ca="1" si="36"/>
        <v>45757</v>
      </c>
      <c r="D1167" s="4"/>
      <c r="E1167" s="4" t="s">
        <v>8434</v>
      </c>
      <c r="F1167" s="4" t="s">
        <v>1293</v>
      </c>
      <c r="G1167" s="4"/>
      <c r="H1167" s="4" t="str">
        <f>_xlfn.IFNA(VLOOKUP(Table_Query_from_AMULTIQRY45[[#This Row],[WPROD]],'Part# with New'!$A$1:$B$4347,2,0),Table_Query_from_AMULTIQRY45[[#This Row],[WPROD]])</f>
        <v>5912</v>
      </c>
      <c r="I1167" s="4" t="s">
        <v>8436</v>
      </c>
      <c r="J1167" s="1" t="s">
        <v>1019</v>
      </c>
      <c r="L1167" s="11">
        <v>5.57</v>
      </c>
      <c r="M1167" s="1"/>
      <c r="N1167" s="1" t="s">
        <v>1203</v>
      </c>
      <c r="P1167" s="1" t="str">
        <f>CONCATENATE(Table_Query_from_AMULTIQRY45[[#This Row],[WWHS]],"-",Table_Query_from_AMULTIQRY45[[#This Row],[LLOC]])</f>
        <v>E1-RAW</v>
      </c>
      <c r="Q1167" s="10">
        <f t="shared" ca="1" si="37"/>
        <v>45775</v>
      </c>
      <c r="R1167" s="10"/>
      <c r="S1167" s="28">
        <v>84</v>
      </c>
      <c r="T1167" s="1" t="s">
        <v>2</v>
      </c>
      <c r="U1167" s="1" t="s">
        <v>1213</v>
      </c>
      <c r="V1167" s="1">
        <v>20250410</v>
      </c>
      <c r="W1167" s="8" t="s">
        <v>8443</v>
      </c>
      <c r="Z1167" s="1"/>
      <c r="AA1167" s="1"/>
      <c r="AC1167" s="1"/>
      <c r="AD1167" s="1"/>
      <c r="AE1167" s="1"/>
      <c r="AF1167" s="1"/>
    </row>
    <row r="1168" spans="2:32" ht="12.75" x14ac:dyDescent="0.2">
      <c r="B1168" s="1" t="s">
        <v>9674</v>
      </c>
      <c r="C1168" s="10">
        <f t="shared" ca="1" si="36"/>
        <v>45771</v>
      </c>
      <c r="D1168" s="4"/>
      <c r="E1168" s="4" t="s">
        <v>8434</v>
      </c>
      <c r="F1168" s="4" t="s">
        <v>1293</v>
      </c>
      <c r="G1168" s="4"/>
      <c r="H1168" s="4" t="str">
        <f>_xlfn.IFNA(VLOOKUP(Table_Query_from_AMULTIQRY45[[#This Row],[WPROD]],'Part# with New'!$A$1:$B$4347,2,0),Table_Query_from_AMULTIQRY45[[#This Row],[WPROD]])</f>
        <v>72718</v>
      </c>
      <c r="I1168" s="4" t="s">
        <v>8436</v>
      </c>
      <c r="J1168" s="1" t="s">
        <v>46</v>
      </c>
      <c r="L1168" s="11">
        <v>1.0000000000000001E-5</v>
      </c>
      <c r="M1168" s="1"/>
      <c r="N1168" s="1" t="s">
        <v>1017</v>
      </c>
      <c r="P1168" s="1" t="str">
        <f>CONCATENATE(Table_Query_from_AMULTIQRY45[[#This Row],[WWHS]],"-",Table_Query_from_AMULTIQRY45[[#This Row],[LLOC]])</f>
        <v>E1-RAW</v>
      </c>
      <c r="Q1168" s="10">
        <f t="shared" ca="1" si="37"/>
        <v>45775</v>
      </c>
      <c r="R1168" s="10"/>
      <c r="S1168" s="28">
        <v>5425</v>
      </c>
      <c r="T1168" s="1" t="s">
        <v>2</v>
      </c>
      <c r="U1168" s="1" t="s">
        <v>1214</v>
      </c>
      <c r="V1168" s="1">
        <v>20250424</v>
      </c>
      <c r="W1168" s="8" t="s">
        <v>8443</v>
      </c>
      <c r="Z1168" s="1"/>
      <c r="AA1168" s="1"/>
      <c r="AC1168" s="1"/>
      <c r="AD1168" s="1"/>
      <c r="AE1168" s="1"/>
      <c r="AF1168" s="1"/>
    </row>
    <row r="1169" spans="2:32" ht="12.75" x14ac:dyDescent="0.2">
      <c r="B1169" s="1" t="s">
        <v>9675</v>
      </c>
      <c r="C1169" s="10">
        <f t="shared" ca="1" si="36"/>
        <v>45761</v>
      </c>
      <c r="D1169" s="4"/>
      <c r="E1169" s="4" t="s">
        <v>8434</v>
      </c>
      <c r="F1169" s="4" t="s">
        <v>1293</v>
      </c>
      <c r="G1169" s="4"/>
      <c r="H1169" s="4" t="str">
        <f>_xlfn.IFNA(VLOOKUP(Table_Query_from_AMULTIQRY45[[#This Row],[WPROD]],'Part# with New'!$A$1:$B$4347,2,0),Table_Query_from_AMULTIQRY45[[#This Row],[WPROD]])</f>
        <v>72878</v>
      </c>
      <c r="I1169" s="4" t="s">
        <v>8436</v>
      </c>
      <c r="J1169" s="1" t="s">
        <v>46</v>
      </c>
      <c r="L1169" s="11">
        <v>1E-4</v>
      </c>
      <c r="M1169" s="1"/>
      <c r="N1169" s="1" t="s">
        <v>1017</v>
      </c>
      <c r="P1169" s="1" t="str">
        <f>CONCATENATE(Table_Query_from_AMULTIQRY45[[#This Row],[WWHS]],"-",Table_Query_from_AMULTIQRY45[[#This Row],[LLOC]])</f>
        <v>E1-RAW</v>
      </c>
      <c r="Q1169" s="10">
        <f t="shared" ca="1" si="37"/>
        <v>45775</v>
      </c>
      <c r="R1169" s="10"/>
      <c r="S1169" s="28">
        <v>841</v>
      </c>
      <c r="T1169" s="1" t="s">
        <v>2</v>
      </c>
      <c r="U1169" s="1" t="s">
        <v>1215</v>
      </c>
      <c r="V1169" s="1">
        <v>20250414</v>
      </c>
      <c r="W1169" s="8" t="s">
        <v>8443</v>
      </c>
      <c r="Z1169" s="1"/>
      <c r="AA1169" s="1"/>
      <c r="AC1169" s="1"/>
      <c r="AD1169" s="1"/>
      <c r="AE1169" s="1"/>
      <c r="AF1169" s="1"/>
    </row>
    <row r="1170" spans="2:32" ht="12.75" x14ac:dyDescent="0.2">
      <c r="B1170" s="1" t="s">
        <v>9676</v>
      </c>
      <c r="C1170" s="10">
        <f t="shared" ca="1" si="36"/>
        <v>44631</v>
      </c>
      <c r="D1170" s="4"/>
      <c r="E1170" s="4" t="s">
        <v>8434</v>
      </c>
      <c r="F1170" s="4" t="s">
        <v>1293</v>
      </c>
      <c r="G1170" s="4"/>
      <c r="H1170" s="4" t="str">
        <f>_xlfn.IFNA(VLOOKUP(Table_Query_from_AMULTIQRY45[[#This Row],[WPROD]],'Part# with New'!$A$1:$B$4347,2,0),Table_Query_from_AMULTIQRY45[[#This Row],[WPROD]])</f>
        <v>74003</v>
      </c>
      <c r="I1170" s="4" t="s">
        <v>8436</v>
      </c>
      <c r="J1170" s="1" t="s">
        <v>1027</v>
      </c>
      <c r="L1170" s="11">
        <v>1.4999999999999999E-4</v>
      </c>
      <c r="M1170" s="1"/>
      <c r="N1170" s="1" t="s">
        <v>1017</v>
      </c>
      <c r="P1170" s="1" t="str">
        <f>CONCATENATE(Table_Query_from_AMULTIQRY45[[#This Row],[WWHS]],"-",Table_Query_from_AMULTIQRY45[[#This Row],[LLOC]])</f>
        <v>E1-RAW</v>
      </c>
      <c r="Q1170" s="10">
        <f t="shared" ca="1" si="37"/>
        <v>45775</v>
      </c>
      <c r="R1170" s="10"/>
      <c r="S1170" s="28">
        <v>5.58</v>
      </c>
      <c r="T1170" s="1" t="s">
        <v>2</v>
      </c>
      <c r="U1170" s="1" t="s">
        <v>1216</v>
      </c>
      <c r="V1170" s="1">
        <v>20220311</v>
      </c>
      <c r="W1170" s="8" t="s">
        <v>8443</v>
      </c>
      <c r="Z1170" s="1"/>
      <c r="AA1170" s="1"/>
      <c r="AC1170" s="1"/>
      <c r="AD1170" s="1"/>
      <c r="AE1170" s="1"/>
      <c r="AF1170" s="1"/>
    </row>
    <row r="1171" spans="2:32" ht="12.75" x14ac:dyDescent="0.2">
      <c r="B1171" s="1" t="s">
        <v>9677</v>
      </c>
      <c r="C1171" s="10">
        <f t="shared" ca="1" si="36"/>
        <v>43670</v>
      </c>
      <c r="D1171" s="4"/>
      <c r="E1171" s="4" t="s">
        <v>8434</v>
      </c>
      <c r="F1171" s="4" t="s">
        <v>1293</v>
      </c>
      <c r="G1171" s="4"/>
      <c r="H1171" s="4" t="str">
        <f>_xlfn.IFNA(VLOOKUP(Table_Query_from_AMULTIQRY45[[#This Row],[WPROD]],'Part# with New'!$A$1:$B$4347,2,0),Table_Query_from_AMULTIQRY45[[#This Row],[WPROD]])</f>
        <v>74013</v>
      </c>
      <c r="I1171" s="4" t="s">
        <v>8436</v>
      </c>
      <c r="J1171" s="1" t="s">
        <v>46</v>
      </c>
      <c r="L1171" s="11">
        <v>2.3000000000000001E-4</v>
      </c>
      <c r="M1171" s="1"/>
      <c r="N1171" s="1" t="s">
        <v>1017</v>
      </c>
      <c r="P1171" s="1" t="str">
        <f>CONCATENATE(Table_Query_from_AMULTIQRY45[[#This Row],[WWHS]],"-",Table_Query_from_AMULTIQRY45[[#This Row],[LLOC]])</f>
        <v>E1-RAW</v>
      </c>
      <c r="Q1171" s="10">
        <f t="shared" ca="1" si="37"/>
        <v>45775</v>
      </c>
      <c r="R1171" s="10"/>
      <c r="S1171" s="28">
        <v>0.75</v>
      </c>
      <c r="T1171" s="1" t="s">
        <v>2</v>
      </c>
      <c r="U1171" s="1" t="s">
        <v>1217</v>
      </c>
      <c r="V1171" s="1">
        <v>20190724</v>
      </c>
      <c r="W1171" s="8" t="s">
        <v>8443</v>
      </c>
      <c r="Z1171" s="1"/>
      <c r="AA1171" s="1"/>
      <c r="AC1171" s="1"/>
      <c r="AD1171" s="1"/>
      <c r="AE1171" s="1"/>
      <c r="AF1171" s="1"/>
    </row>
    <row r="1172" spans="2:32" ht="12.75" x14ac:dyDescent="0.2">
      <c r="B1172" s="1" t="s">
        <v>9678</v>
      </c>
      <c r="C1172" s="10">
        <f t="shared" ca="1" si="36"/>
        <v>43670</v>
      </c>
      <c r="D1172" s="4"/>
      <c r="E1172" s="4" t="s">
        <v>8434</v>
      </c>
      <c r="F1172" s="4" t="s">
        <v>1293</v>
      </c>
      <c r="G1172" s="4"/>
      <c r="H1172" s="4" t="str">
        <f>_xlfn.IFNA(VLOOKUP(Table_Query_from_AMULTIQRY45[[#This Row],[WPROD]],'Part# with New'!$A$1:$B$4347,2,0),Table_Query_from_AMULTIQRY45[[#This Row],[WPROD]])</f>
        <v>74015</v>
      </c>
      <c r="I1172" s="4" t="s">
        <v>8436</v>
      </c>
      <c r="J1172" s="1" t="s">
        <v>46</v>
      </c>
      <c r="L1172" s="11">
        <v>1E-3</v>
      </c>
      <c r="M1172" s="1"/>
      <c r="N1172" s="1" t="s">
        <v>1017</v>
      </c>
      <c r="P1172" s="1" t="str">
        <f>CONCATENATE(Table_Query_from_AMULTIQRY45[[#This Row],[WWHS]],"-",Table_Query_from_AMULTIQRY45[[#This Row],[LLOC]])</f>
        <v>E1-RAW</v>
      </c>
      <c r="Q1172" s="10">
        <f t="shared" ca="1" si="37"/>
        <v>45775</v>
      </c>
      <c r="R1172" s="10"/>
      <c r="S1172" s="28">
        <v>0.5</v>
      </c>
      <c r="T1172" s="1" t="s">
        <v>2</v>
      </c>
      <c r="U1172" s="1" t="s">
        <v>1218</v>
      </c>
      <c r="V1172" s="1">
        <v>20190724</v>
      </c>
      <c r="W1172" s="8" t="s">
        <v>8443</v>
      </c>
      <c r="Z1172" s="1"/>
      <c r="AA1172" s="1"/>
      <c r="AC1172" s="1"/>
      <c r="AD1172" s="1"/>
      <c r="AE1172" s="1"/>
      <c r="AF1172" s="1"/>
    </row>
    <row r="1173" spans="2:32" ht="12.75" x14ac:dyDescent="0.2">
      <c r="B1173" s="1" t="s">
        <v>9679</v>
      </c>
      <c r="C1173" s="10">
        <f t="shared" ca="1" si="36"/>
        <v>43979</v>
      </c>
      <c r="D1173" s="4"/>
      <c r="E1173" s="4" t="s">
        <v>8434</v>
      </c>
      <c r="F1173" s="4" t="s">
        <v>1293</v>
      </c>
      <c r="G1173" s="4"/>
      <c r="H1173" s="4" t="str">
        <f>_xlfn.IFNA(VLOOKUP(Table_Query_from_AMULTIQRY45[[#This Row],[WPROD]],'Part# with New'!$A$1:$B$4347,2,0),Table_Query_from_AMULTIQRY45[[#This Row],[WPROD]])</f>
        <v>74037</v>
      </c>
      <c r="I1173" s="4" t="s">
        <v>8436</v>
      </c>
      <c r="J1173" s="1" t="s">
        <v>1027</v>
      </c>
      <c r="L1173" s="11">
        <v>6.9999999999999994E-5</v>
      </c>
      <c r="M1173" s="1"/>
      <c r="N1173" s="1" t="s">
        <v>1017</v>
      </c>
      <c r="P1173" s="1" t="str">
        <f>CONCATENATE(Table_Query_from_AMULTIQRY45[[#This Row],[WWHS]],"-",Table_Query_from_AMULTIQRY45[[#This Row],[LLOC]])</f>
        <v>E1-RAW</v>
      </c>
      <c r="Q1173" s="10">
        <f t="shared" ca="1" si="37"/>
        <v>45775</v>
      </c>
      <c r="R1173" s="10"/>
      <c r="S1173" s="28">
        <v>38</v>
      </c>
      <c r="T1173" s="1" t="s">
        <v>2</v>
      </c>
      <c r="U1173" s="1" t="s">
        <v>1219</v>
      </c>
      <c r="V1173" s="1">
        <v>20200528</v>
      </c>
      <c r="W1173" s="8" t="s">
        <v>8443</v>
      </c>
      <c r="Z1173" s="1"/>
      <c r="AA1173" s="1"/>
      <c r="AC1173" s="1"/>
      <c r="AD1173" s="1"/>
      <c r="AE1173" s="1"/>
      <c r="AF1173" s="1"/>
    </row>
    <row r="1174" spans="2:32" ht="12.75" x14ac:dyDescent="0.2">
      <c r="B1174" s="1" t="s">
        <v>9680</v>
      </c>
      <c r="C1174" s="10">
        <f t="shared" ca="1" si="36"/>
        <v>45727</v>
      </c>
      <c r="D1174" s="4"/>
      <c r="E1174" s="4" t="s">
        <v>8434</v>
      </c>
      <c r="F1174" s="4" t="s">
        <v>1293</v>
      </c>
      <c r="G1174" s="4"/>
      <c r="H1174" s="4" t="str">
        <f>_xlfn.IFNA(VLOOKUP(Table_Query_from_AMULTIQRY45[[#This Row],[WPROD]],'Part# with New'!$A$1:$B$4347,2,0),Table_Query_from_AMULTIQRY45[[#This Row],[WPROD]])</f>
        <v>8763</v>
      </c>
      <c r="I1174" s="4" t="s">
        <v>8436</v>
      </c>
      <c r="J1174" s="1" t="s">
        <v>1019</v>
      </c>
      <c r="L1174" s="11">
        <v>3.36</v>
      </c>
      <c r="M1174" s="1"/>
      <c r="N1174" s="1" t="s">
        <v>1203</v>
      </c>
      <c r="P1174" s="1" t="str">
        <f>CONCATENATE(Table_Query_from_AMULTIQRY45[[#This Row],[WWHS]],"-",Table_Query_from_AMULTIQRY45[[#This Row],[LLOC]])</f>
        <v>E1-RAW</v>
      </c>
      <c r="Q1174" s="10">
        <f t="shared" ca="1" si="37"/>
        <v>45775</v>
      </c>
      <c r="R1174" s="10"/>
      <c r="S1174" s="28">
        <v>87</v>
      </c>
      <c r="T1174" s="1" t="s">
        <v>2</v>
      </c>
      <c r="U1174" s="1" t="s">
        <v>1220</v>
      </c>
      <c r="V1174" s="1">
        <v>20250311</v>
      </c>
      <c r="W1174" s="8" t="s">
        <v>8443</v>
      </c>
      <c r="Z1174" s="1"/>
      <c r="AA1174" s="1"/>
      <c r="AC1174" s="1"/>
      <c r="AD1174" s="1"/>
      <c r="AE1174" s="1"/>
      <c r="AF1174" s="1"/>
    </row>
    <row r="1175" spans="2:32" ht="12.75" x14ac:dyDescent="0.2">
      <c r="B1175" s="1" t="s">
        <v>9681</v>
      </c>
      <c r="C1175" s="10">
        <f t="shared" ca="1" si="36"/>
        <v>43447</v>
      </c>
      <c r="D1175" s="4"/>
      <c r="E1175" s="4" t="s">
        <v>8434</v>
      </c>
      <c r="F1175" s="4" t="s">
        <v>1293</v>
      </c>
      <c r="G1175" s="4"/>
      <c r="H1175" s="4" t="str">
        <f>_xlfn.IFNA(VLOOKUP(Table_Query_from_AMULTIQRY45[[#This Row],[WPROD]],'Part# with New'!$A$1:$B$4347,2,0),Table_Query_from_AMULTIQRY45[[#This Row],[WPROD]])</f>
        <v>90801</v>
      </c>
      <c r="I1175" s="4" t="s">
        <v>8436</v>
      </c>
      <c r="J1175" s="1" t="s">
        <v>5</v>
      </c>
      <c r="L1175" s="11">
        <v>2.5000000000000001E-2</v>
      </c>
      <c r="M1175" s="1"/>
      <c r="N1175" s="1" t="s">
        <v>1017</v>
      </c>
      <c r="P1175" s="1" t="str">
        <f>CONCATENATE(Table_Query_from_AMULTIQRY45[[#This Row],[WWHS]],"-",Table_Query_from_AMULTIQRY45[[#This Row],[LLOC]])</f>
        <v>E1-RAW</v>
      </c>
      <c r="Q1175" s="10">
        <f t="shared" ca="1" si="37"/>
        <v>45775</v>
      </c>
      <c r="R1175" s="10"/>
      <c r="S1175" s="28">
        <v>5183</v>
      </c>
      <c r="T1175" s="1" t="s">
        <v>2</v>
      </c>
      <c r="U1175" s="1" t="s">
        <v>1221</v>
      </c>
      <c r="V1175" s="1">
        <v>20181213</v>
      </c>
      <c r="W1175" s="8" t="s">
        <v>8443</v>
      </c>
      <c r="Z1175" s="1"/>
      <c r="AA1175" s="1"/>
      <c r="AC1175" s="1"/>
      <c r="AD1175" s="1"/>
      <c r="AE1175" s="1"/>
      <c r="AF1175" s="1"/>
    </row>
    <row r="1176" spans="2:32" ht="12.75" x14ac:dyDescent="0.2">
      <c r="B1176" s="1" t="s">
        <v>9682</v>
      </c>
      <c r="C1176" s="10">
        <f t="shared" ca="1" si="36"/>
        <v>40022</v>
      </c>
      <c r="D1176" s="4"/>
      <c r="E1176" s="4" t="s">
        <v>8434</v>
      </c>
      <c r="F1176" s="4" t="s">
        <v>1293</v>
      </c>
      <c r="G1176" s="4"/>
      <c r="H1176" s="4" t="str">
        <f>_xlfn.IFNA(VLOOKUP(Table_Query_from_AMULTIQRY45[[#This Row],[WPROD]],'Part# with New'!$A$1:$B$4347,2,0),Table_Query_from_AMULTIQRY45[[#This Row],[WPROD]])</f>
        <v>92028</v>
      </c>
      <c r="I1176" s="4" t="s">
        <v>8436</v>
      </c>
      <c r="J1176" s="1" t="s">
        <v>5</v>
      </c>
      <c r="L1176" s="11">
        <v>1.276</v>
      </c>
      <c r="M1176" s="1"/>
      <c r="N1176" s="1" t="s">
        <v>1017</v>
      </c>
      <c r="P1176" s="1" t="str">
        <f>CONCATENATE(Table_Query_from_AMULTIQRY45[[#This Row],[WWHS]],"-",Table_Query_from_AMULTIQRY45[[#This Row],[LLOC]])</f>
        <v>E1-RAW</v>
      </c>
      <c r="Q1176" s="10">
        <f t="shared" ca="1" si="37"/>
        <v>45775</v>
      </c>
      <c r="R1176" s="10"/>
      <c r="S1176" s="28">
        <v>82</v>
      </c>
      <c r="T1176" s="1" t="s">
        <v>2</v>
      </c>
      <c r="U1176" s="1" t="s">
        <v>1222</v>
      </c>
      <c r="V1176" s="1">
        <v>20090728</v>
      </c>
      <c r="W1176" s="8" t="s">
        <v>8443</v>
      </c>
      <c r="Z1176" s="1"/>
      <c r="AA1176" s="1"/>
      <c r="AC1176" s="1"/>
      <c r="AD1176" s="1"/>
      <c r="AE1176" s="1"/>
      <c r="AF1176" s="1"/>
    </row>
    <row r="1177" spans="2:32" ht="12.75" x14ac:dyDescent="0.2">
      <c r="B1177" s="1" t="s">
        <v>9683</v>
      </c>
      <c r="C1177" s="10">
        <f t="shared" ca="1" si="36"/>
        <v>44181</v>
      </c>
      <c r="D1177" s="4"/>
      <c r="E1177" s="4" t="s">
        <v>8434</v>
      </c>
      <c r="F1177" s="4" t="s">
        <v>1293</v>
      </c>
      <c r="G1177" s="4"/>
      <c r="H1177" s="4" t="str">
        <f>_xlfn.IFNA(VLOOKUP(Table_Query_from_AMULTIQRY45[[#This Row],[WPROD]],'Part# with New'!$A$1:$B$4347,2,0),Table_Query_from_AMULTIQRY45[[#This Row],[WPROD]])</f>
        <v>92836</v>
      </c>
      <c r="I1177" s="4" t="s">
        <v>8436</v>
      </c>
      <c r="J1177" s="1" t="s">
        <v>5</v>
      </c>
      <c r="L1177" s="11">
        <v>0.26808999999999999</v>
      </c>
      <c r="M1177" s="1"/>
      <c r="N1177" s="1" t="s">
        <v>1017</v>
      </c>
      <c r="P1177" s="1" t="str">
        <f>CONCATENATE(Table_Query_from_AMULTIQRY45[[#This Row],[WWHS]],"-",Table_Query_from_AMULTIQRY45[[#This Row],[LLOC]])</f>
        <v>E1-RAW</v>
      </c>
      <c r="Q1177" s="10">
        <f t="shared" ca="1" si="37"/>
        <v>45775</v>
      </c>
      <c r="R1177" s="10"/>
      <c r="S1177" s="28">
        <v>6</v>
      </c>
      <c r="T1177" s="1" t="s">
        <v>2</v>
      </c>
      <c r="U1177" s="1" t="s">
        <v>1223</v>
      </c>
      <c r="V1177" s="1">
        <v>20201216</v>
      </c>
      <c r="W1177" s="8" t="s">
        <v>8443</v>
      </c>
      <c r="Z1177" s="1"/>
      <c r="AA1177" s="1"/>
      <c r="AC1177" s="1"/>
      <c r="AD1177" s="1"/>
      <c r="AE1177" s="1"/>
      <c r="AF1177" s="1"/>
    </row>
    <row r="1178" spans="2:32" ht="12.75" x14ac:dyDescent="0.2">
      <c r="B1178" s="1" t="s">
        <v>9684</v>
      </c>
      <c r="C1178" s="10">
        <f t="shared" ca="1" si="36"/>
        <v>45653</v>
      </c>
      <c r="D1178" s="4"/>
      <c r="E1178" s="4" t="s">
        <v>8434</v>
      </c>
      <c r="F1178" s="4" t="s">
        <v>1293</v>
      </c>
      <c r="G1178" s="4"/>
      <c r="H1178" s="4" t="str">
        <f>_xlfn.IFNA(VLOOKUP(Table_Query_from_AMULTIQRY45[[#This Row],[WPROD]],'Part# with New'!$A$1:$B$4347,2,0),Table_Query_from_AMULTIQRY45[[#This Row],[WPROD]])</f>
        <v>92847</v>
      </c>
      <c r="I1178" s="4" t="s">
        <v>8436</v>
      </c>
      <c r="J1178" s="1" t="s">
        <v>46</v>
      </c>
      <c r="L1178" s="11">
        <v>1E-4</v>
      </c>
      <c r="M1178" s="1"/>
      <c r="N1178" s="1" t="s">
        <v>1017</v>
      </c>
      <c r="P1178" s="1" t="str">
        <f>CONCATENATE(Table_Query_from_AMULTIQRY45[[#This Row],[WWHS]],"-",Table_Query_from_AMULTIQRY45[[#This Row],[LLOC]])</f>
        <v>E1-RAW</v>
      </c>
      <c r="Q1178" s="10">
        <f t="shared" ca="1" si="37"/>
        <v>45775</v>
      </c>
      <c r="R1178" s="10"/>
      <c r="S1178" s="28">
        <v>83</v>
      </c>
      <c r="T1178" s="1" t="s">
        <v>2</v>
      </c>
      <c r="U1178" s="1" t="s">
        <v>1224</v>
      </c>
      <c r="V1178" s="1">
        <v>20241227</v>
      </c>
      <c r="W1178" s="8" t="s">
        <v>8443</v>
      </c>
      <c r="Z1178" s="1"/>
      <c r="AA1178" s="1"/>
      <c r="AC1178" s="1"/>
      <c r="AD1178" s="1"/>
      <c r="AE1178" s="1"/>
      <c r="AF1178" s="1"/>
    </row>
    <row r="1179" spans="2:32" ht="12.75" x14ac:dyDescent="0.2">
      <c r="B1179" s="1" t="s">
        <v>9685</v>
      </c>
      <c r="C1179" s="10">
        <f t="shared" ca="1" si="36"/>
        <v>42436</v>
      </c>
      <c r="D1179" s="4"/>
      <c r="E1179" s="4" t="s">
        <v>8434</v>
      </c>
      <c r="F1179" s="4" t="s">
        <v>1293</v>
      </c>
      <c r="G1179" s="4"/>
      <c r="H1179" s="4" t="str">
        <f>_xlfn.IFNA(VLOOKUP(Table_Query_from_AMULTIQRY45[[#This Row],[WPROD]],'Part# with New'!$A$1:$B$4347,2,0),Table_Query_from_AMULTIQRY45[[#This Row],[WPROD]])</f>
        <v>93301</v>
      </c>
      <c r="I1179" s="4" t="s">
        <v>8436</v>
      </c>
      <c r="J1179" s="1" t="s">
        <v>46</v>
      </c>
      <c r="L1179" s="11">
        <v>4.0000000000000002E-4</v>
      </c>
      <c r="M1179" s="1"/>
      <c r="N1179" s="1" t="s">
        <v>646</v>
      </c>
      <c r="P1179" s="1" t="str">
        <f>CONCATENATE(Table_Query_from_AMULTIQRY45[[#This Row],[WWHS]],"-",Table_Query_from_AMULTIQRY45[[#This Row],[LLOC]])</f>
        <v>E1-RAW</v>
      </c>
      <c r="Q1179" s="10">
        <f t="shared" ca="1" si="37"/>
        <v>45775</v>
      </c>
      <c r="R1179" s="10"/>
      <c r="S1179" s="28">
        <v>444</v>
      </c>
      <c r="T1179" s="1" t="s">
        <v>2</v>
      </c>
      <c r="U1179" s="1" t="s">
        <v>1225</v>
      </c>
      <c r="V1179" s="1">
        <v>20160307</v>
      </c>
      <c r="W1179" s="8" t="s">
        <v>8443</v>
      </c>
      <c r="Z1179" s="1"/>
      <c r="AA1179" s="1"/>
      <c r="AC1179" s="1"/>
      <c r="AD1179" s="1"/>
      <c r="AE1179" s="1"/>
      <c r="AF1179" s="1"/>
    </row>
    <row r="1180" spans="2:32" ht="12.75" x14ac:dyDescent="0.2">
      <c r="B1180" s="1" t="s">
        <v>9686</v>
      </c>
      <c r="C1180" s="10">
        <f t="shared" ca="1" si="36"/>
        <v>44523</v>
      </c>
      <c r="D1180" s="4"/>
      <c r="E1180" s="4" t="s">
        <v>8434</v>
      </c>
      <c r="F1180" s="4" t="s">
        <v>1293</v>
      </c>
      <c r="G1180" s="4"/>
      <c r="H1180" s="4" t="str">
        <f>_xlfn.IFNA(VLOOKUP(Table_Query_from_AMULTIQRY45[[#This Row],[WPROD]],'Part# with New'!$A$1:$B$4347,2,0),Table_Query_from_AMULTIQRY45[[#This Row],[WPROD]])</f>
        <v>93372</v>
      </c>
      <c r="I1180" s="4" t="s">
        <v>8436</v>
      </c>
      <c r="J1180" s="1" t="s">
        <v>46</v>
      </c>
      <c r="L1180" s="11">
        <v>1.84</v>
      </c>
      <c r="M1180" s="1"/>
      <c r="N1180" s="1" t="s">
        <v>1017</v>
      </c>
      <c r="P1180" s="1" t="str">
        <f>CONCATENATE(Table_Query_from_AMULTIQRY45[[#This Row],[WWHS]],"-",Table_Query_from_AMULTIQRY45[[#This Row],[LLOC]])</f>
        <v>E1-RAW</v>
      </c>
      <c r="Q1180" s="10">
        <f t="shared" ca="1" si="37"/>
        <v>45775</v>
      </c>
      <c r="R1180" s="10"/>
      <c r="S1180" s="28">
        <v>41.99</v>
      </c>
      <c r="T1180" s="1" t="s">
        <v>2</v>
      </c>
      <c r="U1180" s="1" t="s">
        <v>1226</v>
      </c>
      <c r="V1180" s="1">
        <v>20211123</v>
      </c>
      <c r="W1180" s="8" t="s">
        <v>8443</v>
      </c>
      <c r="Z1180" s="1"/>
      <c r="AA1180" s="1"/>
      <c r="AC1180" s="1"/>
      <c r="AD1180" s="1"/>
      <c r="AE1180" s="1"/>
      <c r="AF1180" s="1"/>
    </row>
    <row r="1181" spans="2:32" ht="12.75" x14ac:dyDescent="0.2">
      <c r="B1181" s="1" t="s">
        <v>9687</v>
      </c>
      <c r="C1181" s="10">
        <f t="shared" ca="1" si="36"/>
        <v>44881</v>
      </c>
      <c r="D1181" s="4"/>
      <c r="E1181" s="4" t="s">
        <v>8434</v>
      </c>
      <c r="F1181" s="4" t="s">
        <v>1293</v>
      </c>
      <c r="G1181" s="4"/>
      <c r="H1181" s="4" t="str">
        <f>_xlfn.IFNA(VLOOKUP(Table_Query_from_AMULTIQRY45[[#This Row],[WPROD]],'Part# with New'!$A$1:$B$4347,2,0),Table_Query_from_AMULTIQRY45[[#This Row],[WPROD]])</f>
        <v>93413</v>
      </c>
      <c r="I1181" s="4" t="s">
        <v>8436</v>
      </c>
      <c r="J1181" s="1" t="s">
        <v>46</v>
      </c>
      <c r="L1181" s="11">
        <v>1.36</v>
      </c>
      <c r="M1181" s="1"/>
      <c r="N1181" s="1" t="s">
        <v>1017</v>
      </c>
      <c r="P1181" s="1" t="str">
        <f>CONCATENATE(Table_Query_from_AMULTIQRY45[[#This Row],[WWHS]],"-",Table_Query_from_AMULTIQRY45[[#This Row],[LLOC]])</f>
        <v>E1-RAW</v>
      </c>
      <c r="Q1181" s="10">
        <f t="shared" ca="1" si="37"/>
        <v>45775</v>
      </c>
      <c r="R1181" s="10"/>
      <c r="S1181" s="28">
        <v>215</v>
      </c>
      <c r="T1181" s="1" t="s">
        <v>2</v>
      </c>
      <c r="U1181" s="1" t="s">
        <v>1227</v>
      </c>
      <c r="V1181" s="1">
        <v>20221116</v>
      </c>
      <c r="W1181" s="8" t="s">
        <v>8443</v>
      </c>
      <c r="Z1181" s="1"/>
      <c r="AA1181" s="1"/>
      <c r="AC1181" s="1"/>
      <c r="AD1181" s="1"/>
      <c r="AE1181" s="1"/>
      <c r="AF1181" s="1"/>
    </row>
    <row r="1182" spans="2:32" ht="12.75" x14ac:dyDescent="0.2">
      <c r="B1182" s="1" t="s">
        <v>9688</v>
      </c>
      <c r="C1182" s="10">
        <f t="shared" ca="1" si="36"/>
        <v>45595</v>
      </c>
      <c r="D1182" s="4"/>
      <c r="E1182" s="4" t="s">
        <v>8434</v>
      </c>
      <c r="F1182" s="4" t="s">
        <v>1293</v>
      </c>
      <c r="G1182" s="4"/>
      <c r="H1182" s="4" t="str">
        <f>_xlfn.IFNA(VLOOKUP(Table_Query_from_AMULTIQRY45[[#This Row],[WPROD]],'Part# with New'!$A$1:$B$4347,2,0),Table_Query_from_AMULTIQRY45[[#This Row],[WPROD]])</f>
        <v>93569</v>
      </c>
      <c r="I1182" s="4" t="s">
        <v>8436</v>
      </c>
      <c r="J1182" s="1" t="s">
        <v>5</v>
      </c>
      <c r="L1182" s="11">
        <v>1.1200000000000001</v>
      </c>
      <c r="M1182" s="1"/>
      <c r="N1182" s="1" t="s">
        <v>1017</v>
      </c>
      <c r="P1182" s="1" t="str">
        <f>CONCATENATE(Table_Query_from_AMULTIQRY45[[#This Row],[WWHS]],"-",Table_Query_from_AMULTIQRY45[[#This Row],[LLOC]])</f>
        <v>E1-RAW</v>
      </c>
      <c r="Q1182" s="10">
        <f t="shared" ca="1" si="37"/>
        <v>45775</v>
      </c>
      <c r="R1182" s="10"/>
      <c r="S1182" s="28">
        <v>63</v>
      </c>
      <c r="T1182" s="1" t="s">
        <v>2</v>
      </c>
      <c r="U1182" s="1" t="s">
        <v>1228</v>
      </c>
      <c r="V1182" s="1">
        <v>20241030</v>
      </c>
      <c r="W1182" s="8" t="s">
        <v>8443</v>
      </c>
      <c r="Z1182" s="1"/>
      <c r="AA1182" s="1"/>
      <c r="AC1182" s="1"/>
      <c r="AD1182" s="1"/>
      <c r="AE1182" s="1"/>
      <c r="AF1182" s="1"/>
    </row>
    <row r="1183" spans="2:32" ht="12.75" x14ac:dyDescent="0.2">
      <c r="B1183" s="1" t="s">
        <v>9689</v>
      </c>
      <c r="C1183" s="10">
        <f t="shared" ca="1" si="36"/>
        <v>43188</v>
      </c>
      <c r="D1183" s="4"/>
      <c r="E1183" s="4" t="s">
        <v>8434</v>
      </c>
      <c r="F1183" s="4" t="s">
        <v>1293</v>
      </c>
      <c r="G1183" s="4"/>
      <c r="H1183" s="4" t="str">
        <f>_xlfn.IFNA(VLOOKUP(Table_Query_from_AMULTIQRY45[[#This Row],[WPROD]],'Part# with New'!$A$1:$B$4347,2,0),Table_Query_from_AMULTIQRY45[[#This Row],[WPROD]])</f>
        <v>93806</v>
      </c>
      <c r="I1183" s="4" t="s">
        <v>8436</v>
      </c>
      <c r="J1183" s="1" t="s">
        <v>46</v>
      </c>
      <c r="L1183" s="11">
        <v>2.4900000000000002</v>
      </c>
      <c r="M1183" s="1"/>
      <c r="N1183" s="1" t="s">
        <v>1017</v>
      </c>
      <c r="P1183" s="1" t="str">
        <f>CONCATENATE(Table_Query_from_AMULTIQRY45[[#This Row],[WWHS]],"-",Table_Query_from_AMULTIQRY45[[#This Row],[LLOC]])</f>
        <v>E1-RAW</v>
      </c>
      <c r="Q1183" s="10">
        <f t="shared" ca="1" si="37"/>
        <v>45775</v>
      </c>
      <c r="R1183" s="10"/>
      <c r="S1183" s="28">
        <v>1</v>
      </c>
      <c r="T1183" s="1" t="s">
        <v>2</v>
      </c>
      <c r="U1183" s="1" t="s">
        <v>1229</v>
      </c>
      <c r="V1183" s="1">
        <v>20180329</v>
      </c>
      <c r="W1183" s="8" t="s">
        <v>8443</v>
      </c>
      <c r="Z1183" s="1"/>
      <c r="AA1183" s="1"/>
      <c r="AC1183" s="1"/>
      <c r="AD1183" s="1"/>
      <c r="AE1183" s="1"/>
      <c r="AF1183" s="1"/>
    </row>
    <row r="1184" spans="2:32" ht="12.75" x14ac:dyDescent="0.2">
      <c r="B1184" s="1" t="s">
        <v>9690</v>
      </c>
      <c r="C1184" s="10">
        <f t="shared" ca="1" si="36"/>
        <v>45637</v>
      </c>
      <c r="D1184" s="4"/>
      <c r="E1184" s="4" t="s">
        <v>8434</v>
      </c>
      <c r="F1184" s="4" t="s">
        <v>1293</v>
      </c>
      <c r="G1184" s="4"/>
      <c r="H1184" s="4" t="str">
        <f>_xlfn.IFNA(VLOOKUP(Table_Query_from_AMULTIQRY45[[#This Row],[WPROD]],'Part# with New'!$A$1:$B$4347,2,0),Table_Query_from_AMULTIQRY45[[#This Row],[WPROD]])</f>
        <v>93847</v>
      </c>
      <c r="I1184" s="4" t="s">
        <v>8436</v>
      </c>
      <c r="J1184" s="1" t="s">
        <v>46</v>
      </c>
      <c r="L1184" s="11">
        <v>8.1999999999999993</v>
      </c>
      <c r="M1184" s="1"/>
      <c r="N1184" s="1" t="s">
        <v>1017</v>
      </c>
      <c r="P1184" s="1" t="str">
        <f>CONCATENATE(Table_Query_from_AMULTIQRY45[[#This Row],[WWHS]],"-",Table_Query_from_AMULTIQRY45[[#This Row],[LLOC]])</f>
        <v>E1-RAW</v>
      </c>
      <c r="Q1184" s="10">
        <f t="shared" ca="1" si="37"/>
        <v>45775</v>
      </c>
      <c r="R1184" s="10"/>
      <c r="S1184" s="28">
        <v>41</v>
      </c>
      <c r="T1184" s="1" t="s">
        <v>2</v>
      </c>
      <c r="U1184" s="1" t="s">
        <v>1230</v>
      </c>
      <c r="V1184" s="1">
        <v>20241211</v>
      </c>
      <c r="W1184" s="8" t="s">
        <v>8443</v>
      </c>
      <c r="Z1184" s="1"/>
      <c r="AA1184" s="1"/>
      <c r="AC1184" s="1"/>
      <c r="AD1184" s="1"/>
      <c r="AE1184" s="1"/>
      <c r="AF1184" s="1"/>
    </row>
    <row r="1185" spans="2:32" ht="12.75" x14ac:dyDescent="0.2">
      <c r="B1185" s="1" t="s">
        <v>9691</v>
      </c>
      <c r="C1185" s="10">
        <f t="shared" ca="1" si="36"/>
        <v>44825</v>
      </c>
      <c r="D1185" s="4"/>
      <c r="E1185" s="4" t="s">
        <v>8434</v>
      </c>
      <c r="F1185" s="4" t="s">
        <v>1293</v>
      </c>
      <c r="G1185" s="4"/>
      <c r="H1185" s="4" t="str">
        <f>_xlfn.IFNA(VLOOKUP(Table_Query_from_AMULTIQRY45[[#This Row],[WPROD]],'Part# with New'!$A$1:$B$4347,2,0),Table_Query_from_AMULTIQRY45[[#This Row],[WPROD]])</f>
        <v>94266</v>
      </c>
      <c r="I1185" s="4" t="s">
        <v>8436</v>
      </c>
      <c r="J1185" s="1" t="s">
        <v>5</v>
      </c>
      <c r="L1185" s="11">
        <v>4.21</v>
      </c>
      <c r="M1185" s="1"/>
      <c r="N1185" s="1" t="s">
        <v>1017</v>
      </c>
      <c r="P1185" s="1" t="str">
        <f>CONCATENATE(Table_Query_from_AMULTIQRY45[[#This Row],[WWHS]],"-",Table_Query_from_AMULTIQRY45[[#This Row],[LLOC]])</f>
        <v>E1-RAW</v>
      </c>
      <c r="Q1185" s="10">
        <f t="shared" ca="1" si="37"/>
        <v>45775</v>
      </c>
      <c r="R1185" s="10"/>
      <c r="S1185" s="28">
        <v>22</v>
      </c>
      <c r="T1185" s="1" t="s">
        <v>2</v>
      </c>
      <c r="U1185" s="1" t="s">
        <v>1231</v>
      </c>
      <c r="V1185" s="1">
        <v>20220921</v>
      </c>
      <c r="W1185" s="8" t="s">
        <v>8443</v>
      </c>
      <c r="Z1185" s="1"/>
      <c r="AA1185" s="1"/>
      <c r="AC1185" s="1"/>
      <c r="AD1185" s="1"/>
      <c r="AE1185" s="1"/>
      <c r="AF1185" s="1"/>
    </row>
    <row r="1186" spans="2:32" ht="12.75" x14ac:dyDescent="0.2">
      <c r="B1186" s="1" t="s">
        <v>9692</v>
      </c>
      <c r="C1186" s="10">
        <f t="shared" ca="1" si="36"/>
        <v>45721</v>
      </c>
      <c r="D1186" s="4"/>
      <c r="E1186" s="4" t="s">
        <v>8434</v>
      </c>
      <c r="F1186" s="4" t="s">
        <v>1293</v>
      </c>
      <c r="G1186" s="4"/>
      <c r="H1186" s="4" t="str">
        <f>_xlfn.IFNA(VLOOKUP(Table_Query_from_AMULTIQRY45[[#This Row],[WPROD]],'Part# with New'!$A$1:$B$4347,2,0),Table_Query_from_AMULTIQRY45[[#This Row],[WPROD]])</f>
        <v>9562</v>
      </c>
      <c r="I1186" s="4" t="s">
        <v>8436</v>
      </c>
      <c r="J1186" s="1" t="s">
        <v>1019</v>
      </c>
      <c r="L1186" s="11">
        <v>3.39</v>
      </c>
      <c r="M1186" s="1"/>
      <c r="N1186" s="1" t="s">
        <v>1203</v>
      </c>
      <c r="P1186" s="1" t="str">
        <f>CONCATENATE(Table_Query_from_AMULTIQRY45[[#This Row],[WWHS]],"-",Table_Query_from_AMULTIQRY45[[#This Row],[LLOC]])</f>
        <v>E1-RAW</v>
      </c>
      <c r="Q1186" s="10">
        <f t="shared" ca="1" si="37"/>
        <v>45775</v>
      </c>
      <c r="R1186" s="10"/>
      <c r="S1186" s="28">
        <v>57</v>
      </c>
      <c r="T1186" s="1" t="s">
        <v>2</v>
      </c>
      <c r="U1186" s="1" t="s">
        <v>1232</v>
      </c>
      <c r="V1186" s="1">
        <v>20250305</v>
      </c>
      <c r="W1186" s="8" t="s">
        <v>8443</v>
      </c>
      <c r="Z1186" s="1"/>
      <c r="AA1186" s="1"/>
      <c r="AC1186" s="1"/>
      <c r="AD1186" s="1"/>
      <c r="AE1186" s="1"/>
      <c r="AF1186" s="1"/>
    </row>
    <row r="1187" spans="2:32" ht="12.75" x14ac:dyDescent="0.2">
      <c r="B1187" s="1" t="s">
        <v>9693</v>
      </c>
      <c r="C1187" s="10">
        <f t="shared" ca="1" si="36"/>
        <v>45772</v>
      </c>
      <c r="D1187" s="4"/>
      <c r="E1187" s="4" t="s">
        <v>8434</v>
      </c>
      <c r="F1187" s="4" t="s">
        <v>1293</v>
      </c>
      <c r="G1187" s="4"/>
      <c r="H1187" s="4" t="str">
        <f>_xlfn.IFNA(VLOOKUP(Table_Query_from_AMULTIQRY45[[#This Row],[WPROD]],'Part# with New'!$A$1:$B$4347,2,0),Table_Query_from_AMULTIQRY45[[#This Row],[WPROD]])</f>
        <v>9765</v>
      </c>
      <c r="I1187" s="4" t="s">
        <v>8436</v>
      </c>
      <c r="J1187" s="1" t="s">
        <v>1019</v>
      </c>
      <c r="L1187" s="11">
        <v>3.0329899999999999</v>
      </c>
      <c r="M1187" s="1"/>
      <c r="N1187" s="1" t="s">
        <v>1203</v>
      </c>
      <c r="P1187" s="1" t="str">
        <f>CONCATENATE(Table_Query_from_AMULTIQRY45[[#This Row],[WWHS]],"-",Table_Query_from_AMULTIQRY45[[#This Row],[LLOC]])</f>
        <v>E1-RAW</v>
      </c>
      <c r="Q1187" s="10">
        <f t="shared" ca="1" si="37"/>
        <v>45775</v>
      </c>
      <c r="R1187" s="10"/>
      <c r="S1187" s="28">
        <v>132</v>
      </c>
      <c r="T1187" s="1" t="s">
        <v>2</v>
      </c>
      <c r="U1187" s="1" t="s">
        <v>1233</v>
      </c>
      <c r="V1187" s="1">
        <v>20250425</v>
      </c>
      <c r="W1187" s="8" t="s">
        <v>8443</v>
      </c>
      <c r="Z1187" s="1"/>
      <c r="AA1187" s="1"/>
      <c r="AC1187" s="1"/>
      <c r="AD1187" s="1"/>
      <c r="AE1187" s="1"/>
      <c r="AF1187" s="1"/>
    </row>
    <row r="1188" spans="2:32" ht="12.75" x14ac:dyDescent="0.2">
      <c r="B1188" s="1" t="s">
        <v>9694</v>
      </c>
      <c r="C1188" s="10">
        <f t="shared" ca="1" si="36"/>
        <v>45728</v>
      </c>
      <c r="D1188" s="4"/>
      <c r="E1188" s="4" t="s">
        <v>8434</v>
      </c>
      <c r="F1188" s="4" t="s">
        <v>1293</v>
      </c>
      <c r="G1188" s="4"/>
      <c r="H1188" s="4" t="str">
        <f>_xlfn.IFNA(VLOOKUP(Table_Query_from_AMULTIQRY45[[#This Row],[WPROD]],'Part# with New'!$A$1:$B$4347,2,0),Table_Query_from_AMULTIQRY45[[#This Row],[WPROD]])</f>
        <v>WSNC137100150D-PGX25R</v>
      </c>
      <c r="I1188" s="4" t="s">
        <v>8436</v>
      </c>
      <c r="J1188" s="1" t="s">
        <v>5</v>
      </c>
      <c r="L1188" s="11">
        <v>2.3321999999999998</v>
      </c>
      <c r="M1188" s="1"/>
      <c r="N1188" s="1" t="s">
        <v>6</v>
      </c>
      <c r="P1188" s="1" t="str">
        <f>CONCATENATE(Table_Query_from_AMULTIQRY45[[#This Row],[WWHS]],"-",Table_Query_from_AMULTIQRY45[[#This Row],[LLOC]])</f>
        <v>E1-FG</v>
      </c>
      <c r="Q1188" s="10">
        <f t="shared" ca="1" si="37"/>
        <v>45775</v>
      </c>
      <c r="R1188" s="10"/>
      <c r="S1188" s="28">
        <v>36</v>
      </c>
      <c r="T1188" s="1" t="s">
        <v>2</v>
      </c>
      <c r="U1188" s="1" t="s">
        <v>1234</v>
      </c>
      <c r="V1188" s="1">
        <v>20250312</v>
      </c>
      <c r="W1188" s="8" t="s">
        <v>8442</v>
      </c>
      <c r="Z1188" s="1"/>
      <c r="AA1188" s="1"/>
      <c r="AC1188" s="1"/>
      <c r="AD1188" s="1"/>
      <c r="AE1188" s="1"/>
      <c r="AF1188" s="1"/>
    </row>
    <row r="1189" spans="2:32" ht="12.75" x14ac:dyDescent="0.2">
      <c r="B1189" s="1" t="s">
        <v>9695</v>
      </c>
      <c r="C1189" s="10">
        <f t="shared" ca="1" si="36"/>
        <v>45436</v>
      </c>
      <c r="D1189" s="4"/>
      <c r="E1189" s="4" t="s">
        <v>8434</v>
      </c>
      <c r="F1189" s="4" t="s">
        <v>1293</v>
      </c>
      <c r="G1189" s="4"/>
      <c r="H1189" s="4" t="str">
        <f>_xlfn.IFNA(VLOOKUP(Table_Query_from_AMULTIQRY45[[#This Row],[WPROD]],'Part# with New'!$A$1:$B$4347,2,0),Table_Query_from_AMULTIQRY45[[#This Row],[WPROD]])</f>
        <v>WFFB160126017Q-PCG10K</v>
      </c>
      <c r="I1189" s="4" t="s">
        <v>8436</v>
      </c>
      <c r="J1189" s="1" t="s">
        <v>5</v>
      </c>
      <c r="L1189" s="11">
        <v>0.2271</v>
      </c>
      <c r="M1189" s="1"/>
      <c r="N1189" s="1" t="s">
        <v>348</v>
      </c>
      <c r="P1189" s="1" t="str">
        <f>CONCATENATE(Table_Query_from_AMULTIQRY45[[#This Row],[WWHS]],"-",Table_Query_from_AMULTIQRY45[[#This Row],[LLOC]])</f>
        <v>E1-FG</v>
      </c>
      <c r="Q1189" s="10">
        <f t="shared" ca="1" si="37"/>
        <v>45775</v>
      </c>
      <c r="R1189" s="10"/>
      <c r="S1189" s="28">
        <v>390</v>
      </c>
      <c r="T1189" s="1" t="s">
        <v>2</v>
      </c>
      <c r="U1189" s="1" t="s">
        <v>1235</v>
      </c>
      <c r="V1189" s="1">
        <v>20240524</v>
      </c>
      <c r="W1189" s="8" t="s">
        <v>8442</v>
      </c>
      <c r="Z1189" s="1"/>
      <c r="AA1189" s="1"/>
      <c r="AC1189" s="1"/>
      <c r="AD1189" s="1"/>
      <c r="AE1189" s="1"/>
      <c r="AF1189" s="1"/>
    </row>
    <row r="1190" spans="2:32" ht="12.75" x14ac:dyDescent="0.2">
      <c r="B1190" s="1" t="s">
        <v>9696</v>
      </c>
      <c r="C1190" s="10">
        <f t="shared" ca="1" si="36"/>
        <v>45299</v>
      </c>
      <c r="D1190" s="4"/>
      <c r="E1190" s="4" t="s">
        <v>8434</v>
      </c>
      <c r="F1190" s="4" t="s">
        <v>1293</v>
      </c>
      <c r="G1190" s="4"/>
      <c r="H1190" s="4" t="str">
        <f>_xlfn.IFNA(VLOOKUP(Table_Query_from_AMULTIQRY45[[#This Row],[WPROD]],'Part# with New'!$A$1:$B$4347,2,0),Table_Query_from_AMULTIQRY45[[#This Row],[WPROD]])</f>
        <v>WSOR094088010D-DV100N</v>
      </c>
      <c r="I1190" s="4" t="s">
        <v>8436</v>
      </c>
      <c r="J1190" s="1" t="s">
        <v>5</v>
      </c>
      <c r="L1190" s="11">
        <v>0.23150999999999999</v>
      </c>
      <c r="M1190" s="1"/>
      <c r="N1190" s="1" t="s">
        <v>480</v>
      </c>
      <c r="P1190" s="1" t="str">
        <f>CONCATENATE(Table_Query_from_AMULTIQRY45[[#This Row],[WWHS]],"-",Table_Query_from_AMULTIQRY45[[#This Row],[LLOC]])</f>
        <v>E1-FG</v>
      </c>
      <c r="Q1190" s="10">
        <f t="shared" ca="1" si="37"/>
        <v>45775</v>
      </c>
      <c r="R1190" s="10"/>
      <c r="S1190" s="28">
        <v>280</v>
      </c>
      <c r="T1190" s="1" t="s">
        <v>2</v>
      </c>
      <c r="U1190" s="1" t="s">
        <v>1236</v>
      </c>
      <c r="V1190" s="1">
        <v>20240108</v>
      </c>
      <c r="W1190" s="8" t="s">
        <v>8442</v>
      </c>
      <c r="Z1190" s="1"/>
      <c r="AA1190" s="1"/>
      <c r="AC1190" s="1"/>
      <c r="AD1190" s="1"/>
      <c r="AE1190" s="1"/>
      <c r="AF1190" s="1"/>
    </row>
    <row r="1191" spans="2:32" ht="12.75" x14ac:dyDescent="0.2">
      <c r="B1191" s="1" t="s">
        <v>9697</v>
      </c>
      <c r="C1191" s="10">
        <f t="shared" ca="1" si="36"/>
        <v>45174</v>
      </c>
      <c r="D1191" s="4"/>
      <c r="E1191" s="4" t="s">
        <v>8434</v>
      </c>
      <c r="F1191" s="4" t="s">
        <v>1293</v>
      </c>
      <c r="G1191" s="4"/>
      <c r="H1191" s="4" t="str">
        <f>_xlfn.IFNA(VLOOKUP(Table_Query_from_AMULTIQRY45[[#This Row],[WPROD]],'Part# with New'!$A$1:$B$4347,2,0),Table_Query_from_AMULTIQRY45[[#This Row],[WPROD]])</f>
        <v>WPOT173160008D-PGX15B</v>
      </c>
      <c r="I1191" s="4" t="s">
        <v>8436</v>
      </c>
      <c r="J1191" s="1" t="s">
        <v>5</v>
      </c>
      <c r="L1191" s="11">
        <v>0.15570000000000001</v>
      </c>
      <c r="M1191" s="1"/>
      <c r="N1191" s="1" t="s">
        <v>3</v>
      </c>
      <c r="P1191" s="1" t="str">
        <f>CONCATENATE(Table_Query_from_AMULTIQRY45[[#This Row],[WWHS]],"-",Table_Query_from_AMULTIQRY45[[#This Row],[LLOC]])</f>
        <v>E1-FG</v>
      </c>
      <c r="Q1191" s="10">
        <f t="shared" ca="1" si="37"/>
        <v>45775</v>
      </c>
      <c r="R1191" s="10"/>
      <c r="S1191" s="28">
        <v>564</v>
      </c>
      <c r="T1191" s="1" t="s">
        <v>2</v>
      </c>
      <c r="U1191" s="1" t="s">
        <v>1237</v>
      </c>
      <c r="V1191" s="1">
        <v>20230905</v>
      </c>
      <c r="W1191" s="8" t="s">
        <v>8442</v>
      </c>
      <c r="Z1191" s="1"/>
      <c r="AA1191" s="1"/>
      <c r="AC1191" s="1"/>
      <c r="AD1191" s="1"/>
      <c r="AE1191" s="1"/>
      <c r="AF1191" s="1"/>
    </row>
    <row r="1192" spans="2:32" ht="12.75" x14ac:dyDescent="0.2">
      <c r="B1192" s="1" t="s">
        <v>9698</v>
      </c>
      <c r="C1192" s="10">
        <f t="shared" ca="1" si="36"/>
        <v>45761</v>
      </c>
      <c r="D1192" s="4"/>
      <c r="E1192" s="4" t="s">
        <v>8434</v>
      </c>
      <c r="F1192" s="4" t="s">
        <v>1293</v>
      </c>
      <c r="G1192" s="4"/>
      <c r="H1192" s="4" t="str">
        <f>_xlfn.IFNA(VLOOKUP(Table_Query_from_AMULTIQRY45[[#This Row],[WPROD]],'Part# with New'!$A$1:$B$4347,2,0),Table_Query_from_AMULTIQRY45[[#This Row],[WPROD]])</f>
        <v>82878</v>
      </c>
      <c r="I1192" s="4" t="s">
        <v>8436</v>
      </c>
      <c r="J1192" s="1" t="s">
        <v>5</v>
      </c>
      <c r="L1192" s="11">
        <v>0.52437999999999996</v>
      </c>
      <c r="M1192" s="1"/>
      <c r="N1192" s="1" t="s">
        <v>18</v>
      </c>
      <c r="P1192" s="1" t="str">
        <f>CONCATENATE(Table_Query_from_AMULTIQRY45[[#This Row],[WWHS]],"-",Table_Query_from_AMULTIQRY45[[#This Row],[LLOC]])</f>
        <v>E1-RAW</v>
      </c>
      <c r="Q1192" s="10">
        <f t="shared" ca="1" si="37"/>
        <v>45775</v>
      </c>
      <c r="R1192" s="10"/>
      <c r="S1192" s="28">
        <v>94</v>
      </c>
      <c r="T1192" s="1" t="s">
        <v>2</v>
      </c>
      <c r="U1192" s="1" t="s">
        <v>1238</v>
      </c>
      <c r="V1192" s="1">
        <v>20250414</v>
      </c>
      <c r="W1192" s="8" t="s">
        <v>8443</v>
      </c>
      <c r="Z1192" s="1"/>
      <c r="AA1192" s="1"/>
      <c r="AC1192" s="1"/>
      <c r="AD1192" s="1"/>
      <c r="AE1192" s="1"/>
      <c r="AF1192" s="1"/>
    </row>
    <row r="1193" spans="2:32" ht="12.75" x14ac:dyDescent="0.2">
      <c r="B1193" s="1" t="s">
        <v>9699</v>
      </c>
      <c r="C1193" s="10">
        <f t="shared" ca="1" si="36"/>
        <v>45747</v>
      </c>
      <c r="D1193" s="4"/>
      <c r="E1193" s="4" t="s">
        <v>8434</v>
      </c>
      <c r="F1193" s="4" t="s">
        <v>1293</v>
      </c>
      <c r="G1193" s="4"/>
      <c r="H1193" s="4" t="str">
        <f>_xlfn.IFNA(VLOOKUP(Table_Query_from_AMULTIQRY45[[#This Row],[WPROD]],'Part# with New'!$A$1:$B$4347,2,0),Table_Query_from_AMULTIQRY45[[#This Row],[WPROD]])</f>
        <v>83056</v>
      </c>
      <c r="I1193" s="4" t="s">
        <v>8436</v>
      </c>
      <c r="J1193" s="1" t="s">
        <v>5</v>
      </c>
      <c r="L1193" s="11">
        <v>0.26584999999999998</v>
      </c>
      <c r="M1193" s="1"/>
      <c r="N1193" s="1" t="s">
        <v>18</v>
      </c>
      <c r="P1193" s="1" t="str">
        <f>CONCATENATE(Table_Query_from_AMULTIQRY45[[#This Row],[WWHS]],"-",Table_Query_from_AMULTIQRY45[[#This Row],[LLOC]])</f>
        <v>E1-RAW</v>
      </c>
      <c r="Q1193" s="10">
        <f t="shared" ca="1" si="37"/>
        <v>45775</v>
      </c>
      <c r="R1193" s="10"/>
      <c r="S1193" s="28">
        <v>67</v>
      </c>
      <c r="T1193" s="1" t="s">
        <v>2</v>
      </c>
      <c r="U1193" s="1" t="s">
        <v>1239</v>
      </c>
      <c r="V1193" s="1">
        <v>20250331</v>
      </c>
      <c r="W1193" s="8" t="s">
        <v>8443</v>
      </c>
      <c r="Z1193" s="1"/>
      <c r="AA1193" s="1"/>
      <c r="AC1193" s="1"/>
      <c r="AD1193" s="1"/>
      <c r="AE1193" s="1"/>
      <c r="AF1193" s="1"/>
    </row>
    <row r="1194" spans="2:32" ht="12.75" x14ac:dyDescent="0.2">
      <c r="B1194" s="1" t="s">
        <v>9700</v>
      </c>
      <c r="C1194" s="10">
        <f t="shared" ca="1" si="36"/>
        <v>41697</v>
      </c>
      <c r="D1194" s="4"/>
      <c r="E1194" s="4" t="s">
        <v>8434</v>
      </c>
      <c r="F1194" s="4" t="s">
        <v>1293</v>
      </c>
      <c r="G1194" s="4"/>
      <c r="H1194" s="4" t="str">
        <f>_xlfn.IFNA(VLOOKUP(Table_Query_from_AMULTIQRY45[[#This Row],[WPROD]],'Part# with New'!$A$1:$B$4347,2,0),Table_Query_from_AMULTIQRY45[[#This Row],[WPROD]])</f>
        <v>83473</v>
      </c>
      <c r="I1194" s="4" t="s">
        <v>8436</v>
      </c>
      <c r="J1194" s="1" t="s">
        <v>5</v>
      </c>
      <c r="L1194" s="11">
        <v>1.89438</v>
      </c>
      <c r="M1194" s="1"/>
      <c r="N1194" s="1" t="s">
        <v>18</v>
      </c>
      <c r="P1194" s="1" t="str">
        <f>CONCATENATE(Table_Query_from_AMULTIQRY45[[#This Row],[WWHS]],"-",Table_Query_from_AMULTIQRY45[[#This Row],[LLOC]])</f>
        <v>E1-RAW</v>
      </c>
      <c r="Q1194" s="10">
        <f t="shared" ca="1" si="37"/>
        <v>45775</v>
      </c>
      <c r="R1194" s="10"/>
      <c r="S1194" s="28">
        <v>197</v>
      </c>
      <c r="T1194" s="1" t="s">
        <v>2</v>
      </c>
      <c r="U1194" s="1" t="s">
        <v>1240</v>
      </c>
      <c r="V1194" s="1">
        <v>20140227</v>
      </c>
      <c r="W1194" s="8" t="s">
        <v>8443</v>
      </c>
      <c r="Z1194" s="1"/>
      <c r="AA1194" s="1"/>
      <c r="AC1194" s="1"/>
      <c r="AD1194" s="1"/>
      <c r="AE1194" s="1"/>
      <c r="AF1194" s="1"/>
    </row>
    <row r="1195" spans="2:32" ht="12.75" x14ac:dyDescent="0.2">
      <c r="B1195" s="1" t="s">
        <v>9701</v>
      </c>
      <c r="C1195" s="10">
        <f t="shared" ca="1" si="36"/>
        <v>45224</v>
      </c>
      <c r="D1195" s="4"/>
      <c r="E1195" s="4" t="s">
        <v>8434</v>
      </c>
      <c r="F1195" s="4" t="s">
        <v>1293</v>
      </c>
      <c r="G1195" s="4"/>
      <c r="H1195" s="4" t="str">
        <f>_xlfn.IFNA(VLOOKUP(Table_Query_from_AMULTIQRY45[[#This Row],[WPROD]],'Part# with New'!$A$1:$B$4347,2,0),Table_Query_from_AMULTIQRY45[[#This Row],[WPROD]])</f>
        <v>73905.F</v>
      </c>
      <c r="I1195" s="4" t="s">
        <v>8436</v>
      </c>
      <c r="J1195" s="1" t="s">
        <v>46</v>
      </c>
      <c r="L1195" s="11">
        <v>0.24259</v>
      </c>
      <c r="M1195" s="1"/>
      <c r="N1195" s="1" t="s">
        <v>18</v>
      </c>
      <c r="P1195" s="1" t="str">
        <f>CONCATENATE(Table_Query_from_AMULTIQRY45[[#This Row],[WWHS]],"-",Table_Query_from_AMULTIQRY45[[#This Row],[LLOC]])</f>
        <v>E1-RAW</v>
      </c>
      <c r="Q1195" s="10">
        <f t="shared" ca="1" si="37"/>
        <v>45775</v>
      </c>
      <c r="R1195" s="10"/>
      <c r="S1195" s="28">
        <v>26</v>
      </c>
      <c r="T1195" s="1" t="s">
        <v>2</v>
      </c>
      <c r="U1195" s="1" t="s">
        <v>1241</v>
      </c>
      <c r="V1195" s="1">
        <v>20231025</v>
      </c>
      <c r="W1195" s="8" t="s">
        <v>8443</v>
      </c>
      <c r="Z1195" s="1"/>
      <c r="AA1195" s="1"/>
      <c r="AC1195" s="1"/>
      <c r="AD1195" s="1"/>
      <c r="AE1195" s="1"/>
      <c r="AF1195" s="1"/>
    </row>
    <row r="1196" spans="2:32" ht="12.75" x14ac:dyDescent="0.2">
      <c r="B1196" s="1" t="s">
        <v>9702</v>
      </c>
      <c r="C1196" s="10">
        <f t="shared" ca="1" si="36"/>
        <v>45224</v>
      </c>
      <c r="D1196" s="4"/>
      <c r="E1196" s="4" t="s">
        <v>8434</v>
      </c>
      <c r="F1196" s="4" t="s">
        <v>1293</v>
      </c>
      <c r="G1196" s="4"/>
      <c r="H1196" s="4" t="str">
        <f>_xlfn.IFNA(VLOOKUP(Table_Query_from_AMULTIQRY45[[#This Row],[WPROD]],'Part# with New'!$A$1:$B$4347,2,0),Table_Query_from_AMULTIQRY45[[#This Row],[WPROD]])</f>
        <v>73905.MF</v>
      </c>
      <c r="I1196" s="4" t="s">
        <v>8436</v>
      </c>
      <c r="J1196" s="1" t="s">
        <v>46</v>
      </c>
      <c r="L1196" s="11">
        <v>0.24259</v>
      </c>
      <c r="M1196" s="1"/>
      <c r="N1196" s="1" t="s">
        <v>18</v>
      </c>
      <c r="P1196" s="1" t="str">
        <f>CONCATENATE(Table_Query_from_AMULTIQRY45[[#This Row],[WWHS]],"-",Table_Query_from_AMULTIQRY45[[#This Row],[LLOC]])</f>
        <v>E1-RAW</v>
      </c>
      <c r="Q1196" s="10">
        <f t="shared" ca="1" si="37"/>
        <v>45775</v>
      </c>
      <c r="R1196" s="10"/>
      <c r="S1196" s="28">
        <v>21</v>
      </c>
      <c r="T1196" s="1" t="s">
        <v>2</v>
      </c>
      <c r="U1196" s="1" t="s">
        <v>1242</v>
      </c>
      <c r="V1196" s="1">
        <v>20231025</v>
      </c>
      <c r="W1196" s="8" t="s">
        <v>8443</v>
      </c>
      <c r="Z1196" s="1"/>
      <c r="AA1196" s="1"/>
      <c r="AC1196" s="1"/>
      <c r="AD1196" s="1"/>
      <c r="AE1196" s="1"/>
      <c r="AF1196" s="1"/>
    </row>
    <row r="1197" spans="2:32" ht="12.75" x14ac:dyDescent="0.2">
      <c r="B1197" s="1" t="s">
        <v>9703</v>
      </c>
      <c r="C1197" s="10">
        <f t="shared" ca="1" si="36"/>
        <v>44428</v>
      </c>
      <c r="D1197" s="4"/>
      <c r="E1197" s="4" t="s">
        <v>8434</v>
      </c>
      <c r="F1197" s="4" t="s">
        <v>1293</v>
      </c>
      <c r="G1197" s="4"/>
      <c r="H1197" s="4" t="str">
        <f>_xlfn.IFNA(VLOOKUP(Table_Query_from_AMULTIQRY45[[#This Row],[WPROD]],'Part# with New'!$A$1:$B$4347,2,0),Table_Query_from_AMULTIQRY45[[#This Row],[WPROD]])</f>
        <v>74146</v>
      </c>
      <c r="I1197" s="4" t="s">
        <v>8436</v>
      </c>
      <c r="J1197" s="1" t="s">
        <v>46</v>
      </c>
      <c r="L1197" s="11">
        <v>0.01</v>
      </c>
      <c r="M1197" s="1"/>
      <c r="N1197" s="1" t="s">
        <v>18</v>
      </c>
      <c r="P1197" s="1" t="str">
        <f>CONCATENATE(Table_Query_from_AMULTIQRY45[[#This Row],[WWHS]],"-",Table_Query_from_AMULTIQRY45[[#This Row],[LLOC]])</f>
        <v>E1-RAW</v>
      </c>
      <c r="Q1197" s="10">
        <f t="shared" ca="1" si="37"/>
        <v>45775</v>
      </c>
      <c r="R1197" s="10"/>
      <c r="S1197" s="28">
        <v>0.5</v>
      </c>
      <c r="T1197" s="1" t="s">
        <v>2</v>
      </c>
      <c r="U1197" s="1" t="s">
        <v>1243</v>
      </c>
      <c r="V1197" s="1">
        <v>20210820</v>
      </c>
      <c r="W1197" s="8" t="s">
        <v>8443</v>
      </c>
      <c r="Z1197" s="1"/>
      <c r="AA1197" s="1"/>
      <c r="AC1197" s="1"/>
      <c r="AD1197" s="1"/>
      <c r="AE1197" s="1"/>
      <c r="AF1197" s="1"/>
    </row>
    <row r="1198" spans="2:32" ht="12.75" x14ac:dyDescent="0.2">
      <c r="B1198" s="1" t="s">
        <v>9704</v>
      </c>
      <c r="C1198" s="10">
        <f t="shared" ca="1" si="36"/>
        <v>45348</v>
      </c>
      <c r="D1198" s="4"/>
      <c r="E1198" s="4" t="s">
        <v>8434</v>
      </c>
      <c r="F1198" s="4" t="s">
        <v>1293</v>
      </c>
      <c r="G1198" s="4"/>
      <c r="H1198" s="4" t="str">
        <f>_xlfn.IFNA(VLOOKUP(Table_Query_from_AMULTIQRY45[[#This Row],[WPROD]],'Part# with New'!$A$1:$B$4347,2,0),Table_Query_from_AMULTIQRY45[[#This Row],[WPROD]])</f>
        <v>SR-21670.307</v>
      </c>
      <c r="I1198" s="4" t="s">
        <v>8436</v>
      </c>
      <c r="J1198" s="1" t="s">
        <v>5</v>
      </c>
      <c r="L1198" s="11">
        <v>0.11962</v>
      </c>
      <c r="M1198" s="1"/>
      <c r="N1198" s="1" t="s">
        <v>9</v>
      </c>
      <c r="P1198" s="1" t="str">
        <f>CONCATENATE(Table_Query_from_AMULTIQRY45[[#This Row],[WWHS]],"-",Table_Query_from_AMULTIQRY45[[#This Row],[LLOC]])</f>
        <v>E3-QCHOLD</v>
      </c>
      <c r="Q1198" s="10">
        <f t="shared" ca="1" si="37"/>
        <v>45775</v>
      </c>
      <c r="R1198" s="10"/>
      <c r="S1198" s="28">
        <v>421</v>
      </c>
      <c r="T1198" s="1" t="s">
        <v>1244</v>
      </c>
      <c r="U1198" s="1" t="s">
        <v>1245</v>
      </c>
      <c r="V1198" s="1">
        <v>20240226</v>
      </c>
      <c r="W1198" s="8" t="s">
        <v>8444</v>
      </c>
      <c r="Z1198" s="1"/>
      <c r="AA1198" s="1"/>
      <c r="AC1198" s="1"/>
      <c r="AD1198" s="1"/>
      <c r="AE1198" s="1"/>
      <c r="AF1198" s="1"/>
    </row>
    <row r="1199" spans="2:32" ht="12.75" x14ac:dyDescent="0.2">
      <c r="B1199" s="1" t="s">
        <v>9705</v>
      </c>
      <c r="C1199" s="10">
        <f t="shared" ca="1" si="36"/>
        <v>45335</v>
      </c>
      <c r="D1199" s="4"/>
      <c r="E1199" s="4" t="s">
        <v>8434</v>
      </c>
      <c r="F1199" s="4" t="s">
        <v>1293</v>
      </c>
      <c r="G1199" s="4"/>
      <c r="H1199" s="4" t="str">
        <f>_xlfn.IFNA(VLOOKUP(Table_Query_from_AMULTIQRY45[[#This Row],[WPROD]],'Part# with New'!$A$1:$B$4347,2,0),Table_Query_from_AMULTIQRY45[[#This Row],[WPROD]])</f>
        <v>SR-22162.538</v>
      </c>
      <c r="I1199" s="4" t="s">
        <v>8436</v>
      </c>
      <c r="J1199" s="1" t="s">
        <v>5</v>
      </c>
      <c r="L1199" s="11">
        <v>2.3189999999999999E-2</v>
      </c>
      <c r="M1199" s="1"/>
      <c r="N1199" s="1" t="s">
        <v>11</v>
      </c>
      <c r="P1199" s="1" t="str">
        <f>CONCATENATE(Table_Query_from_AMULTIQRY45[[#This Row],[WWHS]],"-",Table_Query_from_AMULTIQRY45[[#This Row],[LLOC]])</f>
        <v>E3-QCHOLD</v>
      </c>
      <c r="Q1199" s="10">
        <f t="shared" ca="1" si="37"/>
        <v>45775</v>
      </c>
      <c r="R1199" s="10"/>
      <c r="S1199" s="28">
        <v>124</v>
      </c>
      <c r="T1199" s="1" t="s">
        <v>1244</v>
      </c>
      <c r="U1199" s="1" t="s">
        <v>1246</v>
      </c>
      <c r="V1199" s="1">
        <v>20240213</v>
      </c>
      <c r="W1199" s="8" t="s">
        <v>8444</v>
      </c>
      <c r="Z1199" s="1"/>
      <c r="AA1199" s="1"/>
      <c r="AC1199" s="1"/>
      <c r="AD1199" s="1"/>
      <c r="AE1199" s="1"/>
      <c r="AF1199" s="1"/>
    </row>
    <row r="1200" spans="2:32" ht="12.75" x14ac:dyDescent="0.2">
      <c r="B1200" s="1" t="s">
        <v>9706</v>
      </c>
      <c r="C1200" s="10">
        <f t="shared" ca="1" si="36"/>
        <v>45391</v>
      </c>
      <c r="D1200" s="4"/>
      <c r="E1200" s="4" t="s">
        <v>8434</v>
      </c>
      <c r="F1200" s="4" t="s">
        <v>1293</v>
      </c>
      <c r="G1200" s="4"/>
      <c r="H1200" s="4" t="str">
        <f>_xlfn.IFNA(VLOOKUP(Table_Query_from_AMULTIQRY45[[#This Row],[WPROD]],'Part# with New'!$A$1:$B$4347,2,0),Table_Query_from_AMULTIQRY45[[#This Row],[WPROD]])</f>
        <v>SR-22194.707</v>
      </c>
      <c r="I1200" s="4" t="s">
        <v>8436</v>
      </c>
      <c r="J1200" s="1" t="s">
        <v>5</v>
      </c>
      <c r="L1200" s="11">
        <v>0.29224</v>
      </c>
      <c r="M1200" s="1"/>
      <c r="N1200" s="1" t="s">
        <v>13</v>
      </c>
      <c r="P1200" s="1" t="str">
        <f>CONCATENATE(Table_Query_from_AMULTIQRY45[[#This Row],[WWHS]],"-",Table_Query_from_AMULTIQRY45[[#This Row],[LLOC]])</f>
        <v>E3-QCHOLD</v>
      </c>
      <c r="Q1200" s="10">
        <f t="shared" ca="1" si="37"/>
        <v>45775</v>
      </c>
      <c r="R1200" s="10"/>
      <c r="S1200" s="28">
        <v>88</v>
      </c>
      <c r="T1200" s="1" t="s">
        <v>1244</v>
      </c>
      <c r="U1200" s="1" t="s">
        <v>1247</v>
      </c>
      <c r="V1200" s="1">
        <v>20240409</v>
      </c>
      <c r="W1200" s="8" t="s">
        <v>8444</v>
      </c>
      <c r="Z1200" s="1"/>
      <c r="AA1200" s="1"/>
      <c r="AC1200" s="1"/>
      <c r="AD1200" s="1"/>
      <c r="AE1200" s="1"/>
      <c r="AF1200" s="1"/>
    </row>
    <row r="1201" spans="2:32" ht="12.75" x14ac:dyDescent="0.2">
      <c r="B1201" s="1" t="s">
        <v>9707</v>
      </c>
      <c r="C1201" s="10">
        <f t="shared" ca="1" si="36"/>
        <v>45504</v>
      </c>
      <c r="D1201" s="4"/>
      <c r="E1201" s="4" t="s">
        <v>8434</v>
      </c>
      <c r="F1201" s="4" t="s">
        <v>1293</v>
      </c>
      <c r="G1201" s="4"/>
      <c r="H1201" s="4" t="str">
        <f>_xlfn.IFNA(VLOOKUP(Table_Query_from_AMULTIQRY45[[#This Row],[WPROD]],'Part# with New'!$A$1:$B$4347,2,0),Table_Query_from_AMULTIQRY45[[#This Row],[WPROD]])</f>
        <v>SR-23648.715</v>
      </c>
      <c r="I1201" s="4" t="s">
        <v>8436</v>
      </c>
      <c r="J1201" s="1" t="s">
        <v>5</v>
      </c>
      <c r="L1201" s="11">
        <v>2.4240000000000001E-2</v>
      </c>
      <c r="M1201" s="1"/>
      <c r="N1201" s="1" t="s">
        <v>6</v>
      </c>
      <c r="P1201" s="1" t="str">
        <f>CONCATENATE(Table_Query_from_AMULTIQRY45[[#This Row],[WWHS]],"-",Table_Query_from_AMULTIQRY45[[#This Row],[LLOC]])</f>
        <v>E3-QCHOLD</v>
      </c>
      <c r="Q1201" s="10">
        <f t="shared" ca="1" si="37"/>
        <v>45775</v>
      </c>
      <c r="R1201" s="10"/>
      <c r="S1201" s="28">
        <v>113</v>
      </c>
      <c r="T1201" s="1" t="s">
        <v>1244</v>
      </c>
      <c r="U1201" s="1" t="s">
        <v>1248</v>
      </c>
      <c r="V1201" s="1">
        <v>20240731</v>
      </c>
      <c r="W1201" s="8" t="s">
        <v>8444</v>
      </c>
      <c r="Z1201" s="1"/>
      <c r="AA1201" s="1"/>
      <c r="AC1201" s="1"/>
      <c r="AD1201" s="1"/>
      <c r="AE1201" s="1"/>
      <c r="AF1201" s="1"/>
    </row>
    <row r="1202" spans="2:32" ht="12.75" x14ac:dyDescent="0.2">
      <c r="B1202" s="1" t="s">
        <v>9708</v>
      </c>
      <c r="C1202" s="10">
        <f t="shared" ca="1" si="36"/>
        <v>45344</v>
      </c>
      <c r="D1202" s="4"/>
      <c r="E1202" s="4" t="s">
        <v>8434</v>
      </c>
      <c r="F1202" s="4" t="s">
        <v>1293</v>
      </c>
      <c r="G1202" s="4"/>
      <c r="H1202" s="4" t="str">
        <f>_xlfn.IFNA(VLOOKUP(Table_Query_from_AMULTIQRY45[[#This Row],[WPROD]],'Part# with New'!$A$1:$B$4347,2,0),Table_Query_from_AMULTIQRY45[[#This Row],[WPROD]])</f>
        <v>SR-24014.538</v>
      </c>
      <c r="I1202" s="4" t="s">
        <v>8436</v>
      </c>
      <c r="J1202" s="1" t="s">
        <v>5</v>
      </c>
      <c r="L1202" s="11">
        <v>7.0099999999999996E-2</v>
      </c>
      <c r="M1202" s="1"/>
      <c r="N1202" s="1" t="s">
        <v>326</v>
      </c>
      <c r="P1202" s="1" t="str">
        <f>CONCATENATE(Table_Query_from_AMULTIQRY45[[#This Row],[WWHS]],"-",Table_Query_from_AMULTIQRY45[[#This Row],[LLOC]])</f>
        <v>E3-QCHOLD</v>
      </c>
      <c r="Q1202" s="10">
        <f t="shared" ca="1" si="37"/>
        <v>45775</v>
      </c>
      <c r="R1202" s="10"/>
      <c r="S1202" s="28">
        <v>144</v>
      </c>
      <c r="T1202" s="1" t="s">
        <v>1244</v>
      </c>
      <c r="U1202" s="1" t="s">
        <v>1249</v>
      </c>
      <c r="V1202" s="1">
        <v>20240222</v>
      </c>
      <c r="W1202" s="8" t="s">
        <v>8444</v>
      </c>
      <c r="Z1202" s="1"/>
      <c r="AA1202" s="1"/>
      <c r="AC1202" s="1"/>
      <c r="AD1202" s="1"/>
      <c r="AE1202" s="1"/>
      <c r="AF1202" s="1"/>
    </row>
    <row r="1203" spans="2:32" ht="12.75" x14ac:dyDescent="0.2">
      <c r="B1203" s="1" t="s">
        <v>9709</v>
      </c>
      <c r="C1203" s="10">
        <f t="shared" ca="1" si="36"/>
        <v>45343</v>
      </c>
      <c r="D1203" s="4"/>
      <c r="E1203" s="4" t="s">
        <v>8434</v>
      </c>
      <c r="F1203" s="4" t="s">
        <v>1293</v>
      </c>
      <c r="G1203" s="4"/>
      <c r="H1203" s="4" t="str">
        <f>_xlfn.IFNA(VLOOKUP(Table_Query_from_AMULTIQRY45[[#This Row],[WPROD]],'Part# with New'!$A$1:$B$4347,2,0),Table_Query_from_AMULTIQRY45[[#This Row],[WPROD]])</f>
        <v>SR-24096.697</v>
      </c>
      <c r="I1203" s="4" t="s">
        <v>8436</v>
      </c>
      <c r="J1203" s="1" t="s">
        <v>5</v>
      </c>
      <c r="L1203" s="11">
        <v>6.7669999999999994E-2</v>
      </c>
      <c r="M1203" s="1"/>
      <c r="N1203" s="1" t="s">
        <v>11</v>
      </c>
      <c r="P1203" s="1" t="str">
        <f>CONCATENATE(Table_Query_from_AMULTIQRY45[[#This Row],[WWHS]],"-",Table_Query_from_AMULTIQRY45[[#This Row],[LLOC]])</f>
        <v>E3-QCHOLD</v>
      </c>
      <c r="Q1203" s="10">
        <f t="shared" ca="1" si="37"/>
        <v>45775</v>
      </c>
      <c r="R1203" s="10"/>
      <c r="S1203" s="28">
        <v>221</v>
      </c>
      <c r="T1203" s="1" t="s">
        <v>1244</v>
      </c>
      <c r="U1203" s="1" t="s">
        <v>1250</v>
      </c>
      <c r="V1203" s="1">
        <v>20240221</v>
      </c>
      <c r="W1203" s="8" t="s">
        <v>8444</v>
      </c>
      <c r="Z1203" s="1"/>
      <c r="AA1203" s="1"/>
      <c r="AC1203" s="1"/>
      <c r="AD1203" s="1"/>
      <c r="AE1203" s="1"/>
      <c r="AF1203" s="1"/>
    </row>
    <row r="1204" spans="2:32" ht="12.75" x14ac:dyDescent="0.2">
      <c r="B1204" s="1" t="s">
        <v>9710</v>
      </c>
      <c r="C1204" s="10">
        <f t="shared" ca="1" si="36"/>
        <v>43837</v>
      </c>
      <c r="D1204" s="4"/>
      <c r="E1204" s="4" t="s">
        <v>8434</v>
      </c>
      <c r="F1204" s="4" t="s">
        <v>1293</v>
      </c>
      <c r="G1204" s="4"/>
      <c r="H1204" s="4" t="str">
        <f>_xlfn.IFNA(VLOOKUP(Table_Query_from_AMULTIQRY45[[#This Row],[WPROD]],'Part# with New'!$A$1:$B$4347,2,0),Table_Query_from_AMULTIQRY45[[#This Row],[WPROD]])</f>
        <v>1-59</v>
      </c>
      <c r="I1204" s="4" t="s">
        <v>8436</v>
      </c>
      <c r="J1204" s="1" t="s">
        <v>46</v>
      </c>
      <c r="L1204" s="11">
        <v>0.10333000000000001</v>
      </c>
      <c r="M1204" s="1"/>
      <c r="N1204" s="1" t="s">
        <v>30</v>
      </c>
      <c r="P1204" s="1" t="str">
        <f>CONCATENATE(Table_Query_from_AMULTIQRY45[[#This Row],[WWHS]],"-",Table_Query_from_AMULTIQRY45[[#This Row],[LLOC]])</f>
        <v>E3-PPAPS</v>
      </c>
      <c r="Q1204" s="10">
        <f t="shared" ca="1" si="37"/>
        <v>45775</v>
      </c>
      <c r="R1204" s="10"/>
      <c r="S1204" s="28">
        <v>115</v>
      </c>
      <c r="T1204" s="1" t="s">
        <v>1244</v>
      </c>
      <c r="U1204" s="1" t="s">
        <v>164</v>
      </c>
      <c r="V1204" s="1">
        <v>20200107</v>
      </c>
      <c r="W1204" s="8" t="s">
        <v>8445</v>
      </c>
      <c r="Z1204" s="1"/>
      <c r="AA1204" s="1"/>
      <c r="AC1204" s="1"/>
      <c r="AD1204" s="1"/>
      <c r="AE1204" s="1"/>
      <c r="AF1204" s="1"/>
    </row>
    <row r="1205" spans="2:32" ht="12.75" x14ac:dyDescent="0.2">
      <c r="B1205" s="1" t="s">
        <v>9711</v>
      </c>
      <c r="C1205" s="10">
        <f t="shared" ca="1" si="36"/>
        <v>44230</v>
      </c>
      <c r="D1205" s="4"/>
      <c r="E1205" s="4" t="s">
        <v>8434</v>
      </c>
      <c r="F1205" s="4" t="s">
        <v>1293</v>
      </c>
      <c r="G1205" s="4"/>
      <c r="H1205" s="4" t="str">
        <f>_xlfn.IFNA(VLOOKUP(Table_Query_from_AMULTIQRY45[[#This Row],[WPROD]],'Part# with New'!$A$1:$B$4347,2,0),Table_Query_from_AMULTIQRY45[[#This Row],[WPROD]])</f>
        <v>WPBR162161009Q-TGX15W</v>
      </c>
      <c r="I1205" s="4" t="s">
        <v>8436</v>
      </c>
      <c r="J1205" s="1" t="s">
        <v>5</v>
      </c>
      <c r="L1205" s="11">
        <v>1.37435</v>
      </c>
      <c r="M1205" s="1"/>
      <c r="N1205" s="1" t="s">
        <v>315</v>
      </c>
      <c r="P1205" s="1" t="str">
        <f>CONCATENATE(Table_Query_from_AMULTIQRY45[[#This Row],[WWHS]],"-",Table_Query_from_AMULTIQRY45[[#This Row],[LLOC]])</f>
        <v>E3-PPAPS</v>
      </c>
      <c r="Q1205" s="10">
        <f t="shared" ca="1" si="37"/>
        <v>45775</v>
      </c>
      <c r="R1205" s="10"/>
      <c r="S1205" s="28">
        <v>50</v>
      </c>
      <c r="T1205" s="1" t="s">
        <v>1244</v>
      </c>
      <c r="U1205" s="1" t="s">
        <v>316</v>
      </c>
      <c r="V1205" s="1">
        <v>20210203</v>
      </c>
      <c r="W1205" s="8" t="s">
        <v>8445</v>
      </c>
      <c r="Z1205" s="1"/>
      <c r="AA1205" s="1"/>
      <c r="AC1205" s="1"/>
      <c r="AD1205" s="1"/>
      <c r="AE1205" s="1"/>
      <c r="AF1205" s="1"/>
    </row>
    <row r="1206" spans="2:32" ht="12.75" x14ac:dyDescent="0.2">
      <c r="B1206" s="1" t="s">
        <v>9712</v>
      </c>
      <c r="C1206" s="10">
        <f t="shared" ca="1" si="36"/>
        <v>45772</v>
      </c>
      <c r="D1206" s="4"/>
      <c r="E1206" s="4" t="s">
        <v>8434</v>
      </c>
      <c r="F1206" s="4" t="s">
        <v>1293</v>
      </c>
      <c r="G1206" s="4"/>
      <c r="H1206" s="4" t="str">
        <f>_xlfn.IFNA(VLOOKUP(Table_Query_from_AMULTIQRY45[[#This Row],[WPROD]],'Part# with New'!$A$1:$B$4347,2,0),Table_Query_from_AMULTIQRY45[[#This Row],[WPROD]])</f>
        <v>WPBR141139009Q-TGX15W</v>
      </c>
      <c r="I1206" s="4" t="s">
        <v>8436</v>
      </c>
      <c r="J1206" s="1" t="s">
        <v>5</v>
      </c>
      <c r="L1206" s="11">
        <v>1.26684</v>
      </c>
      <c r="M1206" s="1"/>
      <c r="N1206" s="1" t="s">
        <v>315</v>
      </c>
      <c r="P1206" s="1" t="str">
        <f>CONCATENATE(Table_Query_from_AMULTIQRY45[[#This Row],[WWHS]],"-",Table_Query_from_AMULTIQRY45[[#This Row],[LLOC]])</f>
        <v>E3-QCHOLD</v>
      </c>
      <c r="Q1206" s="10">
        <f t="shared" ca="1" si="37"/>
        <v>45775</v>
      </c>
      <c r="R1206" s="10"/>
      <c r="S1206" s="28">
        <v>36</v>
      </c>
      <c r="T1206" s="1" t="s">
        <v>1244</v>
      </c>
      <c r="U1206" s="1" t="s">
        <v>320</v>
      </c>
      <c r="V1206" s="1">
        <v>20250425</v>
      </c>
      <c r="W1206" s="8" t="s">
        <v>8444</v>
      </c>
      <c r="Z1206" s="1"/>
      <c r="AA1206" s="1"/>
      <c r="AC1206" s="1"/>
      <c r="AD1206" s="1"/>
      <c r="AE1206" s="1"/>
      <c r="AF1206" s="1"/>
    </row>
    <row r="1207" spans="2:32" ht="12.75" x14ac:dyDescent="0.2">
      <c r="B1207" s="1" t="s">
        <v>9713</v>
      </c>
      <c r="C1207" s="10">
        <f t="shared" ca="1" si="36"/>
        <v>45693</v>
      </c>
      <c r="D1207" s="4"/>
      <c r="E1207" s="4" t="s">
        <v>8434</v>
      </c>
      <c r="F1207" s="4" t="s">
        <v>1293</v>
      </c>
      <c r="G1207" s="4"/>
      <c r="H1207" s="4" t="str">
        <f>_xlfn.IFNA(VLOOKUP(Table_Query_from_AMULTIQRY45[[#This Row],[WPROD]],'Part# with New'!$A$1:$B$4347,2,0),Table_Query_from_AMULTIQRY45[[#This Row],[WPROD]])</f>
        <v>WPOT162156018Q-PXX00W</v>
      </c>
      <c r="I1207" s="4" t="s">
        <v>8436</v>
      </c>
      <c r="J1207" s="1" t="s">
        <v>5</v>
      </c>
      <c r="L1207" s="11">
        <v>0.16392999999999999</v>
      </c>
      <c r="M1207" s="1"/>
      <c r="N1207" s="1" t="s">
        <v>6</v>
      </c>
      <c r="P1207" s="1" t="str">
        <f>CONCATENATE(Table_Query_from_AMULTIQRY45[[#This Row],[WWHS]],"-",Table_Query_from_AMULTIQRY45[[#This Row],[LLOC]])</f>
        <v>E3-PPAPS</v>
      </c>
      <c r="Q1207" s="10">
        <f t="shared" ca="1" si="37"/>
        <v>45775</v>
      </c>
      <c r="R1207" s="10"/>
      <c r="S1207" s="28">
        <v>50</v>
      </c>
      <c r="T1207" s="1" t="s">
        <v>1244</v>
      </c>
      <c r="U1207" s="1" t="s">
        <v>323</v>
      </c>
      <c r="V1207" s="1">
        <v>20250205</v>
      </c>
      <c r="W1207" s="8" t="s">
        <v>8445</v>
      </c>
      <c r="Z1207" s="1"/>
      <c r="AA1207" s="1"/>
      <c r="AC1207" s="1"/>
      <c r="AD1207" s="1"/>
      <c r="AE1207" s="1"/>
      <c r="AF1207" s="1"/>
    </row>
    <row r="1208" spans="2:32" ht="12.75" x14ac:dyDescent="0.2">
      <c r="B1208" s="1" t="s">
        <v>9714</v>
      </c>
      <c r="C1208" s="10">
        <f t="shared" ca="1" si="36"/>
        <v>45567</v>
      </c>
      <c r="D1208" s="4"/>
      <c r="E1208" s="4" t="s">
        <v>8434</v>
      </c>
      <c r="F1208" s="4" t="s">
        <v>1293</v>
      </c>
      <c r="G1208" s="4"/>
      <c r="H1208" s="4" t="str">
        <f>_xlfn.IFNA(VLOOKUP(Table_Query_from_AMULTIQRY45[[#This Row],[WPROD]],'Part# with New'!$A$1:$B$4347,2,0),Table_Query_from_AMULTIQRY45[[#This Row],[WPROD]])</f>
        <v>WSLD481453018Q-PGX15W</v>
      </c>
      <c r="I1208" s="4" t="s">
        <v>8436</v>
      </c>
      <c r="J1208" s="1" t="s">
        <v>5</v>
      </c>
      <c r="L1208" s="11">
        <v>1.44675</v>
      </c>
      <c r="M1208" s="1"/>
      <c r="N1208" s="1" t="s">
        <v>328</v>
      </c>
      <c r="P1208" s="1" t="str">
        <f>CONCATENATE(Table_Query_from_AMULTIQRY45[[#This Row],[WWHS]],"-",Table_Query_from_AMULTIQRY45[[#This Row],[LLOC]])</f>
        <v>E3-PPAPS</v>
      </c>
      <c r="Q1208" s="10">
        <f t="shared" ca="1" si="37"/>
        <v>45775</v>
      </c>
      <c r="R1208" s="10"/>
      <c r="S1208" s="28">
        <v>50</v>
      </c>
      <c r="T1208" s="1" t="s">
        <v>1244</v>
      </c>
      <c r="U1208" s="1" t="s">
        <v>329</v>
      </c>
      <c r="V1208" s="1">
        <v>20241002</v>
      </c>
      <c r="W1208" s="8" t="s">
        <v>8445</v>
      </c>
      <c r="Z1208" s="1"/>
      <c r="AA1208" s="1"/>
      <c r="AC1208" s="1"/>
      <c r="AD1208" s="1"/>
      <c r="AE1208" s="1"/>
      <c r="AF1208" s="1"/>
    </row>
    <row r="1209" spans="2:32" ht="12.75" x14ac:dyDescent="0.2">
      <c r="B1209" s="1" t="s">
        <v>9715</v>
      </c>
      <c r="C1209" s="10">
        <f t="shared" ca="1" si="36"/>
        <v>45369</v>
      </c>
      <c r="D1209" s="4"/>
      <c r="E1209" s="4" t="s">
        <v>8434</v>
      </c>
      <c r="F1209" s="4" t="s">
        <v>1293</v>
      </c>
      <c r="G1209" s="4"/>
      <c r="H1209" s="4" t="str">
        <f>_xlfn.IFNA(VLOOKUP(Table_Query_from_AMULTIQRY45[[#This Row],[WPROD]],'Part# with New'!$A$1:$B$4347,2,0),Table_Query_from_AMULTIQRY45[[#This Row],[WPROD]])</f>
        <v>WPSM235223009Q-PGX15W</v>
      </c>
      <c r="I1209" s="4" t="s">
        <v>8436</v>
      </c>
      <c r="J1209" s="1" t="s">
        <v>5</v>
      </c>
      <c r="L1209" s="11">
        <v>0.10521</v>
      </c>
      <c r="M1209" s="1"/>
      <c r="N1209" s="1" t="s">
        <v>326</v>
      </c>
      <c r="P1209" s="1" t="str">
        <f>CONCATENATE(Table_Query_from_AMULTIQRY45[[#This Row],[WWHS]],"-",Table_Query_from_AMULTIQRY45[[#This Row],[LLOC]])</f>
        <v>E3-PPAPS</v>
      </c>
      <c r="Q1209" s="10">
        <f t="shared" ca="1" si="37"/>
        <v>45775</v>
      </c>
      <c r="R1209" s="10"/>
      <c r="S1209" s="28">
        <v>117</v>
      </c>
      <c r="T1209" s="1" t="s">
        <v>1244</v>
      </c>
      <c r="U1209" s="1" t="s">
        <v>1251</v>
      </c>
      <c r="V1209" s="1">
        <v>20240318</v>
      </c>
      <c r="W1209" s="8" t="s">
        <v>8445</v>
      </c>
      <c r="Z1209" s="1"/>
      <c r="AA1209" s="1"/>
      <c r="AC1209" s="1"/>
      <c r="AD1209" s="1"/>
      <c r="AE1209" s="1"/>
      <c r="AF1209" s="1"/>
    </row>
    <row r="1210" spans="2:32" ht="12.75" x14ac:dyDescent="0.2">
      <c r="B1210" s="1" t="s">
        <v>9716</v>
      </c>
      <c r="C1210" s="10">
        <f t="shared" ca="1" si="36"/>
        <v>45737</v>
      </c>
      <c r="D1210" s="4"/>
      <c r="E1210" s="4" t="s">
        <v>8434</v>
      </c>
      <c r="F1210" s="4" t="s">
        <v>1293</v>
      </c>
      <c r="G1210" s="4"/>
      <c r="H1210" s="4" t="str">
        <f>_xlfn.IFNA(VLOOKUP(Table_Query_from_AMULTIQRY45[[#This Row],[WPROD]],'Part# with New'!$A$1:$B$4347,2,0),Table_Query_from_AMULTIQRY45[[#This Row],[WPROD]])</f>
        <v>WPBR158157009Q-TGX15W</v>
      </c>
      <c r="I1210" s="4" t="s">
        <v>8436</v>
      </c>
      <c r="J1210" s="1" t="s">
        <v>5</v>
      </c>
      <c r="L1210" s="11">
        <v>1.3542400000000001</v>
      </c>
      <c r="M1210" s="1"/>
      <c r="N1210" s="1" t="s">
        <v>315</v>
      </c>
      <c r="P1210" s="1" t="str">
        <f>CONCATENATE(Table_Query_from_AMULTIQRY45[[#This Row],[WWHS]],"-",Table_Query_from_AMULTIQRY45[[#This Row],[LLOC]])</f>
        <v>E3-QCHOLD</v>
      </c>
      <c r="Q1210" s="10">
        <f t="shared" ca="1" si="37"/>
        <v>45775</v>
      </c>
      <c r="R1210" s="10"/>
      <c r="S1210" s="28">
        <v>7</v>
      </c>
      <c r="T1210" s="1" t="s">
        <v>1244</v>
      </c>
      <c r="U1210" s="1" t="s">
        <v>330</v>
      </c>
      <c r="V1210" s="1">
        <v>20250321</v>
      </c>
      <c r="W1210" s="8" t="s">
        <v>8444</v>
      </c>
      <c r="Z1210" s="1"/>
      <c r="AA1210" s="1"/>
      <c r="AC1210" s="1"/>
      <c r="AD1210" s="1"/>
      <c r="AE1210" s="1"/>
      <c r="AF1210" s="1"/>
    </row>
    <row r="1211" spans="2:32" ht="12.75" x14ac:dyDescent="0.2">
      <c r="B1211" s="1" t="s">
        <v>9717</v>
      </c>
      <c r="C1211" s="10">
        <f t="shared" ca="1" si="36"/>
        <v>45567</v>
      </c>
      <c r="D1211" s="4"/>
      <c r="E1211" s="4" t="s">
        <v>8434</v>
      </c>
      <c r="F1211" s="4" t="s">
        <v>1293</v>
      </c>
      <c r="G1211" s="4"/>
      <c r="H1211" s="4" t="str">
        <f>_xlfn.IFNA(VLOOKUP(Table_Query_from_AMULTIQRY45[[#This Row],[WPROD]],'Part# with New'!$A$1:$B$4347,2,0),Table_Query_from_AMULTIQRY45[[#This Row],[WPROD]])</f>
        <v>WSMP950893018Q-PGX15W</v>
      </c>
      <c r="I1211" s="4" t="s">
        <v>8436</v>
      </c>
      <c r="J1211" s="1" t="s">
        <v>5</v>
      </c>
      <c r="L1211" s="11">
        <v>3.14697</v>
      </c>
      <c r="M1211" s="1"/>
      <c r="N1211" s="1" t="s">
        <v>18</v>
      </c>
      <c r="P1211" s="1" t="str">
        <f>CONCATENATE(Table_Query_from_AMULTIQRY45[[#This Row],[WWHS]],"-",Table_Query_from_AMULTIQRY45[[#This Row],[LLOC]])</f>
        <v>E3-PPAPS</v>
      </c>
      <c r="Q1211" s="10">
        <f t="shared" ca="1" si="37"/>
        <v>45775</v>
      </c>
      <c r="R1211" s="10"/>
      <c r="S1211" s="28">
        <v>1</v>
      </c>
      <c r="T1211" s="1" t="s">
        <v>1244</v>
      </c>
      <c r="U1211" s="1" t="s">
        <v>339</v>
      </c>
      <c r="V1211" s="1">
        <v>20241002</v>
      </c>
      <c r="W1211" s="8" t="s">
        <v>8445</v>
      </c>
      <c r="Z1211" s="1"/>
      <c r="AA1211" s="1"/>
      <c r="AC1211" s="1"/>
      <c r="AD1211" s="1"/>
      <c r="AE1211" s="1"/>
      <c r="AF1211" s="1"/>
    </row>
    <row r="1212" spans="2:32" ht="12.75" x14ac:dyDescent="0.2">
      <c r="B1212" s="1" t="s">
        <v>9718</v>
      </c>
      <c r="C1212" s="10">
        <f t="shared" ca="1" si="36"/>
        <v>45349</v>
      </c>
      <c r="D1212" s="4"/>
      <c r="E1212" s="4" t="s">
        <v>8434</v>
      </c>
      <c r="F1212" s="4" t="s">
        <v>1293</v>
      </c>
      <c r="G1212" s="4"/>
      <c r="H1212" s="4" t="str">
        <f>_xlfn.IFNA(VLOOKUP(Table_Query_from_AMULTIQRY45[[#This Row],[WPROD]],'Part# with New'!$A$1:$B$4347,2,0),Table_Query_from_AMULTIQRY45[[#This Row],[WPROD]])</f>
        <v>WPSM200188009D-PGX15W</v>
      </c>
      <c r="I1212" s="4" t="s">
        <v>8436</v>
      </c>
      <c r="J1212" s="1" t="s">
        <v>5</v>
      </c>
      <c r="L1212" s="11">
        <v>9.0219999999999995E-2</v>
      </c>
      <c r="M1212" s="1"/>
      <c r="N1212" s="1" t="s">
        <v>326</v>
      </c>
      <c r="P1212" s="1" t="str">
        <f>CONCATENATE(Table_Query_from_AMULTIQRY45[[#This Row],[WWHS]],"-",Table_Query_from_AMULTIQRY45[[#This Row],[LLOC]])</f>
        <v>E3-PPAPS</v>
      </c>
      <c r="Q1212" s="10">
        <f t="shared" ca="1" si="37"/>
        <v>45775</v>
      </c>
      <c r="R1212" s="10"/>
      <c r="S1212" s="28">
        <v>167</v>
      </c>
      <c r="T1212" s="1" t="s">
        <v>1244</v>
      </c>
      <c r="U1212" s="1" t="s">
        <v>1252</v>
      </c>
      <c r="V1212" s="1">
        <v>20240227</v>
      </c>
      <c r="W1212" s="8" t="s">
        <v>8445</v>
      </c>
      <c r="Z1212" s="1"/>
      <c r="AA1212" s="1"/>
      <c r="AC1212" s="1"/>
      <c r="AD1212" s="1"/>
      <c r="AE1212" s="1"/>
      <c r="AF1212" s="1"/>
    </row>
    <row r="1213" spans="2:32" ht="12.75" x14ac:dyDescent="0.2">
      <c r="B1213" s="1" t="s">
        <v>9719</v>
      </c>
      <c r="C1213" s="10">
        <f t="shared" ca="1" si="36"/>
        <v>45391</v>
      </c>
      <c r="D1213" s="4"/>
      <c r="E1213" s="4" t="s">
        <v>8434</v>
      </c>
      <c r="F1213" s="4" t="s">
        <v>1293</v>
      </c>
      <c r="G1213" s="4"/>
      <c r="H1213" s="4" t="str">
        <f>_xlfn.IFNA(VLOOKUP(Table_Query_from_AMULTIQRY45[[#This Row],[WPROD]],'Part# with New'!$A$1:$B$4347,2,0),Table_Query_from_AMULTIQRY45[[#This Row],[WPROD]])</f>
        <v>WPBR121120090Q-TGX15W</v>
      </c>
      <c r="I1213" s="4" t="s">
        <v>8436</v>
      </c>
      <c r="J1213" s="1" t="s">
        <v>5</v>
      </c>
      <c r="L1213" s="11">
        <v>16.33859</v>
      </c>
      <c r="M1213" s="1"/>
      <c r="N1213" s="1" t="s">
        <v>315</v>
      </c>
      <c r="P1213" s="1" t="str">
        <f>CONCATENATE(Table_Query_from_AMULTIQRY45[[#This Row],[WWHS]],"-",Table_Query_from_AMULTIQRY45[[#This Row],[LLOC]])</f>
        <v>E3-PPAPS</v>
      </c>
      <c r="Q1213" s="10">
        <f t="shared" ca="1" si="37"/>
        <v>45775</v>
      </c>
      <c r="R1213" s="10"/>
      <c r="S1213" s="28">
        <v>1</v>
      </c>
      <c r="T1213" s="1" t="s">
        <v>1244</v>
      </c>
      <c r="U1213" s="1" t="s">
        <v>341</v>
      </c>
      <c r="V1213" s="1">
        <v>20240409</v>
      </c>
      <c r="W1213" s="8" t="s">
        <v>8445</v>
      </c>
      <c r="Z1213" s="1"/>
      <c r="AA1213" s="1"/>
      <c r="AC1213" s="1"/>
      <c r="AD1213" s="1"/>
      <c r="AE1213" s="1"/>
      <c r="AF1213" s="1"/>
    </row>
    <row r="1214" spans="2:32" ht="12.75" x14ac:dyDescent="0.2">
      <c r="B1214" s="1" t="s">
        <v>9720</v>
      </c>
      <c r="C1214" s="10">
        <f t="shared" ca="1" si="36"/>
        <v>45764</v>
      </c>
      <c r="D1214" s="4"/>
      <c r="E1214" s="4" t="s">
        <v>8434</v>
      </c>
      <c r="F1214" s="4" t="s">
        <v>1293</v>
      </c>
      <c r="G1214" s="4"/>
      <c r="H1214" s="4" t="str">
        <f>_xlfn.IFNA(VLOOKUP(Table_Query_from_AMULTIQRY45[[#This Row],[WPROD]],'Part# with New'!$A$1:$B$4347,2,0),Table_Query_from_AMULTIQRY45[[#This Row],[WPROD]])</f>
        <v>WPSA051039005Q-PXX00W</v>
      </c>
      <c r="I1214" s="4" t="s">
        <v>8436</v>
      </c>
      <c r="J1214" s="1" t="s">
        <v>5</v>
      </c>
      <c r="L1214" s="11">
        <v>3.099E-2</v>
      </c>
      <c r="M1214" s="1"/>
      <c r="N1214" s="1" t="s">
        <v>9</v>
      </c>
      <c r="P1214" s="1" t="str">
        <f>CONCATENATE(Table_Query_from_AMULTIQRY45[[#This Row],[WWHS]],"-",Table_Query_from_AMULTIQRY45[[#This Row],[LLOC]])</f>
        <v>E3-PPAPS</v>
      </c>
      <c r="Q1214" s="10">
        <f t="shared" ca="1" si="37"/>
        <v>45775</v>
      </c>
      <c r="R1214" s="10"/>
      <c r="S1214" s="28">
        <v>116</v>
      </c>
      <c r="T1214" s="1" t="s">
        <v>1244</v>
      </c>
      <c r="U1214" s="1" t="s">
        <v>373</v>
      </c>
      <c r="V1214" s="1">
        <v>20250417</v>
      </c>
      <c r="W1214" s="8" t="s">
        <v>8445</v>
      </c>
      <c r="Z1214" s="1"/>
      <c r="AA1214" s="1"/>
      <c r="AC1214" s="1"/>
      <c r="AD1214" s="1"/>
      <c r="AE1214" s="1"/>
      <c r="AF1214" s="1"/>
    </row>
    <row r="1215" spans="2:32" ht="12.75" x14ac:dyDescent="0.2">
      <c r="B1215" s="1" t="s">
        <v>9721</v>
      </c>
      <c r="C1215" s="10">
        <f t="shared" ca="1" si="36"/>
        <v>45751</v>
      </c>
      <c r="D1215" s="4"/>
      <c r="E1215" s="4" t="s">
        <v>8434</v>
      </c>
      <c r="F1215" s="4" t="s">
        <v>1293</v>
      </c>
      <c r="G1215" s="4"/>
      <c r="H1215" s="4" t="str">
        <f>_xlfn.IFNA(VLOOKUP(Table_Query_from_AMULTIQRY45[[#This Row],[WPROD]],'Part# with New'!$A$1:$B$4347,2,0),Table_Query_from_AMULTIQRY45[[#This Row],[WPROD]])</f>
        <v>WPSM134110008Q-PXX00W</v>
      </c>
      <c r="I1215" s="4" t="s">
        <v>8436</v>
      </c>
      <c r="J1215" s="1" t="s">
        <v>5</v>
      </c>
      <c r="L1215" s="11">
        <v>7.0400000000000004E-2</v>
      </c>
      <c r="M1215" s="1"/>
      <c r="N1215" s="1" t="s">
        <v>326</v>
      </c>
      <c r="P1215" s="1" t="str">
        <f>CONCATENATE(Table_Query_from_AMULTIQRY45[[#This Row],[WWHS]],"-",Table_Query_from_AMULTIQRY45[[#This Row],[LLOC]])</f>
        <v>E3-PPAPS</v>
      </c>
      <c r="Q1215" s="10">
        <f t="shared" ca="1" si="37"/>
        <v>45775</v>
      </c>
      <c r="R1215" s="10"/>
      <c r="S1215" s="28">
        <v>869</v>
      </c>
      <c r="T1215" s="1" t="s">
        <v>1244</v>
      </c>
      <c r="U1215" s="1" t="s">
        <v>386</v>
      </c>
      <c r="V1215" s="1">
        <v>20250404</v>
      </c>
      <c r="W1215" s="8" t="s">
        <v>8445</v>
      </c>
      <c r="Z1215" s="1"/>
      <c r="AA1215" s="1"/>
      <c r="AC1215" s="1"/>
      <c r="AD1215" s="1"/>
      <c r="AE1215" s="1"/>
      <c r="AF1215" s="1"/>
    </row>
    <row r="1216" spans="2:32" ht="12.75" x14ac:dyDescent="0.2">
      <c r="B1216" s="1" t="s">
        <v>9722</v>
      </c>
      <c r="C1216" s="10">
        <f t="shared" ca="1" si="36"/>
        <v>45611</v>
      </c>
      <c r="D1216" s="4"/>
      <c r="E1216" s="4" t="s">
        <v>8434</v>
      </c>
      <c r="F1216" s="4" t="s">
        <v>1293</v>
      </c>
      <c r="G1216" s="4"/>
      <c r="H1216" s="4" t="str">
        <f>_xlfn.IFNA(VLOOKUP(Table_Query_from_AMULTIQRY45[[#This Row],[WPROD]],'Part# with New'!$A$1:$B$4347,2,0),Table_Query_from_AMULTIQRY45[[#This Row],[WPROD]])</f>
        <v>WSMP566538018Q-PGX15W</v>
      </c>
      <c r="I1216" s="4" t="s">
        <v>8436</v>
      </c>
      <c r="J1216" s="1" t="s">
        <v>5</v>
      </c>
      <c r="L1216" s="11">
        <v>1.7790999999999999</v>
      </c>
      <c r="M1216" s="1"/>
      <c r="N1216" s="1" t="s">
        <v>18</v>
      </c>
      <c r="P1216" s="1" t="str">
        <f>CONCATENATE(Table_Query_from_AMULTIQRY45[[#This Row],[WWHS]],"-",Table_Query_from_AMULTIQRY45[[#This Row],[LLOC]])</f>
        <v>E3-PPAPS</v>
      </c>
      <c r="Q1216" s="10">
        <f t="shared" ca="1" si="37"/>
        <v>45775</v>
      </c>
      <c r="R1216" s="10"/>
      <c r="S1216" s="28">
        <v>55</v>
      </c>
      <c r="T1216" s="1" t="s">
        <v>1244</v>
      </c>
      <c r="U1216" s="1" t="s">
        <v>392</v>
      </c>
      <c r="V1216" s="1">
        <v>20241115</v>
      </c>
      <c r="W1216" s="8" t="s">
        <v>8445</v>
      </c>
      <c r="Z1216" s="1"/>
      <c r="AA1216" s="1"/>
      <c r="AC1216" s="1"/>
      <c r="AD1216" s="1"/>
      <c r="AE1216" s="1"/>
      <c r="AF1216" s="1"/>
    </row>
    <row r="1217" spans="2:32" ht="12.75" x14ac:dyDescent="0.2">
      <c r="B1217" s="1" t="s">
        <v>9723</v>
      </c>
      <c r="C1217" s="10">
        <f t="shared" ca="1" si="36"/>
        <v>45554</v>
      </c>
      <c r="D1217" s="4"/>
      <c r="E1217" s="4" t="s">
        <v>8434</v>
      </c>
      <c r="F1217" s="4" t="s">
        <v>1293</v>
      </c>
      <c r="G1217" s="4"/>
      <c r="H1217" s="4" t="str">
        <f>_xlfn.IFNA(VLOOKUP(Table_Query_from_AMULTIQRY45[[#This Row],[WPROD]],'Part# with New'!$A$1:$B$4347,2,0),Table_Query_from_AMULTIQRY45[[#This Row],[WPROD]])</f>
        <v>WPOT226203018Q-PGX25K</v>
      </c>
      <c r="I1217" s="4" t="s">
        <v>8436</v>
      </c>
      <c r="J1217" s="1" t="s">
        <v>5</v>
      </c>
      <c r="L1217" s="11">
        <v>0.55076000000000003</v>
      </c>
      <c r="M1217" s="1"/>
      <c r="N1217" s="1" t="s">
        <v>326</v>
      </c>
      <c r="P1217" s="1" t="str">
        <f>CONCATENATE(Table_Query_from_AMULTIQRY45[[#This Row],[WWHS]],"-",Table_Query_from_AMULTIQRY45[[#This Row],[LLOC]])</f>
        <v>E3-PPAPS</v>
      </c>
      <c r="Q1217" s="10">
        <f t="shared" ca="1" si="37"/>
        <v>45775</v>
      </c>
      <c r="R1217" s="10"/>
      <c r="S1217" s="28">
        <v>65</v>
      </c>
      <c r="T1217" s="1" t="s">
        <v>1244</v>
      </c>
      <c r="U1217" s="1" t="s">
        <v>393</v>
      </c>
      <c r="V1217" s="1">
        <v>20240919</v>
      </c>
      <c r="W1217" s="8" t="s">
        <v>8445</v>
      </c>
      <c r="Z1217" s="1"/>
      <c r="AA1217" s="1"/>
      <c r="AC1217" s="1"/>
      <c r="AD1217" s="1"/>
      <c r="AE1217" s="1"/>
      <c r="AF1217" s="1"/>
    </row>
    <row r="1218" spans="2:32" ht="12.75" x14ac:dyDescent="0.2">
      <c r="B1218" s="1" t="s">
        <v>9724</v>
      </c>
      <c r="C1218" s="10">
        <f t="shared" ca="1" si="36"/>
        <v>45758</v>
      </c>
      <c r="D1218" s="4"/>
      <c r="E1218" s="4" t="s">
        <v>8434</v>
      </c>
      <c r="F1218" s="4" t="s">
        <v>1293</v>
      </c>
      <c r="G1218" s="4"/>
      <c r="H1218" s="4" t="str">
        <f>_xlfn.IFNA(VLOOKUP(Table_Query_from_AMULTIQRY45[[#This Row],[WPROD]],'Part# with New'!$A$1:$B$4347,2,0),Table_Query_from_AMULTIQRY45[[#This Row],[WPROD]])</f>
        <v>WPOT326303017Q-PGX25K</v>
      </c>
      <c r="I1218" s="4" t="s">
        <v>8436</v>
      </c>
      <c r="J1218" s="1" t="s">
        <v>5</v>
      </c>
      <c r="L1218" s="11">
        <v>0.62446000000000002</v>
      </c>
      <c r="M1218" s="1"/>
      <c r="N1218" s="1" t="s">
        <v>6</v>
      </c>
      <c r="P1218" s="1" t="str">
        <f>CONCATENATE(Table_Query_from_AMULTIQRY45[[#This Row],[WWHS]],"-",Table_Query_from_AMULTIQRY45[[#This Row],[LLOC]])</f>
        <v>E3-PPAPS</v>
      </c>
      <c r="Q1218" s="10">
        <f t="shared" ca="1" si="37"/>
        <v>45775</v>
      </c>
      <c r="R1218" s="10"/>
      <c r="S1218" s="28">
        <v>151</v>
      </c>
      <c r="T1218" s="1" t="s">
        <v>1244</v>
      </c>
      <c r="U1218" s="1" t="s">
        <v>394</v>
      </c>
      <c r="V1218" s="1">
        <v>20250411</v>
      </c>
      <c r="W1218" s="8" t="s">
        <v>8445</v>
      </c>
      <c r="Z1218" s="1"/>
      <c r="AA1218" s="1"/>
      <c r="AC1218" s="1"/>
      <c r="AD1218" s="1"/>
      <c r="AE1218" s="1"/>
      <c r="AF1218" s="1"/>
    </row>
    <row r="1219" spans="2:32" ht="12.75" x14ac:dyDescent="0.2">
      <c r="B1219" s="1" t="s">
        <v>9725</v>
      </c>
      <c r="C1219" s="10">
        <f t="shared" ca="1" si="36"/>
        <v>45734</v>
      </c>
      <c r="D1219" s="4"/>
      <c r="E1219" s="4" t="s">
        <v>8434</v>
      </c>
      <c r="F1219" s="4" t="s">
        <v>1293</v>
      </c>
      <c r="G1219" s="4"/>
      <c r="H1219" s="4" t="str">
        <f>_xlfn.IFNA(VLOOKUP(Table_Query_from_AMULTIQRY45[[#This Row],[WPROD]],'Part# with New'!$A$1:$B$4347,2,0),Table_Query_from_AMULTIQRY45[[#This Row],[WPROD]])</f>
        <v>WPSM309297009Q-PGX15W</v>
      </c>
      <c r="I1219" s="4" t="s">
        <v>8436</v>
      </c>
      <c r="J1219" s="1" t="s">
        <v>5</v>
      </c>
      <c r="L1219" s="11">
        <v>0.12350999999999999</v>
      </c>
      <c r="M1219" s="1"/>
      <c r="N1219" s="1" t="s">
        <v>326</v>
      </c>
      <c r="P1219" s="1" t="str">
        <f>CONCATENATE(Table_Query_from_AMULTIQRY45[[#This Row],[WWHS]],"-",Table_Query_from_AMULTIQRY45[[#This Row],[LLOC]])</f>
        <v>E3-PPAPS</v>
      </c>
      <c r="Q1219" s="10">
        <f t="shared" ca="1" si="37"/>
        <v>45775</v>
      </c>
      <c r="R1219" s="10"/>
      <c r="S1219" s="28">
        <v>50</v>
      </c>
      <c r="T1219" s="1" t="s">
        <v>1244</v>
      </c>
      <c r="U1219" s="1" t="s">
        <v>402</v>
      </c>
      <c r="V1219" s="1">
        <v>20250318</v>
      </c>
      <c r="W1219" s="8" t="s">
        <v>8445</v>
      </c>
      <c r="Z1219" s="1"/>
      <c r="AA1219" s="1"/>
      <c r="AC1219" s="1"/>
      <c r="AD1219" s="1"/>
      <c r="AE1219" s="1"/>
      <c r="AF1219" s="1"/>
    </row>
    <row r="1220" spans="2:32" ht="12.75" x14ac:dyDescent="0.2">
      <c r="B1220" s="1" t="s">
        <v>9726</v>
      </c>
      <c r="C1220" s="10">
        <f t="shared" ca="1" si="36"/>
        <v>45757</v>
      </c>
      <c r="D1220" s="4"/>
      <c r="E1220" s="4" t="s">
        <v>8434</v>
      </c>
      <c r="F1220" s="4" t="s">
        <v>1293</v>
      </c>
      <c r="G1220" s="4"/>
      <c r="H1220" s="4" t="str">
        <f>_xlfn.IFNA(VLOOKUP(Table_Query_from_AMULTIQRY45[[#This Row],[WPROD]],'Part# with New'!$A$1:$B$4347,2,0),Table_Query_from_AMULTIQRY45[[#This Row],[WPROD]])</f>
        <v>WSSL199149023D-MXX00W</v>
      </c>
      <c r="I1220" s="4" t="s">
        <v>8436</v>
      </c>
      <c r="J1220" s="1" t="s">
        <v>5</v>
      </c>
      <c r="L1220" s="11">
        <v>0.43826999999999999</v>
      </c>
      <c r="M1220" s="1"/>
      <c r="N1220" s="1" t="s">
        <v>13</v>
      </c>
      <c r="P1220" s="1" t="str">
        <f>CONCATENATE(Table_Query_from_AMULTIQRY45[[#This Row],[WWHS]],"-",Table_Query_from_AMULTIQRY45[[#This Row],[LLOC]])</f>
        <v>E3-QCHOLD</v>
      </c>
      <c r="Q1220" s="10">
        <f t="shared" ca="1" si="37"/>
        <v>45775</v>
      </c>
      <c r="R1220" s="10"/>
      <c r="S1220" s="28">
        <v>1600</v>
      </c>
      <c r="T1220" s="1" t="s">
        <v>1244</v>
      </c>
      <c r="U1220" s="1" t="s">
        <v>555</v>
      </c>
      <c r="V1220" s="1">
        <v>20250410</v>
      </c>
      <c r="W1220" s="8" t="s">
        <v>8444</v>
      </c>
      <c r="Z1220" s="1"/>
      <c r="AA1220" s="1"/>
      <c r="AC1220" s="1"/>
      <c r="AD1220" s="1"/>
      <c r="AE1220" s="1"/>
      <c r="AF1220" s="1"/>
    </row>
    <row r="1221" spans="2:32" ht="12.75" x14ac:dyDescent="0.2">
      <c r="B1221" s="1" t="s">
        <v>9727</v>
      </c>
      <c r="C1221" s="10">
        <f t="shared" ca="1" si="36"/>
        <v>45450</v>
      </c>
      <c r="D1221" s="4"/>
      <c r="E1221" s="4" t="s">
        <v>8434</v>
      </c>
      <c r="F1221" s="4" t="s">
        <v>1293</v>
      </c>
      <c r="G1221" s="4"/>
      <c r="H1221" s="4" t="str">
        <f>_xlfn.IFNA(VLOOKUP(Table_Query_from_AMULTIQRY45[[#This Row],[WPROD]],'Part# with New'!$A$1:$B$4347,2,0),Table_Query_from_AMULTIQRY45[[#This Row],[WPROD]])</f>
        <v>WSMP250224259D-PXX00W</v>
      </c>
      <c r="I1221" s="4" t="s">
        <v>8436</v>
      </c>
      <c r="J1221" s="1" t="s">
        <v>5</v>
      </c>
      <c r="L1221" s="11">
        <v>5.7618400000000003</v>
      </c>
      <c r="M1221" s="1"/>
      <c r="N1221" s="1" t="s">
        <v>18</v>
      </c>
      <c r="P1221" s="1" t="str">
        <f>CONCATENATE(Table_Query_from_AMULTIQRY45[[#This Row],[WWHS]],"-",Table_Query_from_AMULTIQRY45[[#This Row],[LLOC]])</f>
        <v>E3-QCHOLD</v>
      </c>
      <c r="Q1221" s="10">
        <f t="shared" ca="1" si="37"/>
        <v>45775</v>
      </c>
      <c r="R1221" s="10"/>
      <c r="S1221" s="28">
        <v>16</v>
      </c>
      <c r="T1221" s="1" t="s">
        <v>1244</v>
      </c>
      <c r="U1221" s="1" t="s">
        <v>594</v>
      </c>
      <c r="V1221" s="1">
        <v>20240607</v>
      </c>
      <c r="W1221" s="8" t="s">
        <v>8444</v>
      </c>
      <c r="Z1221" s="1"/>
      <c r="AA1221" s="1"/>
      <c r="AC1221" s="1"/>
      <c r="AD1221" s="1"/>
      <c r="AE1221" s="1"/>
      <c r="AF1221" s="1"/>
    </row>
    <row r="1222" spans="2:32" ht="12.75" x14ac:dyDescent="0.2">
      <c r="B1222" s="1" t="s">
        <v>9728</v>
      </c>
      <c r="C1222" s="10">
        <f t="shared" ca="1" si="36"/>
        <v>43073</v>
      </c>
      <c r="D1222" s="4"/>
      <c r="E1222" s="4" t="s">
        <v>8434</v>
      </c>
      <c r="F1222" s="4" t="s">
        <v>1293</v>
      </c>
      <c r="G1222" s="4"/>
      <c r="H1222" s="4" t="str">
        <f>_xlfn.IFNA(VLOOKUP(Table_Query_from_AMULTIQRY45[[#This Row],[WPROD]],'Part# with New'!$A$1:$B$4347,2,0),Table_Query_from_AMULTIQRY45[[#This Row],[WPROD]])</f>
        <v>WFFB125097020Q-PXX00W</v>
      </c>
      <c r="I1222" s="4" t="s">
        <v>8436</v>
      </c>
      <c r="J1222" s="1" t="s">
        <v>5</v>
      </c>
      <c r="L1222" s="11">
        <v>0.189</v>
      </c>
      <c r="M1222" s="1"/>
      <c r="N1222" s="1" t="s">
        <v>348</v>
      </c>
      <c r="P1222" s="1" t="str">
        <f>CONCATENATE(Table_Query_from_AMULTIQRY45[[#This Row],[WWHS]],"-",Table_Query_from_AMULTIQRY45[[#This Row],[LLOC]])</f>
        <v>E3-PPAPS</v>
      </c>
      <c r="Q1222" s="10">
        <f t="shared" ca="1" si="37"/>
        <v>45775</v>
      </c>
      <c r="R1222" s="10"/>
      <c r="S1222" s="28">
        <v>5050</v>
      </c>
      <c r="T1222" s="1" t="s">
        <v>1244</v>
      </c>
      <c r="U1222" s="1" t="s">
        <v>1253</v>
      </c>
      <c r="V1222" s="1">
        <v>20171204</v>
      </c>
      <c r="W1222" s="8" t="s">
        <v>8445</v>
      </c>
      <c r="Z1222" s="1"/>
      <c r="AA1222" s="1"/>
      <c r="AC1222" s="1"/>
      <c r="AD1222" s="1"/>
      <c r="AE1222" s="1"/>
      <c r="AF1222" s="1"/>
    </row>
    <row r="1223" spans="2:32" ht="12.75" x14ac:dyDescent="0.2">
      <c r="B1223" s="1" t="s">
        <v>9729</v>
      </c>
      <c r="C1223" s="10">
        <f t="shared" ref="C1223:C1277" ca="1" si="38">IFERROR(DATE(LEFT($V1223,4),MID($V1223,5,2),RIGHT($V1223,2)),TODAY())</f>
        <v>42809</v>
      </c>
      <c r="D1223" s="4"/>
      <c r="E1223" s="4" t="s">
        <v>8434</v>
      </c>
      <c r="F1223" s="4" t="s">
        <v>1293</v>
      </c>
      <c r="G1223" s="4"/>
      <c r="H1223" s="4" t="str">
        <f>_xlfn.IFNA(VLOOKUP(Table_Query_from_AMULTIQRY45[[#This Row],[WPROD]],'Part# with New'!$A$1:$B$4347,2,0),Table_Query_from_AMULTIQRY45[[#This Row],[WPROD]])</f>
        <v>23453</v>
      </c>
      <c r="I1223" s="4" t="s">
        <v>8436</v>
      </c>
      <c r="J1223" s="1" t="s">
        <v>5</v>
      </c>
      <c r="L1223" s="11">
        <v>0.32434000000000002</v>
      </c>
      <c r="M1223" s="1"/>
      <c r="N1223" s="1" t="s">
        <v>6</v>
      </c>
      <c r="P1223" s="1" t="str">
        <f>CONCATENATE(Table_Query_from_AMULTIQRY45[[#This Row],[WWHS]],"-",Table_Query_from_AMULTIQRY45[[#This Row],[LLOC]])</f>
        <v>E3-PPAPS</v>
      </c>
      <c r="Q1223" s="10">
        <f t="shared" ref="Q1223:Q1277" ca="1" si="39">+TODAY()</f>
        <v>45775</v>
      </c>
      <c r="R1223" s="10"/>
      <c r="S1223" s="28">
        <v>1089</v>
      </c>
      <c r="T1223" s="1" t="s">
        <v>1244</v>
      </c>
      <c r="U1223" s="1" t="s">
        <v>1254</v>
      </c>
      <c r="V1223" s="1">
        <v>20170315</v>
      </c>
      <c r="W1223" s="8" t="s">
        <v>8445</v>
      </c>
      <c r="Z1223" s="1"/>
      <c r="AA1223" s="1"/>
      <c r="AC1223" s="1"/>
      <c r="AD1223" s="1"/>
      <c r="AE1223" s="1"/>
      <c r="AF1223" s="1"/>
    </row>
    <row r="1224" spans="2:32" ht="12.75" x14ac:dyDescent="0.2">
      <c r="B1224" s="1" t="s">
        <v>9730</v>
      </c>
      <c r="C1224" s="10">
        <f t="shared" ca="1" si="38"/>
        <v>45545</v>
      </c>
      <c r="D1224" s="4"/>
      <c r="E1224" s="4" t="s">
        <v>8434</v>
      </c>
      <c r="F1224" s="4" t="s">
        <v>1293</v>
      </c>
      <c r="G1224" s="4"/>
      <c r="H1224" s="4" t="str">
        <f>_xlfn.IFNA(VLOOKUP(Table_Query_from_AMULTIQRY45[[#This Row],[WPROD]],'Part# with New'!$A$1:$B$4347,2,0),Table_Query_from_AMULTIQRY45[[#This Row],[WPROD]])</f>
        <v>WPOT087072004D-PGX15W</v>
      </c>
      <c r="I1224" s="4" t="s">
        <v>8436</v>
      </c>
      <c r="J1224" s="1" t="s">
        <v>5</v>
      </c>
      <c r="L1224" s="11">
        <v>6.4130000000000006E-2</v>
      </c>
      <c r="M1224" s="1"/>
      <c r="N1224" s="1" t="s">
        <v>3</v>
      </c>
      <c r="P1224" s="1" t="str">
        <f>CONCATENATE(Table_Query_from_AMULTIQRY45[[#This Row],[WWHS]],"-",Table_Query_from_AMULTIQRY45[[#This Row],[LLOC]])</f>
        <v>E3-PPAPS</v>
      </c>
      <c r="Q1224" s="10">
        <f t="shared" ca="1" si="39"/>
        <v>45775</v>
      </c>
      <c r="R1224" s="10"/>
      <c r="S1224" s="28">
        <v>282</v>
      </c>
      <c r="T1224" s="1" t="s">
        <v>1244</v>
      </c>
      <c r="U1224" s="1" t="s">
        <v>689</v>
      </c>
      <c r="V1224" s="1">
        <v>20240910</v>
      </c>
      <c r="W1224" s="8" t="s">
        <v>8445</v>
      </c>
      <c r="Z1224" s="1"/>
      <c r="AA1224" s="1"/>
      <c r="AC1224" s="1"/>
      <c r="AD1224" s="1"/>
      <c r="AE1224" s="1"/>
      <c r="AF1224" s="1"/>
    </row>
    <row r="1225" spans="2:32" ht="12.75" x14ac:dyDescent="0.2">
      <c r="B1225" s="1" t="s">
        <v>9731</v>
      </c>
      <c r="C1225" s="10">
        <f t="shared" ca="1" si="38"/>
        <v>45607</v>
      </c>
      <c r="D1225" s="4"/>
      <c r="E1225" s="4" t="s">
        <v>8434</v>
      </c>
      <c r="F1225" s="4" t="s">
        <v>1293</v>
      </c>
      <c r="G1225" s="4"/>
      <c r="H1225" s="4" t="str">
        <f>_xlfn.IFNA(VLOOKUP(Table_Query_from_AMULTIQRY45[[#This Row],[WPROD]],'Part# with New'!$A$1:$B$4347,2,0),Table_Query_from_AMULTIQRY45[[#This Row],[WPROD]])</f>
        <v>WSNC068062007D-MFX15N</v>
      </c>
      <c r="I1225" s="4" t="s">
        <v>8436</v>
      </c>
      <c r="J1225" s="1" t="s">
        <v>5</v>
      </c>
      <c r="L1225" s="11">
        <v>9.3020000000000005E-2</v>
      </c>
      <c r="M1225" s="1"/>
      <c r="N1225" s="1" t="s">
        <v>6</v>
      </c>
      <c r="P1225" s="1" t="str">
        <f>CONCATENATE(Table_Query_from_AMULTIQRY45[[#This Row],[WWHS]],"-",Table_Query_from_AMULTIQRY45[[#This Row],[LLOC]])</f>
        <v>E3-QCHOLD</v>
      </c>
      <c r="Q1225" s="10">
        <f t="shared" ca="1" si="39"/>
        <v>45775</v>
      </c>
      <c r="R1225" s="10"/>
      <c r="S1225" s="28">
        <v>678</v>
      </c>
      <c r="T1225" s="1" t="s">
        <v>1244</v>
      </c>
      <c r="U1225" s="1" t="s">
        <v>719</v>
      </c>
      <c r="V1225" s="1">
        <v>20241111</v>
      </c>
      <c r="W1225" s="8" t="s">
        <v>8444</v>
      </c>
      <c r="Z1225" s="1"/>
      <c r="AA1225" s="1"/>
      <c r="AC1225" s="1"/>
      <c r="AD1225" s="1"/>
      <c r="AE1225" s="1"/>
      <c r="AF1225" s="1"/>
    </row>
    <row r="1226" spans="2:32" ht="12.75" x14ac:dyDescent="0.2">
      <c r="B1226" s="1" t="s">
        <v>9732</v>
      </c>
      <c r="C1226" s="10">
        <f t="shared" ca="1" si="38"/>
        <v>45520</v>
      </c>
      <c r="D1226" s="4"/>
      <c r="E1226" s="4" t="s">
        <v>8434</v>
      </c>
      <c r="F1226" s="4" t="s">
        <v>1293</v>
      </c>
      <c r="G1226" s="4"/>
      <c r="H1226" s="4" t="str">
        <f>_xlfn.IFNA(VLOOKUP(Table_Query_from_AMULTIQRY45[[#This Row],[WPROD]],'Part# with New'!$A$1:$B$4347,2,0),Table_Query_from_AMULTIQRY45[[#This Row],[WPROD]])</f>
        <v>WSMP562407035Q-PSX50S</v>
      </c>
      <c r="I1226" s="4" t="s">
        <v>8436</v>
      </c>
      <c r="J1226" s="1" t="s">
        <v>5</v>
      </c>
      <c r="L1226" s="11">
        <v>12.929399999999999</v>
      </c>
      <c r="M1226" s="1"/>
      <c r="N1226" s="1" t="s">
        <v>18</v>
      </c>
      <c r="P1226" s="1" t="str">
        <f>CONCATENATE(Table_Query_from_AMULTIQRY45[[#This Row],[WWHS]],"-",Table_Query_from_AMULTIQRY45[[#This Row],[LLOC]])</f>
        <v>E3-PPAPS</v>
      </c>
      <c r="Q1226" s="10">
        <f t="shared" ca="1" si="39"/>
        <v>45775</v>
      </c>
      <c r="R1226" s="10"/>
      <c r="S1226" s="28">
        <v>35</v>
      </c>
      <c r="T1226" s="1" t="s">
        <v>1244</v>
      </c>
      <c r="U1226" s="1" t="s">
        <v>725</v>
      </c>
      <c r="V1226" s="1">
        <v>20240816</v>
      </c>
      <c r="W1226" s="8" t="s">
        <v>8445</v>
      </c>
      <c r="Z1226" s="1"/>
      <c r="AA1226" s="1"/>
      <c r="AC1226" s="1"/>
      <c r="AD1226" s="1"/>
      <c r="AE1226" s="1"/>
      <c r="AF1226" s="1"/>
    </row>
    <row r="1227" spans="2:32" ht="12.75" x14ac:dyDescent="0.2">
      <c r="B1227" s="1" t="s">
        <v>9733</v>
      </c>
      <c r="C1227" s="10">
        <f t="shared" ca="1" si="38"/>
        <v>44993</v>
      </c>
      <c r="D1227" s="4"/>
      <c r="E1227" s="4" t="s">
        <v>8434</v>
      </c>
      <c r="F1227" s="4" t="s">
        <v>1293</v>
      </c>
      <c r="G1227" s="4"/>
      <c r="H1227" s="4" t="str">
        <f>_xlfn.IFNA(VLOOKUP(Table_Query_from_AMULTIQRY45[[#This Row],[WPROD]],'Part# with New'!$A$1:$B$4347,2,0),Table_Query_from_AMULTIQRY45[[#This Row],[WPROD]])</f>
        <v>WSNC109099017Q-MXX00T</v>
      </c>
      <c r="I1227" s="4" t="s">
        <v>8436</v>
      </c>
      <c r="J1227" s="1" t="s">
        <v>5</v>
      </c>
      <c r="L1227" s="11">
        <v>0.36864999999999998</v>
      </c>
      <c r="M1227" s="1"/>
      <c r="N1227" s="1" t="s">
        <v>6</v>
      </c>
      <c r="P1227" s="1" t="str">
        <f>CONCATENATE(Table_Query_from_AMULTIQRY45[[#This Row],[WWHS]],"-",Table_Query_from_AMULTIQRY45[[#This Row],[LLOC]])</f>
        <v>E3-PPAPS</v>
      </c>
      <c r="Q1227" s="10">
        <f t="shared" ca="1" si="39"/>
        <v>45775</v>
      </c>
      <c r="R1227" s="10"/>
      <c r="S1227" s="28">
        <v>105</v>
      </c>
      <c r="T1227" s="1" t="s">
        <v>1244</v>
      </c>
      <c r="U1227" s="1" t="s">
        <v>735</v>
      </c>
      <c r="V1227" s="1">
        <v>20230308</v>
      </c>
      <c r="W1227" s="8" t="s">
        <v>8445</v>
      </c>
      <c r="Z1227" s="1"/>
      <c r="AA1227" s="1"/>
      <c r="AC1227" s="1"/>
      <c r="AD1227" s="1"/>
      <c r="AE1227" s="1"/>
      <c r="AF1227" s="1"/>
    </row>
    <row r="1228" spans="2:32" ht="12.75" x14ac:dyDescent="0.2">
      <c r="B1228" s="1" t="s">
        <v>9734</v>
      </c>
      <c r="C1228" s="10">
        <f t="shared" ca="1" si="38"/>
        <v>45579</v>
      </c>
      <c r="D1228" s="4"/>
      <c r="E1228" s="4" t="s">
        <v>8434</v>
      </c>
      <c r="F1228" s="4" t="s">
        <v>1293</v>
      </c>
      <c r="G1228" s="4"/>
      <c r="H1228" s="4" t="str">
        <f>_xlfn.IFNA(VLOOKUP(Table_Query_from_AMULTIQRY45[[#This Row],[WPROD]],'Part# with New'!$A$1:$B$4347,2,0),Table_Query_from_AMULTIQRY45[[#This Row],[WPROD]])</f>
        <v>WPOT094080003Q-PXX00W</v>
      </c>
      <c r="I1228" s="4" t="s">
        <v>8436</v>
      </c>
      <c r="J1228" s="1" t="s">
        <v>5</v>
      </c>
      <c r="L1228" s="11">
        <v>5.561E-2</v>
      </c>
      <c r="M1228" s="1"/>
      <c r="N1228" s="1" t="s">
        <v>3</v>
      </c>
      <c r="P1228" s="1" t="str">
        <f>CONCATENATE(Table_Query_from_AMULTIQRY45[[#This Row],[WWHS]],"-",Table_Query_from_AMULTIQRY45[[#This Row],[LLOC]])</f>
        <v>E3-PPAPS</v>
      </c>
      <c r="Q1228" s="10">
        <f t="shared" ca="1" si="39"/>
        <v>45775</v>
      </c>
      <c r="R1228" s="10"/>
      <c r="S1228" s="28">
        <v>327</v>
      </c>
      <c r="T1228" s="1" t="s">
        <v>1244</v>
      </c>
      <c r="U1228" s="1" t="s">
        <v>1255</v>
      </c>
      <c r="V1228" s="1">
        <v>20241014</v>
      </c>
      <c r="W1228" s="8" t="s">
        <v>8445</v>
      </c>
      <c r="Z1228" s="1"/>
      <c r="AA1228" s="1"/>
      <c r="AC1228" s="1"/>
      <c r="AD1228" s="1"/>
      <c r="AE1228" s="1"/>
      <c r="AF1228" s="1"/>
    </row>
    <row r="1229" spans="2:32" ht="12.75" x14ac:dyDescent="0.2">
      <c r="B1229" s="1" t="s">
        <v>9735</v>
      </c>
      <c r="C1229" s="10">
        <f t="shared" ca="1" si="38"/>
        <v>45628</v>
      </c>
      <c r="D1229" s="4"/>
      <c r="E1229" s="4" t="s">
        <v>8434</v>
      </c>
      <c r="F1229" s="4" t="s">
        <v>1293</v>
      </c>
      <c r="G1229" s="4"/>
      <c r="H1229" s="4" t="str">
        <f>_xlfn.IFNA(VLOOKUP(Table_Query_from_AMULTIQRY45[[#This Row],[WPROD]],'Part# with New'!$A$1:$B$4347,2,0),Table_Query_from_AMULTIQRY45[[#This Row],[WPROD]])</f>
        <v>WSMP183155012D-MXX00T</v>
      </c>
      <c r="I1229" s="4" t="s">
        <v>8436</v>
      </c>
      <c r="J1229" s="1" t="s">
        <v>5</v>
      </c>
      <c r="L1229" s="11">
        <v>1.0921099999999999</v>
      </c>
      <c r="M1229" s="1"/>
      <c r="N1229" s="1" t="s">
        <v>18</v>
      </c>
      <c r="P1229" s="1" t="str">
        <f>CONCATENATE(Table_Query_from_AMULTIQRY45[[#This Row],[WWHS]],"-",Table_Query_from_AMULTIQRY45[[#This Row],[LLOC]])</f>
        <v>E3-QCHOLD</v>
      </c>
      <c r="Q1229" s="10">
        <f t="shared" ca="1" si="39"/>
        <v>45775</v>
      </c>
      <c r="R1229" s="10"/>
      <c r="S1229" s="28">
        <v>20</v>
      </c>
      <c r="T1229" s="1" t="s">
        <v>1244</v>
      </c>
      <c r="U1229" s="1" t="s">
        <v>768</v>
      </c>
      <c r="V1229" s="1">
        <v>20241202</v>
      </c>
      <c r="W1229" s="8" t="s">
        <v>8444</v>
      </c>
      <c r="Z1229" s="1"/>
      <c r="AA1229" s="1"/>
      <c r="AC1229" s="1"/>
      <c r="AD1229" s="1"/>
      <c r="AE1229" s="1"/>
      <c r="AF1229" s="1"/>
    </row>
    <row r="1230" spans="2:32" ht="12.75" x14ac:dyDescent="0.2">
      <c r="B1230" s="1" t="s">
        <v>9736</v>
      </c>
      <c r="C1230" s="10">
        <f t="shared" ca="1" si="38"/>
        <v>45632</v>
      </c>
      <c r="D1230" s="4"/>
      <c r="E1230" s="4" t="s">
        <v>8434</v>
      </c>
      <c r="F1230" s="4" t="s">
        <v>1293</v>
      </c>
      <c r="G1230" s="4"/>
      <c r="H1230" s="4" t="str">
        <f>_xlfn.IFNA(VLOOKUP(Table_Query_from_AMULTIQRY45[[#This Row],[WPROD]],'Part# with New'!$A$1:$B$4347,2,0),Table_Query_from_AMULTIQRY45[[#This Row],[WPROD]])</f>
        <v>24281</v>
      </c>
      <c r="I1230" s="4" t="s">
        <v>8436</v>
      </c>
      <c r="J1230" s="1" t="s">
        <v>5</v>
      </c>
      <c r="L1230" s="11">
        <v>0.16053999999999999</v>
      </c>
      <c r="M1230" s="1"/>
      <c r="N1230" s="1" t="s">
        <v>560</v>
      </c>
      <c r="P1230" s="1" t="str">
        <f>CONCATENATE(Table_Query_from_AMULTIQRY45[[#This Row],[WWHS]],"-",Table_Query_from_AMULTIQRY45[[#This Row],[LLOC]])</f>
        <v>E3-QCHOLD</v>
      </c>
      <c r="Q1230" s="10">
        <f t="shared" ca="1" si="39"/>
        <v>45775</v>
      </c>
      <c r="R1230" s="10"/>
      <c r="S1230" s="28">
        <v>945</v>
      </c>
      <c r="T1230" s="1" t="s">
        <v>1244</v>
      </c>
      <c r="U1230" s="1" t="s">
        <v>864</v>
      </c>
      <c r="V1230" s="1">
        <v>20241206</v>
      </c>
      <c r="W1230" s="8" t="s">
        <v>8444</v>
      </c>
      <c r="Z1230" s="1"/>
      <c r="AA1230" s="1"/>
      <c r="AC1230" s="1"/>
      <c r="AD1230" s="1"/>
      <c r="AE1230" s="1"/>
      <c r="AF1230" s="1"/>
    </row>
    <row r="1231" spans="2:32" ht="12.75" x14ac:dyDescent="0.2">
      <c r="B1231" s="1" t="s">
        <v>9737</v>
      </c>
      <c r="C1231" s="10">
        <f t="shared" ca="1" si="38"/>
        <v>45716</v>
      </c>
      <c r="D1231" s="4"/>
      <c r="E1231" s="4" t="s">
        <v>8434</v>
      </c>
      <c r="F1231" s="4" t="s">
        <v>1293</v>
      </c>
      <c r="G1231" s="4"/>
      <c r="H1231" s="4" t="str">
        <f>_xlfn.IFNA(VLOOKUP(Table_Query_from_AMULTIQRY45[[#This Row],[WPROD]],'Part# with New'!$A$1:$B$4347,2,0),Table_Query_from_AMULTIQRY45[[#This Row],[WPROD]])</f>
        <v>24336</v>
      </c>
      <c r="I1231" s="4" t="s">
        <v>8436</v>
      </c>
      <c r="J1231" s="1" t="s">
        <v>5</v>
      </c>
      <c r="L1231" s="11">
        <v>0.18862999999999999</v>
      </c>
      <c r="M1231" s="1"/>
      <c r="N1231" s="1" t="s">
        <v>389</v>
      </c>
      <c r="P1231" s="1" t="str">
        <f>CONCATENATE(Table_Query_from_AMULTIQRY45[[#This Row],[WWHS]],"-",Table_Query_from_AMULTIQRY45[[#This Row],[LLOC]])</f>
        <v>E3-QCHOLD</v>
      </c>
      <c r="Q1231" s="10">
        <f t="shared" ca="1" si="39"/>
        <v>45775</v>
      </c>
      <c r="R1231" s="10"/>
      <c r="S1231" s="28">
        <v>5900</v>
      </c>
      <c r="T1231" s="1" t="s">
        <v>1244</v>
      </c>
      <c r="U1231" s="1" t="s">
        <v>884</v>
      </c>
      <c r="V1231" s="1">
        <v>20250228</v>
      </c>
      <c r="W1231" s="8" t="s">
        <v>8444</v>
      </c>
      <c r="Z1231" s="1"/>
      <c r="AA1231" s="1"/>
      <c r="AC1231" s="1"/>
      <c r="AD1231" s="1"/>
      <c r="AE1231" s="1"/>
      <c r="AF1231" s="1"/>
    </row>
    <row r="1232" spans="2:32" ht="12.75" x14ac:dyDescent="0.2">
      <c r="B1232" s="1" t="s">
        <v>9738</v>
      </c>
      <c r="C1232" s="10">
        <f t="shared" ca="1" si="38"/>
        <v>45446</v>
      </c>
      <c r="D1232" s="4"/>
      <c r="E1232" s="4" t="s">
        <v>8434</v>
      </c>
      <c r="F1232" s="4" t="s">
        <v>1293</v>
      </c>
      <c r="G1232" s="4"/>
      <c r="H1232" s="4" t="str">
        <f>_xlfn.IFNA(VLOOKUP(Table_Query_from_AMULTIQRY45[[#This Row],[WPROD]],'Part# with New'!$A$1:$B$4347,2,0),Table_Query_from_AMULTIQRY45[[#This Row],[WPROD]])</f>
        <v>24337</v>
      </c>
      <c r="I1232" s="4" t="s">
        <v>8436</v>
      </c>
      <c r="J1232" s="1" t="s">
        <v>5</v>
      </c>
      <c r="L1232" s="11">
        <v>0.19649</v>
      </c>
      <c r="M1232" s="1"/>
      <c r="N1232" s="1" t="s">
        <v>560</v>
      </c>
      <c r="P1232" s="1" t="str">
        <f>CONCATENATE(Table_Query_from_AMULTIQRY45[[#This Row],[WWHS]],"-",Table_Query_from_AMULTIQRY45[[#This Row],[LLOC]])</f>
        <v>E3-QCHOLD</v>
      </c>
      <c r="Q1232" s="10">
        <f t="shared" ca="1" si="39"/>
        <v>45775</v>
      </c>
      <c r="R1232" s="10"/>
      <c r="S1232" s="28">
        <v>27</v>
      </c>
      <c r="T1232" s="1" t="s">
        <v>1244</v>
      </c>
      <c r="U1232" s="1" t="s">
        <v>885</v>
      </c>
      <c r="V1232" s="1">
        <v>20240603</v>
      </c>
      <c r="W1232" s="8" t="s">
        <v>8444</v>
      </c>
      <c r="Z1232" s="1"/>
      <c r="AA1232" s="1"/>
      <c r="AC1232" s="1"/>
      <c r="AD1232" s="1"/>
      <c r="AE1232" s="1"/>
      <c r="AF1232" s="1"/>
    </row>
    <row r="1233" spans="2:32" ht="12.75" x14ac:dyDescent="0.2">
      <c r="B1233" s="1" t="s">
        <v>9739</v>
      </c>
      <c r="C1233" s="10">
        <f t="shared" ca="1" si="38"/>
        <v>45716</v>
      </c>
      <c r="D1233" s="4"/>
      <c r="E1233" s="4" t="s">
        <v>8434</v>
      </c>
      <c r="F1233" s="4" t="s">
        <v>1293</v>
      </c>
      <c r="G1233" s="4"/>
      <c r="H1233" s="4" t="str">
        <f>_xlfn.IFNA(VLOOKUP(Table_Query_from_AMULTIQRY45[[#This Row],[WPROD]],'Part# with New'!$A$1:$B$4347,2,0),Table_Query_from_AMULTIQRY45[[#This Row],[WPROD]])</f>
        <v>24362</v>
      </c>
      <c r="I1233" s="4" t="s">
        <v>8436</v>
      </c>
      <c r="J1233" s="1" t="s">
        <v>5</v>
      </c>
      <c r="L1233" s="11">
        <v>0.39729999999999999</v>
      </c>
      <c r="M1233" s="1"/>
      <c r="N1233" s="1" t="s">
        <v>6</v>
      </c>
      <c r="P1233" s="1" t="str">
        <f>CONCATENATE(Table_Query_from_AMULTIQRY45[[#This Row],[WWHS]],"-",Table_Query_from_AMULTIQRY45[[#This Row],[LLOC]])</f>
        <v>E3-QCHOLD</v>
      </c>
      <c r="Q1233" s="10">
        <f t="shared" ca="1" si="39"/>
        <v>45775</v>
      </c>
      <c r="R1233" s="10"/>
      <c r="S1233" s="28">
        <v>22</v>
      </c>
      <c r="T1233" s="1" t="s">
        <v>1244</v>
      </c>
      <c r="U1233" s="1" t="s">
        <v>893</v>
      </c>
      <c r="V1233" s="1">
        <v>20250228</v>
      </c>
      <c r="W1233" s="8" t="s">
        <v>8444</v>
      </c>
      <c r="Z1233" s="1"/>
      <c r="AA1233" s="1"/>
      <c r="AC1233" s="1"/>
      <c r="AD1233" s="1"/>
      <c r="AE1233" s="1"/>
      <c r="AF1233" s="1"/>
    </row>
    <row r="1234" spans="2:32" ht="12.75" x14ac:dyDescent="0.2">
      <c r="B1234" s="1" t="s">
        <v>9740</v>
      </c>
      <c r="C1234" s="10">
        <f t="shared" ca="1" si="38"/>
        <v>45527</v>
      </c>
      <c r="D1234" s="4"/>
      <c r="E1234" s="4" t="s">
        <v>8434</v>
      </c>
      <c r="F1234" s="4" t="s">
        <v>1293</v>
      </c>
      <c r="G1234" s="4"/>
      <c r="H1234" s="4" t="str">
        <f>_xlfn.IFNA(VLOOKUP(Table_Query_from_AMULTIQRY45[[#This Row],[WPROD]],'Part# with New'!$A$1:$B$4347,2,0),Table_Query_from_AMULTIQRY45[[#This Row],[WPROD]])</f>
        <v>24392</v>
      </c>
      <c r="I1234" s="4" t="s">
        <v>8436</v>
      </c>
      <c r="J1234" s="1" t="s">
        <v>5</v>
      </c>
      <c r="L1234" s="11">
        <v>0.23877000000000001</v>
      </c>
      <c r="M1234" s="1"/>
      <c r="N1234" s="1" t="s">
        <v>389</v>
      </c>
      <c r="P1234" s="1" t="str">
        <f>CONCATENATE(Table_Query_from_AMULTIQRY45[[#This Row],[WWHS]],"-",Table_Query_from_AMULTIQRY45[[#This Row],[LLOC]])</f>
        <v>E3-QCHOLD</v>
      </c>
      <c r="Q1234" s="10">
        <f t="shared" ca="1" si="39"/>
        <v>45775</v>
      </c>
      <c r="R1234" s="10"/>
      <c r="S1234" s="28">
        <v>86</v>
      </c>
      <c r="T1234" s="1" t="s">
        <v>1244</v>
      </c>
      <c r="U1234" s="1" t="s">
        <v>1256</v>
      </c>
      <c r="V1234" s="1">
        <v>20240823</v>
      </c>
      <c r="W1234" s="8" t="s">
        <v>8444</v>
      </c>
      <c r="Z1234" s="1"/>
      <c r="AA1234" s="1"/>
      <c r="AC1234" s="1"/>
      <c r="AD1234" s="1"/>
      <c r="AE1234" s="1"/>
      <c r="AF1234" s="1"/>
    </row>
    <row r="1235" spans="2:32" ht="12.75" x14ac:dyDescent="0.2">
      <c r="B1235" s="1" t="s">
        <v>9741</v>
      </c>
      <c r="C1235" s="10">
        <f t="shared" ca="1" si="38"/>
        <v>45751</v>
      </c>
      <c r="D1235" s="4"/>
      <c r="E1235" s="4" t="s">
        <v>8434</v>
      </c>
      <c r="F1235" s="4" t="s">
        <v>1293</v>
      </c>
      <c r="G1235" s="4"/>
      <c r="H1235" s="4" t="str">
        <f>_xlfn.IFNA(VLOOKUP(Table_Query_from_AMULTIQRY45[[#This Row],[WPROD]],'Part# with New'!$A$1:$B$4347,2,0),Table_Query_from_AMULTIQRY45[[#This Row],[WPROD]])</f>
        <v>24398</v>
      </c>
      <c r="I1235" s="4" t="s">
        <v>8436</v>
      </c>
      <c r="J1235" s="1" t="s">
        <v>5</v>
      </c>
      <c r="L1235" s="11">
        <v>0.13134999999999999</v>
      </c>
      <c r="M1235" s="1"/>
      <c r="N1235" s="1" t="s">
        <v>389</v>
      </c>
      <c r="P1235" s="1" t="str">
        <f>CONCATENATE(Table_Query_from_AMULTIQRY45[[#This Row],[WWHS]],"-",Table_Query_from_AMULTIQRY45[[#This Row],[LLOC]])</f>
        <v>E3-QCHOLD</v>
      </c>
      <c r="Q1235" s="10">
        <f t="shared" ca="1" si="39"/>
        <v>45775</v>
      </c>
      <c r="R1235" s="10"/>
      <c r="S1235" s="28">
        <v>119</v>
      </c>
      <c r="T1235" s="1" t="s">
        <v>1244</v>
      </c>
      <c r="U1235" s="1" t="s">
        <v>1257</v>
      </c>
      <c r="V1235" s="1">
        <v>20250404</v>
      </c>
      <c r="W1235" s="8" t="s">
        <v>8444</v>
      </c>
      <c r="Z1235" s="1"/>
      <c r="AA1235" s="1"/>
      <c r="AC1235" s="1"/>
      <c r="AD1235" s="1"/>
      <c r="AE1235" s="1"/>
      <c r="AF1235" s="1"/>
    </row>
    <row r="1236" spans="2:32" ht="12.75" x14ac:dyDescent="0.2">
      <c r="B1236" s="1" t="s">
        <v>9742</v>
      </c>
      <c r="C1236" s="10">
        <f t="shared" ca="1" si="38"/>
        <v>45555</v>
      </c>
      <c r="D1236" s="4"/>
      <c r="E1236" s="4" t="s">
        <v>8434</v>
      </c>
      <c r="F1236" s="4" t="s">
        <v>1293</v>
      </c>
      <c r="G1236" s="4"/>
      <c r="H1236" s="4" t="str">
        <f>_xlfn.IFNA(VLOOKUP(Table_Query_from_AMULTIQRY45[[#This Row],[WPROD]],'Part# with New'!$A$1:$B$4347,2,0),Table_Query_from_AMULTIQRY45[[#This Row],[WPROD]])</f>
        <v>24406</v>
      </c>
      <c r="I1236" s="4" t="s">
        <v>8436</v>
      </c>
      <c r="J1236" s="1" t="s">
        <v>5</v>
      </c>
      <c r="L1236" s="11">
        <v>0.13725000000000001</v>
      </c>
      <c r="M1236" s="1"/>
      <c r="N1236" s="1" t="s">
        <v>389</v>
      </c>
      <c r="P1236" s="1" t="str">
        <f>CONCATENATE(Table_Query_from_AMULTIQRY45[[#This Row],[WWHS]],"-",Table_Query_from_AMULTIQRY45[[#This Row],[LLOC]])</f>
        <v>E3-QCHOLD</v>
      </c>
      <c r="Q1236" s="10">
        <f t="shared" ca="1" si="39"/>
        <v>45775</v>
      </c>
      <c r="R1236" s="10"/>
      <c r="S1236" s="28">
        <v>60</v>
      </c>
      <c r="T1236" s="1" t="s">
        <v>1244</v>
      </c>
      <c r="U1236" s="1" t="s">
        <v>1258</v>
      </c>
      <c r="V1236" s="1">
        <v>20240920</v>
      </c>
      <c r="W1236" s="8" t="s">
        <v>8444</v>
      </c>
      <c r="Z1236" s="1"/>
      <c r="AA1236" s="1"/>
      <c r="AC1236" s="1"/>
      <c r="AD1236" s="1"/>
      <c r="AE1236" s="1"/>
      <c r="AF1236" s="1"/>
    </row>
    <row r="1237" spans="2:32" ht="12.75" x14ac:dyDescent="0.2">
      <c r="B1237" s="1" t="s">
        <v>9743</v>
      </c>
      <c r="C1237" s="10">
        <f t="shared" ca="1" si="38"/>
        <v>45623</v>
      </c>
      <c r="D1237" s="4"/>
      <c r="E1237" s="4" t="s">
        <v>8434</v>
      </c>
      <c r="F1237" s="4" t="s">
        <v>1293</v>
      </c>
      <c r="G1237" s="4"/>
      <c r="H1237" s="4" t="str">
        <f>_xlfn.IFNA(VLOOKUP(Table_Query_from_AMULTIQRY45[[#This Row],[WPROD]],'Part# with New'!$A$1:$B$4347,2,0),Table_Query_from_AMULTIQRY45[[#This Row],[WPROD]])</f>
        <v>24418</v>
      </c>
      <c r="I1237" s="4" t="s">
        <v>8436</v>
      </c>
      <c r="J1237" s="1" t="s">
        <v>5</v>
      </c>
      <c r="L1237" s="11">
        <v>0.16880000000000001</v>
      </c>
      <c r="M1237" s="1"/>
      <c r="N1237" s="1" t="s">
        <v>18</v>
      </c>
      <c r="P1237" s="1" t="str">
        <f>CONCATENATE(Table_Query_from_AMULTIQRY45[[#This Row],[WWHS]],"-",Table_Query_from_AMULTIQRY45[[#This Row],[LLOC]])</f>
        <v>E3-QCHOLD</v>
      </c>
      <c r="Q1237" s="10">
        <f t="shared" ca="1" si="39"/>
        <v>45775</v>
      </c>
      <c r="R1237" s="10"/>
      <c r="S1237" s="28">
        <v>89</v>
      </c>
      <c r="T1237" s="1" t="s">
        <v>1244</v>
      </c>
      <c r="U1237" s="1" t="s">
        <v>910</v>
      </c>
      <c r="V1237" s="1">
        <v>20241127</v>
      </c>
      <c r="W1237" s="8" t="s">
        <v>8444</v>
      </c>
      <c r="Z1237" s="1"/>
      <c r="AA1237" s="1"/>
      <c r="AC1237" s="1"/>
      <c r="AD1237" s="1"/>
      <c r="AE1237" s="1"/>
      <c r="AF1237" s="1"/>
    </row>
    <row r="1238" spans="2:32" ht="12.75" x14ac:dyDescent="0.2">
      <c r="B1238" s="1" t="s">
        <v>9744</v>
      </c>
      <c r="C1238" s="10">
        <f t="shared" ca="1" si="38"/>
        <v>45623</v>
      </c>
      <c r="D1238" s="4"/>
      <c r="E1238" s="4" t="s">
        <v>8434</v>
      </c>
      <c r="F1238" s="4" t="s">
        <v>1293</v>
      </c>
      <c r="G1238" s="4"/>
      <c r="H1238" s="4" t="str">
        <f>_xlfn.IFNA(VLOOKUP(Table_Query_from_AMULTIQRY45[[#This Row],[WPROD]],'Part# with New'!$A$1:$B$4347,2,0),Table_Query_from_AMULTIQRY45[[#This Row],[WPROD]])</f>
        <v>24419</v>
      </c>
      <c r="I1238" s="4" t="s">
        <v>8436</v>
      </c>
      <c r="J1238" s="1" t="s">
        <v>5</v>
      </c>
      <c r="L1238" s="11">
        <v>0.16267999999999999</v>
      </c>
      <c r="M1238" s="1"/>
      <c r="N1238" s="1" t="s">
        <v>18</v>
      </c>
      <c r="P1238" s="1" t="str">
        <f>CONCATENATE(Table_Query_from_AMULTIQRY45[[#This Row],[WWHS]],"-",Table_Query_from_AMULTIQRY45[[#This Row],[LLOC]])</f>
        <v>E3-QCHOLD</v>
      </c>
      <c r="Q1238" s="10">
        <f t="shared" ca="1" si="39"/>
        <v>45775</v>
      </c>
      <c r="R1238" s="10"/>
      <c r="S1238" s="28">
        <v>96</v>
      </c>
      <c r="T1238" s="1" t="s">
        <v>1244</v>
      </c>
      <c r="U1238" s="1" t="s">
        <v>911</v>
      </c>
      <c r="V1238" s="1">
        <v>20241127</v>
      </c>
      <c r="W1238" s="8" t="s">
        <v>8444</v>
      </c>
      <c r="Z1238" s="1"/>
      <c r="AA1238" s="1"/>
      <c r="AC1238" s="1"/>
      <c r="AD1238" s="1"/>
      <c r="AE1238" s="1"/>
      <c r="AF1238" s="1"/>
    </row>
    <row r="1239" spans="2:32" ht="12.75" x14ac:dyDescent="0.2">
      <c r="B1239" s="1" t="s">
        <v>9745</v>
      </c>
      <c r="C1239" s="10">
        <f t="shared" ca="1" si="38"/>
        <v>45589</v>
      </c>
      <c r="D1239" s="4"/>
      <c r="E1239" s="4" t="s">
        <v>8434</v>
      </c>
      <c r="F1239" s="4" t="s">
        <v>1293</v>
      </c>
      <c r="G1239" s="4"/>
      <c r="H1239" s="4" t="str">
        <f>_xlfn.IFNA(VLOOKUP(Table_Query_from_AMULTIQRY45[[#This Row],[WPROD]],'Part# with New'!$A$1:$B$4347,2,0),Table_Query_from_AMULTIQRY45[[#This Row],[WPROD]])</f>
        <v>24420</v>
      </c>
      <c r="I1239" s="4" t="s">
        <v>8436</v>
      </c>
      <c r="J1239" s="1" t="s">
        <v>5</v>
      </c>
      <c r="L1239" s="11">
        <v>0.26929999999999998</v>
      </c>
      <c r="M1239" s="1"/>
      <c r="N1239" s="1" t="s">
        <v>389</v>
      </c>
      <c r="P1239" s="1" t="str">
        <f>CONCATENATE(Table_Query_from_AMULTIQRY45[[#This Row],[WWHS]],"-",Table_Query_from_AMULTIQRY45[[#This Row],[LLOC]])</f>
        <v>E3-QCHOLD</v>
      </c>
      <c r="Q1239" s="10">
        <f t="shared" ca="1" si="39"/>
        <v>45775</v>
      </c>
      <c r="R1239" s="10"/>
      <c r="S1239" s="28">
        <v>30</v>
      </c>
      <c r="T1239" s="1" t="s">
        <v>1244</v>
      </c>
      <c r="U1239" s="1" t="s">
        <v>304</v>
      </c>
      <c r="V1239" s="1">
        <v>20241024</v>
      </c>
      <c r="W1239" s="8" t="s">
        <v>8444</v>
      </c>
      <c r="Z1239" s="1"/>
      <c r="AA1239" s="1"/>
      <c r="AC1239" s="1"/>
      <c r="AD1239" s="1"/>
      <c r="AE1239" s="1"/>
      <c r="AF1239" s="1"/>
    </row>
    <row r="1240" spans="2:32" ht="12.75" x14ac:dyDescent="0.2">
      <c r="B1240" s="1" t="s">
        <v>9746</v>
      </c>
      <c r="C1240" s="10">
        <f t="shared" ca="1" si="38"/>
        <v>45610</v>
      </c>
      <c r="D1240" s="4"/>
      <c r="E1240" s="4" t="s">
        <v>8434</v>
      </c>
      <c r="F1240" s="4" t="s">
        <v>1293</v>
      </c>
      <c r="G1240" s="4"/>
      <c r="H1240" s="4" t="str">
        <f>_xlfn.IFNA(VLOOKUP(Table_Query_from_AMULTIQRY45[[#This Row],[WPROD]],'Part# with New'!$A$1:$B$4347,2,0),Table_Query_from_AMULTIQRY45[[#This Row],[WPROD]])</f>
        <v>24430</v>
      </c>
      <c r="I1240" s="4" t="s">
        <v>8436</v>
      </c>
      <c r="J1240" s="1" t="s">
        <v>5</v>
      </c>
      <c r="L1240" s="11">
        <v>0.13775000000000001</v>
      </c>
      <c r="M1240" s="1"/>
      <c r="N1240" s="1" t="s">
        <v>389</v>
      </c>
      <c r="P1240" s="1" t="str">
        <f>CONCATENATE(Table_Query_from_AMULTIQRY45[[#This Row],[WWHS]],"-",Table_Query_from_AMULTIQRY45[[#This Row],[LLOC]])</f>
        <v>E3-QCHOLD</v>
      </c>
      <c r="Q1240" s="10">
        <f t="shared" ca="1" si="39"/>
        <v>45775</v>
      </c>
      <c r="R1240" s="10"/>
      <c r="S1240" s="28">
        <v>50</v>
      </c>
      <c r="T1240" s="1" t="s">
        <v>1244</v>
      </c>
      <c r="U1240" s="1" t="s">
        <v>1259</v>
      </c>
      <c r="V1240" s="1">
        <v>20241114</v>
      </c>
      <c r="W1240" s="8" t="s">
        <v>8444</v>
      </c>
      <c r="Z1240" s="1"/>
      <c r="AA1240" s="1"/>
      <c r="AC1240" s="1"/>
      <c r="AD1240" s="1"/>
      <c r="AE1240" s="1"/>
      <c r="AF1240" s="1"/>
    </row>
    <row r="1241" spans="2:32" ht="12.75" x14ac:dyDescent="0.2">
      <c r="B1241" s="1" t="s">
        <v>9747</v>
      </c>
      <c r="C1241" s="10">
        <f t="shared" ca="1" si="38"/>
        <v>45691</v>
      </c>
      <c r="D1241" s="4"/>
      <c r="E1241" s="4" t="s">
        <v>8434</v>
      </c>
      <c r="F1241" s="4" t="s">
        <v>1293</v>
      </c>
      <c r="G1241" s="4"/>
      <c r="H1241" s="4" t="str">
        <f>_xlfn.IFNA(VLOOKUP(Table_Query_from_AMULTIQRY45[[#This Row],[WPROD]],'Part# with New'!$A$1:$B$4347,2,0),Table_Query_from_AMULTIQRY45[[#This Row],[WPROD]])</f>
        <v>24440</v>
      </c>
      <c r="I1241" s="4" t="s">
        <v>8436</v>
      </c>
      <c r="J1241" s="1" t="s">
        <v>5</v>
      </c>
      <c r="L1241" s="11">
        <v>0.43073</v>
      </c>
      <c r="M1241" s="1"/>
      <c r="N1241" s="1" t="s">
        <v>6</v>
      </c>
      <c r="P1241" s="1" t="str">
        <f>CONCATENATE(Table_Query_from_AMULTIQRY45[[#This Row],[WWHS]],"-",Table_Query_from_AMULTIQRY45[[#This Row],[LLOC]])</f>
        <v>E3-QCHOLD</v>
      </c>
      <c r="Q1241" s="10">
        <f t="shared" ca="1" si="39"/>
        <v>45775</v>
      </c>
      <c r="R1241" s="10"/>
      <c r="S1241" s="28">
        <v>4776</v>
      </c>
      <c r="T1241" s="1" t="s">
        <v>1244</v>
      </c>
      <c r="U1241" s="1" t="s">
        <v>1260</v>
      </c>
      <c r="V1241" s="1">
        <v>20250203</v>
      </c>
      <c r="W1241" s="8" t="s">
        <v>8444</v>
      </c>
      <c r="Z1241" s="1"/>
      <c r="AA1241" s="1"/>
      <c r="AC1241" s="1"/>
      <c r="AD1241" s="1"/>
      <c r="AE1241" s="1"/>
      <c r="AF1241" s="1"/>
    </row>
    <row r="1242" spans="2:32" ht="12.75" x14ac:dyDescent="0.2">
      <c r="B1242" s="1" t="s">
        <v>9748</v>
      </c>
      <c r="C1242" s="10">
        <f t="shared" ca="1" si="38"/>
        <v>45555</v>
      </c>
      <c r="D1242" s="4"/>
      <c r="E1242" s="4" t="s">
        <v>8434</v>
      </c>
      <c r="F1242" s="4" t="s">
        <v>1293</v>
      </c>
      <c r="G1242" s="4"/>
      <c r="H1242" s="4" t="str">
        <f>_xlfn.IFNA(VLOOKUP(Table_Query_from_AMULTIQRY45[[#This Row],[WPROD]],'Part# with New'!$A$1:$B$4347,2,0),Table_Query_from_AMULTIQRY45[[#This Row],[WPROD]])</f>
        <v>94356</v>
      </c>
      <c r="I1242" s="4" t="s">
        <v>8436</v>
      </c>
      <c r="J1242" s="1" t="s">
        <v>5</v>
      </c>
      <c r="L1242" s="11">
        <v>4.9379099999999996</v>
      </c>
      <c r="M1242" s="1"/>
      <c r="N1242" s="1" t="s">
        <v>18</v>
      </c>
      <c r="P1242" s="1" t="str">
        <f>CONCATENATE(Table_Query_from_AMULTIQRY45[[#This Row],[WWHS]],"-",Table_Query_from_AMULTIQRY45[[#This Row],[LLOC]])</f>
        <v>E3-QCHOLD</v>
      </c>
      <c r="Q1242" s="10">
        <f t="shared" ca="1" si="39"/>
        <v>45775</v>
      </c>
      <c r="R1242" s="10"/>
      <c r="S1242" s="28">
        <v>11</v>
      </c>
      <c r="T1242" s="1" t="s">
        <v>1244</v>
      </c>
      <c r="U1242" s="1" t="s">
        <v>1015</v>
      </c>
      <c r="V1242" s="1">
        <v>20240920</v>
      </c>
      <c r="W1242" s="8" t="s">
        <v>8444</v>
      </c>
      <c r="Z1242" s="1"/>
      <c r="AA1242" s="1"/>
      <c r="AC1242" s="1"/>
      <c r="AD1242" s="1"/>
      <c r="AE1242" s="1"/>
      <c r="AF1242" s="1"/>
    </row>
    <row r="1243" spans="2:32" ht="12.75" x14ac:dyDescent="0.2">
      <c r="B1243" s="1" t="s">
        <v>9749</v>
      </c>
      <c r="C1243" s="10">
        <f t="shared" ca="1" si="38"/>
        <v>45555</v>
      </c>
      <c r="D1243" s="4"/>
      <c r="E1243" s="4" t="s">
        <v>8434</v>
      </c>
      <c r="F1243" s="4" t="s">
        <v>1293</v>
      </c>
      <c r="G1243" s="4"/>
      <c r="H1243" s="4" t="str">
        <f>_xlfn.IFNA(VLOOKUP(Table_Query_from_AMULTIQRY45[[#This Row],[WPROD]],'Part# with New'!$A$1:$B$4347,2,0),Table_Query_from_AMULTIQRY45[[#This Row],[WPROD]])</f>
        <v>94357</v>
      </c>
      <c r="I1243" s="4" t="s">
        <v>8436</v>
      </c>
      <c r="J1243" s="1" t="s">
        <v>5</v>
      </c>
      <c r="L1243" s="11">
        <v>11.337300000000001</v>
      </c>
      <c r="M1243" s="1"/>
      <c r="N1243" s="1" t="s">
        <v>18</v>
      </c>
      <c r="P1243" s="1" t="str">
        <f>CONCATENATE(Table_Query_from_AMULTIQRY45[[#This Row],[WWHS]],"-",Table_Query_from_AMULTIQRY45[[#This Row],[LLOC]])</f>
        <v>E3-QCHOLD</v>
      </c>
      <c r="Q1243" s="10">
        <f t="shared" ca="1" si="39"/>
        <v>45775</v>
      </c>
      <c r="R1243" s="10"/>
      <c r="S1243" s="28">
        <v>13</v>
      </c>
      <c r="T1243" s="1" t="s">
        <v>1244</v>
      </c>
      <c r="U1243" s="1" t="s">
        <v>1016</v>
      </c>
      <c r="V1243" s="1">
        <v>20240920</v>
      </c>
      <c r="W1243" s="8" t="s">
        <v>8444</v>
      </c>
      <c r="Z1243" s="1"/>
      <c r="AA1243" s="1"/>
      <c r="AC1243" s="1"/>
      <c r="AD1243" s="1"/>
      <c r="AE1243" s="1"/>
      <c r="AF1243" s="1"/>
    </row>
    <row r="1244" spans="2:32" ht="12.75" x14ac:dyDescent="0.2">
      <c r="B1244" s="1" t="s">
        <v>9750</v>
      </c>
      <c r="C1244" s="10">
        <f t="shared" ca="1" si="38"/>
        <v>45772</v>
      </c>
      <c r="D1244" s="4"/>
      <c r="E1244" s="4" t="s">
        <v>8434</v>
      </c>
      <c r="F1244" s="4" t="s">
        <v>1293</v>
      </c>
      <c r="G1244" s="4"/>
      <c r="H1244" s="4" t="str">
        <f>_xlfn.IFNA(VLOOKUP(Table_Query_from_AMULTIQRY45[[#This Row],[WPROD]],'Part# with New'!$A$1:$B$4347,2,0),Table_Query_from_AMULTIQRY45[[#This Row],[WPROD]])</f>
        <v>10307</v>
      </c>
      <c r="I1244" s="4" t="s">
        <v>8436</v>
      </c>
      <c r="J1244" s="1" t="s">
        <v>1019</v>
      </c>
      <c r="L1244" s="11">
        <v>13.06</v>
      </c>
      <c r="M1244" s="1"/>
      <c r="N1244" s="1" t="s">
        <v>1017</v>
      </c>
      <c r="P1244" s="1" t="str">
        <f>CONCATENATE(Table_Query_from_AMULTIQRY45[[#This Row],[WWHS]],"-",Table_Query_from_AMULTIQRY45[[#This Row],[LLOC]])</f>
        <v>E3-QCHOLD</v>
      </c>
      <c r="Q1244" s="10">
        <f t="shared" ca="1" si="39"/>
        <v>45775</v>
      </c>
      <c r="R1244" s="10"/>
      <c r="S1244" s="28">
        <v>35</v>
      </c>
      <c r="T1244" s="1" t="s">
        <v>1244</v>
      </c>
      <c r="U1244" s="1" t="s">
        <v>1047</v>
      </c>
      <c r="V1244" s="1">
        <v>20250425</v>
      </c>
      <c r="W1244" s="8" t="s">
        <v>8444</v>
      </c>
      <c r="Z1244" s="1"/>
      <c r="AA1244" s="1"/>
      <c r="AC1244" s="1"/>
      <c r="AD1244" s="1"/>
      <c r="AE1244" s="1"/>
      <c r="AF1244" s="1"/>
    </row>
    <row r="1245" spans="2:32" ht="12.75" x14ac:dyDescent="0.2">
      <c r="B1245" s="1" t="s">
        <v>9751</v>
      </c>
      <c r="C1245" s="10">
        <f t="shared" ca="1" si="38"/>
        <v>45727</v>
      </c>
      <c r="D1245" s="4"/>
      <c r="E1245" s="4" t="s">
        <v>8434</v>
      </c>
      <c r="F1245" s="4" t="s">
        <v>1293</v>
      </c>
      <c r="G1245" s="4"/>
      <c r="H1245" s="4" t="str">
        <f>_xlfn.IFNA(VLOOKUP(Table_Query_from_AMULTIQRY45[[#This Row],[WPROD]],'Part# with New'!$A$1:$B$4347,2,0),Table_Query_from_AMULTIQRY45[[#This Row],[WPROD]])</f>
        <v>10441</v>
      </c>
      <c r="I1245" s="4" t="s">
        <v>8436</v>
      </c>
      <c r="J1245" s="1" t="s">
        <v>1019</v>
      </c>
      <c r="L1245" s="11">
        <v>19.350000000000001</v>
      </c>
      <c r="M1245" s="1"/>
      <c r="N1245" s="1" t="s">
        <v>1017</v>
      </c>
      <c r="P1245" s="1" t="str">
        <f>CONCATENATE(Table_Query_from_AMULTIQRY45[[#This Row],[WWHS]],"-",Table_Query_from_AMULTIQRY45[[#This Row],[LLOC]])</f>
        <v>E3-QCHOLD</v>
      </c>
      <c r="Q1245" s="10">
        <f t="shared" ca="1" si="39"/>
        <v>45775</v>
      </c>
      <c r="R1245" s="10"/>
      <c r="S1245" s="28">
        <v>49.12</v>
      </c>
      <c r="T1245" s="1" t="s">
        <v>1244</v>
      </c>
      <c r="U1245" s="1" t="s">
        <v>1081</v>
      </c>
      <c r="V1245" s="1">
        <v>20250311</v>
      </c>
      <c r="W1245" s="8" t="s">
        <v>8444</v>
      </c>
      <c r="Z1245" s="1"/>
      <c r="AA1245" s="1"/>
      <c r="AC1245" s="1"/>
      <c r="AD1245" s="1"/>
      <c r="AE1245" s="1"/>
      <c r="AF1245" s="1"/>
    </row>
    <row r="1246" spans="2:32" ht="12.75" x14ac:dyDescent="0.2">
      <c r="B1246" s="1" t="s">
        <v>9752</v>
      </c>
      <c r="C1246" s="10">
        <f t="shared" ca="1" si="38"/>
        <v>45772</v>
      </c>
      <c r="D1246" s="4"/>
      <c r="E1246" s="4" t="s">
        <v>8434</v>
      </c>
      <c r="F1246" s="4" t="s">
        <v>1293</v>
      </c>
      <c r="G1246" s="4"/>
      <c r="H1246" s="4" t="str">
        <f>_xlfn.IFNA(VLOOKUP(Table_Query_from_AMULTIQRY45[[#This Row],[WPROD]],'Part# with New'!$A$1:$B$4347,2,0),Table_Query_from_AMULTIQRY45[[#This Row],[WPROD]])</f>
        <v>10500</v>
      </c>
      <c r="I1246" s="4" t="s">
        <v>8436</v>
      </c>
      <c r="J1246" s="1" t="s">
        <v>1019</v>
      </c>
      <c r="L1246" s="11">
        <v>12.87</v>
      </c>
      <c r="M1246" s="1"/>
      <c r="N1246" s="1" t="s">
        <v>1017</v>
      </c>
      <c r="P1246" s="1" t="str">
        <f>CONCATENATE(Table_Query_from_AMULTIQRY45[[#This Row],[WWHS]],"-",Table_Query_from_AMULTIQRY45[[#This Row],[LLOC]])</f>
        <v>E3-QCHOLD</v>
      </c>
      <c r="Q1246" s="10">
        <f t="shared" ca="1" si="39"/>
        <v>45775</v>
      </c>
      <c r="R1246" s="10"/>
      <c r="S1246" s="28">
        <v>365.58</v>
      </c>
      <c r="T1246" s="1" t="s">
        <v>1244</v>
      </c>
      <c r="U1246" s="1" t="s">
        <v>1095</v>
      </c>
      <c r="V1246" s="1">
        <v>20250425</v>
      </c>
      <c r="W1246" s="8" t="s">
        <v>8444</v>
      </c>
      <c r="Z1246" s="1"/>
      <c r="AA1246" s="1"/>
      <c r="AC1246" s="1"/>
      <c r="AD1246" s="1"/>
      <c r="AE1246" s="1"/>
      <c r="AF1246" s="1"/>
    </row>
    <row r="1247" spans="2:32" ht="12.75" x14ac:dyDescent="0.2">
      <c r="B1247" s="1" t="s">
        <v>9753</v>
      </c>
      <c r="C1247" s="10">
        <f t="shared" ca="1" si="38"/>
        <v>45772</v>
      </c>
      <c r="D1247" s="4"/>
      <c r="E1247" s="4" t="s">
        <v>8434</v>
      </c>
      <c r="F1247" s="4" t="s">
        <v>1293</v>
      </c>
      <c r="G1247" s="4"/>
      <c r="H1247" s="4" t="str">
        <f>_xlfn.IFNA(VLOOKUP(Table_Query_from_AMULTIQRY45[[#This Row],[WPROD]],'Part# with New'!$A$1:$B$4347,2,0),Table_Query_from_AMULTIQRY45[[#This Row],[WPROD]])</f>
        <v>10528</v>
      </c>
      <c r="I1247" s="4" t="s">
        <v>8436</v>
      </c>
      <c r="J1247" s="1" t="s">
        <v>1019</v>
      </c>
      <c r="L1247" s="11">
        <v>9.5</v>
      </c>
      <c r="M1247" s="1"/>
      <c r="N1247" s="1" t="s">
        <v>1017</v>
      </c>
      <c r="P1247" s="1" t="str">
        <f>CONCATENATE(Table_Query_from_AMULTIQRY45[[#This Row],[WWHS]],"-",Table_Query_from_AMULTIQRY45[[#This Row],[LLOC]])</f>
        <v>E3-QCHOLD</v>
      </c>
      <c r="Q1247" s="10">
        <f t="shared" ca="1" si="39"/>
        <v>45775</v>
      </c>
      <c r="R1247" s="10"/>
      <c r="S1247" s="28">
        <v>1038.72</v>
      </c>
      <c r="T1247" s="1" t="s">
        <v>1244</v>
      </c>
      <c r="U1247" s="1" t="s">
        <v>106</v>
      </c>
      <c r="V1247" s="1">
        <v>20250425</v>
      </c>
      <c r="W1247" s="8" t="s">
        <v>8444</v>
      </c>
      <c r="Z1247" s="1"/>
      <c r="AA1247" s="1"/>
      <c r="AC1247" s="1"/>
      <c r="AD1247" s="1"/>
      <c r="AE1247" s="1"/>
      <c r="AF1247" s="1"/>
    </row>
    <row r="1248" spans="2:32" ht="12.75" x14ac:dyDescent="0.2">
      <c r="B1248" s="1" t="s">
        <v>9754</v>
      </c>
      <c r="C1248" s="10">
        <f t="shared" ca="1" si="38"/>
        <v>45761</v>
      </c>
      <c r="D1248" s="4"/>
      <c r="E1248" s="4" t="s">
        <v>8434</v>
      </c>
      <c r="F1248" s="4" t="s">
        <v>1293</v>
      </c>
      <c r="G1248" s="4"/>
      <c r="H1248" s="4" t="str">
        <f>_xlfn.IFNA(VLOOKUP(Table_Query_from_AMULTIQRY45[[#This Row],[WPROD]],'Part# with New'!$A$1:$B$4347,2,0),Table_Query_from_AMULTIQRY45[[#This Row],[WPROD]])</f>
        <v>10630</v>
      </c>
      <c r="I1248" s="4" t="s">
        <v>8436</v>
      </c>
      <c r="J1248" s="1" t="s">
        <v>1019</v>
      </c>
      <c r="L1248" s="11">
        <v>8</v>
      </c>
      <c r="M1248" s="1"/>
      <c r="N1248" s="1" t="s">
        <v>1017</v>
      </c>
      <c r="P1248" s="1" t="str">
        <f>CONCATENATE(Table_Query_from_AMULTIQRY45[[#This Row],[WWHS]],"-",Table_Query_from_AMULTIQRY45[[#This Row],[LLOC]])</f>
        <v>E3-QCHOLD</v>
      </c>
      <c r="Q1248" s="10">
        <f t="shared" ca="1" si="39"/>
        <v>45775</v>
      </c>
      <c r="R1248" s="10"/>
      <c r="S1248" s="28">
        <v>33</v>
      </c>
      <c r="T1248" s="1" t="s">
        <v>1244</v>
      </c>
      <c r="U1248" s="1" t="s">
        <v>1142</v>
      </c>
      <c r="V1248" s="1">
        <v>20250414</v>
      </c>
      <c r="W1248" s="8" t="s">
        <v>8444</v>
      </c>
      <c r="Z1248" s="1"/>
      <c r="AA1248" s="1"/>
      <c r="AC1248" s="1"/>
      <c r="AD1248" s="1"/>
      <c r="AE1248" s="1"/>
      <c r="AF1248" s="1"/>
    </row>
    <row r="1249" spans="2:32" ht="12.75" x14ac:dyDescent="0.2">
      <c r="B1249" s="1" t="s">
        <v>9755</v>
      </c>
      <c r="C1249" s="10">
        <f t="shared" ca="1" si="38"/>
        <v>45764</v>
      </c>
      <c r="D1249" s="4"/>
      <c r="E1249" s="4" t="s">
        <v>8434</v>
      </c>
      <c r="F1249" s="4" t="s">
        <v>1293</v>
      </c>
      <c r="G1249" s="4"/>
      <c r="H1249" s="4" t="str">
        <f>_xlfn.IFNA(VLOOKUP(Table_Query_from_AMULTIQRY45[[#This Row],[WPROD]],'Part# with New'!$A$1:$B$4347,2,0),Table_Query_from_AMULTIQRY45[[#This Row],[WPROD]])</f>
        <v>10653</v>
      </c>
      <c r="I1249" s="4" t="s">
        <v>8436</v>
      </c>
      <c r="J1249" s="1" t="s">
        <v>1019</v>
      </c>
      <c r="L1249" s="11">
        <v>11.12</v>
      </c>
      <c r="M1249" s="1"/>
      <c r="N1249" s="1" t="s">
        <v>1017</v>
      </c>
      <c r="P1249" s="1" t="str">
        <f>CONCATENATE(Table_Query_from_AMULTIQRY45[[#This Row],[WWHS]],"-",Table_Query_from_AMULTIQRY45[[#This Row],[LLOC]])</f>
        <v>E3-QCHOLD</v>
      </c>
      <c r="Q1249" s="10">
        <f t="shared" ca="1" si="39"/>
        <v>45775</v>
      </c>
      <c r="R1249" s="10"/>
      <c r="S1249" s="28">
        <v>630.04999999999995</v>
      </c>
      <c r="T1249" s="1" t="s">
        <v>1244</v>
      </c>
      <c r="U1249" s="1" t="s">
        <v>1152</v>
      </c>
      <c r="V1249" s="1">
        <v>20250417</v>
      </c>
      <c r="W1249" s="8" t="s">
        <v>8444</v>
      </c>
      <c r="Z1249" s="1"/>
      <c r="AA1249" s="1"/>
      <c r="AC1249" s="1"/>
      <c r="AD1249" s="1"/>
      <c r="AE1249" s="1"/>
      <c r="AF1249" s="1"/>
    </row>
    <row r="1250" spans="2:32" ht="12.75" x14ac:dyDescent="0.2">
      <c r="B1250" s="1" t="s">
        <v>9756</v>
      </c>
      <c r="C1250" s="10">
        <f t="shared" ca="1" si="38"/>
        <v>45756</v>
      </c>
      <c r="D1250" s="4"/>
      <c r="E1250" s="4" t="s">
        <v>8434</v>
      </c>
      <c r="F1250" s="4" t="s">
        <v>1293</v>
      </c>
      <c r="G1250" s="4"/>
      <c r="H1250" s="4" t="str">
        <f>_xlfn.IFNA(VLOOKUP(Table_Query_from_AMULTIQRY45[[#This Row],[WPROD]],'Part# with New'!$A$1:$B$4347,2,0),Table_Query_from_AMULTIQRY45[[#This Row],[WPROD]])</f>
        <v>10693</v>
      </c>
      <c r="I1250" s="4" t="s">
        <v>8436</v>
      </c>
      <c r="J1250" s="1" t="s">
        <v>1019</v>
      </c>
      <c r="L1250" s="11">
        <v>12.75</v>
      </c>
      <c r="M1250" s="1"/>
      <c r="N1250" s="1" t="s">
        <v>1017</v>
      </c>
      <c r="P1250" s="1" t="str">
        <f>CONCATENATE(Table_Query_from_AMULTIQRY45[[#This Row],[WWHS]],"-",Table_Query_from_AMULTIQRY45[[#This Row],[LLOC]])</f>
        <v>E3-QCHOLD</v>
      </c>
      <c r="Q1250" s="10">
        <f t="shared" ca="1" si="39"/>
        <v>45775</v>
      </c>
      <c r="R1250" s="10"/>
      <c r="S1250" s="28">
        <v>35</v>
      </c>
      <c r="T1250" s="1" t="s">
        <v>1244</v>
      </c>
      <c r="U1250" s="1" t="s">
        <v>1181</v>
      </c>
      <c r="V1250" s="1">
        <v>20250409</v>
      </c>
      <c r="W1250" s="8" t="s">
        <v>8444</v>
      </c>
      <c r="Z1250" s="1"/>
      <c r="AA1250" s="1"/>
      <c r="AC1250" s="1"/>
      <c r="AD1250" s="1"/>
      <c r="AE1250" s="1"/>
      <c r="AF1250" s="1"/>
    </row>
    <row r="1251" spans="2:32" ht="12.75" x14ac:dyDescent="0.2">
      <c r="B1251" s="1" t="s">
        <v>9757</v>
      </c>
      <c r="C1251" s="10">
        <f t="shared" ca="1" si="38"/>
        <v>45735</v>
      </c>
      <c r="D1251" s="4"/>
      <c r="E1251" s="4" t="s">
        <v>8434</v>
      </c>
      <c r="F1251" s="4" t="s">
        <v>1293</v>
      </c>
      <c r="G1251" s="4"/>
      <c r="H1251" s="4" t="str">
        <f>_xlfn.IFNA(VLOOKUP(Table_Query_from_AMULTIQRY45[[#This Row],[WPROD]],'Part# with New'!$A$1:$B$4347,2,0),Table_Query_from_AMULTIQRY45[[#This Row],[WPROD]])</f>
        <v>10726</v>
      </c>
      <c r="I1251" s="4" t="s">
        <v>8436</v>
      </c>
      <c r="J1251" s="1" t="s">
        <v>1019</v>
      </c>
      <c r="L1251" s="11">
        <v>11.37</v>
      </c>
      <c r="M1251" s="1"/>
      <c r="N1251" s="1" t="s">
        <v>1017</v>
      </c>
      <c r="P1251" s="1" t="str">
        <f>CONCATENATE(Table_Query_from_AMULTIQRY45[[#This Row],[WWHS]],"-",Table_Query_from_AMULTIQRY45[[#This Row],[LLOC]])</f>
        <v>E3-QCHOLD</v>
      </c>
      <c r="Q1251" s="10">
        <f t="shared" ca="1" si="39"/>
        <v>45775</v>
      </c>
      <c r="R1251" s="10"/>
      <c r="S1251" s="28">
        <v>33</v>
      </c>
      <c r="T1251" s="1" t="s">
        <v>1244</v>
      </c>
      <c r="U1251" s="1" t="s">
        <v>1202</v>
      </c>
      <c r="V1251" s="1">
        <v>20250319</v>
      </c>
      <c r="W1251" s="8" t="s">
        <v>8444</v>
      </c>
      <c r="Z1251" s="1"/>
      <c r="AA1251" s="1"/>
      <c r="AC1251" s="1"/>
      <c r="AD1251" s="1"/>
      <c r="AE1251" s="1"/>
      <c r="AF1251" s="1"/>
    </row>
    <row r="1252" spans="2:32" ht="12.75" x14ac:dyDescent="0.2">
      <c r="B1252" s="1" t="s">
        <v>9758</v>
      </c>
      <c r="C1252" s="10">
        <f t="shared" ca="1" si="38"/>
        <v>45007</v>
      </c>
      <c r="D1252" s="4"/>
      <c r="E1252" s="4" t="s">
        <v>8434</v>
      </c>
      <c r="F1252" s="4" t="s">
        <v>1293</v>
      </c>
      <c r="G1252" s="4"/>
      <c r="H1252" s="4" t="str">
        <f>_xlfn.IFNA(VLOOKUP(Table_Query_from_AMULTIQRY45[[#This Row],[WPROD]],'Part# with New'!$A$1:$B$4347,2,0),Table_Query_from_AMULTIQRY45[[#This Row],[WPROD]])</f>
        <v>26430</v>
      </c>
      <c r="I1252" s="4" t="s">
        <v>8436</v>
      </c>
      <c r="J1252" s="1" t="s">
        <v>1019</v>
      </c>
      <c r="L1252" s="11">
        <v>41.56</v>
      </c>
      <c r="M1252" s="1"/>
      <c r="N1252" s="1" t="s">
        <v>1203</v>
      </c>
      <c r="P1252" s="1" t="str">
        <f>CONCATENATE(Table_Query_from_AMULTIQRY45[[#This Row],[WWHS]],"-",Table_Query_from_AMULTIQRY45[[#This Row],[LLOC]])</f>
        <v>E3-QCHOLD</v>
      </c>
      <c r="Q1252" s="10">
        <f t="shared" ca="1" si="39"/>
        <v>45775</v>
      </c>
      <c r="R1252" s="10"/>
      <c r="S1252" s="28">
        <v>24</v>
      </c>
      <c r="T1252" s="1" t="s">
        <v>1244</v>
      </c>
      <c r="U1252" s="1" t="s">
        <v>1261</v>
      </c>
      <c r="V1252" s="1">
        <v>20230322</v>
      </c>
      <c r="W1252" s="8" t="s">
        <v>8444</v>
      </c>
      <c r="Z1252" s="1"/>
      <c r="AA1252" s="1"/>
      <c r="AC1252" s="1"/>
      <c r="AD1252" s="1"/>
      <c r="AE1252" s="1"/>
      <c r="AF1252" s="1"/>
    </row>
    <row r="1253" spans="2:32" ht="12.75" x14ac:dyDescent="0.2">
      <c r="B1253" s="1" t="s">
        <v>9759</v>
      </c>
      <c r="C1253" s="10">
        <f t="shared" ca="1" si="38"/>
        <v>45547</v>
      </c>
      <c r="D1253" s="4"/>
      <c r="E1253" s="4" t="s">
        <v>8434</v>
      </c>
      <c r="F1253" s="4" t="s">
        <v>1293</v>
      </c>
      <c r="G1253" s="4"/>
      <c r="H1253" s="4" t="str">
        <f>_xlfn.IFNA(VLOOKUP(Table_Query_from_AMULTIQRY45[[#This Row],[WPROD]],'Part# with New'!$A$1:$B$4347,2,0),Table_Query_from_AMULTIQRY45[[#This Row],[WPROD]])</f>
        <v>30715</v>
      </c>
      <c r="I1253" s="4" t="s">
        <v>8436</v>
      </c>
      <c r="J1253" s="1" t="s">
        <v>1019</v>
      </c>
      <c r="L1253" s="11">
        <v>33.770000000000003</v>
      </c>
      <c r="M1253" s="1"/>
      <c r="N1253" s="1" t="s">
        <v>1203</v>
      </c>
      <c r="P1253" s="1" t="str">
        <f>CONCATENATE(Table_Query_from_AMULTIQRY45[[#This Row],[WWHS]],"-",Table_Query_from_AMULTIQRY45[[#This Row],[LLOC]])</f>
        <v>E3-QCHOLD</v>
      </c>
      <c r="Q1253" s="10">
        <f t="shared" ca="1" si="39"/>
        <v>45775</v>
      </c>
      <c r="R1253" s="10"/>
      <c r="S1253" s="28">
        <v>130</v>
      </c>
      <c r="T1253" s="1" t="s">
        <v>1244</v>
      </c>
      <c r="U1253" s="1" t="s">
        <v>1262</v>
      </c>
      <c r="V1253" s="1">
        <v>20240912</v>
      </c>
      <c r="W1253" s="8" t="s">
        <v>8444</v>
      </c>
      <c r="Z1253" s="1"/>
      <c r="AA1253" s="1"/>
      <c r="AC1253" s="1"/>
      <c r="AD1253" s="1"/>
      <c r="AE1253" s="1"/>
      <c r="AF1253" s="1"/>
    </row>
    <row r="1254" spans="2:32" ht="12.75" x14ac:dyDescent="0.2">
      <c r="B1254" s="1" t="s">
        <v>9760</v>
      </c>
      <c r="C1254" s="10">
        <f t="shared" ca="1" si="38"/>
        <v>45663</v>
      </c>
      <c r="D1254" s="4"/>
      <c r="E1254" s="4" t="s">
        <v>8434</v>
      </c>
      <c r="F1254" s="4" t="s">
        <v>1293</v>
      </c>
      <c r="G1254" s="4"/>
      <c r="H1254" s="4" t="str">
        <f>_xlfn.IFNA(VLOOKUP(Table_Query_from_AMULTIQRY45[[#This Row],[WPROD]],'Part# with New'!$A$1:$B$4347,2,0),Table_Query_from_AMULTIQRY45[[#This Row],[WPROD]])</f>
        <v>4822</v>
      </c>
      <c r="I1254" s="4" t="s">
        <v>8436</v>
      </c>
      <c r="J1254" s="1" t="s">
        <v>1019</v>
      </c>
      <c r="L1254" s="11">
        <v>3.89</v>
      </c>
      <c r="M1254" s="1"/>
      <c r="N1254" s="1" t="s">
        <v>1203</v>
      </c>
      <c r="P1254" s="1" t="str">
        <f>CONCATENATE(Table_Query_from_AMULTIQRY45[[#This Row],[WWHS]],"-",Table_Query_from_AMULTIQRY45[[#This Row],[LLOC]])</f>
        <v>E3-QCHOLD</v>
      </c>
      <c r="Q1254" s="10">
        <f t="shared" ca="1" si="39"/>
        <v>45775</v>
      </c>
      <c r="R1254" s="10"/>
      <c r="S1254" s="28">
        <v>98</v>
      </c>
      <c r="T1254" s="1" t="s">
        <v>1244</v>
      </c>
      <c r="U1254" s="1" t="s">
        <v>1263</v>
      </c>
      <c r="V1254" s="1">
        <v>20250106</v>
      </c>
      <c r="W1254" s="8" t="s">
        <v>8444</v>
      </c>
      <c r="Z1254" s="1"/>
      <c r="AA1254" s="1"/>
      <c r="AC1254" s="1"/>
      <c r="AD1254" s="1"/>
      <c r="AE1254" s="1"/>
      <c r="AF1254" s="1"/>
    </row>
    <row r="1255" spans="2:32" ht="12.75" x14ac:dyDescent="0.2">
      <c r="B1255" s="1" t="s">
        <v>9761</v>
      </c>
      <c r="C1255" s="10">
        <f t="shared" ca="1" si="38"/>
        <v>45638</v>
      </c>
      <c r="D1255" s="4"/>
      <c r="E1255" s="4" t="s">
        <v>8434</v>
      </c>
      <c r="F1255" s="4" t="s">
        <v>1293</v>
      </c>
      <c r="G1255" s="4"/>
      <c r="H1255" s="4" t="str">
        <f>_xlfn.IFNA(VLOOKUP(Table_Query_from_AMULTIQRY45[[#This Row],[WPROD]],'Part# with New'!$A$1:$B$4347,2,0),Table_Query_from_AMULTIQRY45[[#This Row],[WPROD]])</f>
        <v>4962</v>
      </c>
      <c r="I1255" s="4" t="s">
        <v>8436</v>
      </c>
      <c r="J1255" s="1" t="s">
        <v>1019</v>
      </c>
      <c r="L1255" s="11">
        <v>4.59</v>
      </c>
      <c r="M1255" s="1"/>
      <c r="N1255" s="1" t="s">
        <v>1203</v>
      </c>
      <c r="P1255" s="1" t="str">
        <f>CONCATENATE(Table_Query_from_AMULTIQRY45[[#This Row],[WWHS]],"-",Table_Query_from_AMULTIQRY45[[#This Row],[LLOC]])</f>
        <v>E3-QCHOLD</v>
      </c>
      <c r="Q1255" s="10">
        <f t="shared" ca="1" si="39"/>
        <v>45775</v>
      </c>
      <c r="R1255" s="10"/>
      <c r="S1255" s="28">
        <v>105</v>
      </c>
      <c r="T1255" s="1" t="s">
        <v>1244</v>
      </c>
      <c r="U1255" s="1" t="s">
        <v>1264</v>
      </c>
      <c r="V1255" s="1">
        <v>20241212</v>
      </c>
      <c r="W1255" s="8" t="s">
        <v>8444</v>
      </c>
      <c r="Z1255" s="1"/>
      <c r="AA1255" s="1"/>
      <c r="AC1255" s="1"/>
      <c r="AD1255" s="1"/>
      <c r="AE1255" s="1"/>
      <c r="AF1255" s="1"/>
    </row>
    <row r="1256" spans="2:32" ht="12.75" x14ac:dyDescent="0.2">
      <c r="B1256" s="1" t="s">
        <v>9762</v>
      </c>
      <c r="C1256" s="10">
        <f t="shared" ca="1" si="38"/>
        <v>45527</v>
      </c>
      <c r="D1256" s="4"/>
      <c r="E1256" s="4" t="s">
        <v>8434</v>
      </c>
      <c r="F1256" s="4" t="s">
        <v>1293</v>
      </c>
      <c r="G1256" s="4"/>
      <c r="H1256" s="4" t="str">
        <f>_xlfn.IFNA(VLOOKUP(Table_Query_from_AMULTIQRY45[[#This Row],[WPROD]],'Part# with New'!$A$1:$B$4347,2,0),Table_Query_from_AMULTIQRY45[[#This Row],[WPROD]])</f>
        <v>5462</v>
      </c>
      <c r="I1256" s="4" t="s">
        <v>8436</v>
      </c>
      <c r="J1256" s="1" t="s">
        <v>1019</v>
      </c>
      <c r="L1256" s="11">
        <v>4.83</v>
      </c>
      <c r="M1256" s="1"/>
      <c r="N1256" s="1" t="s">
        <v>1203</v>
      </c>
      <c r="P1256" s="1" t="str">
        <f>CONCATENATE(Table_Query_from_AMULTIQRY45[[#This Row],[WWHS]],"-",Table_Query_from_AMULTIQRY45[[#This Row],[LLOC]])</f>
        <v>E3-QCHOLD</v>
      </c>
      <c r="Q1256" s="10">
        <f t="shared" ca="1" si="39"/>
        <v>45775</v>
      </c>
      <c r="R1256" s="10"/>
      <c r="S1256" s="28">
        <v>184.5</v>
      </c>
      <c r="T1256" s="1" t="s">
        <v>1244</v>
      </c>
      <c r="U1256" s="1" t="s">
        <v>1265</v>
      </c>
      <c r="V1256" s="1">
        <v>20240823</v>
      </c>
      <c r="W1256" s="8" t="s">
        <v>8444</v>
      </c>
      <c r="Z1256" s="1"/>
      <c r="AA1256" s="1"/>
      <c r="AC1256" s="1"/>
      <c r="AD1256" s="1"/>
      <c r="AE1256" s="1"/>
      <c r="AF1256" s="1"/>
    </row>
    <row r="1257" spans="2:32" ht="12.75" x14ac:dyDescent="0.2">
      <c r="B1257" s="1" t="s">
        <v>9763</v>
      </c>
      <c r="C1257" s="10">
        <f t="shared" ca="1" si="38"/>
        <v>45646</v>
      </c>
      <c r="D1257" s="4"/>
      <c r="E1257" s="4" t="s">
        <v>8434</v>
      </c>
      <c r="F1257" s="4" t="s">
        <v>1293</v>
      </c>
      <c r="G1257" s="4"/>
      <c r="H1257" s="4" t="str">
        <f>_xlfn.IFNA(VLOOKUP(Table_Query_from_AMULTIQRY45[[#This Row],[WPROD]],'Part# with New'!$A$1:$B$4347,2,0),Table_Query_from_AMULTIQRY45[[#This Row],[WPROD]])</f>
        <v>5522</v>
      </c>
      <c r="I1257" s="4" t="s">
        <v>8436</v>
      </c>
      <c r="J1257" s="1" t="s">
        <v>1019</v>
      </c>
      <c r="L1257" s="11">
        <v>5.2</v>
      </c>
      <c r="M1257" s="1"/>
      <c r="N1257" s="1" t="s">
        <v>1203</v>
      </c>
      <c r="P1257" s="1" t="str">
        <f>CONCATENATE(Table_Query_from_AMULTIQRY45[[#This Row],[WWHS]],"-",Table_Query_from_AMULTIQRY45[[#This Row],[LLOC]])</f>
        <v>E3-QCHOLD</v>
      </c>
      <c r="Q1257" s="10">
        <f t="shared" ca="1" si="39"/>
        <v>45775</v>
      </c>
      <c r="R1257" s="10"/>
      <c r="S1257" s="28">
        <v>72</v>
      </c>
      <c r="T1257" s="1" t="s">
        <v>1244</v>
      </c>
      <c r="U1257" s="1" t="s">
        <v>1266</v>
      </c>
      <c r="V1257" s="1">
        <v>20241220</v>
      </c>
      <c r="W1257" s="8" t="s">
        <v>8444</v>
      </c>
      <c r="Z1257" s="1"/>
      <c r="AA1257" s="1"/>
      <c r="AC1257" s="1"/>
      <c r="AD1257" s="1"/>
      <c r="AE1257" s="1"/>
      <c r="AF1257" s="1"/>
    </row>
    <row r="1258" spans="2:32" ht="12.75" x14ac:dyDescent="0.2">
      <c r="B1258" s="1" t="s">
        <v>9764</v>
      </c>
      <c r="C1258" s="10">
        <f t="shared" ca="1" si="38"/>
        <v>45636</v>
      </c>
      <c r="D1258" s="4"/>
      <c r="E1258" s="4" t="s">
        <v>8434</v>
      </c>
      <c r="F1258" s="4" t="s">
        <v>1293</v>
      </c>
      <c r="G1258" s="4"/>
      <c r="H1258" s="4" t="str">
        <f>_xlfn.IFNA(VLOOKUP(Table_Query_from_AMULTIQRY45[[#This Row],[WPROD]],'Part# with New'!$A$1:$B$4347,2,0),Table_Query_from_AMULTIQRY45[[#This Row],[WPROD]])</f>
        <v>5722</v>
      </c>
      <c r="I1258" s="4" t="s">
        <v>8436</v>
      </c>
      <c r="J1258" s="1" t="s">
        <v>1019</v>
      </c>
      <c r="L1258" s="11">
        <v>4.8899999999999997</v>
      </c>
      <c r="M1258" s="1"/>
      <c r="N1258" s="1" t="s">
        <v>1203</v>
      </c>
      <c r="P1258" s="1" t="str">
        <f>CONCATENATE(Table_Query_from_AMULTIQRY45[[#This Row],[WWHS]],"-",Table_Query_from_AMULTIQRY45[[#This Row],[LLOC]])</f>
        <v>E3-QCHOLD</v>
      </c>
      <c r="Q1258" s="10">
        <f t="shared" ca="1" si="39"/>
        <v>45775</v>
      </c>
      <c r="R1258" s="10"/>
      <c r="S1258" s="28">
        <v>72</v>
      </c>
      <c r="T1258" s="1" t="s">
        <v>1244</v>
      </c>
      <c r="U1258" s="1" t="s">
        <v>1267</v>
      </c>
      <c r="V1258" s="1">
        <v>20241210</v>
      </c>
      <c r="W1258" s="8" t="s">
        <v>8444</v>
      </c>
      <c r="Z1258" s="1"/>
      <c r="AA1258" s="1"/>
      <c r="AC1258" s="1"/>
      <c r="AD1258" s="1"/>
      <c r="AE1258" s="1"/>
      <c r="AF1258" s="1"/>
    </row>
    <row r="1259" spans="2:32" ht="12.75" x14ac:dyDescent="0.2">
      <c r="B1259" s="1" t="s">
        <v>9765</v>
      </c>
      <c r="C1259" s="10">
        <f t="shared" ca="1" si="38"/>
        <v>43718</v>
      </c>
      <c r="D1259" s="4"/>
      <c r="E1259" s="4" t="s">
        <v>8434</v>
      </c>
      <c r="F1259" s="4" t="s">
        <v>1293</v>
      </c>
      <c r="G1259" s="4"/>
      <c r="H1259" s="4" t="str">
        <f>_xlfn.IFNA(VLOOKUP(Table_Query_from_AMULTIQRY45[[#This Row],[WPROD]],'Part# with New'!$A$1:$B$4347,2,0),Table_Query_from_AMULTIQRY45[[#This Row],[WPROD]])</f>
        <v>CCM603</v>
      </c>
      <c r="I1259" s="4" t="s">
        <v>8436</v>
      </c>
      <c r="J1259" s="1" t="s">
        <v>1019</v>
      </c>
      <c r="L1259" s="11">
        <v>0.125</v>
      </c>
      <c r="M1259" s="1"/>
      <c r="N1259" s="1" t="s">
        <v>1017</v>
      </c>
      <c r="P1259" s="1" t="str">
        <f>CONCATENATE(Table_Query_from_AMULTIQRY45[[#This Row],[WWHS]],"-",Table_Query_from_AMULTIQRY45[[#This Row],[LLOC]])</f>
        <v>E5-SAMPLE</v>
      </c>
      <c r="Q1259" s="10">
        <f t="shared" ca="1" si="39"/>
        <v>45775</v>
      </c>
      <c r="R1259" s="10"/>
      <c r="S1259" s="28">
        <v>8</v>
      </c>
      <c r="T1259" s="1" t="s">
        <v>1268</v>
      </c>
      <c r="U1259" s="1" t="s">
        <v>1269</v>
      </c>
      <c r="V1259" s="1">
        <v>20190910</v>
      </c>
      <c r="W1259" s="8" t="s">
        <v>8446</v>
      </c>
      <c r="Z1259" s="1"/>
      <c r="AA1259" s="1"/>
      <c r="AC1259" s="1"/>
      <c r="AD1259" s="1"/>
      <c r="AE1259" s="1"/>
      <c r="AF1259" s="1"/>
    </row>
    <row r="1260" spans="2:32" ht="12.75" x14ac:dyDescent="0.2">
      <c r="B1260" s="1" t="s">
        <v>9766</v>
      </c>
      <c r="C1260" s="10">
        <f t="shared" ca="1" si="38"/>
        <v>44154</v>
      </c>
      <c r="D1260" s="4"/>
      <c r="E1260" s="4" t="s">
        <v>8434</v>
      </c>
      <c r="F1260" s="4" t="s">
        <v>1293</v>
      </c>
      <c r="G1260" s="4"/>
      <c r="H1260" s="4" t="str">
        <f>_xlfn.IFNA(VLOOKUP(Table_Query_from_AMULTIQRY45[[#This Row],[WPROD]],'Part# with New'!$A$1:$B$4347,2,0),Table_Query_from_AMULTIQRY45[[#This Row],[WPROD]])</f>
        <v>FC 404.3 S5</v>
      </c>
      <c r="I1260" s="4" t="s">
        <v>8436</v>
      </c>
      <c r="J1260" s="1" t="s">
        <v>1019</v>
      </c>
      <c r="L1260" s="11">
        <v>2.9E-4</v>
      </c>
      <c r="M1260" s="1"/>
      <c r="N1260" s="1" t="s">
        <v>1017</v>
      </c>
      <c r="P1260" s="1" t="str">
        <f>CONCATENATE(Table_Query_from_AMULTIQRY45[[#This Row],[WWHS]],"-",Table_Query_from_AMULTIQRY45[[#This Row],[LLOC]])</f>
        <v>E5-SAMPLE</v>
      </c>
      <c r="Q1260" s="10">
        <f t="shared" ca="1" si="39"/>
        <v>45775</v>
      </c>
      <c r="R1260" s="10"/>
      <c r="S1260" s="28">
        <v>29.33</v>
      </c>
      <c r="T1260" s="1" t="s">
        <v>1268</v>
      </c>
      <c r="U1260" s="1" t="s">
        <v>1270</v>
      </c>
      <c r="V1260" s="1">
        <v>20201119</v>
      </c>
      <c r="W1260" s="8" t="s">
        <v>8446</v>
      </c>
      <c r="Z1260" s="1"/>
      <c r="AA1260" s="1"/>
      <c r="AC1260" s="1"/>
      <c r="AD1260" s="1"/>
      <c r="AE1260" s="1"/>
      <c r="AF1260" s="1"/>
    </row>
    <row r="1261" spans="2:32" ht="12.75" x14ac:dyDescent="0.2">
      <c r="B1261" s="1" t="s">
        <v>9767</v>
      </c>
      <c r="C1261" s="10">
        <f t="shared" ca="1" si="38"/>
        <v>44154</v>
      </c>
      <c r="D1261" s="4"/>
      <c r="E1261" s="4" t="s">
        <v>8434</v>
      </c>
      <c r="F1261" s="4" t="s">
        <v>1293</v>
      </c>
      <c r="G1261" s="4"/>
      <c r="H1261" s="4" t="str">
        <f>_xlfn.IFNA(VLOOKUP(Table_Query_from_AMULTIQRY45[[#This Row],[WPROD]],'Part# with New'!$A$1:$B$4347,2,0),Table_Query_from_AMULTIQRY45[[#This Row],[WPROD]])</f>
        <v>FLON-2711</v>
      </c>
      <c r="I1261" s="4" t="s">
        <v>8436</v>
      </c>
      <c r="J1261" s="1" t="s">
        <v>1019</v>
      </c>
      <c r="L1261" s="11">
        <v>2.9999999999999997E-4</v>
      </c>
      <c r="M1261" s="1"/>
      <c r="N1261" s="1" t="s">
        <v>1017</v>
      </c>
      <c r="P1261" s="1" t="str">
        <f>CONCATENATE(Table_Query_from_AMULTIQRY45[[#This Row],[WWHS]],"-",Table_Query_from_AMULTIQRY45[[#This Row],[LLOC]])</f>
        <v>E5-SAMPLE</v>
      </c>
      <c r="Q1261" s="10">
        <f t="shared" ca="1" si="39"/>
        <v>45775</v>
      </c>
      <c r="R1261" s="10"/>
      <c r="S1261" s="28">
        <v>27.51</v>
      </c>
      <c r="T1261" s="1" t="s">
        <v>1268</v>
      </c>
      <c r="U1261" s="1" t="s">
        <v>1271</v>
      </c>
      <c r="V1261" s="1">
        <v>20201119</v>
      </c>
      <c r="W1261" s="8" t="s">
        <v>8446</v>
      </c>
      <c r="Z1261" s="1"/>
      <c r="AA1261" s="1"/>
      <c r="AC1261" s="1"/>
      <c r="AD1261" s="1"/>
      <c r="AE1261" s="1"/>
      <c r="AF1261" s="1"/>
    </row>
    <row r="1262" spans="2:32" ht="12.75" x14ac:dyDescent="0.2">
      <c r="B1262" s="1" t="s">
        <v>9768</v>
      </c>
      <c r="C1262" s="10">
        <f t="shared" ca="1" si="38"/>
        <v>44071</v>
      </c>
      <c r="D1262" s="4"/>
      <c r="E1262" s="4" t="s">
        <v>8434</v>
      </c>
      <c r="F1262" s="4" t="s">
        <v>1293</v>
      </c>
      <c r="G1262" s="4"/>
      <c r="H1262" s="4" t="str">
        <f>_xlfn.IFNA(VLOOKUP(Table_Query_from_AMULTIQRY45[[#This Row],[WPROD]],'Part# with New'!$A$1:$B$4347,2,0),Table_Query_from_AMULTIQRY45[[#This Row],[WPROD]])</f>
        <v>PCI 15 GB/GF FF</v>
      </c>
      <c r="I1262" s="4" t="s">
        <v>8436</v>
      </c>
      <c r="J1262" s="1" t="s">
        <v>1019</v>
      </c>
      <c r="L1262" s="11">
        <v>6.6E-4</v>
      </c>
      <c r="M1262" s="1"/>
      <c r="N1262" s="1" t="s">
        <v>1017</v>
      </c>
      <c r="P1262" s="1" t="str">
        <f>CONCATENATE(Table_Query_from_AMULTIQRY45[[#This Row],[WWHS]],"-",Table_Query_from_AMULTIQRY45[[#This Row],[LLOC]])</f>
        <v>E5-SAMPLE</v>
      </c>
      <c r="Q1262" s="10">
        <f t="shared" ca="1" si="39"/>
        <v>45775</v>
      </c>
      <c r="R1262" s="10"/>
      <c r="S1262" s="28">
        <v>15</v>
      </c>
      <c r="T1262" s="1" t="s">
        <v>1268</v>
      </c>
      <c r="U1262" s="1" t="s">
        <v>1272</v>
      </c>
      <c r="V1262" s="1">
        <v>20200828</v>
      </c>
      <c r="W1262" s="8" t="s">
        <v>8446</v>
      </c>
      <c r="Z1262" s="1"/>
      <c r="AA1262" s="1"/>
      <c r="AC1262" s="1"/>
      <c r="AD1262" s="1"/>
      <c r="AE1262" s="1"/>
      <c r="AF1262" s="1"/>
    </row>
    <row r="1263" spans="2:32" ht="12.75" x14ac:dyDescent="0.2">
      <c r="B1263" s="1" t="s">
        <v>9769</v>
      </c>
      <c r="C1263" s="10">
        <f t="shared" ca="1" si="38"/>
        <v>45517</v>
      </c>
      <c r="D1263" s="4"/>
      <c r="E1263" s="4" t="s">
        <v>8434</v>
      </c>
      <c r="F1263" s="4" t="s">
        <v>1293</v>
      </c>
      <c r="G1263" s="4"/>
      <c r="H1263" s="4" t="str">
        <f>_xlfn.IFNA(VLOOKUP(Table_Query_from_AMULTIQRY45[[#This Row],[WPROD]],'Part# with New'!$A$1:$B$4347,2,0),Table_Query_from_AMULTIQRY45[[#This Row],[WPROD]])</f>
        <v>10266</v>
      </c>
      <c r="I1263" s="4" t="s">
        <v>8436</v>
      </c>
      <c r="J1263" s="1" t="s">
        <v>1019</v>
      </c>
      <c r="L1263" s="11">
        <v>1.66E-3</v>
      </c>
      <c r="M1263" s="1"/>
      <c r="N1263" s="1" t="s">
        <v>1017</v>
      </c>
      <c r="P1263" s="1" t="str">
        <f>CONCATENATE(Table_Query_from_AMULTIQRY45[[#This Row],[WWHS]],"-",Table_Query_from_AMULTIQRY45[[#This Row],[LLOC]])</f>
        <v>E5-SAMPLE</v>
      </c>
      <c r="Q1263" s="10">
        <f t="shared" ca="1" si="39"/>
        <v>45775</v>
      </c>
      <c r="R1263" s="10"/>
      <c r="S1263" s="28">
        <v>58.5</v>
      </c>
      <c r="T1263" s="1" t="s">
        <v>1268</v>
      </c>
      <c r="U1263" s="1" t="s">
        <v>1273</v>
      </c>
      <c r="V1263" s="1">
        <v>20240813</v>
      </c>
      <c r="W1263" s="8" t="s">
        <v>8446</v>
      </c>
      <c r="Z1263" s="1"/>
      <c r="AA1263" s="1"/>
      <c r="AC1263" s="1"/>
      <c r="AD1263" s="1"/>
      <c r="AE1263" s="1"/>
      <c r="AF1263" s="1"/>
    </row>
    <row r="1264" spans="2:32" ht="12.75" x14ac:dyDescent="0.2">
      <c r="B1264" s="1" t="s">
        <v>9770</v>
      </c>
      <c r="C1264" s="10">
        <f t="shared" ca="1" si="38"/>
        <v>45742</v>
      </c>
      <c r="D1264" s="4"/>
      <c r="E1264" s="4" t="s">
        <v>8434</v>
      </c>
      <c r="F1264" s="4" t="s">
        <v>1293</v>
      </c>
      <c r="G1264" s="4"/>
      <c r="H1264" s="4" t="str">
        <f>_xlfn.IFNA(VLOOKUP(Table_Query_from_AMULTIQRY45[[#This Row],[WPROD]],'Part# with New'!$A$1:$B$4347,2,0),Table_Query_from_AMULTIQRY45[[#This Row],[WPROD]])</f>
        <v>10620</v>
      </c>
      <c r="I1264" s="4" t="s">
        <v>8436</v>
      </c>
      <c r="J1264" s="1" t="s">
        <v>1019</v>
      </c>
      <c r="L1264" s="11">
        <v>15.96</v>
      </c>
      <c r="M1264" s="1"/>
      <c r="N1264" s="1" t="s">
        <v>1017</v>
      </c>
      <c r="P1264" s="1" t="str">
        <f>CONCATENATE(Table_Query_from_AMULTIQRY45[[#This Row],[WWHS]],"-",Table_Query_from_AMULTIQRY45[[#This Row],[LLOC]])</f>
        <v>E5-SAMPLE</v>
      </c>
      <c r="Q1264" s="10">
        <f t="shared" ca="1" si="39"/>
        <v>45775</v>
      </c>
      <c r="R1264" s="10"/>
      <c r="S1264" s="28">
        <v>9</v>
      </c>
      <c r="T1264" s="1" t="s">
        <v>1268</v>
      </c>
      <c r="U1264" s="1" t="s">
        <v>1135</v>
      </c>
      <c r="V1264" s="1">
        <v>20250326</v>
      </c>
      <c r="W1264" s="8" t="s">
        <v>8446</v>
      </c>
      <c r="Z1264" s="1"/>
      <c r="AA1264" s="1"/>
      <c r="AC1264" s="1"/>
      <c r="AD1264" s="1"/>
      <c r="AE1264" s="1"/>
      <c r="AF1264" s="1"/>
    </row>
    <row r="1265" spans="2:32" ht="12.75" x14ac:dyDescent="0.2">
      <c r="B1265" s="1" t="s">
        <v>9771</v>
      </c>
      <c r="C1265" s="10">
        <f t="shared" ca="1" si="38"/>
        <v>42677</v>
      </c>
      <c r="D1265" s="4"/>
      <c r="E1265" s="4" t="s">
        <v>8434</v>
      </c>
      <c r="F1265" s="4" t="s">
        <v>1293</v>
      </c>
      <c r="G1265" s="4"/>
      <c r="H1265" s="4" t="str">
        <f>_xlfn.IFNA(VLOOKUP(Table_Query_from_AMULTIQRY45[[#This Row],[WPROD]],'Part# with New'!$A$1:$B$4347,2,0),Table_Query_from_AMULTIQRY45[[#This Row],[WPROD]])</f>
        <v>10364</v>
      </c>
      <c r="I1265" s="4" t="s">
        <v>8436</v>
      </c>
      <c r="J1265" s="1" t="s">
        <v>1027</v>
      </c>
      <c r="L1265" s="11">
        <v>0.63</v>
      </c>
      <c r="M1265" s="1"/>
      <c r="N1265" s="1" t="s">
        <v>1017</v>
      </c>
      <c r="P1265" s="1" t="str">
        <f>CONCATENATE(Table_Query_from_AMULTIQRY45[[#This Row],[WWHS]],"-",Table_Query_from_AMULTIQRY45[[#This Row],[LLOC]])</f>
        <v>E8-RAW</v>
      </c>
      <c r="Q1265" s="10">
        <f t="shared" ca="1" si="39"/>
        <v>45775</v>
      </c>
      <c r="R1265" s="10"/>
      <c r="S1265" s="28">
        <v>3</v>
      </c>
      <c r="T1265" s="1" t="s">
        <v>1274</v>
      </c>
      <c r="U1265" s="1" t="s">
        <v>1275</v>
      </c>
      <c r="V1265" s="1">
        <v>20161103</v>
      </c>
      <c r="W1265" s="8" t="s">
        <v>8443</v>
      </c>
      <c r="Z1265" s="1"/>
      <c r="AA1265" s="1"/>
      <c r="AC1265" s="1"/>
      <c r="AD1265" s="1"/>
      <c r="AE1265" s="1"/>
      <c r="AF1265" s="1"/>
    </row>
    <row r="1266" spans="2:32" ht="12.75" x14ac:dyDescent="0.2">
      <c r="B1266" s="1" t="s">
        <v>9772</v>
      </c>
      <c r="C1266" s="10">
        <f t="shared" ca="1" si="38"/>
        <v>45485</v>
      </c>
      <c r="D1266" s="4"/>
      <c r="E1266" s="4" t="s">
        <v>8434</v>
      </c>
      <c r="F1266" s="4" t="s">
        <v>1293</v>
      </c>
      <c r="G1266" s="4"/>
      <c r="H1266" s="4" t="str">
        <f>_xlfn.IFNA(VLOOKUP(Table_Query_from_AMULTIQRY45[[#This Row],[WPROD]],'Part# with New'!$A$1:$B$4347,2,0),Table_Query_from_AMULTIQRY45[[#This Row],[WPROD]])</f>
        <v>31777</v>
      </c>
      <c r="I1266" s="4" t="s">
        <v>8436</v>
      </c>
      <c r="J1266" s="1" t="s">
        <v>1019</v>
      </c>
      <c r="L1266" s="11">
        <v>11.18</v>
      </c>
      <c r="M1266" s="1"/>
      <c r="N1266" s="1" t="s">
        <v>1203</v>
      </c>
      <c r="P1266" s="1" t="str">
        <f>CONCATENATE(Table_Query_from_AMULTIQRY45[[#This Row],[WWHS]],"-",Table_Query_from_AMULTIQRY45[[#This Row],[LLOC]])</f>
        <v>E8-RAW</v>
      </c>
      <c r="Q1266" s="10">
        <f t="shared" ca="1" si="39"/>
        <v>45775</v>
      </c>
      <c r="R1266" s="10"/>
      <c r="S1266" s="28">
        <v>171</v>
      </c>
      <c r="T1266" s="1" t="s">
        <v>1274</v>
      </c>
      <c r="U1266" s="1" t="s">
        <v>1276</v>
      </c>
      <c r="V1266" s="1">
        <v>20240712</v>
      </c>
      <c r="W1266" s="8" t="s">
        <v>8443</v>
      </c>
      <c r="Z1266" s="1"/>
      <c r="AA1266" s="1"/>
      <c r="AC1266" s="1"/>
      <c r="AD1266" s="1"/>
      <c r="AE1266" s="1"/>
      <c r="AF1266" s="1"/>
    </row>
    <row r="1267" spans="2:32" ht="12.75" x14ac:dyDescent="0.2">
      <c r="B1267" s="1" t="s">
        <v>9773</v>
      </c>
      <c r="C1267" s="10">
        <f t="shared" ca="1" si="38"/>
        <v>45482</v>
      </c>
      <c r="D1267" s="4"/>
      <c r="E1267" s="4" t="s">
        <v>8434</v>
      </c>
      <c r="F1267" s="4" t="s">
        <v>1293</v>
      </c>
      <c r="G1267" s="4"/>
      <c r="H1267" s="4" t="str">
        <f>_xlfn.IFNA(VLOOKUP(Table_Query_from_AMULTIQRY45[[#This Row],[WPROD]],'Part# with New'!$A$1:$B$4347,2,0),Table_Query_from_AMULTIQRY45[[#This Row],[WPROD]])</f>
        <v>3412</v>
      </c>
      <c r="I1267" s="4" t="s">
        <v>8436</v>
      </c>
      <c r="J1267" s="1" t="s">
        <v>1019</v>
      </c>
      <c r="L1267" s="11">
        <v>1.84</v>
      </c>
      <c r="M1267" s="1"/>
      <c r="N1267" s="1" t="s">
        <v>1203</v>
      </c>
      <c r="P1267" s="1" t="str">
        <f>CONCATENATE(Table_Query_from_AMULTIQRY45[[#This Row],[WWHS]],"-",Table_Query_from_AMULTIQRY45[[#This Row],[LLOC]])</f>
        <v>E8-RAW</v>
      </c>
      <c r="Q1267" s="10">
        <f t="shared" ca="1" si="39"/>
        <v>45775</v>
      </c>
      <c r="R1267" s="10"/>
      <c r="S1267" s="28">
        <v>61</v>
      </c>
      <c r="T1267" s="1" t="s">
        <v>1274</v>
      </c>
      <c r="U1267" s="1" t="s">
        <v>1277</v>
      </c>
      <c r="V1267" s="1">
        <v>20240709</v>
      </c>
      <c r="W1267" s="8" t="s">
        <v>8443</v>
      </c>
      <c r="Z1267" s="1"/>
      <c r="AA1267" s="1"/>
      <c r="AC1267" s="1"/>
      <c r="AD1267" s="1"/>
      <c r="AE1267" s="1"/>
      <c r="AF1267" s="1"/>
    </row>
    <row r="1268" spans="2:32" ht="12.75" x14ac:dyDescent="0.2">
      <c r="B1268" s="1" t="s">
        <v>9774</v>
      </c>
      <c r="C1268" s="10">
        <f t="shared" ca="1" si="38"/>
        <v>45425</v>
      </c>
      <c r="D1268" s="4"/>
      <c r="E1268" s="4" t="s">
        <v>8434</v>
      </c>
      <c r="F1268" s="4" t="s">
        <v>1293</v>
      </c>
      <c r="G1268" s="4"/>
      <c r="H1268" s="4" t="str">
        <f>_xlfn.IFNA(VLOOKUP(Table_Query_from_AMULTIQRY45[[#This Row],[WPROD]],'Part# with New'!$A$1:$B$4347,2,0),Table_Query_from_AMULTIQRY45[[#This Row],[WPROD]])</f>
        <v>3776</v>
      </c>
      <c r="I1268" s="4" t="s">
        <v>8436</v>
      </c>
      <c r="J1268" s="1" t="s">
        <v>1019</v>
      </c>
      <c r="L1268" s="11">
        <v>3.23</v>
      </c>
      <c r="M1268" s="1"/>
      <c r="N1268" s="1" t="s">
        <v>1203</v>
      </c>
      <c r="P1268" s="1" t="str">
        <f>CONCATENATE(Table_Query_from_AMULTIQRY45[[#This Row],[WWHS]],"-",Table_Query_from_AMULTIQRY45[[#This Row],[LLOC]])</f>
        <v>E8-RAW</v>
      </c>
      <c r="Q1268" s="10">
        <f t="shared" ca="1" si="39"/>
        <v>45775</v>
      </c>
      <c r="R1268" s="10"/>
      <c r="S1268" s="28">
        <v>223</v>
      </c>
      <c r="T1268" s="1" t="s">
        <v>1274</v>
      </c>
      <c r="U1268" s="1" t="s">
        <v>1278</v>
      </c>
      <c r="V1268" s="1">
        <v>20240513</v>
      </c>
      <c r="W1268" s="8" t="s">
        <v>8443</v>
      </c>
      <c r="Z1268" s="1"/>
      <c r="AA1268" s="1"/>
      <c r="AC1268" s="1"/>
      <c r="AD1268" s="1"/>
      <c r="AE1268" s="1"/>
      <c r="AF1268" s="1"/>
    </row>
    <row r="1269" spans="2:32" ht="12.75" x14ac:dyDescent="0.2">
      <c r="B1269" s="1" t="s">
        <v>9775</v>
      </c>
      <c r="C1269" s="10">
        <f t="shared" ca="1" si="38"/>
        <v>45506</v>
      </c>
      <c r="D1269" s="4"/>
      <c r="E1269" s="4" t="s">
        <v>8434</v>
      </c>
      <c r="F1269" s="4" t="s">
        <v>1293</v>
      </c>
      <c r="G1269" s="4"/>
      <c r="H1269" s="4" t="str">
        <f>_xlfn.IFNA(VLOOKUP(Table_Query_from_AMULTIQRY45[[#This Row],[WPROD]],'Part# with New'!$A$1:$B$4347,2,0),Table_Query_from_AMULTIQRY45[[#This Row],[WPROD]])</f>
        <v>4726</v>
      </c>
      <c r="I1269" s="4" t="s">
        <v>8436</v>
      </c>
      <c r="J1269" s="1" t="s">
        <v>1019</v>
      </c>
      <c r="L1269" s="11">
        <v>4.01</v>
      </c>
      <c r="M1269" s="1"/>
      <c r="N1269" s="1" t="s">
        <v>1203</v>
      </c>
      <c r="P1269" s="1" t="str">
        <f>CONCATENATE(Table_Query_from_AMULTIQRY45[[#This Row],[WWHS]],"-",Table_Query_from_AMULTIQRY45[[#This Row],[LLOC]])</f>
        <v>E8-RAW</v>
      </c>
      <c r="Q1269" s="10">
        <f t="shared" ca="1" si="39"/>
        <v>45775</v>
      </c>
      <c r="R1269" s="10"/>
      <c r="S1269" s="28">
        <v>74</v>
      </c>
      <c r="T1269" s="1" t="s">
        <v>1274</v>
      </c>
      <c r="U1269" s="1" t="s">
        <v>1279</v>
      </c>
      <c r="V1269" s="1">
        <v>20240802</v>
      </c>
      <c r="W1269" s="8" t="s">
        <v>8443</v>
      </c>
      <c r="Z1269" s="1"/>
      <c r="AA1269" s="1"/>
      <c r="AC1269" s="1"/>
      <c r="AD1269" s="1"/>
      <c r="AE1269" s="1"/>
      <c r="AF1269" s="1"/>
    </row>
    <row r="1270" spans="2:32" ht="12.75" x14ac:dyDescent="0.2">
      <c r="B1270" s="1" t="s">
        <v>9776</v>
      </c>
      <c r="C1270" s="10">
        <f t="shared" ca="1" si="38"/>
        <v>45755</v>
      </c>
      <c r="D1270" s="4"/>
      <c r="E1270" s="4" t="s">
        <v>8434</v>
      </c>
      <c r="F1270" s="4" t="s">
        <v>1293</v>
      </c>
      <c r="G1270" s="4"/>
      <c r="H1270" s="4" t="str">
        <f>_xlfn.IFNA(VLOOKUP(Table_Query_from_AMULTIQRY45[[#This Row],[WPROD]],'Part# with New'!$A$1:$B$4347,2,0),Table_Query_from_AMULTIQRY45[[#This Row],[WPROD]])</f>
        <v>4751</v>
      </c>
      <c r="I1270" s="4" t="s">
        <v>8436</v>
      </c>
      <c r="J1270" s="1" t="s">
        <v>1019</v>
      </c>
      <c r="L1270" s="11">
        <v>5.46</v>
      </c>
      <c r="M1270" s="1"/>
      <c r="N1270" s="1" t="s">
        <v>1203</v>
      </c>
      <c r="P1270" s="1" t="str">
        <f>CONCATENATE(Table_Query_from_AMULTIQRY45[[#This Row],[WWHS]],"-",Table_Query_from_AMULTIQRY45[[#This Row],[LLOC]])</f>
        <v>E8-RAW</v>
      </c>
      <c r="Q1270" s="10">
        <f t="shared" ca="1" si="39"/>
        <v>45775</v>
      </c>
      <c r="R1270" s="10"/>
      <c r="S1270" s="28">
        <v>94</v>
      </c>
      <c r="T1270" s="1" t="s">
        <v>1274</v>
      </c>
      <c r="U1270" s="1" t="s">
        <v>1280</v>
      </c>
      <c r="V1270" s="1">
        <v>20250408</v>
      </c>
      <c r="W1270" s="8" t="s">
        <v>8443</v>
      </c>
      <c r="Z1270" s="1"/>
      <c r="AA1270" s="1"/>
      <c r="AC1270" s="1"/>
      <c r="AD1270" s="1"/>
      <c r="AE1270" s="1"/>
      <c r="AF1270" s="1"/>
    </row>
    <row r="1271" spans="2:32" ht="12.75" x14ac:dyDescent="0.2">
      <c r="B1271" s="1" t="s">
        <v>9777</v>
      </c>
      <c r="C1271" s="10">
        <f t="shared" ca="1" si="38"/>
        <v>45750</v>
      </c>
      <c r="D1271" s="4"/>
      <c r="E1271" s="4" t="s">
        <v>8434</v>
      </c>
      <c r="F1271" s="4" t="s">
        <v>1293</v>
      </c>
      <c r="G1271" s="4"/>
      <c r="H1271" s="4" t="str">
        <f>_xlfn.IFNA(VLOOKUP(Table_Query_from_AMULTIQRY45[[#This Row],[WPROD]],'Part# with New'!$A$1:$B$4347,2,0),Table_Query_from_AMULTIQRY45[[#This Row],[WPROD]])</f>
        <v>8562</v>
      </c>
      <c r="I1271" s="4" t="s">
        <v>8436</v>
      </c>
      <c r="J1271" s="1" t="s">
        <v>1019</v>
      </c>
      <c r="L1271" s="11">
        <v>3.62</v>
      </c>
      <c r="M1271" s="1"/>
      <c r="N1271" s="1" t="s">
        <v>1203</v>
      </c>
      <c r="P1271" s="1" t="str">
        <f>CONCATENATE(Table_Query_from_AMULTIQRY45[[#This Row],[WWHS]],"-",Table_Query_from_AMULTIQRY45[[#This Row],[LLOC]])</f>
        <v>E8-RAW</v>
      </c>
      <c r="Q1271" s="10">
        <f t="shared" ca="1" si="39"/>
        <v>45775</v>
      </c>
      <c r="R1271" s="10"/>
      <c r="S1271" s="28">
        <v>16</v>
      </c>
      <c r="T1271" s="1" t="s">
        <v>1274</v>
      </c>
      <c r="U1271" s="1" t="s">
        <v>1281</v>
      </c>
      <c r="V1271" s="1">
        <v>20250403</v>
      </c>
      <c r="W1271" s="8" t="s">
        <v>8443</v>
      </c>
      <c r="Z1271" s="1"/>
      <c r="AA1271" s="1"/>
      <c r="AC1271" s="1"/>
      <c r="AD1271" s="1"/>
      <c r="AE1271" s="1"/>
      <c r="AF1271" s="1"/>
    </row>
    <row r="1272" spans="2:32" ht="12.75" x14ac:dyDescent="0.2">
      <c r="B1272" s="1" t="s">
        <v>9778</v>
      </c>
      <c r="C1272" s="10">
        <f t="shared" ca="1" si="38"/>
        <v>45344</v>
      </c>
      <c r="D1272" s="4"/>
      <c r="E1272" s="4" t="s">
        <v>8434</v>
      </c>
      <c r="F1272" s="4" t="s">
        <v>1293</v>
      </c>
      <c r="G1272" s="4"/>
      <c r="H1272" s="4" t="str">
        <f>_xlfn.IFNA(VLOOKUP(Table_Query_from_AMULTIQRY45[[#This Row],[WPROD]],'Part# with New'!$A$1:$B$4347,2,0),Table_Query_from_AMULTIQRY45[[#This Row],[WPROD]])</f>
        <v>8612</v>
      </c>
      <c r="I1272" s="4" t="s">
        <v>8436</v>
      </c>
      <c r="J1272" s="1" t="s">
        <v>1019</v>
      </c>
      <c r="L1272" s="11">
        <v>3.81</v>
      </c>
      <c r="M1272" s="1"/>
      <c r="N1272" s="1" t="s">
        <v>1203</v>
      </c>
      <c r="P1272" s="1" t="str">
        <f>CONCATENATE(Table_Query_from_AMULTIQRY45[[#This Row],[WWHS]],"-",Table_Query_from_AMULTIQRY45[[#This Row],[LLOC]])</f>
        <v>E8-RAW</v>
      </c>
      <c r="Q1272" s="10">
        <f t="shared" ca="1" si="39"/>
        <v>45775</v>
      </c>
      <c r="R1272" s="10"/>
      <c r="S1272" s="28">
        <v>38</v>
      </c>
      <c r="T1272" s="1" t="s">
        <v>1274</v>
      </c>
      <c r="U1272" s="1" t="s">
        <v>1282</v>
      </c>
      <c r="V1272" s="1">
        <v>20240222</v>
      </c>
      <c r="W1272" s="8" t="s">
        <v>8443</v>
      </c>
      <c r="Z1272" s="1"/>
      <c r="AA1272" s="1"/>
      <c r="AC1272" s="1"/>
      <c r="AD1272" s="1"/>
      <c r="AE1272" s="1"/>
      <c r="AF1272" s="1"/>
    </row>
    <row r="1273" spans="2:32" ht="12.75" x14ac:dyDescent="0.2">
      <c r="B1273" s="1" t="s">
        <v>9779</v>
      </c>
      <c r="C1273" s="10">
        <f t="shared" ca="1" si="38"/>
        <v>45398</v>
      </c>
      <c r="D1273" s="4"/>
      <c r="E1273" s="4" t="s">
        <v>8434</v>
      </c>
      <c r="F1273" s="4" t="s">
        <v>1293</v>
      </c>
      <c r="G1273" s="4"/>
      <c r="H1273" s="4" t="str">
        <f>_xlfn.IFNA(VLOOKUP(Table_Query_from_AMULTIQRY45[[#This Row],[WPROD]],'Part# with New'!$A$1:$B$4347,2,0),Table_Query_from_AMULTIQRY45[[#This Row],[WPROD]])</f>
        <v>9622</v>
      </c>
      <c r="I1273" s="4" t="s">
        <v>8436</v>
      </c>
      <c r="J1273" s="1" t="s">
        <v>1019</v>
      </c>
      <c r="L1273" s="11">
        <v>6.95</v>
      </c>
      <c r="M1273" s="1"/>
      <c r="N1273" s="1" t="s">
        <v>1203</v>
      </c>
      <c r="P1273" s="1" t="str">
        <f>CONCATENATE(Table_Query_from_AMULTIQRY45[[#This Row],[WWHS]],"-",Table_Query_from_AMULTIQRY45[[#This Row],[LLOC]])</f>
        <v>E8-RAW</v>
      </c>
      <c r="Q1273" s="10">
        <f t="shared" ca="1" si="39"/>
        <v>45775</v>
      </c>
      <c r="R1273" s="10"/>
      <c r="S1273" s="28">
        <v>24</v>
      </c>
      <c r="T1273" s="1" t="s">
        <v>1274</v>
      </c>
      <c r="U1273" s="1" t="s">
        <v>1283</v>
      </c>
      <c r="V1273" s="1">
        <v>20240416</v>
      </c>
      <c r="W1273" s="8" t="s">
        <v>8443</v>
      </c>
      <c r="Z1273" s="1"/>
      <c r="AA1273" s="1"/>
      <c r="AC1273" s="1"/>
      <c r="AD1273" s="1"/>
      <c r="AE1273" s="1"/>
      <c r="AF1273" s="1"/>
    </row>
    <row r="1274" spans="2:32" ht="12.75" x14ac:dyDescent="0.2">
      <c r="B1274" s="1" t="s">
        <v>9780</v>
      </c>
      <c r="C1274" s="10">
        <f t="shared" ca="1" si="38"/>
        <v>45491</v>
      </c>
      <c r="D1274" s="4"/>
      <c r="E1274" s="4" t="s">
        <v>8434</v>
      </c>
      <c r="F1274" s="4" t="s">
        <v>1293</v>
      </c>
      <c r="G1274" s="4"/>
      <c r="H1274" s="4" t="str">
        <f>_xlfn.IFNA(VLOOKUP(Table_Query_from_AMULTIQRY45[[#This Row],[WPROD]],'Part# with New'!$A$1:$B$4347,2,0),Table_Query_from_AMULTIQRY45[[#This Row],[WPROD]])</f>
        <v>9665</v>
      </c>
      <c r="I1274" s="4" t="s">
        <v>8436</v>
      </c>
      <c r="J1274" s="1" t="s">
        <v>5</v>
      </c>
      <c r="L1274" s="11">
        <v>3.26</v>
      </c>
      <c r="M1274" s="1"/>
      <c r="N1274" s="1" t="s">
        <v>1203</v>
      </c>
      <c r="P1274" s="1" t="str">
        <f>CONCATENATE(Table_Query_from_AMULTIQRY45[[#This Row],[WWHS]],"-",Table_Query_from_AMULTIQRY45[[#This Row],[LLOC]])</f>
        <v>E8-RAW</v>
      </c>
      <c r="Q1274" s="10">
        <f t="shared" ca="1" si="39"/>
        <v>45775</v>
      </c>
      <c r="R1274" s="10"/>
      <c r="S1274" s="28">
        <v>81</v>
      </c>
      <c r="T1274" s="1" t="s">
        <v>1274</v>
      </c>
      <c r="U1274" s="1" t="s">
        <v>1284</v>
      </c>
      <c r="V1274" s="1">
        <v>20240718</v>
      </c>
      <c r="W1274" s="8" t="s">
        <v>8443</v>
      </c>
      <c r="Z1274" s="1"/>
      <c r="AA1274" s="1"/>
      <c r="AC1274" s="1"/>
      <c r="AD1274" s="1"/>
      <c r="AE1274" s="1"/>
      <c r="AF1274" s="1"/>
    </row>
    <row r="1275" spans="2:32" ht="12.75" x14ac:dyDescent="0.2">
      <c r="B1275" s="1" t="s">
        <v>9781</v>
      </c>
      <c r="C1275" s="10">
        <f t="shared" ca="1" si="38"/>
        <v>45638</v>
      </c>
      <c r="D1275" s="4"/>
      <c r="E1275" s="4" t="s">
        <v>8434</v>
      </c>
      <c r="F1275" s="4" t="s">
        <v>1293</v>
      </c>
      <c r="G1275" s="4"/>
      <c r="H1275" s="4" t="str">
        <f>_xlfn.IFNA(VLOOKUP(Table_Query_from_AMULTIQRY45[[#This Row],[WPROD]],'Part# with New'!$A$1:$B$4347,2,0),Table_Query_from_AMULTIQRY45[[#This Row],[WPROD]])</f>
        <v>9714</v>
      </c>
      <c r="I1275" s="4" t="s">
        <v>8436</v>
      </c>
      <c r="J1275" s="1" t="s">
        <v>1019</v>
      </c>
      <c r="L1275" s="11">
        <v>4.07</v>
      </c>
      <c r="M1275" s="1"/>
      <c r="N1275" s="1" t="s">
        <v>1203</v>
      </c>
      <c r="P1275" s="1" t="str">
        <f>CONCATENATE(Table_Query_from_AMULTIQRY45[[#This Row],[WWHS]],"-",Table_Query_from_AMULTIQRY45[[#This Row],[LLOC]])</f>
        <v>E8-RAW</v>
      </c>
      <c r="Q1275" s="10">
        <f t="shared" ca="1" si="39"/>
        <v>45775</v>
      </c>
      <c r="R1275" s="10"/>
      <c r="S1275" s="28">
        <v>247</v>
      </c>
      <c r="T1275" s="1" t="s">
        <v>1274</v>
      </c>
      <c r="U1275" s="1" t="s">
        <v>1285</v>
      </c>
      <c r="V1275" s="1">
        <v>20241212</v>
      </c>
      <c r="W1275" s="8" t="s">
        <v>8443</v>
      </c>
      <c r="Z1275" s="1"/>
      <c r="AA1275" s="1"/>
      <c r="AC1275" s="1"/>
      <c r="AD1275" s="1"/>
      <c r="AE1275" s="1"/>
      <c r="AF1275" s="1"/>
    </row>
    <row r="1276" spans="2:32" ht="12.75" x14ac:dyDescent="0.2">
      <c r="B1276" s="1" t="s">
        <v>9782</v>
      </c>
      <c r="C1276" s="10">
        <f t="shared" ca="1" si="38"/>
        <v>45706</v>
      </c>
      <c r="D1276" s="4"/>
      <c r="E1276" s="4" t="s">
        <v>8434</v>
      </c>
      <c r="F1276" s="4" t="s">
        <v>1293</v>
      </c>
      <c r="G1276" s="4"/>
      <c r="H1276" s="4" t="str">
        <f>_xlfn.IFNA(VLOOKUP(Table_Query_from_AMULTIQRY45[[#This Row],[WPROD]],'Part# with New'!$A$1:$B$4347,2,0),Table_Query_from_AMULTIQRY45[[#This Row],[WPROD]])</f>
        <v>9862</v>
      </c>
      <c r="I1276" s="4" t="s">
        <v>8436</v>
      </c>
      <c r="J1276" s="1" t="s">
        <v>1019</v>
      </c>
      <c r="L1276" s="11">
        <v>3.39</v>
      </c>
      <c r="M1276" s="1"/>
      <c r="N1276" s="1" t="s">
        <v>1203</v>
      </c>
      <c r="P1276" s="1" t="str">
        <f>CONCATENATE(Table_Query_from_AMULTIQRY45[[#This Row],[WWHS]],"-",Table_Query_from_AMULTIQRY45[[#This Row],[LLOC]])</f>
        <v>E8-RAW</v>
      </c>
      <c r="Q1276" s="10">
        <f t="shared" ca="1" si="39"/>
        <v>45775</v>
      </c>
      <c r="R1276" s="10"/>
      <c r="S1276" s="28">
        <v>34</v>
      </c>
      <c r="T1276" s="1" t="s">
        <v>1274</v>
      </c>
      <c r="U1276" s="1" t="s">
        <v>1286</v>
      </c>
      <c r="V1276" s="1">
        <v>20250218</v>
      </c>
      <c r="W1276" s="8" t="s">
        <v>8443</v>
      </c>
      <c r="Z1276" s="1"/>
      <c r="AA1276" s="1"/>
      <c r="AC1276" s="1"/>
      <c r="AD1276" s="1"/>
      <c r="AE1276" s="1"/>
      <c r="AF1276" s="1"/>
    </row>
    <row r="1277" spans="2:32" ht="12.75" x14ac:dyDescent="0.2">
      <c r="B1277" s="1" t="s">
        <v>9783</v>
      </c>
      <c r="C1277" s="10">
        <f t="shared" ca="1" si="38"/>
        <v>45685</v>
      </c>
      <c r="D1277" s="4"/>
      <c r="E1277" s="4" t="s">
        <v>8434</v>
      </c>
      <c r="F1277" s="4" t="s">
        <v>1293</v>
      </c>
      <c r="G1277" s="4"/>
      <c r="H1277" s="4" t="str">
        <f>_xlfn.IFNA(VLOOKUP(Table_Query_from_AMULTIQRY45[[#This Row],[WPROD]],'Part# with New'!$A$1:$B$4347,2,0),Table_Query_from_AMULTIQRY45[[#This Row],[WPROD]])</f>
        <v>WSMP205093058O-MXX00W</v>
      </c>
      <c r="I1277" s="4" t="s">
        <v>8436</v>
      </c>
      <c r="J1277" s="1" t="s">
        <v>5</v>
      </c>
      <c r="L1277" s="11">
        <v>2.7686600000000001</v>
      </c>
      <c r="M1277" s="1"/>
      <c r="N1277" s="1" t="s">
        <v>18</v>
      </c>
      <c r="P1277" s="1" t="str">
        <f>CONCATENATE(Table_Query_from_AMULTIQRY45[[#This Row],[WWHS]],"-",Table_Query_from_AMULTIQRY45[[#This Row],[LLOC]])</f>
        <v>E9-OUTSRC</v>
      </c>
      <c r="Q1277" s="10">
        <f t="shared" ca="1" si="39"/>
        <v>45775</v>
      </c>
      <c r="R1277" s="10"/>
      <c r="S1277" s="28">
        <v>129</v>
      </c>
      <c r="T1277" s="1" t="s">
        <v>1287</v>
      </c>
      <c r="U1277" s="1" t="s">
        <v>598</v>
      </c>
      <c r="V1277" s="1">
        <v>20250128</v>
      </c>
      <c r="W1277" s="8" t="s">
        <v>8447</v>
      </c>
      <c r="Z1277" s="1"/>
      <c r="AA1277" s="1"/>
      <c r="AC1277" s="1"/>
      <c r="AD1277" s="1"/>
      <c r="AE1277" s="1"/>
      <c r="AF1277" s="1"/>
    </row>
    <row r="1278" spans="2:32" ht="12.75" x14ac:dyDescent="0.2">
      <c r="C1278" s="26"/>
      <c r="D1278" s="5"/>
      <c r="E1278" s="5"/>
      <c r="F1278" s="5"/>
      <c r="G1278" s="5"/>
      <c r="H1278" s="5"/>
      <c r="I1278" s="5"/>
      <c r="M1278" s="1"/>
      <c r="N1278" s="1"/>
      <c r="Q1278" s="11"/>
      <c r="S1278" s="12">
        <f>SUBTOTAL(109,Table_Query_from_AMULTIQRY45[ONHAND])</f>
        <v>1461533.6690000002</v>
      </c>
      <c r="T1278" s="1"/>
      <c r="W1278" s="8"/>
      <c r="Z1278" s="1"/>
      <c r="AA1278" s="1"/>
      <c r="AC1278" s="1"/>
      <c r="AD1278" s="1"/>
      <c r="AE1278" s="1"/>
      <c r="AF1278" s="1"/>
    </row>
    <row r="1279" spans="2:32" x14ac:dyDescent="0.25">
      <c r="Z1279" s="1"/>
      <c r="AA1279" s="1"/>
      <c r="AC1279" s="1"/>
      <c r="AD1279" s="1"/>
      <c r="AE1279" s="1"/>
      <c r="AF1279" s="1"/>
    </row>
    <row r="1280" spans="2:32" x14ac:dyDescent="0.25">
      <c r="Z1280" s="1"/>
      <c r="AA1280" s="1"/>
      <c r="AC1280" s="1"/>
      <c r="AD1280" s="1"/>
      <c r="AE1280" s="1"/>
      <c r="AF1280" s="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A100-3D2A-4DF9-97B8-494E58711C51}">
  <dimension ref="A1:B5775"/>
  <sheetViews>
    <sheetView workbookViewId="0">
      <selection activeCell="E9" sqref="E9"/>
    </sheetView>
  </sheetViews>
  <sheetFormatPr defaultColWidth="8" defaultRowHeight="15" x14ac:dyDescent="0.25"/>
  <cols>
    <col min="1" max="1" width="21" style="6" customWidth="1"/>
    <col min="2" max="2" width="27" style="6" customWidth="1"/>
    <col min="3" max="16384" width="8" style="6"/>
  </cols>
  <sheetData>
    <row r="1" spans="1:2" x14ac:dyDescent="0.25">
      <c r="A1" s="30" t="s">
        <v>9784</v>
      </c>
      <c r="B1" s="31" t="s">
        <v>9784</v>
      </c>
    </row>
    <row r="2" spans="1:2" x14ac:dyDescent="0.25">
      <c r="A2" s="32" t="s">
        <v>1295</v>
      </c>
      <c r="B2" s="33" t="s">
        <v>1296</v>
      </c>
    </row>
    <row r="3" spans="1:2" x14ac:dyDescent="0.25">
      <c r="A3" s="30" t="s">
        <v>31</v>
      </c>
      <c r="B3" s="31" t="s">
        <v>1297</v>
      </c>
    </row>
    <row r="4" spans="1:2" x14ac:dyDescent="0.25">
      <c r="A4" s="32" t="s">
        <v>1298</v>
      </c>
      <c r="B4" s="33" t="s">
        <v>1299</v>
      </c>
    </row>
    <row r="5" spans="1:2" x14ac:dyDescent="0.25">
      <c r="A5" s="30" t="s">
        <v>1300</v>
      </c>
      <c r="B5" s="31" t="s">
        <v>1301</v>
      </c>
    </row>
    <row r="6" spans="1:2" x14ac:dyDescent="0.25">
      <c r="A6" s="32" t="s">
        <v>32</v>
      </c>
      <c r="B6" s="33" t="s">
        <v>1302</v>
      </c>
    </row>
    <row r="7" spans="1:2" x14ac:dyDescent="0.25">
      <c r="A7" s="30" t="s">
        <v>1303</v>
      </c>
      <c r="B7" s="31" t="s">
        <v>1304</v>
      </c>
    </row>
    <row r="8" spans="1:2" x14ac:dyDescent="0.25">
      <c r="A8" s="32" t="s">
        <v>1305</v>
      </c>
      <c r="B8" s="33" t="s">
        <v>1306</v>
      </c>
    </row>
    <row r="9" spans="1:2" x14ac:dyDescent="0.25">
      <c r="A9" s="30" t="s">
        <v>1307</v>
      </c>
      <c r="B9" s="31" t="s">
        <v>1308</v>
      </c>
    </row>
    <row r="10" spans="1:2" x14ac:dyDescent="0.25">
      <c r="A10" s="32" t="s">
        <v>1309</v>
      </c>
      <c r="B10" s="33" t="s">
        <v>1310</v>
      </c>
    </row>
    <row r="11" spans="1:2" x14ac:dyDescent="0.25">
      <c r="A11" s="30" t="s">
        <v>33</v>
      </c>
      <c r="B11" s="31" t="s">
        <v>1311</v>
      </c>
    </row>
    <row r="12" spans="1:2" x14ac:dyDescent="0.25">
      <c r="A12" s="32" t="s">
        <v>9785</v>
      </c>
      <c r="B12" s="33" t="s">
        <v>9785</v>
      </c>
    </row>
    <row r="13" spans="1:2" x14ac:dyDescent="0.25">
      <c r="A13" s="30" t="s">
        <v>1312</v>
      </c>
      <c r="B13" s="31" t="s">
        <v>1313</v>
      </c>
    </row>
    <row r="14" spans="1:2" x14ac:dyDescent="0.25">
      <c r="A14" s="32" t="s">
        <v>35</v>
      </c>
      <c r="B14" s="33" t="s">
        <v>1314</v>
      </c>
    </row>
    <row r="15" spans="1:2" x14ac:dyDescent="0.25">
      <c r="A15" s="30" t="s">
        <v>1315</v>
      </c>
      <c r="B15" s="31" t="s">
        <v>1316</v>
      </c>
    </row>
    <row r="16" spans="1:2" x14ac:dyDescent="0.25">
      <c r="A16" s="32" t="s">
        <v>1317</v>
      </c>
      <c r="B16" s="33" t="s">
        <v>1318</v>
      </c>
    </row>
    <row r="17" spans="1:2" x14ac:dyDescent="0.25">
      <c r="A17" s="30" t="s">
        <v>1319</v>
      </c>
      <c r="B17" s="31" t="s">
        <v>1320</v>
      </c>
    </row>
    <row r="18" spans="1:2" x14ac:dyDescent="0.25">
      <c r="A18" s="32" t="s">
        <v>1321</v>
      </c>
      <c r="B18" s="33" t="s">
        <v>1322</v>
      </c>
    </row>
    <row r="19" spans="1:2" x14ac:dyDescent="0.25">
      <c r="A19" s="30" t="s">
        <v>1323</v>
      </c>
      <c r="B19" s="31" t="s">
        <v>1324</v>
      </c>
    </row>
    <row r="20" spans="1:2" x14ac:dyDescent="0.25">
      <c r="A20" s="32" t="s">
        <v>1325</v>
      </c>
      <c r="B20" s="33" t="s">
        <v>1326</v>
      </c>
    </row>
    <row r="21" spans="1:2" x14ac:dyDescent="0.25">
      <c r="A21" s="30" t="s">
        <v>1327</v>
      </c>
      <c r="B21" s="31" t="s">
        <v>1328</v>
      </c>
    </row>
    <row r="22" spans="1:2" x14ac:dyDescent="0.25">
      <c r="A22" s="32" t="s">
        <v>36</v>
      </c>
      <c r="B22" s="33" t="s">
        <v>1329</v>
      </c>
    </row>
    <row r="23" spans="1:2" x14ac:dyDescent="0.25">
      <c r="A23" s="30" t="s">
        <v>9786</v>
      </c>
      <c r="B23" s="31" t="s">
        <v>9786</v>
      </c>
    </row>
    <row r="24" spans="1:2" x14ac:dyDescent="0.25">
      <c r="A24" s="32" t="s">
        <v>1330</v>
      </c>
      <c r="B24" s="33" t="s">
        <v>1331</v>
      </c>
    </row>
    <row r="25" spans="1:2" x14ac:dyDescent="0.25">
      <c r="A25" s="30" t="s">
        <v>1332</v>
      </c>
      <c r="B25" s="31" t="s">
        <v>1333</v>
      </c>
    </row>
    <row r="26" spans="1:2" x14ac:dyDescent="0.25">
      <c r="A26" s="32" t="s">
        <v>9787</v>
      </c>
      <c r="B26" s="33" t="s">
        <v>9787</v>
      </c>
    </row>
    <row r="27" spans="1:2" x14ac:dyDescent="0.25">
      <c r="A27" s="30" t="s">
        <v>1334</v>
      </c>
      <c r="B27" s="31" t="s">
        <v>1335</v>
      </c>
    </row>
    <row r="28" spans="1:2" x14ac:dyDescent="0.25">
      <c r="A28" s="32" t="s">
        <v>1336</v>
      </c>
      <c r="B28" s="33" t="s">
        <v>1337</v>
      </c>
    </row>
    <row r="29" spans="1:2" x14ac:dyDescent="0.25">
      <c r="A29" s="30" t="s">
        <v>1338</v>
      </c>
      <c r="B29" s="31" t="s">
        <v>1339</v>
      </c>
    </row>
    <row r="30" spans="1:2" x14ac:dyDescent="0.25">
      <c r="A30" s="32" t="s">
        <v>1340</v>
      </c>
      <c r="B30" s="33" t="s">
        <v>1341</v>
      </c>
    </row>
    <row r="31" spans="1:2" x14ac:dyDescent="0.25">
      <c r="A31" s="30" t="s">
        <v>1342</v>
      </c>
      <c r="B31" s="31" t="s">
        <v>1343</v>
      </c>
    </row>
    <row r="32" spans="1:2" x14ac:dyDescent="0.25">
      <c r="A32" s="32" t="s">
        <v>1344</v>
      </c>
      <c r="B32" s="33" t="s">
        <v>1345</v>
      </c>
    </row>
    <row r="33" spans="1:2" x14ac:dyDescent="0.25">
      <c r="A33" s="30" t="s">
        <v>1346</v>
      </c>
      <c r="B33" s="31" t="s">
        <v>1347</v>
      </c>
    </row>
    <row r="34" spans="1:2" x14ac:dyDescent="0.25">
      <c r="A34" s="32" t="s">
        <v>38</v>
      </c>
      <c r="B34" s="33" t="s">
        <v>1348</v>
      </c>
    </row>
    <row r="35" spans="1:2" x14ac:dyDescent="0.25">
      <c r="A35" s="30" t="s">
        <v>39</v>
      </c>
      <c r="B35" s="31" t="s">
        <v>1349</v>
      </c>
    </row>
    <row r="36" spans="1:2" x14ac:dyDescent="0.25">
      <c r="A36" s="32" t="s">
        <v>40</v>
      </c>
      <c r="B36" s="33" t="s">
        <v>1350</v>
      </c>
    </row>
    <row r="37" spans="1:2" x14ac:dyDescent="0.25">
      <c r="A37" s="30" t="s">
        <v>1351</v>
      </c>
      <c r="B37" s="31" t="s">
        <v>1352</v>
      </c>
    </row>
    <row r="38" spans="1:2" x14ac:dyDescent="0.25">
      <c r="A38" s="32" t="s">
        <v>1353</v>
      </c>
      <c r="B38" s="33" t="s">
        <v>1354</v>
      </c>
    </row>
    <row r="39" spans="1:2" x14ac:dyDescent="0.25">
      <c r="A39" s="30" t="s">
        <v>1355</v>
      </c>
      <c r="B39" s="31" t="s">
        <v>1356</v>
      </c>
    </row>
    <row r="40" spans="1:2" x14ac:dyDescent="0.25">
      <c r="A40" s="32" t="s">
        <v>1357</v>
      </c>
      <c r="B40" s="33" t="s">
        <v>1358</v>
      </c>
    </row>
    <row r="41" spans="1:2" x14ac:dyDescent="0.25">
      <c r="A41" s="30" t="s">
        <v>9788</v>
      </c>
      <c r="B41" s="31" t="s">
        <v>9788</v>
      </c>
    </row>
    <row r="42" spans="1:2" x14ac:dyDescent="0.25">
      <c r="A42" s="32" t="s">
        <v>9789</v>
      </c>
      <c r="B42" s="33" t="s">
        <v>9789</v>
      </c>
    </row>
    <row r="43" spans="1:2" x14ac:dyDescent="0.25">
      <c r="A43" s="30" t="s">
        <v>1359</v>
      </c>
      <c r="B43" s="31" t="s">
        <v>1360</v>
      </c>
    </row>
    <row r="44" spans="1:2" x14ac:dyDescent="0.25">
      <c r="A44" s="32" t="s">
        <v>41</v>
      </c>
      <c r="B44" s="33" t="s">
        <v>1361</v>
      </c>
    </row>
    <row r="45" spans="1:2" x14ac:dyDescent="0.25">
      <c r="A45" s="30" t="s">
        <v>42</v>
      </c>
      <c r="B45" s="31" t="s">
        <v>1362</v>
      </c>
    </row>
    <row r="46" spans="1:2" x14ac:dyDescent="0.25">
      <c r="A46" s="32" t="s">
        <v>1363</v>
      </c>
      <c r="B46" s="33" t="s">
        <v>1364</v>
      </c>
    </row>
    <row r="47" spans="1:2" x14ac:dyDescent="0.25">
      <c r="A47" s="30" t="s">
        <v>44</v>
      </c>
      <c r="B47" s="31" t="s">
        <v>1365</v>
      </c>
    </row>
    <row r="48" spans="1:2" x14ac:dyDescent="0.25">
      <c r="A48" s="32" t="s">
        <v>1366</v>
      </c>
      <c r="B48" s="33" t="s">
        <v>1367</v>
      </c>
    </row>
    <row r="49" spans="1:2" x14ac:dyDescent="0.25">
      <c r="A49" s="30" t="s">
        <v>1368</v>
      </c>
      <c r="B49" s="31" t="s">
        <v>1369</v>
      </c>
    </row>
    <row r="50" spans="1:2" x14ac:dyDescent="0.25">
      <c r="A50" s="32" t="s">
        <v>45</v>
      </c>
      <c r="B50" s="33" t="s">
        <v>1370</v>
      </c>
    </row>
    <row r="51" spans="1:2" x14ac:dyDescent="0.25">
      <c r="A51" s="30" t="s">
        <v>1371</v>
      </c>
      <c r="B51" s="31" t="s">
        <v>1372</v>
      </c>
    </row>
    <row r="52" spans="1:2" x14ac:dyDescent="0.25">
      <c r="A52" s="32" t="s">
        <v>9790</v>
      </c>
      <c r="B52" s="33" t="s">
        <v>9790</v>
      </c>
    </row>
    <row r="53" spans="1:2" x14ac:dyDescent="0.25">
      <c r="A53" s="30" t="s">
        <v>1373</v>
      </c>
      <c r="B53" s="31" t="s">
        <v>1374</v>
      </c>
    </row>
    <row r="54" spans="1:2" x14ac:dyDescent="0.25">
      <c r="A54" s="32" t="s">
        <v>9791</v>
      </c>
      <c r="B54" s="33" t="s">
        <v>9791</v>
      </c>
    </row>
    <row r="55" spans="1:2" x14ac:dyDescent="0.25">
      <c r="A55" s="30" t="s">
        <v>1375</v>
      </c>
      <c r="B55" s="31" t="s">
        <v>1376</v>
      </c>
    </row>
    <row r="56" spans="1:2" x14ac:dyDescent="0.25">
      <c r="A56" s="32" t="s">
        <v>47</v>
      </c>
      <c r="B56" s="33" t="s">
        <v>1377</v>
      </c>
    </row>
    <row r="57" spans="1:2" x14ac:dyDescent="0.25">
      <c r="A57" s="30" t="s">
        <v>1378</v>
      </c>
      <c r="B57" s="31" t="s">
        <v>1379</v>
      </c>
    </row>
    <row r="58" spans="1:2" x14ac:dyDescent="0.25">
      <c r="A58" s="32" t="s">
        <v>9792</v>
      </c>
      <c r="B58" s="33" t="s">
        <v>9792</v>
      </c>
    </row>
    <row r="59" spans="1:2" x14ac:dyDescent="0.25">
      <c r="A59" s="30" t="s">
        <v>1380</v>
      </c>
      <c r="B59" s="31" t="s">
        <v>1381</v>
      </c>
    </row>
    <row r="60" spans="1:2" x14ac:dyDescent="0.25">
      <c r="A60" s="32" t="s">
        <v>1382</v>
      </c>
      <c r="B60" s="33" t="s">
        <v>1383</v>
      </c>
    </row>
    <row r="61" spans="1:2" x14ac:dyDescent="0.25">
      <c r="A61" s="30" t="s">
        <v>1384</v>
      </c>
      <c r="B61" s="31" t="s">
        <v>1385</v>
      </c>
    </row>
    <row r="62" spans="1:2" x14ac:dyDescent="0.25">
      <c r="A62" s="32" t="s">
        <v>1386</v>
      </c>
      <c r="B62" s="33" t="s">
        <v>1387</v>
      </c>
    </row>
    <row r="63" spans="1:2" x14ac:dyDescent="0.25">
      <c r="A63" s="30" t="s">
        <v>1388</v>
      </c>
      <c r="B63" s="31" t="s">
        <v>1389</v>
      </c>
    </row>
    <row r="64" spans="1:2" x14ac:dyDescent="0.25">
      <c r="A64" s="32" t="s">
        <v>1390</v>
      </c>
      <c r="B64" s="33" t="s">
        <v>1391</v>
      </c>
    </row>
    <row r="65" spans="1:2" x14ac:dyDescent="0.25">
      <c r="A65" s="30" t="s">
        <v>1392</v>
      </c>
      <c r="B65" s="31" t="s">
        <v>1393</v>
      </c>
    </row>
    <row r="66" spans="1:2" x14ac:dyDescent="0.25">
      <c r="A66" s="32" t="s">
        <v>1394</v>
      </c>
      <c r="B66" s="33" t="s">
        <v>1395</v>
      </c>
    </row>
    <row r="67" spans="1:2" x14ac:dyDescent="0.25">
      <c r="A67" s="30" t="s">
        <v>1396</v>
      </c>
      <c r="B67" s="31" t="s">
        <v>1397</v>
      </c>
    </row>
    <row r="68" spans="1:2" x14ac:dyDescent="0.25">
      <c r="A68" s="32" t="s">
        <v>1398</v>
      </c>
      <c r="B68" s="33" t="s">
        <v>1399</v>
      </c>
    </row>
    <row r="69" spans="1:2" x14ac:dyDescent="0.25">
      <c r="A69" s="30" t="s">
        <v>48</v>
      </c>
      <c r="B69" s="31" t="s">
        <v>1400</v>
      </c>
    </row>
    <row r="70" spans="1:2" x14ac:dyDescent="0.25">
      <c r="A70" s="32" t="s">
        <v>1401</v>
      </c>
      <c r="B70" s="33" t="s">
        <v>1402</v>
      </c>
    </row>
    <row r="71" spans="1:2" x14ac:dyDescent="0.25">
      <c r="A71" s="30" t="s">
        <v>49</v>
      </c>
      <c r="B71" s="31" t="s">
        <v>1403</v>
      </c>
    </row>
    <row r="72" spans="1:2" x14ac:dyDescent="0.25">
      <c r="A72" s="32" t="s">
        <v>1404</v>
      </c>
      <c r="B72" s="33" t="s">
        <v>1405</v>
      </c>
    </row>
    <row r="73" spans="1:2" x14ac:dyDescent="0.25">
      <c r="A73" s="30" t="s">
        <v>9793</v>
      </c>
      <c r="B73" s="31" t="s">
        <v>9793</v>
      </c>
    </row>
    <row r="74" spans="1:2" x14ac:dyDescent="0.25">
      <c r="A74" s="32" t="s">
        <v>1406</v>
      </c>
      <c r="B74" s="33" t="s">
        <v>1407</v>
      </c>
    </row>
    <row r="75" spans="1:2" x14ac:dyDescent="0.25">
      <c r="A75" s="30" t="s">
        <v>9794</v>
      </c>
      <c r="B75" s="31" t="s">
        <v>9794</v>
      </c>
    </row>
    <row r="76" spans="1:2" x14ac:dyDescent="0.25">
      <c r="A76" s="32" t="s">
        <v>50</v>
      </c>
      <c r="B76" s="33" t="s">
        <v>1408</v>
      </c>
    </row>
    <row r="77" spans="1:2" x14ac:dyDescent="0.25">
      <c r="A77" s="30" t="s">
        <v>51</v>
      </c>
      <c r="B77" s="31" t="s">
        <v>1409</v>
      </c>
    </row>
    <row r="78" spans="1:2" x14ac:dyDescent="0.25">
      <c r="A78" s="32" t="s">
        <v>1410</v>
      </c>
      <c r="B78" s="33" t="s">
        <v>1411</v>
      </c>
    </row>
    <row r="79" spans="1:2" x14ac:dyDescent="0.25">
      <c r="A79" s="30" t="s">
        <v>1412</v>
      </c>
      <c r="B79" s="31" t="s">
        <v>1413</v>
      </c>
    </row>
    <row r="80" spans="1:2" x14ac:dyDescent="0.25">
      <c r="A80" s="32" t="s">
        <v>1414</v>
      </c>
      <c r="B80" s="33" t="s">
        <v>1415</v>
      </c>
    </row>
    <row r="81" spans="1:2" x14ac:dyDescent="0.25">
      <c r="A81" s="30" t="s">
        <v>1416</v>
      </c>
      <c r="B81" s="31" t="s">
        <v>1417</v>
      </c>
    </row>
    <row r="82" spans="1:2" x14ac:dyDescent="0.25">
      <c r="A82" s="32" t="s">
        <v>9795</v>
      </c>
      <c r="B82" s="33" t="s">
        <v>9795</v>
      </c>
    </row>
    <row r="83" spans="1:2" x14ac:dyDescent="0.25">
      <c r="A83" s="30" t="s">
        <v>1418</v>
      </c>
      <c r="B83" s="31" t="s">
        <v>1419</v>
      </c>
    </row>
    <row r="84" spans="1:2" x14ac:dyDescent="0.25">
      <c r="A84" s="32" t="s">
        <v>1420</v>
      </c>
      <c r="B84" s="33" t="s">
        <v>1421</v>
      </c>
    </row>
    <row r="85" spans="1:2" x14ac:dyDescent="0.25">
      <c r="A85" s="30" t="s">
        <v>1422</v>
      </c>
      <c r="B85" s="31" t="s">
        <v>1423</v>
      </c>
    </row>
    <row r="86" spans="1:2" x14ac:dyDescent="0.25">
      <c r="A86" s="32" t="s">
        <v>52</v>
      </c>
      <c r="B86" s="33" t="s">
        <v>1424</v>
      </c>
    </row>
    <row r="87" spans="1:2" x14ac:dyDescent="0.25">
      <c r="A87" s="30" t="s">
        <v>1425</v>
      </c>
      <c r="B87" s="31" t="s">
        <v>1426</v>
      </c>
    </row>
    <row r="88" spans="1:2" x14ac:dyDescent="0.25">
      <c r="A88" s="32" t="s">
        <v>1427</v>
      </c>
      <c r="B88" s="33" t="s">
        <v>1428</v>
      </c>
    </row>
    <row r="89" spans="1:2" x14ac:dyDescent="0.25">
      <c r="A89" s="30" t="s">
        <v>1429</v>
      </c>
      <c r="B89" s="31" t="s">
        <v>1430</v>
      </c>
    </row>
    <row r="90" spans="1:2" x14ac:dyDescent="0.25">
      <c r="A90" s="32" t="s">
        <v>1431</v>
      </c>
      <c r="B90" s="33" t="s">
        <v>1432</v>
      </c>
    </row>
    <row r="91" spans="1:2" x14ac:dyDescent="0.25">
      <c r="A91" s="30" t="s">
        <v>53</v>
      </c>
      <c r="B91" s="31" t="s">
        <v>1433</v>
      </c>
    </row>
    <row r="92" spans="1:2" x14ac:dyDescent="0.25">
      <c r="A92" s="32" t="s">
        <v>1434</v>
      </c>
      <c r="B92" s="33" t="s">
        <v>1435</v>
      </c>
    </row>
    <row r="93" spans="1:2" x14ac:dyDescent="0.25">
      <c r="A93" s="30" t="s">
        <v>9796</v>
      </c>
      <c r="B93" s="31" t="s">
        <v>9796</v>
      </c>
    </row>
    <row r="94" spans="1:2" x14ac:dyDescent="0.25">
      <c r="A94" s="32" t="s">
        <v>1436</v>
      </c>
      <c r="B94" s="33" t="s">
        <v>1437</v>
      </c>
    </row>
    <row r="95" spans="1:2" x14ac:dyDescent="0.25">
      <c r="A95" s="30" t="s">
        <v>1438</v>
      </c>
      <c r="B95" s="31" t="s">
        <v>1439</v>
      </c>
    </row>
    <row r="96" spans="1:2" x14ac:dyDescent="0.25">
      <c r="A96" s="32" t="s">
        <v>9797</v>
      </c>
      <c r="B96" s="33" t="s">
        <v>9797</v>
      </c>
    </row>
    <row r="97" spans="1:2" x14ac:dyDescent="0.25">
      <c r="A97" s="30" t="s">
        <v>1440</v>
      </c>
      <c r="B97" s="31" t="s">
        <v>1441</v>
      </c>
    </row>
    <row r="98" spans="1:2" x14ac:dyDescent="0.25">
      <c r="A98" s="32" t="s">
        <v>54</v>
      </c>
      <c r="B98" s="33" t="s">
        <v>1442</v>
      </c>
    </row>
    <row r="99" spans="1:2" x14ac:dyDescent="0.25">
      <c r="A99" s="30" t="s">
        <v>1443</v>
      </c>
      <c r="B99" s="31" t="s">
        <v>1444</v>
      </c>
    </row>
    <row r="100" spans="1:2" x14ac:dyDescent="0.25">
      <c r="A100" s="32" t="s">
        <v>1445</v>
      </c>
      <c r="B100" s="33" t="s">
        <v>1446</v>
      </c>
    </row>
    <row r="101" spans="1:2" x14ac:dyDescent="0.25">
      <c r="A101" s="30" t="s">
        <v>1447</v>
      </c>
      <c r="B101" s="31" t="s">
        <v>1448</v>
      </c>
    </row>
    <row r="102" spans="1:2" x14ac:dyDescent="0.25">
      <c r="A102" s="32" t="s">
        <v>55</v>
      </c>
      <c r="B102" s="33" t="s">
        <v>1449</v>
      </c>
    </row>
    <row r="103" spans="1:2" x14ac:dyDescent="0.25">
      <c r="A103" s="30" t="s">
        <v>56</v>
      </c>
      <c r="B103" s="31" t="s">
        <v>1450</v>
      </c>
    </row>
    <row r="104" spans="1:2" x14ac:dyDescent="0.25">
      <c r="A104" s="32" t="s">
        <v>57</v>
      </c>
      <c r="B104" s="33" t="s">
        <v>1451</v>
      </c>
    </row>
    <row r="105" spans="1:2" x14ac:dyDescent="0.25">
      <c r="A105" s="30" t="s">
        <v>1452</v>
      </c>
      <c r="B105" s="31" t="s">
        <v>1453</v>
      </c>
    </row>
    <row r="106" spans="1:2" x14ac:dyDescent="0.25">
      <c r="A106" s="32" t="s">
        <v>1454</v>
      </c>
      <c r="B106" s="33" t="s">
        <v>1455</v>
      </c>
    </row>
    <row r="107" spans="1:2" x14ac:dyDescent="0.25">
      <c r="A107" s="30" t="s">
        <v>9798</v>
      </c>
      <c r="B107" s="31" t="s">
        <v>9798</v>
      </c>
    </row>
    <row r="108" spans="1:2" x14ac:dyDescent="0.25">
      <c r="A108" s="32" t="s">
        <v>1456</v>
      </c>
      <c r="B108" s="33" t="s">
        <v>1457</v>
      </c>
    </row>
    <row r="109" spans="1:2" x14ac:dyDescent="0.25">
      <c r="A109" s="30" t="s">
        <v>1458</v>
      </c>
      <c r="B109" s="31" t="s">
        <v>1459</v>
      </c>
    </row>
    <row r="110" spans="1:2" x14ac:dyDescent="0.25">
      <c r="A110" s="32" t="s">
        <v>9799</v>
      </c>
      <c r="B110" s="33" t="s">
        <v>9799</v>
      </c>
    </row>
    <row r="111" spans="1:2" x14ac:dyDescent="0.25">
      <c r="A111" s="30" t="s">
        <v>58</v>
      </c>
      <c r="B111" s="31" t="s">
        <v>1460</v>
      </c>
    </row>
    <row r="112" spans="1:2" x14ac:dyDescent="0.25">
      <c r="A112" s="32" t="s">
        <v>9800</v>
      </c>
      <c r="B112" s="33" t="s">
        <v>9800</v>
      </c>
    </row>
    <row r="113" spans="1:2" x14ac:dyDescent="0.25">
      <c r="A113" s="30" t="s">
        <v>59</v>
      </c>
      <c r="B113" s="31" t="s">
        <v>1461</v>
      </c>
    </row>
    <row r="114" spans="1:2" x14ac:dyDescent="0.25">
      <c r="A114" s="32" t="s">
        <v>1462</v>
      </c>
      <c r="B114" s="33" t="s">
        <v>1463</v>
      </c>
    </row>
    <row r="115" spans="1:2" x14ac:dyDescent="0.25">
      <c r="A115" s="30" t="s">
        <v>1464</v>
      </c>
      <c r="B115" s="31" t="s">
        <v>1465</v>
      </c>
    </row>
    <row r="116" spans="1:2" x14ac:dyDescent="0.25">
      <c r="A116" s="32" t="s">
        <v>1466</v>
      </c>
      <c r="B116" s="33" t="s">
        <v>1467</v>
      </c>
    </row>
    <row r="117" spans="1:2" x14ac:dyDescent="0.25">
      <c r="A117" s="30" t="s">
        <v>60</v>
      </c>
      <c r="B117" s="31" t="s">
        <v>1468</v>
      </c>
    </row>
    <row r="118" spans="1:2" x14ac:dyDescent="0.25">
      <c r="A118" s="32" t="s">
        <v>1469</v>
      </c>
      <c r="B118" s="33" t="s">
        <v>1470</v>
      </c>
    </row>
    <row r="119" spans="1:2" x14ac:dyDescent="0.25">
      <c r="A119" s="30" t="s">
        <v>9801</v>
      </c>
      <c r="B119" s="31" t="s">
        <v>9801</v>
      </c>
    </row>
    <row r="120" spans="1:2" x14ac:dyDescent="0.25">
      <c r="A120" s="32" t="s">
        <v>62</v>
      </c>
      <c r="B120" s="33" t="s">
        <v>1471</v>
      </c>
    </row>
    <row r="121" spans="1:2" x14ac:dyDescent="0.25">
      <c r="A121" s="30" t="s">
        <v>1472</v>
      </c>
      <c r="B121" s="31" t="s">
        <v>1473</v>
      </c>
    </row>
    <row r="122" spans="1:2" x14ac:dyDescent="0.25">
      <c r="A122" s="32" t="s">
        <v>1474</v>
      </c>
      <c r="B122" s="33" t="s">
        <v>1475</v>
      </c>
    </row>
    <row r="123" spans="1:2" x14ac:dyDescent="0.25">
      <c r="A123" s="30" t="s">
        <v>1476</v>
      </c>
      <c r="B123" s="31" t="s">
        <v>1477</v>
      </c>
    </row>
    <row r="124" spans="1:2" x14ac:dyDescent="0.25">
      <c r="A124" s="32" t="s">
        <v>1478</v>
      </c>
      <c r="B124" s="33" t="s">
        <v>1479</v>
      </c>
    </row>
    <row r="125" spans="1:2" x14ac:dyDescent="0.25">
      <c r="A125" s="30" t="s">
        <v>1480</v>
      </c>
      <c r="B125" s="31" t="s">
        <v>1481</v>
      </c>
    </row>
    <row r="126" spans="1:2" x14ac:dyDescent="0.25">
      <c r="A126" s="32" t="s">
        <v>9802</v>
      </c>
      <c r="B126" s="33" t="s">
        <v>9802</v>
      </c>
    </row>
    <row r="127" spans="1:2" x14ac:dyDescent="0.25">
      <c r="A127" s="30" t="s">
        <v>63</v>
      </c>
      <c r="B127" s="31" t="s">
        <v>1482</v>
      </c>
    </row>
    <row r="128" spans="1:2" x14ac:dyDescent="0.25">
      <c r="A128" s="32" t="s">
        <v>1483</v>
      </c>
      <c r="B128" s="33" t="s">
        <v>1484</v>
      </c>
    </row>
    <row r="129" spans="1:2" x14ac:dyDescent="0.25">
      <c r="A129" s="30" t="s">
        <v>1485</v>
      </c>
      <c r="B129" s="31" t="s">
        <v>1486</v>
      </c>
    </row>
    <row r="130" spans="1:2" x14ac:dyDescent="0.25">
      <c r="A130" s="32" t="s">
        <v>1487</v>
      </c>
      <c r="B130" s="33" t="s">
        <v>1488</v>
      </c>
    </row>
    <row r="131" spans="1:2" x14ac:dyDescent="0.25">
      <c r="A131" s="30" t="s">
        <v>9803</v>
      </c>
      <c r="B131" s="31" t="s">
        <v>9803</v>
      </c>
    </row>
    <row r="132" spans="1:2" x14ac:dyDescent="0.25">
      <c r="A132" s="32" t="s">
        <v>1489</v>
      </c>
      <c r="B132" s="33" t="s">
        <v>1490</v>
      </c>
    </row>
    <row r="133" spans="1:2" x14ac:dyDescent="0.25">
      <c r="A133" s="30" t="s">
        <v>1491</v>
      </c>
      <c r="B133" s="31" t="s">
        <v>1492</v>
      </c>
    </row>
    <row r="134" spans="1:2" x14ac:dyDescent="0.25">
      <c r="A134" s="32" t="s">
        <v>64</v>
      </c>
      <c r="B134" s="33" t="s">
        <v>1493</v>
      </c>
    </row>
    <row r="135" spans="1:2" x14ac:dyDescent="0.25">
      <c r="A135" s="30" t="s">
        <v>65</v>
      </c>
      <c r="B135" s="31" t="s">
        <v>65</v>
      </c>
    </row>
    <row r="136" spans="1:2" x14ac:dyDescent="0.25">
      <c r="A136" s="32" t="s">
        <v>1494</v>
      </c>
      <c r="B136" s="33" t="s">
        <v>1495</v>
      </c>
    </row>
    <row r="137" spans="1:2" x14ac:dyDescent="0.25">
      <c r="A137" s="30" t="s">
        <v>1496</v>
      </c>
      <c r="B137" s="31" t="s">
        <v>1497</v>
      </c>
    </row>
    <row r="138" spans="1:2" x14ac:dyDescent="0.25">
      <c r="A138" s="32" t="s">
        <v>66</v>
      </c>
      <c r="B138" s="33" t="s">
        <v>1498</v>
      </c>
    </row>
    <row r="139" spans="1:2" x14ac:dyDescent="0.25">
      <c r="A139" s="30" t="s">
        <v>67</v>
      </c>
      <c r="B139" s="31" t="s">
        <v>1499</v>
      </c>
    </row>
    <row r="140" spans="1:2" x14ac:dyDescent="0.25">
      <c r="A140" s="32" t="s">
        <v>1500</v>
      </c>
      <c r="B140" s="33" t="s">
        <v>1501</v>
      </c>
    </row>
    <row r="141" spans="1:2" x14ac:dyDescent="0.25">
      <c r="A141" s="30" t="s">
        <v>1502</v>
      </c>
      <c r="B141" s="31" t="s">
        <v>1503</v>
      </c>
    </row>
    <row r="142" spans="1:2" x14ac:dyDescent="0.25">
      <c r="A142" s="32" t="s">
        <v>69</v>
      </c>
      <c r="B142" s="33" t="s">
        <v>1504</v>
      </c>
    </row>
    <row r="143" spans="1:2" x14ac:dyDescent="0.25">
      <c r="A143" s="30" t="s">
        <v>70</v>
      </c>
      <c r="B143" s="31" t="s">
        <v>1505</v>
      </c>
    </row>
    <row r="144" spans="1:2" x14ac:dyDescent="0.25">
      <c r="A144" s="32" t="s">
        <v>1506</v>
      </c>
      <c r="B144" s="33" t="s">
        <v>1507</v>
      </c>
    </row>
    <row r="145" spans="1:2" x14ac:dyDescent="0.25">
      <c r="A145" s="30" t="s">
        <v>72</v>
      </c>
      <c r="B145" s="31" t="s">
        <v>72</v>
      </c>
    </row>
    <row r="146" spans="1:2" x14ac:dyDescent="0.25">
      <c r="A146" s="32" t="s">
        <v>1508</v>
      </c>
      <c r="B146" s="33" t="s">
        <v>1509</v>
      </c>
    </row>
    <row r="147" spans="1:2" x14ac:dyDescent="0.25">
      <c r="A147" s="30" t="s">
        <v>73</v>
      </c>
      <c r="B147" s="31" t="s">
        <v>1510</v>
      </c>
    </row>
    <row r="148" spans="1:2" x14ac:dyDescent="0.25">
      <c r="A148" s="32" t="s">
        <v>9804</v>
      </c>
      <c r="B148" s="33" t="s">
        <v>9804</v>
      </c>
    </row>
    <row r="149" spans="1:2" x14ac:dyDescent="0.25">
      <c r="A149" s="30" t="s">
        <v>1511</v>
      </c>
      <c r="B149" s="31" t="s">
        <v>1512</v>
      </c>
    </row>
    <row r="150" spans="1:2" x14ac:dyDescent="0.25">
      <c r="A150" s="32" t="s">
        <v>9805</v>
      </c>
      <c r="B150" s="33" t="s">
        <v>9805</v>
      </c>
    </row>
    <row r="151" spans="1:2" x14ac:dyDescent="0.25">
      <c r="A151" s="30" t="s">
        <v>1513</v>
      </c>
      <c r="B151" s="31" t="s">
        <v>1514</v>
      </c>
    </row>
    <row r="152" spans="1:2" x14ac:dyDescent="0.25">
      <c r="A152" s="32" t="s">
        <v>9806</v>
      </c>
      <c r="B152" s="33" t="s">
        <v>9806</v>
      </c>
    </row>
    <row r="153" spans="1:2" x14ac:dyDescent="0.25">
      <c r="A153" s="30" t="s">
        <v>74</v>
      </c>
      <c r="B153" s="31" t="s">
        <v>1515</v>
      </c>
    </row>
    <row r="154" spans="1:2" x14ac:dyDescent="0.25">
      <c r="A154" s="32" t="s">
        <v>1516</v>
      </c>
      <c r="B154" s="33" t="s">
        <v>1517</v>
      </c>
    </row>
    <row r="155" spans="1:2" x14ac:dyDescent="0.25">
      <c r="A155" s="30" t="s">
        <v>1518</v>
      </c>
      <c r="B155" s="31" t="s">
        <v>1519</v>
      </c>
    </row>
    <row r="156" spans="1:2" x14ac:dyDescent="0.25">
      <c r="A156" s="32" t="s">
        <v>75</v>
      </c>
      <c r="B156" s="33" t="s">
        <v>1520</v>
      </c>
    </row>
    <row r="157" spans="1:2" x14ac:dyDescent="0.25">
      <c r="A157" s="30" t="s">
        <v>1521</v>
      </c>
      <c r="B157" s="31" t="s">
        <v>1522</v>
      </c>
    </row>
    <row r="158" spans="1:2" x14ac:dyDescent="0.25">
      <c r="A158" s="32" t="s">
        <v>1523</v>
      </c>
      <c r="B158" s="33" t="s">
        <v>1524</v>
      </c>
    </row>
    <row r="159" spans="1:2" x14ac:dyDescent="0.25">
      <c r="A159" s="30" t="s">
        <v>77</v>
      </c>
      <c r="B159" s="31" t="s">
        <v>1525</v>
      </c>
    </row>
    <row r="160" spans="1:2" x14ac:dyDescent="0.25">
      <c r="A160" s="32" t="s">
        <v>1526</v>
      </c>
      <c r="B160" s="33" t="s">
        <v>1527</v>
      </c>
    </row>
    <row r="161" spans="1:2" x14ac:dyDescent="0.25">
      <c r="A161" s="30" t="s">
        <v>79</v>
      </c>
      <c r="B161" s="31" t="s">
        <v>79</v>
      </c>
    </row>
    <row r="162" spans="1:2" x14ac:dyDescent="0.25">
      <c r="A162" s="32" t="s">
        <v>1528</v>
      </c>
      <c r="B162" s="33" t="s">
        <v>1529</v>
      </c>
    </row>
    <row r="163" spans="1:2" x14ac:dyDescent="0.25">
      <c r="A163" s="30" t="s">
        <v>80</v>
      </c>
      <c r="B163" s="31" t="s">
        <v>1530</v>
      </c>
    </row>
    <row r="164" spans="1:2" x14ac:dyDescent="0.25">
      <c r="A164" s="32" t="s">
        <v>1531</v>
      </c>
      <c r="B164" s="33" t="s">
        <v>1532</v>
      </c>
    </row>
    <row r="165" spans="1:2" x14ac:dyDescent="0.25">
      <c r="A165" s="30" t="s">
        <v>1533</v>
      </c>
      <c r="B165" s="31" t="s">
        <v>1534</v>
      </c>
    </row>
    <row r="166" spans="1:2" x14ac:dyDescent="0.25">
      <c r="A166" s="32" t="s">
        <v>81</v>
      </c>
      <c r="B166" s="33" t="s">
        <v>1535</v>
      </c>
    </row>
    <row r="167" spans="1:2" x14ac:dyDescent="0.25">
      <c r="A167" s="30" t="s">
        <v>82</v>
      </c>
      <c r="B167" s="31" t="s">
        <v>1536</v>
      </c>
    </row>
    <row r="168" spans="1:2" x14ac:dyDescent="0.25">
      <c r="A168" s="32" t="s">
        <v>1537</v>
      </c>
      <c r="B168" s="33" t="s">
        <v>1538</v>
      </c>
    </row>
    <row r="169" spans="1:2" x14ac:dyDescent="0.25">
      <c r="A169" s="30" t="s">
        <v>1539</v>
      </c>
      <c r="B169" s="31" t="s">
        <v>1540</v>
      </c>
    </row>
    <row r="170" spans="1:2" x14ac:dyDescent="0.25">
      <c r="A170" s="32" t="s">
        <v>1541</v>
      </c>
      <c r="B170" s="33" t="s">
        <v>1542</v>
      </c>
    </row>
    <row r="171" spans="1:2" x14ac:dyDescent="0.25">
      <c r="A171" s="30" t="s">
        <v>83</v>
      </c>
      <c r="B171" s="31" t="s">
        <v>1543</v>
      </c>
    </row>
    <row r="172" spans="1:2" x14ac:dyDescent="0.25">
      <c r="A172" s="32" t="s">
        <v>9807</v>
      </c>
      <c r="B172" s="33" t="s">
        <v>9807</v>
      </c>
    </row>
    <row r="173" spans="1:2" x14ac:dyDescent="0.25">
      <c r="A173" s="30" t="s">
        <v>84</v>
      </c>
      <c r="B173" s="31" t="s">
        <v>1544</v>
      </c>
    </row>
    <row r="174" spans="1:2" x14ac:dyDescent="0.25">
      <c r="A174" s="32" t="s">
        <v>1545</v>
      </c>
      <c r="B174" s="33" t="s">
        <v>1546</v>
      </c>
    </row>
    <row r="175" spans="1:2" x14ac:dyDescent="0.25">
      <c r="A175" s="30" t="s">
        <v>1547</v>
      </c>
      <c r="B175" s="31" t="s">
        <v>1548</v>
      </c>
    </row>
    <row r="176" spans="1:2" x14ac:dyDescent="0.25">
      <c r="A176" s="32" t="s">
        <v>1549</v>
      </c>
      <c r="B176" s="33" t="s">
        <v>1550</v>
      </c>
    </row>
    <row r="177" spans="1:2" x14ac:dyDescent="0.25">
      <c r="A177" s="30" t="s">
        <v>1551</v>
      </c>
      <c r="B177" s="31" t="s">
        <v>1552</v>
      </c>
    </row>
    <row r="178" spans="1:2" x14ac:dyDescent="0.25">
      <c r="A178" s="32" t="s">
        <v>1553</v>
      </c>
      <c r="B178" s="33" t="s">
        <v>1554</v>
      </c>
    </row>
    <row r="179" spans="1:2" x14ac:dyDescent="0.25">
      <c r="A179" s="30" t="s">
        <v>1555</v>
      </c>
      <c r="B179" s="31" t="s">
        <v>1556</v>
      </c>
    </row>
    <row r="180" spans="1:2" x14ac:dyDescent="0.25">
      <c r="A180" s="32" t="s">
        <v>1557</v>
      </c>
      <c r="B180" s="33" t="s">
        <v>1558</v>
      </c>
    </row>
    <row r="181" spans="1:2" x14ac:dyDescent="0.25">
      <c r="A181" s="30" t="s">
        <v>85</v>
      </c>
      <c r="B181" s="31" t="s">
        <v>1559</v>
      </c>
    </row>
    <row r="182" spans="1:2" x14ac:dyDescent="0.25">
      <c r="A182" s="32" t="s">
        <v>1560</v>
      </c>
      <c r="B182" s="33" t="s">
        <v>1561</v>
      </c>
    </row>
    <row r="183" spans="1:2" x14ac:dyDescent="0.25">
      <c r="A183" s="30" t="s">
        <v>1562</v>
      </c>
      <c r="B183" s="31" t="s">
        <v>1563</v>
      </c>
    </row>
    <row r="184" spans="1:2" x14ac:dyDescent="0.25">
      <c r="A184" s="32" t="s">
        <v>1564</v>
      </c>
      <c r="B184" s="33" t="s">
        <v>1565</v>
      </c>
    </row>
    <row r="185" spans="1:2" x14ac:dyDescent="0.25">
      <c r="A185" s="30" t="s">
        <v>9808</v>
      </c>
      <c r="B185" s="31" t="s">
        <v>9808</v>
      </c>
    </row>
    <row r="186" spans="1:2" x14ac:dyDescent="0.25">
      <c r="A186" s="32" t="s">
        <v>1566</v>
      </c>
      <c r="B186" s="33" t="s">
        <v>1567</v>
      </c>
    </row>
    <row r="187" spans="1:2" x14ac:dyDescent="0.25">
      <c r="A187" s="30" t="s">
        <v>1568</v>
      </c>
      <c r="B187" s="31" t="s">
        <v>1569</v>
      </c>
    </row>
    <row r="188" spans="1:2" x14ac:dyDescent="0.25">
      <c r="A188" s="32" t="s">
        <v>87</v>
      </c>
      <c r="B188" s="33" t="s">
        <v>1570</v>
      </c>
    </row>
    <row r="189" spans="1:2" x14ac:dyDescent="0.25">
      <c r="A189" s="30" t="s">
        <v>1571</v>
      </c>
      <c r="B189" s="31" t="s">
        <v>1572</v>
      </c>
    </row>
    <row r="190" spans="1:2" x14ac:dyDescent="0.25">
      <c r="A190" s="32" t="s">
        <v>1573</v>
      </c>
      <c r="B190" s="33" t="s">
        <v>1574</v>
      </c>
    </row>
    <row r="191" spans="1:2" x14ac:dyDescent="0.25">
      <c r="A191" s="30" t="s">
        <v>1575</v>
      </c>
      <c r="B191" s="31" t="s">
        <v>1576</v>
      </c>
    </row>
    <row r="192" spans="1:2" x14ac:dyDescent="0.25">
      <c r="A192" s="32" t="s">
        <v>1577</v>
      </c>
      <c r="B192" s="33" t="s">
        <v>1578</v>
      </c>
    </row>
    <row r="193" spans="1:2" x14ac:dyDescent="0.25">
      <c r="A193" s="30" t="s">
        <v>88</v>
      </c>
      <c r="B193" s="31" t="s">
        <v>1579</v>
      </c>
    </row>
    <row r="194" spans="1:2" x14ac:dyDescent="0.25">
      <c r="A194" s="32" t="s">
        <v>1580</v>
      </c>
      <c r="B194" s="33" t="s">
        <v>1581</v>
      </c>
    </row>
    <row r="195" spans="1:2" x14ac:dyDescent="0.25">
      <c r="A195" s="30" t="s">
        <v>1582</v>
      </c>
      <c r="B195" s="31" t="s">
        <v>1583</v>
      </c>
    </row>
    <row r="196" spans="1:2" x14ac:dyDescent="0.25">
      <c r="A196" s="32" t="s">
        <v>1584</v>
      </c>
      <c r="B196" s="33" t="s">
        <v>1585</v>
      </c>
    </row>
    <row r="197" spans="1:2" x14ac:dyDescent="0.25">
      <c r="A197" s="30" t="s">
        <v>1586</v>
      </c>
      <c r="B197" s="31" t="s">
        <v>1587</v>
      </c>
    </row>
    <row r="198" spans="1:2" x14ac:dyDescent="0.25">
      <c r="A198" s="32" t="s">
        <v>1588</v>
      </c>
      <c r="B198" s="33" t="s">
        <v>1589</v>
      </c>
    </row>
    <row r="199" spans="1:2" x14ac:dyDescent="0.25">
      <c r="A199" s="30" t="s">
        <v>1590</v>
      </c>
      <c r="B199" s="31" t="s">
        <v>1591</v>
      </c>
    </row>
    <row r="200" spans="1:2" x14ac:dyDescent="0.25">
      <c r="A200" s="32" t="s">
        <v>1592</v>
      </c>
      <c r="B200" s="33" t="s">
        <v>1593</v>
      </c>
    </row>
    <row r="201" spans="1:2" x14ac:dyDescent="0.25">
      <c r="A201" s="30" t="s">
        <v>1594</v>
      </c>
      <c r="B201" s="31" t="s">
        <v>1595</v>
      </c>
    </row>
    <row r="202" spans="1:2" x14ac:dyDescent="0.25">
      <c r="A202" s="32" t="s">
        <v>9809</v>
      </c>
      <c r="B202" s="33" t="s">
        <v>9809</v>
      </c>
    </row>
    <row r="203" spans="1:2" x14ac:dyDescent="0.25">
      <c r="A203" s="30" t="s">
        <v>1596</v>
      </c>
      <c r="B203" s="31" t="s">
        <v>1597</v>
      </c>
    </row>
    <row r="204" spans="1:2" x14ac:dyDescent="0.25">
      <c r="A204" s="32" t="s">
        <v>1598</v>
      </c>
      <c r="B204" s="33" t="s">
        <v>1599</v>
      </c>
    </row>
    <row r="205" spans="1:2" x14ac:dyDescent="0.25">
      <c r="A205" s="30" t="s">
        <v>1600</v>
      </c>
      <c r="B205" s="31" t="s">
        <v>1601</v>
      </c>
    </row>
    <row r="206" spans="1:2" x14ac:dyDescent="0.25">
      <c r="A206" s="32" t="s">
        <v>1602</v>
      </c>
      <c r="B206" s="33" t="s">
        <v>1603</v>
      </c>
    </row>
    <row r="207" spans="1:2" x14ac:dyDescent="0.25">
      <c r="A207" s="30" t="s">
        <v>90</v>
      </c>
      <c r="B207" s="31" t="s">
        <v>1604</v>
      </c>
    </row>
    <row r="208" spans="1:2" x14ac:dyDescent="0.25">
      <c r="A208" s="32" t="s">
        <v>1605</v>
      </c>
      <c r="B208" s="33" t="s">
        <v>1606</v>
      </c>
    </row>
    <row r="209" spans="1:2" x14ac:dyDescent="0.25">
      <c r="A209" s="30" t="s">
        <v>1607</v>
      </c>
      <c r="B209" s="31" t="s">
        <v>1608</v>
      </c>
    </row>
    <row r="210" spans="1:2" x14ac:dyDescent="0.25">
      <c r="A210" s="32" t="s">
        <v>1609</v>
      </c>
      <c r="B210" s="33" t="s">
        <v>1610</v>
      </c>
    </row>
    <row r="211" spans="1:2" x14ac:dyDescent="0.25">
      <c r="A211" s="30" t="s">
        <v>92</v>
      </c>
      <c r="B211" s="31" t="s">
        <v>1611</v>
      </c>
    </row>
    <row r="212" spans="1:2" x14ac:dyDescent="0.25">
      <c r="A212" s="32" t="s">
        <v>93</v>
      </c>
      <c r="B212" s="33" t="s">
        <v>93</v>
      </c>
    </row>
    <row r="213" spans="1:2" x14ac:dyDescent="0.25">
      <c r="A213" s="30" t="s">
        <v>9810</v>
      </c>
      <c r="B213" s="31" t="s">
        <v>9810</v>
      </c>
    </row>
    <row r="214" spans="1:2" x14ac:dyDescent="0.25">
      <c r="A214" s="32" t="s">
        <v>9811</v>
      </c>
      <c r="B214" s="33" t="s">
        <v>9811</v>
      </c>
    </row>
    <row r="215" spans="1:2" x14ac:dyDescent="0.25">
      <c r="A215" s="30" t="s">
        <v>1612</v>
      </c>
      <c r="B215" s="31" t="s">
        <v>1613</v>
      </c>
    </row>
    <row r="216" spans="1:2" x14ac:dyDescent="0.25">
      <c r="A216" s="32" t="s">
        <v>1614</v>
      </c>
      <c r="B216" s="33" t="s">
        <v>1615</v>
      </c>
    </row>
    <row r="217" spans="1:2" x14ac:dyDescent="0.25">
      <c r="A217" s="30" t="s">
        <v>1616</v>
      </c>
      <c r="B217" s="31" t="s">
        <v>1617</v>
      </c>
    </row>
    <row r="218" spans="1:2" x14ac:dyDescent="0.25">
      <c r="A218" s="32" t="s">
        <v>1618</v>
      </c>
      <c r="B218" s="33" t="s">
        <v>1619</v>
      </c>
    </row>
    <row r="219" spans="1:2" x14ac:dyDescent="0.25">
      <c r="A219" s="30" t="s">
        <v>94</v>
      </c>
      <c r="B219" s="31" t="s">
        <v>1620</v>
      </c>
    </row>
    <row r="220" spans="1:2" x14ac:dyDescent="0.25">
      <c r="A220" s="32" t="s">
        <v>95</v>
      </c>
      <c r="B220" s="33" t="s">
        <v>1621</v>
      </c>
    </row>
    <row r="221" spans="1:2" x14ac:dyDescent="0.25">
      <c r="A221" s="30" t="s">
        <v>1622</v>
      </c>
      <c r="B221" s="31" t="s">
        <v>1623</v>
      </c>
    </row>
    <row r="222" spans="1:2" x14ac:dyDescent="0.25">
      <c r="A222" s="32" t="s">
        <v>1624</v>
      </c>
      <c r="B222" s="33" t="s">
        <v>1625</v>
      </c>
    </row>
    <row r="223" spans="1:2" x14ac:dyDescent="0.25">
      <c r="A223" s="30" t="s">
        <v>1626</v>
      </c>
      <c r="B223" s="31" t="s">
        <v>1627</v>
      </c>
    </row>
    <row r="224" spans="1:2" x14ac:dyDescent="0.25">
      <c r="A224" s="32" t="s">
        <v>1628</v>
      </c>
      <c r="B224" s="33" t="s">
        <v>1629</v>
      </c>
    </row>
    <row r="225" spans="1:2" x14ac:dyDescent="0.25">
      <c r="A225" s="30" t="s">
        <v>1630</v>
      </c>
      <c r="B225" s="31" t="s">
        <v>1631</v>
      </c>
    </row>
    <row r="226" spans="1:2" x14ac:dyDescent="0.25">
      <c r="A226" s="32" t="s">
        <v>96</v>
      </c>
      <c r="B226" s="33" t="s">
        <v>1632</v>
      </c>
    </row>
    <row r="227" spans="1:2" x14ac:dyDescent="0.25">
      <c r="A227" s="30" t="s">
        <v>1633</v>
      </c>
      <c r="B227" s="31" t="s">
        <v>1634</v>
      </c>
    </row>
    <row r="228" spans="1:2" x14ac:dyDescent="0.25">
      <c r="A228" s="32" t="s">
        <v>97</v>
      </c>
      <c r="B228" s="33" t="s">
        <v>1635</v>
      </c>
    </row>
    <row r="229" spans="1:2" x14ac:dyDescent="0.25">
      <c r="A229" s="30" t="s">
        <v>1636</v>
      </c>
      <c r="B229" s="31" t="s">
        <v>1637</v>
      </c>
    </row>
    <row r="230" spans="1:2" x14ac:dyDescent="0.25">
      <c r="A230" s="32" t="s">
        <v>1638</v>
      </c>
      <c r="B230" s="33" t="s">
        <v>1639</v>
      </c>
    </row>
    <row r="231" spans="1:2" x14ac:dyDescent="0.25">
      <c r="A231" s="30" t="s">
        <v>1640</v>
      </c>
      <c r="B231" s="31" t="s">
        <v>1641</v>
      </c>
    </row>
    <row r="232" spans="1:2" x14ac:dyDescent="0.25">
      <c r="A232" s="32" t="s">
        <v>1642</v>
      </c>
      <c r="B232" s="33" t="s">
        <v>1643</v>
      </c>
    </row>
    <row r="233" spans="1:2" x14ac:dyDescent="0.25">
      <c r="A233" s="30" t="s">
        <v>1644</v>
      </c>
      <c r="B233" s="31" t="s">
        <v>1645</v>
      </c>
    </row>
    <row r="234" spans="1:2" x14ac:dyDescent="0.25">
      <c r="A234" s="32" t="s">
        <v>98</v>
      </c>
      <c r="B234" s="33" t="s">
        <v>1646</v>
      </c>
    </row>
    <row r="235" spans="1:2" x14ac:dyDescent="0.25">
      <c r="A235" s="30" t="s">
        <v>99</v>
      </c>
      <c r="B235" s="31" t="s">
        <v>1647</v>
      </c>
    </row>
    <row r="236" spans="1:2" x14ac:dyDescent="0.25">
      <c r="A236" s="32" t="s">
        <v>1648</v>
      </c>
      <c r="B236" s="33" t="s">
        <v>1649</v>
      </c>
    </row>
    <row r="237" spans="1:2" x14ac:dyDescent="0.25">
      <c r="A237" s="30" t="s">
        <v>1650</v>
      </c>
      <c r="B237" s="31" t="s">
        <v>1651</v>
      </c>
    </row>
    <row r="238" spans="1:2" x14ac:dyDescent="0.25">
      <c r="A238" s="32" t="s">
        <v>1652</v>
      </c>
      <c r="B238" s="33" t="s">
        <v>1653</v>
      </c>
    </row>
    <row r="239" spans="1:2" x14ac:dyDescent="0.25">
      <c r="A239" s="30" t="s">
        <v>100</v>
      </c>
      <c r="B239" s="31" t="s">
        <v>1654</v>
      </c>
    </row>
    <row r="240" spans="1:2" x14ac:dyDescent="0.25">
      <c r="A240" s="32" t="s">
        <v>101</v>
      </c>
      <c r="B240" s="33" t="s">
        <v>1655</v>
      </c>
    </row>
    <row r="241" spans="1:2" x14ac:dyDescent="0.25">
      <c r="A241" s="30" t="s">
        <v>102</v>
      </c>
      <c r="B241" s="31" t="s">
        <v>1656</v>
      </c>
    </row>
    <row r="242" spans="1:2" x14ac:dyDescent="0.25">
      <c r="A242" s="32" t="s">
        <v>103</v>
      </c>
      <c r="B242" s="33" t="s">
        <v>1657</v>
      </c>
    </row>
    <row r="243" spans="1:2" x14ac:dyDescent="0.25">
      <c r="A243" s="30" t="s">
        <v>104</v>
      </c>
      <c r="B243" s="31" t="s">
        <v>104</v>
      </c>
    </row>
    <row r="244" spans="1:2" x14ac:dyDescent="0.25">
      <c r="A244" s="32" t="s">
        <v>1658</v>
      </c>
      <c r="B244" s="33" t="s">
        <v>1659</v>
      </c>
    </row>
    <row r="245" spans="1:2" x14ac:dyDescent="0.25">
      <c r="A245" s="30" t="s">
        <v>1660</v>
      </c>
      <c r="B245" s="31" t="s">
        <v>1661</v>
      </c>
    </row>
    <row r="246" spans="1:2" x14ac:dyDescent="0.25">
      <c r="A246" s="32" t="s">
        <v>1662</v>
      </c>
      <c r="B246" s="33" t="s">
        <v>1663</v>
      </c>
    </row>
    <row r="247" spans="1:2" x14ac:dyDescent="0.25">
      <c r="A247" s="30" t="s">
        <v>9812</v>
      </c>
      <c r="B247" s="31" t="s">
        <v>9812</v>
      </c>
    </row>
    <row r="248" spans="1:2" x14ac:dyDescent="0.25">
      <c r="A248" s="32" t="s">
        <v>1664</v>
      </c>
      <c r="B248" s="33" t="s">
        <v>1665</v>
      </c>
    </row>
    <row r="249" spans="1:2" x14ac:dyDescent="0.25">
      <c r="A249" s="30" t="s">
        <v>1666</v>
      </c>
      <c r="B249" s="31" t="s">
        <v>1667</v>
      </c>
    </row>
    <row r="250" spans="1:2" x14ac:dyDescent="0.25">
      <c r="A250" s="32" t="s">
        <v>1668</v>
      </c>
      <c r="B250" s="33" t="s">
        <v>1669</v>
      </c>
    </row>
    <row r="251" spans="1:2" x14ac:dyDescent="0.25">
      <c r="A251" s="30" t="s">
        <v>1670</v>
      </c>
      <c r="B251" s="31" t="s">
        <v>1671</v>
      </c>
    </row>
    <row r="252" spans="1:2" x14ac:dyDescent="0.25">
      <c r="A252" s="32" t="s">
        <v>9813</v>
      </c>
      <c r="B252" s="33" t="s">
        <v>9813</v>
      </c>
    </row>
    <row r="253" spans="1:2" x14ac:dyDescent="0.25">
      <c r="A253" s="30" t="s">
        <v>105</v>
      </c>
      <c r="B253" s="31" t="s">
        <v>1672</v>
      </c>
    </row>
    <row r="254" spans="1:2" x14ac:dyDescent="0.25">
      <c r="A254" s="32" t="s">
        <v>107</v>
      </c>
      <c r="B254" s="33" t="s">
        <v>1673</v>
      </c>
    </row>
    <row r="255" spans="1:2" x14ac:dyDescent="0.25">
      <c r="A255" s="30" t="s">
        <v>108</v>
      </c>
      <c r="B255" s="31" t="s">
        <v>1674</v>
      </c>
    </row>
    <row r="256" spans="1:2" x14ac:dyDescent="0.25">
      <c r="A256" s="32" t="s">
        <v>1675</v>
      </c>
      <c r="B256" s="33" t="s">
        <v>1676</v>
      </c>
    </row>
    <row r="257" spans="1:2" x14ac:dyDescent="0.25">
      <c r="A257" s="30" t="s">
        <v>109</v>
      </c>
      <c r="B257" s="31" t="s">
        <v>1677</v>
      </c>
    </row>
    <row r="258" spans="1:2" x14ac:dyDescent="0.25">
      <c r="A258" s="32" t="s">
        <v>1678</v>
      </c>
      <c r="B258" s="33" t="s">
        <v>1679</v>
      </c>
    </row>
    <row r="259" spans="1:2" x14ac:dyDescent="0.25">
      <c r="A259" s="30" t="s">
        <v>1680</v>
      </c>
      <c r="B259" s="31" t="s">
        <v>1681</v>
      </c>
    </row>
    <row r="260" spans="1:2" x14ac:dyDescent="0.25">
      <c r="A260" s="32" t="s">
        <v>1682</v>
      </c>
      <c r="B260" s="33" t="s">
        <v>1683</v>
      </c>
    </row>
    <row r="261" spans="1:2" x14ac:dyDescent="0.25">
      <c r="A261" s="30" t="s">
        <v>1684</v>
      </c>
      <c r="B261" s="31" t="s">
        <v>1685</v>
      </c>
    </row>
    <row r="262" spans="1:2" x14ac:dyDescent="0.25">
      <c r="A262" s="32" t="s">
        <v>1686</v>
      </c>
      <c r="B262" s="33" t="s">
        <v>1687</v>
      </c>
    </row>
    <row r="263" spans="1:2" x14ac:dyDescent="0.25">
      <c r="A263" s="30" t="s">
        <v>1688</v>
      </c>
      <c r="B263" s="31" t="s">
        <v>1689</v>
      </c>
    </row>
    <row r="264" spans="1:2" x14ac:dyDescent="0.25">
      <c r="A264" s="32" t="s">
        <v>110</v>
      </c>
      <c r="B264" s="33" t="s">
        <v>1690</v>
      </c>
    </row>
    <row r="265" spans="1:2" x14ac:dyDescent="0.25">
      <c r="A265" s="30" t="s">
        <v>1691</v>
      </c>
      <c r="B265" s="31" t="s">
        <v>1692</v>
      </c>
    </row>
    <row r="266" spans="1:2" x14ac:dyDescent="0.25">
      <c r="A266" s="32" t="s">
        <v>111</v>
      </c>
      <c r="B266" s="33" t="s">
        <v>1693</v>
      </c>
    </row>
    <row r="267" spans="1:2" x14ac:dyDescent="0.25">
      <c r="A267" s="30" t="s">
        <v>1694</v>
      </c>
      <c r="B267" s="31" t="s">
        <v>1695</v>
      </c>
    </row>
    <row r="268" spans="1:2" x14ac:dyDescent="0.25">
      <c r="A268" s="32" t="s">
        <v>113</v>
      </c>
      <c r="B268" s="33" t="s">
        <v>1696</v>
      </c>
    </row>
    <row r="269" spans="1:2" x14ac:dyDescent="0.25">
      <c r="A269" s="30" t="s">
        <v>1697</v>
      </c>
      <c r="B269" s="31" t="s">
        <v>1698</v>
      </c>
    </row>
    <row r="270" spans="1:2" x14ac:dyDescent="0.25">
      <c r="A270" s="32" t="s">
        <v>1699</v>
      </c>
      <c r="B270" s="33" t="s">
        <v>1700</v>
      </c>
    </row>
    <row r="271" spans="1:2" x14ac:dyDescent="0.25">
      <c r="A271" s="30" t="s">
        <v>115</v>
      </c>
      <c r="B271" s="31" t="s">
        <v>115</v>
      </c>
    </row>
    <row r="272" spans="1:2" x14ac:dyDescent="0.25">
      <c r="A272" s="32" t="s">
        <v>9814</v>
      </c>
      <c r="B272" s="33" t="s">
        <v>9814</v>
      </c>
    </row>
    <row r="273" spans="1:2" x14ac:dyDescent="0.25">
      <c r="A273" s="30" t="s">
        <v>116</v>
      </c>
      <c r="B273" s="31" t="s">
        <v>1701</v>
      </c>
    </row>
    <row r="274" spans="1:2" x14ac:dyDescent="0.25">
      <c r="A274" s="32" t="s">
        <v>1702</v>
      </c>
      <c r="B274" s="33" t="s">
        <v>1703</v>
      </c>
    </row>
    <row r="275" spans="1:2" x14ac:dyDescent="0.25">
      <c r="A275" s="30" t="s">
        <v>9815</v>
      </c>
      <c r="B275" s="31" t="s">
        <v>9815</v>
      </c>
    </row>
    <row r="276" spans="1:2" x14ac:dyDescent="0.25">
      <c r="A276" s="32" t="s">
        <v>117</v>
      </c>
      <c r="B276" s="33" t="s">
        <v>1704</v>
      </c>
    </row>
    <row r="277" spans="1:2" x14ac:dyDescent="0.25">
      <c r="A277" s="30" t="s">
        <v>1705</v>
      </c>
      <c r="B277" s="31" t="s">
        <v>1706</v>
      </c>
    </row>
    <row r="278" spans="1:2" x14ac:dyDescent="0.25">
      <c r="A278" s="32" t="s">
        <v>1707</v>
      </c>
      <c r="B278" s="33" t="s">
        <v>1708</v>
      </c>
    </row>
    <row r="279" spans="1:2" x14ac:dyDescent="0.25">
      <c r="A279" s="30" t="s">
        <v>9816</v>
      </c>
      <c r="B279" s="31" t="s">
        <v>9816</v>
      </c>
    </row>
    <row r="280" spans="1:2" x14ac:dyDescent="0.25">
      <c r="A280" s="32" t="s">
        <v>1709</v>
      </c>
      <c r="B280" s="33" t="s">
        <v>1710</v>
      </c>
    </row>
    <row r="281" spans="1:2" x14ac:dyDescent="0.25">
      <c r="A281" s="30" t="s">
        <v>1711</v>
      </c>
      <c r="B281" s="31" t="s">
        <v>1712</v>
      </c>
    </row>
    <row r="282" spans="1:2" x14ac:dyDescent="0.25">
      <c r="A282" s="32" t="s">
        <v>118</v>
      </c>
      <c r="B282" s="33" t="s">
        <v>1713</v>
      </c>
    </row>
    <row r="283" spans="1:2" x14ac:dyDescent="0.25">
      <c r="A283" s="30" t="s">
        <v>1714</v>
      </c>
      <c r="B283" s="31" t="s">
        <v>1715</v>
      </c>
    </row>
    <row r="284" spans="1:2" x14ac:dyDescent="0.25">
      <c r="A284" s="32" t="s">
        <v>9817</v>
      </c>
      <c r="B284" s="33" t="s">
        <v>9817</v>
      </c>
    </row>
    <row r="285" spans="1:2" x14ac:dyDescent="0.25">
      <c r="A285" s="30" t="s">
        <v>119</v>
      </c>
      <c r="B285" s="31" t="s">
        <v>1716</v>
      </c>
    </row>
    <row r="286" spans="1:2" x14ac:dyDescent="0.25">
      <c r="A286" s="32" t="s">
        <v>120</v>
      </c>
      <c r="B286" s="33" t="s">
        <v>1717</v>
      </c>
    </row>
    <row r="287" spans="1:2" x14ac:dyDescent="0.25">
      <c r="A287" s="30" t="s">
        <v>1718</v>
      </c>
      <c r="B287" s="31" t="s">
        <v>1719</v>
      </c>
    </row>
    <row r="288" spans="1:2" x14ac:dyDescent="0.25">
      <c r="A288" s="32" t="s">
        <v>121</v>
      </c>
      <c r="B288" s="33" t="s">
        <v>1720</v>
      </c>
    </row>
    <row r="289" spans="1:2" x14ac:dyDescent="0.25">
      <c r="A289" s="30" t="s">
        <v>122</v>
      </c>
      <c r="B289" s="31" t="s">
        <v>122</v>
      </c>
    </row>
    <row r="290" spans="1:2" x14ac:dyDescent="0.25">
      <c r="A290" s="32" t="s">
        <v>123</v>
      </c>
      <c r="B290" s="33" t="s">
        <v>1721</v>
      </c>
    </row>
    <row r="291" spans="1:2" x14ac:dyDescent="0.25">
      <c r="A291" s="30" t="s">
        <v>9818</v>
      </c>
      <c r="B291" s="31" t="s">
        <v>9818</v>
      </c>
    </row>
    <row r="292" spans="1:2" x14ac:dyDescent="0.25">
      <c r="A292" s="32" t="s">
        <v>1722</v>
      </c>
      <c r="B292" s="33" t="s">
        <v>1723</v>
      </c>
    </row>
    <row r="293" spans="1:2" x14ac:dyDescent="0.25">
      <c r="A293" s="30" t="s">
        <v>9819</v>
      </c>
      <c r="B293" s="31" t="s">
        <v>9819</v>
      </c>
    </row>
    <row r="294" spans="1:2" x14ac:dyDescent="0.25">
      <c r="A294" s="32" t="s">
        <v>1724</v>
      </c>
      <c r="B294" s="33" t="s">
        <v>1725</v>
      </c>
    </row>
    <row r="295" spans="1:2" x14ac:dyDescent="0.25">
      <c r="A295" s="30" t="s">
        <v>124</v>
      </c>
      <c r="B295" s="31" t="s">
        <v>1726</v>
      </c>
    </row>
    <row r="296" spans="1:2" x14ac:dyDescent="0.25">
      <c r="A296" s="32" t="s">
        <v>1727</v>
      </c>
      <c r="B296" s="33" t="s">
        <v>1728</v>
      </c>
    </row>
    <row r="297" spans="1:2" x14ac:dyDescent="0.25">
      <c r="A297" s="30" t="s">
        <v>1729</v>
      </c>
      <c r="B297" s="31" t="s">
        <v>1730</v>
      </c>
    </row>
    <row r="298" spans="1:2" x14ac:dyDescent="0.25">
      <c r="A298" s="32" t="s">
        <v>1731</v>
      </c>
      <c r="B298" s="33" t="s">
        <v>1732</v>
      </c>
    </row>
    <row r="299" spans="1:2" x14ac:dyDescent="0.25">
      <c r="A299" s="30" t="s">
        <v>9820</v>
      </c>
      <c r="B299" s="31" t="s">
        <v>9820</v>
      </c>
    </row>
    <row r="300" spans="1:2" x14ac:dyDescent="0.25">
      <c r="A300" s="32" t="s">
        <v>1733</v>
      </c>
      <c r="B300" s="33" t="s">
        <v>1734</v>
      </c>
    </row>
    <row r="301" spans="1:2" x14ac:dyDescent="0.25">
      <c r="A301" s="30" t="s">
        <v>1735</v>
      </c>
      <c r="B301" s="31" t="s">
        <v>1736</v>
      </c>
    </row>
    <row r="302" spans="1:2" x14ac:dyDescent="0.25">
      <c r="A302" s="32" t="s">
        <v>125</v>
      </c>
      <c r="B302" s="33" t="s">
        <v>1737</v>
      </c>
    </row>
    <row r="303" spans="1:2" x14ac:dyDescent="0.25">
      <c r="A303" s="30" t="s">
        <v>126</v>
      </c>
      <c r="B303" s="31" t="s">
        <v>1738</v>
      </c>
    </row>
    <row r="304" spans="1:2" x14ac:dyDescent="0.25">
      <c r="A304" s="32" t="s">
        <v>9821</v>
      </c>
      <c r="B304" s="33" t="s">
        <v>9821</v>
      </c>
    </row>
    <row r="305" spans="1:2" x14ac:dyDescent="0.25">
      <c r="A305" s="30" t="s">
        <v>127</v>
      </c>
      <c r="B305" s="31" t="s">
        <v>1739</v>
      </c>
    </row>
    <row r="306" spans="1:2" x14ac:dyDescent="0.25">
      <c r="A306" s="32" t="s">
        <v>128</v>
      </c>
      <c r="B306" s="33" t="s">
        <v>1740</v>
      </c>
    </row>
    <row r="307" spans="1:2" x14ac:dyDescent="0.25">
      <c r="A307" s="30" t="s">
        <v>1741</v>
      </c>
      <c r="B307" s="31" t="s">
        <v>1742</v>
      </c>
    </row>
    <row r="308" spans="1:2" x14ac:dyDescent="0.25">
      <c r="A308" s="32" t="s">
        <v>129</v>
      </c>
      <c r="B308" s="33" t="s">
        <v>1743</v>
      </c>
    </row>
    <row r="309" spans="1:2" x14ac:dyDescent="0.25">
      <c r="A309" s="30" t="s">
        <v>130</v>
      </c>
      <c r="B309" s="31" t="s">
        <v>1744</v>
      </c>
    </row>
    <row r="310" spans="1:2" x14ac:dyDescent="0.25">
      <c r="A310" s="32" t="s">
        <v>9822</v>
      </c>
      <c r="B310" s="33" t="s">
        <v>9822</v>
      </c>
    </row>
    <row r="311" spans="1:2" x14ac:dyDescent="0.25">
      <c r="A311" s="30" t="s">
        <v>1745</v>
      </c>
      <c r="B311" s="31" t="s">
        <v>1746</v>
      </c>
    </row>
    <row r="312" spans="1:2" x14ac:dyDescent="0.25">
      <c r="A312" s="32" t="s">
        <v>1747</v>
      </c>
      <c r="B312" s="33" t="s">
        <v>1748</v>
      </c>
    </row>
    <row r="313" spans="1:2" x14ac:dyDescent="0.25">
      <c r="A313" s="30" t="s">
        <v>131</v>
      </c>
      <c r="B313" s="31" t="s">
        <v>132</v>
      </c>
    </row>
    <row r="314" spans="1:2" x14ac:dyDescent="0.25">
      <c r="A314" s="32" t="s">
        <v>132</v>
      </c>
      <c r="B314" s="33" t="s">
        <v>1749</v>
      </c>
    </row>
    <row r="315" spans="1:2" x14ac:dyDescent="0.25">
      <c r="A315" s="30" t="s">
        <v>133</v>
      </c>
      <c r="B315" s="31" t="s">
        <v>1750</v>
      </c>
    </row>
    <row r="316" spans="1:2" x14ac:dyDescent="0.25">
      <c r="A316" s="32" t="s">
        <v>1751</v>
      </c>
      <c r="B316" s="33" t="s">
        <v>1752</v>
      </c>
    </row>
    <row r="317" spans="1:2" x14ac:dyDescent="0.25">
      <c r="A317" s="30" t="s">
        <v>1753</v>
      </c>
      <c r="B317" s="31" t="s">
        <v>1754</v>
      </c>
    </row>
    <row r="318" spans="1:2" x14ac:dyDescent="0.25">
      <c r="A318" s="32" t="s">
        <v>1755</v>
      </c>
      <c r="B318" s="33" t="s">
        <v>1756</v>
      </c>
    </row>
    <row r="319" spans="1:2" x14ac:dyDescent="0.25">
      <c r="A319" s="30" t="s">
        <v>1757</v>
      </c>
      <c r="B319" s="31" t="s">
        <v>1758</v>
      </c>
    </row>
    <row r="320" spans="1:2" x14ac:dyDescent="0.25">
      <c r="A320" s="32" t="s">
        <v>134</v>
      </c>
      <c r="B320" s="33" t="s">
        <v>1759</v>
      </c>
    </row>
    <row r="321" spans="1:2" x14ac:dyDescent="0.25">
      <c r="A321" s="30" t="s">
        <v>1760</v>
      </c>
      <c r="B321" s="31" t="s">
        <v>1761</v>
      </c>
    </row>
    <row r="322" spans="1:2" x14ac:dyDescent="0.25">
      <c r="A322" s="32" t="s">
        <v>1762</v>
      </c>
      <c r="B322" s="33" t="s">
        <v>1763</v>
      </c>
    </row>
    <row r="323" spans="1:2" x14ac:dyDescent="0.25">
      <c r="A323" s="30" t="s">
        <v>135</v>
      </c>
      <c r="B323" s="31" t="s">
        <v>1764</v>
      </c>
    </row>
    <row r="324" spans="1:2" x14ac:dyDescent="0.25">
      <c r="A324" s="32" t="s">
        <v>136</v>
      </c>
      <c r="B324" s="33" t="s">
        <v>1765</v>
      </c>
    </row>
    <row r="325" spans="1:2" x14ac:dyDescent="0.25">
      <c r="A325" s="30" t="s">
        <v>137</v>
      </c>
      <c r="B325" s="31" t="s">
        <v>1766</v>
      </c>
    </row>
    <row r="326" spans="1:2" x14ac:dyDescent="0.25">
      <c r="A326" s="32" t="s">
        <v>9823</v>
      </c>
      <c r="B326" s="33" t="s">
        <v>9823</v>
      </c>
    </row>
    <row r="327" spans="1:2" x14ac:dyDescent="0.25">
      <c r="A327" s="30" t="s">
        <v>138</v>
      </c>
      <c r="B327" s="31" t="s">
        <v>1767</v>
      </c>
    </row>
    <row r="328" spans="1:2" x14ac:dyDescent="0.25">
      <c r="A328" s="32" t="s">
        <v>9824</v>
      </c>
      <c r="B328" s="33" t="s">
        <v>9824</v>
      </c>
    </row>
    <row r="329" spans="1:2" x14ac:dyDescent="0.25">
      <c r="A329" s="30" t="s">
        <v>9825</v>
      </c>
      <c r="B329" s="31" t="s">
        <v>9825</v>
      </c>
    </row>
    <row r="330" spans="1:2" x14ac:dyDescent="0.25">
      <c r="A330" s="32" t="s">
        <v>9826</v>
      </c>
      <c r="B330" s="33" t="s">
        <v>9826</v>
      </c>
    </row>
    <row r="331" spans="1:2" x14ac:dyDescent="0.25">
      <c r="A331" s="30" t="s">
        <v>139</v>
      </c>
      <c r="B331" s="31" t="s">
        <v>1768</v>
      </c>
    </row>
    <row r="332" spans="1:2" x14ac:dyDescent="0.25">
      <c r="A332" s="32" t="s">
        <v>140</v>
      </c>
      <c r="B332" s="33" t="s">
        <v>1769</v>
      </c>
    </row>
    <row r="333" spans="1:2" x14ac:dyDescent="0.25">
      <c r="A333" s="30" t="s">
        <v>141</v>
      </c>
      <c r="B333" s="31" t="s">
        <v>1770</v>
      </c>
    </row>
    <row r="334" spans="1:2" x14ac:dyDescent="0.25">
      <c r="A334" s="32" t="s">
        <v>1771</v>
      </c>
      <c r="B334" s="33" t="s">
        <v>1772</v>
      </c>
    </row>
    <row r="335" spans="1:2" x14ac:dyDescent="0.25">
      <c r="A335" s="30" t="s">
        <v>8514</v>
      </c>
      <c r="B335" s="31" t="s">
        <v>8514</v>
      </c>
    </row>
    <row r="336" spans="1:2" x14ac:dyDescent="0.25">
      <c r="A336" s="32" t="s">
        <v>142</v>
      </c>
      <c r="B336" s="33" t="s">
        <v>142</v>
      </c>
    </row>
    <row r="337" spans="1:2" x14ac:dyDescent="0.25">
      <c r="A337" s="30" t="s">
        <v>1773</v>
      </c>
      <c r="B337" s="31" t="s">
        <v>1774</v>
      </c>
    </row>
    <row r="338" spans="1:2" x14ac:dyDescent="0.25">
      <c r="A338" s="32" t="s">
        <v>1775</v>
      </c>
      <c r="B338" s="33" t="s">
        <v>1776</v>
      </c>
    </row>
    <row r="339" spans="1:2" x14ac:dyDescent="0.25">
      <c r="A339" s="30" t="s">
        <v>1777</v>
      </c>
      <c r="B339" s="31" t="s">
        <v>1778</v>
      </c>
    </row>
    <row r="340" spans="1:2" x14ac:dyDescent="0.25">
      <c r="A340" s="32" t="s">
        <v>143</v>
      </c>
      <c r="B340" s="33" t="s">
        <v>1779</v>
      </c>
    </row>
    <row r="341" spans="1:2" x14ac:dyDescent="0.25">
      <c r="A341" s="30" t="s">
        <v>1780</v>
      </c>
      <c r="B341" s="31" t="s">
        <v>1781</v>
      </c>
    </row>
    <row r="342" spans="1:2" x14ac:dyDescent="0.25">
      <c r="A342" s="32" t="s">
        <v>1782</v>
      </c>
      <c r="B342" s="33" t="s">
        <v>1783</v>
      </c>
    </row>
    <row r="343" spans="1:2" x14ac:dyDescent="0.25">
      <c r="A343" s="30" t="s">
        <v>144</v>
      </c>
      <c r="B343" s="31" t="s">
        <v>1784</v>
      </c>
    </row>
    <row r="344" spans="1:2" x14ac:dyDescent="0.25">
      <c r="A344" s="32" t="s">
        <v>1785</v>
      </c>
      <c r="B344" s="33" t="s">
        <v>1786</v>
      </c>
    </row>
    <row r="345" spans="1:2" x14ac:dyDescent="0.25">
      <c r="A345" s="30" t="s">
        <v>1787</v>
      </c>
      <c r="B345" s="31" t="s">
        <v>1788</v>
      </c>
    </row>
    <row r="346" spans="1:2" x14ac:dyDescent="0.25">
      <c r="A346" s="32" t="s">
        <v>1789</v>
      </c>
      <c r="B346" s="33" t="s">
        <v>1790</v>
      </c>
    </row>
    <row r="347" spans="1:2" x14ac:dyDescent="0.25">
      <c r="A347" s="30" t="s">
        <v>1791</v>
      </c>
      <c r="B347" s="31" t="s">
        <v>1792</v>
      </c>
    </row>
    <row r="348" spans="1:2" x14ac:dyDescent="0.25">
      <c r="A348" s="32" t="s">
        <v>1793</v>
      </c>
      <c r="B348" s="33" t="s">
        <v>1794</v>
      </c>
    </row>
    <row r="349" spans="1:2" x14ac:dyDescent="0.25">
      <c r="A349" s="30" t="s">
        <v>1795</v>
      </c>
      <c r="B349" s="31" t="s">
        <v>1796</v>
      </c>
    </row>
    <row r="350" spans="1:2" x14ac:dyDescent="0.25">
      <c r="A350" s="32" t="s">
        <v>1797</v>
      </c>
      <c r="B350" s="33" t="s">
        <v>1798</v>
      </c>
    </row>
    <row r="351" spans="1:2" x14ac:dyDescent="0.25">
      <c r="A351" s="30" t="s">
        <v>1799</v>
      </c>
      <c r="B351" s="31" t="s">
        <v>1800</v>
      </c>
    </row>
    <row r="352" spans="1:2" x14ac:dyDescent="0.25">
      <c r="A352" s="32" t="s">
        <v>1801</v>
      </c>
      <c r="B352" s="33" t="s">
        <v>1802</v>
      </c>
    </row>
    <row r="353" spans="1:2" x14ac:dyDescent="0.25">
      <c r="A353" s="30" t="s">
        <v>1803</v>
      </c>
      <c r="B353" s="31" t="s">
        <v>1804</v>
      </c>
    </row>
    <row r="354" spans="1:2" x14ac:dyDescent="0.25">
      <c r="A354" s="32" t="s">
        <v>145</v>
      </c>
      <c r="B354" s="33" t="s">
        <v>1805</v>
      </c>
    </row>
    <row r="355" spans="1:2" x14ac:dyDescent="0.25">
      <c r="A355" s="30" t="s">
        <v>1806</v>
      </c>
      <c r="B355" s="31" t="s">
        <v>1807</v>
      </c>
    </row>
    <row r="356" spans="1:2" x14ac:dyDescent="0.25">
      <c r="A356" s="32" t="s">
        <v>146</v>
      </c>
      <c r="B356" s="33" t="s">
        <v>146</v>
      </c>
    </row>
    <row r="357" spans="1:2" x14ac:dyDescent="0.25">
      <c r="A357" s="30" t="s">
        <v>1808</v>
      </c>
      <c r="B357" s="31" t="s">
        <v>1809</v>
      </c>
    </row>
    <row r="358" spans="1:2" x14ac:dyDescent="0.25">
      <c r="A358" s="32" t="s">
        <v>1810</v>
      </c>
      <c r="B358" s="33" t="s">
        <v>1811</v>
      </c>
    </row>
    <row r="359" spans="1:2" x14ac:dyDescent="0.25">
      <c r="A359" s="30" t="s">
        <v>1812</v>
      </c>
      <c r="B359" s="31" t="s">
        <v>1813</v>
      </c>
    </row>
    <row r="360" spans="1:2" x14ac:dyDescent="0.25">
      <c r="A360" s="32" t="s">
        <v>9827</v>
      </c>
      <c r="B360" s="33" t="s">
        <v>9827</v>
      </c>
    </row>
    <row r="361" spans="1:2" x14ac:dyDescent="0.25">
      <c r="A361" s="30" t="s">
        <v>9828</v>
      </c>
      <c r="B361" s="31" t="s">
        <v>9828</v>
      </c>
    </row>
    <row r="362" spans="1:2" x14ac:dyDescent="0.25">
      <c r="A362" s="32" t="s">
        <v>9829</v>
      </c>
      <c r="B362" s="33" t="s">
        <v>9829</v>
      </c>
    </row>
    <row r="363" spans="1:2" x14ac:dyDescent="0.25">
      <c r="A363" s="30" t="s">
        <v>1814</v>
      </c>
      <c r="B363" s="31" t="s">
        <v>1815</v>
      </c>
    </row>
    <row r="364" spans="1:2" x14ac:dyDescent="0.25">
      <c r="A364" s="32" t="s">
        <v>1816</v>
      </c>
      <c r="B364" s="33" t="s">
        <v>1817</v>
      </c>
    </row>
    <row r="365" spans="1:2" x14ac:dyDescent="0.25">
      <c r="A365" s="30" t="s">
        <v>1818</v>
      </c>
      <c r="B365" s="31" t="s">
        <v>1819</v>
      </c>
    </row>
    <row r="366" spans="1:2" x14ac:dyDescent="0.25">
      <c r="A366" s="32" t="s">
        <v>1820</v>
      </c>
      <c r="B366" s="33" t="s">
        <v>1821</v>
      </c>
    </row>
    <row r="367" spans="1:2" x14ac:dyDescent="0.25">
      <c r="A367" s="30" t="s">
        <v>1822</v>
      </c>
      <c r="B367" s="31" t="s">
        <v>1823</v>
      </c>
    </row>
    <row r="368" spans="1:2" x14ac:dyDescent="0.25">
      <c r="A368" s="32" t="s">
        <v>9830</v>
      </c>
      <c r="B368" s="33" t="s">
        <v>9830</v>
      </c>
    </row>
    <row r="369" spans="1:2" x14ac:dyDescent="0.25">
      <c r="A369" s="30" t="s">
        <v>1824</v>
      </c>
      <c r="B369" s="31" t="s">
        <v>1825</v>
      </c>
    </row>
    <row r="370" spans="1:2" x14ac:dyDescent="0.25">
      <c r="A370" s="32" t="s">
        <v>1826</v>
      </c>
      <c r="B370" s="33" t="s">
        <v>1827</v>
      </c>
    </row>
    <row r="371" spans="1:2" x14ac:dyDescent="0.25">
      <c r="A371" s="30" t="s">
        <v>1828</v>
      </c>
      <c r="B371" s="31" t="s">
        <v>1829</v>
      </c>
    </row>
    <row r="372" spans="1:2" x14ac:dyDescent="0.25">
      <c r="A372" s="32" t="s">
        <v>1830</v>
      </c>
      <c r="B372" s="33" t="s">
        <v>1831</v>
      </c>
    </row>
    <row r="373" spans="1:2" x14ac:dyDescent="0.25">
      <c r="A373" s="30" t="s">
        <v>147</v>
      </c>
      <c r="B373" s="31" t="s">
        <v>147</v>
      </c>
    </row>
    <row r="374" spans="1:2" x14ac:dyDescent="0.25">
      <c r="A374" s="32" t="s">
        <v>9831</v>
      </c>
      <c r="B374" s="33" t="s">
        <v>9831</v>
      </c>
    </row>
    <row r="375" spans="1:2" x14ac:dyDescent="0.25">
      <c r="A375" s="30" t="s">
        <v>9832</v>
      </c>
      <c r="B375" s="31" t="s">
        <v>9832</v>
      </c>
    </row>
    <row r="376" spans="1:2" x14ac:dyDescent="0.25">
      <c r="A376" s="32" t="s">
        <v>9833</v>
      </c>
      <c r="B376" s="33" t="s">
        <v>9833</v>
      </c>
    </row>
    <row r="377" spans="1:2" x14ac:dyDescent="0.25">
      <c r="A377" s="30" t="s">
        <v>1832</v>
      </c>
      <c r="B377" s="31" t="s">
        <v>1833</v>
      </c>
    </row>
    <row r="378" spans="1:2" x14ac:dyDescent="0.25">
      <c r="A378" s="32" t="s">
        <v>9834</v>
      </c>
      <c r="B378" s="33" t="s">
        <v>9834</v>
      </c>
    </row>
    <row r="379" spans="1:2" x14ac:dyDescent="0.25">
      <c r="A379" s="30" t="s">
        <v>9835</v>
      </c>
      <c r="B379" s="31" t="s">
        <v>9835</v>
      </c>
    </row>
    <row r="380" spans="1:2" x14ac:dyDescent="0.25">
      <c r="A380" s="32" t="s">
        <v>9836</v>
      </c>
      <c r="B380" s="33" t="s">
        <v>9836</v>
      </c>
    </row>
    <row r="381" spans="1:2" x14ac:dyDescent="0.25">
      <c r="A381" s="30" t="s">
        <v>9837</v>
      </c>
      <c r="B381" s="31" t="s">
        <v>9837</v>
      </c>
    </row>
    <row r="382" spans="1:2" x14ac:dyDescent="0.25">
      <c r="A382" s="32" t="s">
        <v>1834</v>
      </c>
      <c r="B382" s="33" t="s">
        <v>1835</v>
      </c>
    </row>
    <row r="383" spans="1:2" x14ac:dyDescent="0.25">
      <c r="A383" s="30" t="s">
        <v>9838</v>
      </c>
      <c r="B383" s="31" t="s">
        <v>9838</v>
      </c>
    </row>
    <row r="384" spans="1:2" x14ac:dyDescent="0.25">
      <c r="A384" s="32" t="s">
        <v>148</v>
      </c>
      <c r="B384" s="33" t="s">
        <v>1836</v>
      </c>
    </row>
    <row r="385" spans="1:2" x14ac:dyDescent="0.25">
      <c r="A385" s="30" t="s">
        <v>1837</v>
      </c>
      <c r="B385" s="31" t="s">
        <v>1838</v>
      </c>
    </row>
    <row r="386" spans="1:2" x14ac:dyDescent="0.25">
      <c r="A386" s="32" t="s">
        <v>149</v>
      </c>
      <c r="B386" s="33" t="s">
        <v>1839</v>
      </c>
    </row>
    <row r="387" spans="1:2" x14ac:dyDescent="0.25">
      <c r="A387" s="30" t="s">
        <v>1840</v>
      </c>
      <c r="B387" s="31" t="s">
        <v>1841</v>
      </c>
    </row>
    <row r="388" spans="1:2" x14ac:dyDescent="0.25">
      <c r="A388" s="32" t="s">
        <v>9839</v>
      </c>
      <c r="B388" s="33" t="s">
        <v>9839</v>
      </c>
    </row>
    <row r="389" spans="1:2" x14ac:dyDescent="0.25">
      <c r="A389" s="30" t="s">
        <v>9840</v>
      </c>
      <c r="B389" s="31" t="s">
        <v>9840</v>
      </c>
    </row>
    <row r="390" spans="1:2" x14ac:dyDescent="0.25">
      <c r="A390" s="32" t="s">
        <v>1842</v>
      </c>
      <c r="B390" s="33" t="s">
        <v>1843</v>
      </c>
    </row>
    <row r="391" spans="1:2" x14ac:dyDescent="0.25">
      <c r="A391" s="30" t="s">
        <v>1844</v>
      </c>
      <c r="B391" s="31" t="s">
        <v>1845</v>
      </c>
    </row>
    <row r="392" spans="1:2" x14ac:dyDescent="0.25">
      <c r="A392" s="32" t="s">
        <v>150</v>
      </c>
      <c r="B392" s="33" t="s">
        <v>1846</v>
      </c>
    </row>
    <row r="393" spans="1:2" x14ac:dyDescent="0.25">
      <c r="A393" s="30" t="s">
        <v>1847</v>
      </c>
      <c r="B393" s="31" t="s">
        <v>1848</v>
      </c>
    </row>
    <row r="394" spans="1:2" x14ac:dyDescent="0.25">
      <c r="A394" s="32" t="s">
        <v>1849</v>
      </c>
      <c r="B394" s="33" t="s">
        <v>1850</v>
      </c>
    </row>
    <row r="395" spans="1:2" x14ac:dyDescent="0.25">
      <c r="A395" s="30" t="s">
        <v>1851</v>
      </c>
      <c r="B395" s="31" t="s">
        <v>1852</v>
      </c>
    </row>
    <row r="396" spans="1:2" x14ac:dyDescent="0.25">
      <c r="A396" s="32" t="s">
        <v>1853</v>
      </c>
      <c r="B396" s="33" t="s">
        <v>1854</v>
      </c>
    </row>
    <row r="397" spans="1:2" x14ac:dyDescent="0.25">
      <c r="A397" s="30" t="s">
        <v>9841</v>
      </c>
      <c r="B397" s="31" t="s">
        <v>9841</v>
      </c>
    </row>
    <row r="398" spans="1:2" x14ac:dyDescent="0.25">
      <c r="A398" s="32" t="s">
        <v>9842</v>
      </c>
      <c r="B398" s="33" t="s">
        <v>9842</v>
      </c>
    </row>
    <row r="399" spans="1:2" x14ac:dyDescent="0.25">
      <c r="A399" s="30" t="s">
        <v>1855</v>
      </c>
      <c r="B399" s="31" t="s">
        <v>1856</v>
      </c>
    </row>
    <row r="400" spans="1:2" x14ac:dyDescent="0.25">
      <c r="A400" s="32" t="s">
        <v>1857</v>
      </c>
      <c r="B400" s="33" t="s">
        <v>1858</v>
      </c>
    </row>
    <row r="401" spans="1:2" x14ac:dyDescent="0.25">
      <c r="A401" s="30" t="s">
        <v>1859</v>
      </c>
      <c r="B401" s="31" t="s">
        <v>1860</v>
      </c>
    </row>
    <row r="402" spans="1:2" x14ac:dyDescent="0.25">
      <c r="A402" s="32" t="s">
        <v>1861</v>
      </c>
      <c r="B402" s="33" t="s">
        <v>1862</v>
      </c>
    </row>
    <row r="403" spans="1:2" x14ac:dyDescent="0.25">
      <c r="A403" s="30" t="s">
        <v>9843</v>
      </c>
      <c r="B403" s="31" t="s">
        <v>9843</v>
      </c>
    </row>
    <row r="404" spans="1:2" x14ac:dyDescent="0.25">
      <c r="A404" s="32" t="s">
        <v>1863</v>
      </c>
      <c r="B404" s="33" t="s">
        <v>1864</v>
      </c>
    </row>
    <row r="405" spans="1:2" x14ac:dyDescent="0.25">
      <c r="A405" s="30" t="s">
        <v>9844</v>
      </c>
      <c r="B405" s="31" t="s">
        <v>9844</v>
      </c>
    </row>
    <row r="406" spans="1:2" x14ac:dyDescent="0.25">
      <c r="A406" s="32" t="s">
        <v>1865</v>
      </c>
      <c r="B406" s="33" t="s">
        <v>1866</v>
      </c>
    </row>
    <row r="407" spans="1:2" x14ac:dyDescent="0.25">
      <c r="A407" s="30" t="s">
        <v>1867</v>
      </c>
      <c r="B407" s="31" t="s">
        <v>1868</v>
      </c>
    </row>
    <row r="408" spans="1:2" x14ac:dyDescent="0.25">
      <c r="A408" s="32" t="s">
        <v>151</v>
      </c>
      <c r="B408" s="33" t="s">
        <v>151</v>
      </c>
    </row>
    <row r="409" spans="1:2" x14ac:dyDescent="0.25">
      <c r="A409" s="30" t="s">
        <v>1869</v>
      </c>
      <c r="B409" s="31" t="s">
        <v>1870</v>
      </c>
    </row>
    <row r="410" spans="1:2" x14ac:dyDescent="0.25">
      <c r="A410" s="32" t="s">
        <v>1871</v>
      </c>
      <c r="B410" s="33" t="s">
        <v>1872</v>
      </c>
    </row>
    <row r="411" spans="1:2" x14ac:dyDescent="0.25">
      <c r="A411" s="30" t="s">
        <v>9845</v>
      </c>
      <c r="B411" s="31" t="s">
        <v>9845</v>
      </c>
    </row>
    <row r="412" spans="1:2" x14ac:dyDescent="0.25">
      <c r="A412" s="32" t="s">
        <v>1873</v>
      </c>
      <c r="B412" s="33" t="s">
        <v>1874</v>
      </c>
    </row>
    <row r="413" spans="1:2" x14ac:dyDescent="0.25">
      <c r="A413" s="30" t="s">
        <v>1875</v>
      </c>
      <c r="B413" s="31" t="s">
        <v>1876</v>
      </c>
    </row>
    <row r="414" spans="1:2" x14ac:dyDescent="0.25">
      <c r="A414" s="32" t="s">
        <v>1877</v>
      </c>
      <c r="B414" s="33" t="s">
        <v>1878</v>
      </c>
    </row>
    <row r="415" spans="1:2" x14ac:dyDescent="0.25">
      <c r="A415" s="30" t="s">
        <v>1879</v>
      </c>
      <c r="B415" s="31" t="s">
        <v>1880</v>
      </c>
    </row>
    <row r="416" spans="1:2" x14ac:dyDescent="0.25">
      <c r="A416" s="32" t="s">
        <v>1881</v>
      </c>
      <c r="B416" s="33" t="s">
        <v>1882</v>
      </c>
    </row>
    <row r="417" spans="1:2" x14ac:dyDescent="0.25">
      <c r="A417" s="30" t="s">
        <v>1883</v>
      </c>
      <c r="B417" s="31" t="s">
        <v>1884</v>
      </c>
    </row>
    <row r="418" spans="1:2" x14ac:dyDescent="0.25">
      <c r="A418" s="32" t="s">
        <v>1885</v>
      </c>
      <c r="B418" s="33" t="s">
        <v>1886</v>
      </c>
    </row>
    <row r="419" spans="1:2" x14ac:dyDescent="0.25">
      <c r="A419" s="30" t="s">
        <v>9846</v>
      </c>
      <c r="B419" s="31" t="s">
        <v>9846</v>
      </c>
    </row>
    <row r="420" spans="1:2" x14ac:dyDescent="0.25">
      <c r="A420" s="32" t="s">
        <v>1887</v>
      </c>
      <c r="B420" s="33" t="s">
        <v>1888</v>
      </c>
    </row>
    <row r="421" spans="1:2" x14ac:dyDescent="0.25">
      <c r="A421" s="30" t="s">
        <v>1889</v>
      </c>
      <c r="B421" s="31" t="s">
        <v>1890</v>
      </c>
    </row>
    <row r="422" spans="1:2" x14ac:dyDescent="0.25">
      <c r="A422" s="32" t="s">
        <v>1891</v>
      </c>
      <c r="B422" s="33" t="s">
        <v>1892</v>
      </c>
    </row>
    <row r="423" spans="1:2" x14ac:dyDescent="0.25">
      <c r="A423" s="30" t="s">
        <v>9847</v>
      </c>
      <c r="B423" s="31" t="s">
        <v>9847</v>
      </c>
    </row>
    <row r="424" spans="1:2" x14ac:dyDescent="0.25">
      <c r="A424" s="32" t="s">
        <v>1893</v>
      </c>
      <c r="B424" s="33" t="s">
        <v>1894</v>
      </c>
    </row>
    <row r="425" spans="1:2" x14ac:dyDescent="0.25">
      <c r="A425" s="30" t="s">
        <v>152</v>
      </c>
      <c r="B425" s="31" t="s">
        <v>1895</v>
      </c>
    </row>
    <row r="426" spans="1:2" x14ac:dyDescent="0.25">
      <c r="A426" s="32" t="s">
        <v>9848</v>
      </c>
      <c r="B426" s="33" t="s">
        <v>9848</v>
      </c>
    </row>
    <row r="427" spans="1:2" x14ac:dyDescent="0.25">
      <c r="A427" s="30" t="s">
        <v>1896</v>
      </c>
      <c r="B427" s="31" t="s">
        <v>1897</v>
      </c>
    </row>
    <row r="428" spans="1:2" x14ac:dyDescent="0.25">
      <c r="A428" s="32" t="s">
        <v>1898</v>
      </c>
      <c r="B428" s="33" t="s">
        <v>1899</v>
      </c>
    </row>
    <row r="429" spans="1:2" x14ac:dyDescent="0.25">
      <c r="A429" s="30" t="s">
        <v>1900</v>
      </c>
      <c r="B429" s="31" t="s">
        <v>1901</v>
      </c>
    </row>
    <row r="430" spans="1:2" x14ac:dyDescent="0.25">
      <c r="A430" s="32" t="s">
        <v>1902</v>
      </c>
      <c r="B430" s="33" t="s">
        <v>1903</v>
      </c>
    </row>
    <row r="431" spans="1:2" x14ac:dyDescent="0.25">
      <c r="A431" s="30" t="s">
        <v>1904</v>
      </c>
      <c r="B431" s="31" t="s">
        <v>1905</v>
      </c>
    </row>
    <row r="432" spans="1:2" x14ac:dyDescent="0.25">
      <c r="A432" s="32" t="s">
        <v>1906</v>
      </c>
      <c r="B432" s="33" t="s">
        <v>1907</v>
      </c>
    </row>
    <row r="433" spans="1:2" x14ac:dyDescent="0.25">
      <c r="A433" s="30" t="s">
        <v>153</v>
      </c>
      <c r="B433" s="31" t="s">
        <v>153</v>
      </c>
    </row>
    <row r="434" spans="1:2" x14ac:dyDescent="0.25">
      <c r="A434" s="32" t="s">
        <v>154</v>
      </c>
      <c r="B434" s="33" t="s">
        <v>1908</v>
      </c>
    </row>
    <row r="435" spans="1:2" x14ac:dyDescent="0.25">
      <c r="A435" s="30" t="s">
        <v>1909</v>
      </c>
      <c r="B435" s="31" t="s">
        <v>1910</v>
      </c>
    </row>
    <row r="436" spans="1:2" x14ac:dyDescent="0.25">
      <c r="A436" s="32" t="s">
        <v>9849</v>
      </c>
      <c r="B436" s="33" t="s">
        <v>9849</v>
      </c>
    </row>
    <row r="437" spans="1:2" x14ac:dyDescent="0.25">
      <c r="A437" s="30" t="s">
        <v>9850</v>
      </c>
      <c r="B437" s="31" t="s">
        <v>9850</v>
      </c>
    </row>
    <row r="438" spans="1:2" x14ac:dyDescent="0.25">
      <c r="A438" s="32" t="s">
        <v>9851</v>
      </c>
      <c r="B438" s="33" t="s">
        <v>9851</v>
      </c>
    </row>
    <row r="439" spans="1:2" x14ac:dyDescent="0.25">
      <c r="A439" s="30" t="s">
        <v>9852</v>
      </c>
      <c r="B439" s="31" t="s">
        <v>9852</v>
      </c>
    </row>
    <row r="440" spans="1:2" x14ac:dyDescent="0.25">
      <c r="A440" s="32" t="s">
        <v>1911</v>
      </c>
      <c r="B440" s="33" t="s">
        <v>1912</v>
      </c>
    </row>
    <row r="441" spans="1:2" x14ac:dyDescent="0.25">
      <c r="A441" s="30" t="s">
        <v>155</v>
      </c>
      <c r="B441" s="31" t="s">
        <v>1913</v>
      </c>
    </row>
    <row r="442" spans="1:2" x14ac:dyDescent="0.25">
      <c r="A442" s="32" t="s">
        <v>1914</v>
      </c>
      <c r="B442" s="33" t="s">
        <v>1915</v>
      </c>
    </row>
    <row r="443" spans="1:2" x14ac:dyDescent="0.25">
      <c r="A443" s="30" t="s">
        <v>9853</v>
      </c>
      <c r="B443" s="31" t="s">
        <v>9853</v>
      </c>
    </row>
    <row r="444" spans="1:2" x14ac:dyDescent="0.25">
      <c r="A444" s="32" t="s">
        <v>9854</v>
      </c>
      <c r="B444" s="33" t="s">
        <v>9854</v>
      </c>
    </row>
    <row r="445" spans="1:2" x14ac:dyDescent="0.25">
      <c r="A445" s="30" t="s">
        <v>1916</v>
      </c>
      <c r="B445" s="31" t="s">
        <v>1917</v>
      </c>
    </row>
    <row r="446" spans="1:2" x14ac:dyDescent="0.25">
      <c r="A446" s="32" t="s">
        <v>156</v>
      </c>
      <c r="B446" s="33" t="s">
        <v>1918</v>
      </c>
    </row>
    <row r="447" spans="1:2" x14ac:dyDescent="0.25">
      <c r="A447" s="30" t="s">
        <v>9855</v>
      </c>
      <c r="B447" s="31" t="s">
        <v>9855</v>
      </c>
    </row>
    <row r="448" spans="1:2" x14ac:dyDescent="0.25">
      <c r="A448" s="32" t="s">
        <v>9856</v>
      </c>
      <c r="B448" s="33" t="s">
        <v>9856</v>
      </c>
    </row>
    <row r="449" spans="1:2" x14ac:dyDescent="0.25">
      <c r="A449" s="30" t="s">
        <v>9857</v>
      </c>
      <c r="B449" s="31" t="s">
        <v>9857</v>
      </c>
    </row>
    <row r="450" spans="1:2" x14ac:dyDescent="0.25">
      <c r="A450" s="32" t="s">
        <v>9858</v>
      </c>
      <c r="B450" s="33" t="s">
        <v>9858</v>
      </c>
    </row>
    <row r="451" spans="1:2" x14ac:dyDescent="0.25">
      <c r="A451" s="30" t="s">
        <v>157</v>
      </c>
      <c r="B451" s="31" t="s">
        <v>1919</v>
      </c>
    </row>
    <row r="452" spans="1:2" x14ac:dyDescent="0.25">
      <c r="A452" s="32" t="s">
        <v>9859</v>
      </c>
      <c r="B452" s="33" t="s">
        <v>9859</v>
      </c>
    </row>
    <row r="453" spans="1:2" x14ac:dyDescent="0.25">
      <c r="A453" s="30" t="s">
        <v>1920</v>
      </c>
      <c r="B453" s="31" t="s">
        <v>1921</v>
      </c>
    </row>
    <row r="454" spans="1:2" x14ac:dyDescent="0.25">
      <c r="A454" s="32" t="s">
        <v>1922</v>
      </c>
      <c r="B454" s="33" t="s">
        <v>1923</v>
      </c>
    </row>
    <row r="455" spans="1:2" x14ac:dyDescent="0.25">
      <c r="A455" s="30" t="s">
        <v>9860</v>
      </c>
      <c r="B455" s="31" t="s">
        <v>9860</v>
      </c>
    </row>
    <row r="456" spans="1:2" x14ac:dyDescent="0.25">
      <c r="A456" s="32" t="s">
        <v>1924</v>
      </c>
      <c r="B456" s="33" t="s">
        <v>1925</v>
      </c>
    </row>
    <row r="457" spans="1:2" x14ac:dyDescent="0.25">
      <c r="A457" s="30" t="s">
        <v>1926</v>
      </c>
      <c r="B457" s="31" t="s">
        <v>1927</v>
      </c>
    </row>
    <row r="458" spans="1:2" x14ac:dyDescent="0.25">
      <c r="A458" s="32" t="s">
        <v>9861</v>
      </c>
      <c r="B458" s="33" t="s">
        <v>9861</v>
      </c>
    </row>
    <row r="459" spans="1:2" x14ac:dyDescent="0.25">
      <c r="A459" s="30" t="s">
        <v>1928</v>
      </c>
      <c r="B459" s="31" t="s">
        <v>1929</v>
      </c>
    </row>
    <row r="460" spans="1:2" x14ac:dyDescent="0.25">
      <c r="A460" s="32" t="s">
        <v>1930</v>
      </c>
      <c r="B460" s="33" t="s">
        <v>1931</v>
      </c>
    </row>
    <row r="461" spans="1:2" x14ac:dyDescent="0.25">
      <c r="A461" s="30" t="s">
        <v>1932</v>
      </c>
      <c r="B461" s="31" t="s">
        <v>1933</v>
      </c>
    </row>
    <row r="462" spans="1:2" x14ac:dyDescent="0.25">
      <c r="A462" s="32" t="s">
        <v>1934</v>
      </c>
      <c r="B462" s="33" t="s">
        <v>1935</v>
      </c>
    </row>
    <row r="463" spans="1:2" x14ac:dyDescent="0.25">
      <c r="A463" s="30" t="s">
        <v>1936</v>
      </c>
      <c r="B463" s="31" t="s">
        <v>1937</v>
      </c>
    </row>
    <row r="464" spans="1:2" x14ac:dyDescent="0.25">
      <c r="A464" s="32" t="s">
        <v>1938</v>
      </c>
      <c r="B464" s="33" t="s">
        <v>1939</v>
      </c>
    </row>
    <row r="465" spans="1:2" x14ac:dyDescent="0.25">
      <c r="A465" s="30" t="s">
        <v>158</v>
      </c>
      <c r="B465" s="31" t="s">
        <v>1940</v>
      </c>
    </row>
    <row r="466" spans="1:2" x14ac:dyDescent="0.25">
      <c r="A466" s="32" t="s">
        <v>1941</v>
      </c>
      <c r="B466" s="33" t="s">
        <v>1942</v>
      </c>
    </row>
    <row r="467" spans="1:2" x14ac:dyDescent="0.25">
      <c r="A467" s="30" t="s">
        <v>1943</v>
      </c>
      <c r="B467" s="31" t="s">
        <v>1944</v>
      </c>
    </row>
    <row r="468" spans="1:2" x14ac:dyDescent="0.25">
      <c r="A468" s="32" t="s">
        <v>1945</v>
      </c>
      <c r="B468" s="33" t="s">
        <v>1946</v>
      </c>
    </row>
    <row r="469" spans="1:2" x14ac:dyDescent="0.25">
      <c r="A469" s="30" t="s">
        <v>1947</v>
      </c>
      <c r="B469" s="31" t="s">
        <v>1948</v>
      </c>
    </row>
    <row r="470" spans="1:2" x14ac:dyDescent="0.25">
      <c r="A470" s="32" t="s">
        <v>1949</v>
      </c>
      <c r="B470" s="33" t="s">
        <v>1950</v>
      </c>
    </row>
    <row r="471" spans="1:2" x14ac:dyDescent="0.25">
      <c r="A471" s="30" t="s">
        <v>159</v>
      </c>
      <c r="B471" s="31" t="s">
        <v>1951</v>
      </c>
    </row>
    <row r="472" spans="1:2" x14ac:dyDescent="0.25">
      <c r="A472" s="32" t="s">
        <v>160</v>
      </c>
      <c r="B472" s="33" t="s">
        <v>1952</v>
      </c>
    </row>
    <row r="473" spans="1:2" x14ac:dyDescent="0.25">
      <c r="A473" s="30" t="s">
        <v>161</v>
      </c>
      <c r="B473" s="31" t="s">
        <v>1953</v>
      </c>
    </row>
    <row r="474" spans="1:2" x14ac:dyDescent="0.25">
      <c r="A474" s="32" t="s">
        <v>9862</v>
      </c>
      <c r="B474" s="33" t="s">
        <v>9862</v>
      </c>
    </row>
    <row r="475" spans="1:2" x14ac:dyDescent="0.25">
      <c r="A475" s="30" t="s">
        <v>1954</v>
      </c>
      <c r="B475" s="31" t="s">
        <v>1955</v>
      </c>
    </row>
    <row r="476" spans="1:2" x14ac:dyDescent="0.25">
      <c r="A476" s="32" t="s">
        <v>1956</v>
      </c>
      <c r="B476" s="33" t="s">
        <v>1957</v>
      </c>
    </row>
    <row r="477" spans="1:2" x14ac:dyDescent="0.25">
      <c r="A477" s="30" t="s">
        <v>1958</v>
      </c>
      <c r="B477" s="31" t="s">
        <v>1959</v>
      </c>
    </row>
    <row r="478" spans="1:2" x14ac:dyDescent="0.25">
      <c r="A478" s="32" t="s">
        <v>162</v>
      </c>
      <c r="B478" s="33" t="s">
        <v>1960</v>
      </c>
    </row>
    <row r="479" spans="1:2" x14ac:dyDescent="0.25">
      <c r="A479" s="30" t="s">
        <v>1961</v>
      </c>
      <c r="B479" s="31" t="s">
        <v>1962</v>
      </c>
    </row>
    <row r="480" spans="1:2" x14ac:dyDescent="0.25">
      <c r="A480" s="32" t="s">
        <v>1963</v>
      </c>
      <c r="B480" s="33" t="s">
        <v>1964</v>
      </c>
    </row>
    <row r="481" spans="1:2" x14ac:dyDescent="0.25">
      <c r="A481" s="30" t="s">
        <v>1965</v>
      </c>
      <c r="B481" s="31" t="s">
        <v>1966</v>
      </c>
    </row>
    <row r="482" spans="1:2" x14ac:dyDescent="0.25">
      <c r="A482" s="32" t="s">
        <v>1967</v>
      </c>
      <c r="B482" s="33" t="s">
        <v>1968</v>
      </c>
    </row>
    <row r="483" spans="1:2" x14ac:dyDescent="0.25">
      <c r="A483" s="30" t="s">
        <v>163</v>
      </c>
      <c r="B483" s="31" t="s">
        <v>1969</v>
      </c>
    </row>
    <row r="484" spans="1:2" x14ac:dyDescent="0.25">
      <c r="A484" s="32" t="s">
        <v>1970</v>
      </c>
      <c r="B484" s="33" t="s">
        <v>1971</v>
      </c>
    </row>
    <row r="485" spans="1:2" x14ac:dyDescent="0.25">
      <c r="A485" s="30" t="s">
        <v>9863</v>
      </c>
      <c r="B485" s="31" t="s">
        <v>9863</v>
      </c>
    </row>
    <row r="486" spans="1:2" x14ac:dyDescent="0.25">
      <c r="A486" s="32" t="s">
        <v>9864</v>
      </c>
      <c r="B486" s="33" t="s">
        <v>9864</v>
      </c>
    </row>
    <row r="487" spans="1:2" x14ac:dyDescent="0.25">
      <c r="A487" s="30" t="s">
        <v>9865</v>
      </c>
      <c r="B487" s="31" t="s">
        <v>9865</v>
      </c>
    </row>
    <row r="488" spans="1:2" x14ac:dyDescent="0.25">
      <c r="A488" s="32" t="s">
        <v>1972</v>
      </c>
      <c r="B488" s="33" t="s">
        <v>1973</v>
      </c>
    </row>
    <row r="489" spans="1:2" x14ac:dyDescent="0.25">
      <c r="A489" s="30" t="s">
        <v>1974</v>
      </c>
      <c r="B489" s="31" t="s">
        <v>1975</v>
      </c>
    </row>
    <row r="490" spans="1:2" x14ac:dyDescent="0.25">
      <c r="A490" s="32" t="s">
        <v>1976</v>
      </c>
      <c r="B490" s="33" t="s">
        <v>1977</v>
      </c>
    </row>
    <row r="491" spans="1:2" x14ac:dyDescent="0.25">
      <c r="A491" s="30" t="s">
        <v>9866</v>
      </c>
      <c r="B491" s="31" t="s">
        <v>9866</v>
      </c>
    </row>
    <row r="492" spans="1:2" x14ac:dyDescent="0.25">
      <c r="A492" s="32" t="s">
        <v>1978</v>
      </c>
      <c r="B492" s="33" t="s">
        <v>1979</v>
      </c>
    </row>
    <row r="493" spans="1:2" x14ac:dyDescent="0.25">
      <c r="A493" s="30" t="s">
        <v>1980</v>
      </c>
      <c r="B493" s="31" t="s">
        <v>1981</v>
      </c>
    </row>
    <row r="494" spans="1:2" x14ac:dyDescent="0.25">
      <c r="A494" s="32" t="s">
        <v>1982</v>
      </c>
      <c r="B494" s="33" t="s">
        <v>1983</v>
      </c>
    </row>
    <row r="495" spans="1:2" x14ac:dyDescent="0.25">
      <c r="A495" s="30" t="s">
        <v>1984</v>
      </c>
      <c r="B495" s="31" t="s">
        <v>1985</v>
      </c>
    </row>
    <row r="496" spans="1:2" x14ac:dyDescent="0.25">
      <c r="A496" s="32" t="s">
        <v>9867</v>
      </c>
      <c r="B496" s="33" t="s">
        <v>9867</v>
      </c>
    </row>
    <row r="497" spans="1:2" x14ac:dyDescent="0.25">
      <c r="A497" s="30" t="s">
        <v>1986</v>
      </c>
      <c r="B497" s="31" t="s">
        <v>1987</v>
      </c>
    </row>
    <row r="498" spans="1:2" x14ac:dyDescent="0.25">
      <c r="A498" s="32" t="s">
        <v>9868</v>
      </c>
      <c r="B498" s="33" t="s">
        <v>9868</v>
      </c>
    </row>
    <row r="499" spans="1:2" x14ac:dyDescent="0.25">
      <c r="A499" s="30" t="s">
        <v>9869</v>
      </c>
      <c r="B499" s="31" t="s">
        <v>9869</v>
      </c>
    </row>
    <row r="500" spans="1:2" x14ac:dyDescent="0.25">
      <c r="A500" s="32" t="s">
        <v>9870</v>
      </c>
      <c r="B500" s="33" t="s">
        <v>9870</v>
      </c>
    </row>
    <row r="501" spans="1:2" x14ac:dyDescent="0.25">
      <c r="A501" s="30" t="s">
        <v>1988</v>
      </c>
      <c r="B501" s="31" t="s">
        <v>1989</v>
      </c>
    </row>
    <row r="502" spans="1:2" x14ac:dyDescent="0.25">
      <c r="A502" s="32" t="s">
        <v>1990</v>
      </c>
      <c r="B502" s="33" t="s">
        <v>1991</v>
      </c>
    </row>
    <row r="503" spans="1:2" x14ac:dyDescent="0.25">
      <c r="A503" s="30" t="s">
        <v>9871</v>
      </c>
      <c r="B503" s="31" t="s">
        <v>9871</v>
      </c>
    </row>
    <row r="504" spans="1:2" x14ac:dyDescent="0.25">
      <c r="A504" s="32" t="s">
        <v>9872</v>
      </c>
      <c r="B504" s="33" t="s">
        <v>9872</v>
      </c>
    </row>
    <row r="505" spans="1:2" x14ac:dyDescent="0.25">
      <c r="A505" s="30" t="s">
        <v>9873</v>
      </c>
      <c r="B505" s="31" t="s">
        <v>9873</v>
      </c>
    </row>
    <row r="506" spans="1:2" x14ac:dyDescent="0.25">
      <c r="A506" s="32" t="s">
        <v>1992</v>
      </c>
      <c r="B506" s="33" t="s">
        <v>1993</v>
      </c>
    </row>
    <row r="507" spans="1:2" x14ac:dyDescent="0.25">
      <c r="A507" s="30" t="s">
        <v>164</v>
      </c>
      <c r="B507" s="31" t="s">
        <v>164</v>
      </c>
    </row>
    <row r="508" spans="1:2" x14ac:dyDescent="0.25">
      <c r="A508" s="32" t="s">
        <v>1994</v>
      </c>
      <c r="B508" s="33" t="s">
        <v>1995</v>
      </c>
    </row>
    <row r="509" spans="1:2" x14ac:dyDescent="0.25">
      <c r="A509" s="30" t="s">
        <v>9874</v>
      </c>
      <c r="B509" s="31" t="s">
        <v>9874</v>
      </c>
    </row>
    <row r="510" spans="1:2" x14ac:dyDescent="0.25">
      <c r="A510" s="32" t="s">
        <v>9875</v>
      </c>
      <c r="B510" s="33" t="s">
        <v>9875</v>
      </c>
    </row>
    <row r="511" spans="1:2" x14ac:dyDescent="0.25">
      <c r="A511" s="30" t="s">
        <v>9876</v>
      </c>
      <c r="B511" s="31" t="s">
        <v>9876</v>
      </c>
    </row>
    <row r="512" spans="1:2" x14ac:dyDescent="0.25">
      <c r="A512" s="32" t="s">
        <v>1996</v>
      </c>
      <c r="B512" s="33" t="s">
        <v>1997</v>
      </c>
    </row>
    <row r="513" spans="1:2" x14ac:dyDescent="0.25">
      <c r="A513" s="30" t="s">
        <v>1998</v>
      </c>
      <c r="B513" s="31" t="s">
        <v>1999</v>
      </c>
    </row>
    <row r="514" spans="1:2" x14ac:dyDescent="0.25">
      <c r="A514" s="32" t="s">
        <v>9877</v>
      </c>
      <c r="B514" s="33" t="s">
        <v>9877</v>
      </c>
    </row>
    <row r="515" spans="1:2" x14ac:dyDescent="0.25">
      <c r="A515" s="30" t="s">
        <v>9878</v>
      </c>
      <c r="B515" s="31" t="s">
        <v>9878</v>
      </c>
    </row>
    <row r="516" spans="1:2" x14ac:dyDescent="0.25">
      <c r="A516" s="32" t="s">
        <v>2000</v>
      </c>
      <c r="B516" s="33" t="s">
        <v>2001</v>
      </c>
    </row>
    <row r="517" spans="1:2" x14ac:dyDescent="0.25">
      <c r="A517" s="30" t="s">
        <v>2002</v>
      </c>
      <c r="B517" s="31" t="s">
        <v>2003</v>
      </c>
    </row>
    <row r="518" spans="1:2" x14ac:dyDescent="0.25">
      <c r="A518" s="32" t="s">
        <v>165</v>
      </c>
      <c r="B518" s="33" t="s">
        <v>2004</v>
      </c>
    </row>
    <row r="519" spans="1:2" x14ac:dyDescent="0.25">
      <c r="A519" s="30" t="s">
        <v>2005</v>
      </c>
      <c r="B519" s="31" t="s">
        <v>2006</v>
      </c>
    </row>
    <row r="520" spans="1:2" x14ac:dyDescent="0.25">
      <c r="A520" s="32" t="s">
        <v>2007</v>
      </c>
      <c r="B520" s="33" t="s">
        <v>2008</v>
      </c>
    </row>
    <row r="521" spans="1:2" x14ac:dyDescent="0.25">
      <c r="A521" s="30" t="s">
        <v>2009</v>
      </c>
      <c r="B521" s="31" t="s">
        <v>2010</v>
      </c>
    </row>
    <row r="522" spans="1:2" x14ac:dyDescent="0.25">
      <c r="A522" s="32" t="s">
        <v>2011</v>
      </c>
      <c r="B522" s="33" t="s">
        <v>2012</v>
      </c>
    </row>
    <row r="523" spans="1:2" x14ac:dyDescent="0.25">
      <c r="A523" s="30" t="s">
        <v>2013</v>
      </c>
      <c r="B523" s="31" t="s">
        <v>2014</v>
      </c>
    </row>
    <row r="524" spans="1:2" x14ac:dyDescent="0.25">
      <c r="A524" s="32" t="s">
        <v>2015</v>
      </c>
      <c r="B524" s="33" t="s">
        <v>2016</v>
      </c>
    </row>
    <row r="525" spans="1:2" x14ac:dyDescent="0.25">
      <c r="A525" s="30" t="s">
        <v>9879</v>
      </c>
      <c r="B525" s="31" t="s">
        <v>9879</v>
      </c>
    </row>
    <row r="526" spans="1:2" x14ac:dyDescent="0.25">
      <c r="A526" s="32" t="s">
        <v>166</v>
      </c>
      <c r="B526" s="33" t="s">
        <v>2017</v>
      </c>
    </row>
    <row r="527" spans="1:2" x14ac:dyDescent="0.25">
      <c r="A527" s="30" t="s">
        <v>9880</v>
      </c>
      <c r="B527" s="31" t="s">
        <v>9880</v>
      </c>
    </row>
    <row r="528" spans="1:2" x14ac:dyDescent="0.25">
      <c r="A528" s="32" t="s">
        <v>167</v>
      </c>
      <c r="B528" s="33" t="s">
        <v>2018</v>
      </c>
    </row>
    <row r="529" spans="1:2" x14ac:dyDescent="0.25">
      <c r="A529" s="30" t="s">
        <v>2019</v>
      </c>
      <c r="B529" s="31" t="s">
        <v>2020</v>
      </c>
    </row>
    <row r="530" spans="1:2" x14ac:dyDescent="0.25">
      <c r="A530" s="32" t="s">
        <v>2021</v>
      </c>
      <c r="B530" s="33" t="s">
        <v>2022</v>
      </c>
    </row>
    <row r="531" spans="1:2" x14ac:dyDescent="0.25">
      <c r="A531" s="30" t="s">
        <v>2023</v>
      </c>
      <c r="B531" s="31" t="s">
        <v>2024</v>
      </c>
    </row>
    <row r="532" spans="1:2" x14ac:dyDescent="0.25">
      <c r="A532" s="32" t="s">
        <v>168</v>
      </c>
      <c r="B532" s="33" t="s">
        <v>2025</v>
      </c>
    </row>
    <row r="533" spans="1:2" x14ac:dyDescent="0.25">
      <c r="A533" s="30" t="s">
        <v>9881</v>
      </c>
      <c r="B533" s="31" t="s">
        <v>9881</v>
      </c>
    </row>
    <row r="534" spans="1:2" x14ac:dyDescent="0.25">
      <c r="A534" s="32" t="s">
        <v>2026</v>
      </c>
      <c r="B534" s="33" t="s">
        <v>2027</v>
      </c>
    </row>
    <row r="535" spans="1:2" x14ac:dyDescent="0.25">
      <c r="A535" s="30" t="s">
        <v>2028</v>
      </c>
      <c r="B535" s="31" t="s">
        <v>2029</v>
      </c>
    </row>
    <row r="536" spans="1:2" x14ac:dyDescent="0.25">
      <c r="A536" s="32" t="s">
        <v>2030</v>
      </c>
      <c r="B536" s="33" t="s">
        <v>2031</v>
      </c>
    </row>
    <row r="537" spans="1:2" x14ac:dyDescent="0.25">
      <c r="A537" s="30" t="s">
        <v>9882</v>
      </c>
      <c r="B537" s="31" t="s">
        <v>9882</v>
      </c>
    </row>
    <row r="538" spans="1:2" x14ac:dyDescent="0.25">
      <c r="A538" s="32" t="s">
        <v>2032</v>
      </c>
      <c r="B538" s="33" t="s">
        <v>2033</v>
      </c>
    </row>
    <row r="539" spans="1:2" x14ac:dyDescent="0.25">
      <c r="A539" s="30" t="s">
        <v>2034</v>
      </c>
      <c r="B539" s="31" t="s">
        <v>2035</v>
      </c>
    </row>
    <row r="540" spans="1:2" x14ac:dyDescent="0.25">
      <c r="A540" s="32" t="s">
        <v>2036</v>
      </c>
      <c r="B540" s="33" t="s">
        <v>2037</v>
      </c>
    </row>
    <row r="541" spans="1:2" x14ac:dyDescent="0.25">
      <c r="A541" s="30" t="s">
        <v>169</v>
      </c>
      <c r="B541" s="31" t="s">
        <v>2038</v>
      </c>
    </row>
    <row r="542" spans="1:2" x14ac:dyDescent="0.25">
      <c r="A542" s="32" t="s">
        <v>9883</v>
      </c>
      <c r="B542" s="33" t="s">
        <v>9883</v>
      </c>
    </row>
    <row r="543" spans="1:2" x14ac:dyDescent="0.25">
      <c r="A543" s="30" t="s">
        <v>2039</v>
      </c>
      <c r="B543" s="31" t="s">
        <v>2040</v>
      </c>
    </row>
    <row r="544" spans="1:2" x14ac:dyDescent="0.25">
      <c r="A544" s="32" t="s">
        <v>2041</v>
      </c>
      <c r="B544" s="33" t="s">
        <v>2042</v>
      </c>
    </row>
    <row r="545" spans="1:2" x14ac:dyDescent="0.25">
      <c r="A545" s="30" t="s">
        <v>9884</v>
      </c>
      <c r="B545" s="31" t="s">
        <v>9884</v>
      </c>
    </row>
    <row r="546" spans="1:2" x14ac:dyDescent="0.25">
      <c r="A546" s="32" t="s">
        <v>170</v>
      </c>
      <c r="B546" s="33" t="s">
        <v>2043</v>
      </c>
    </row>
    <row r="547" spans="1:2" x14ac:dyDescent="0.25">
      <c r="A547" s="30" t="s">
        <v>2044</v>
      </c>
      <c r="B547" s="31" t="s">
        <v>2045</v>
      </c>
    </row>
    <row r="548" spans="1:2" x14ac:dyDescent="0.25">
      <c r="A548" s="32" t="s">
        <v>2046</v>
      </c>
      <c r="B548" s="33" t="s">
        <v>2047</v>
      </c>
    </row>
    <row r="549" spans="1:2" x14ac:dyDescent="0.25">
      <c r="A549" s="30" t="s">
        <v>2048</v>
      </c>
      <c r="B549" s="31" t="s">
        <v>2049</v>
      </c>
    </row>
    <row r="550" spans="1:2" x14ac:dyDescent="0.25">
      <c r="A550" s="32" t="s">
        <v>2050</v>
      </c>
      <c r="B550" s="33" t="s">
        <v>2051</v>
      </c>
    </row>
    <row r="551" spans="1:2" x14ac:dyDescent="0.25">
      <c r="A551" s="30" t="s">
        <v>2052</v>
      </c>
      <c r="B551" s="31" t="s">
        <v>2053</v>
      </c>
    </row>
    <row r="552" spans="1:2" x14ac:dyDescent="0.25">
      <c r="A552" s="32" t="s">
        <v>9885</v>
      </c>
      <c r="B552" s="33" t="s">
        <v>9885</v>
      </c>
    </row>
    <row r="553" spans="1:2" x14ac:dyDescent="0.25">
      <c r="A553" s="30" t="s">
        <v>171</v>
      </c>
      <c r="B553" s="31" t="s">
        <v>2054</v>
      </c>
    </row>
    <row r="554" spans="1:2" x14ac:dyDescent="0.25">
      <c r="A554" s="32" t="s">
        <v>2055</v>
      </c>
      <c r="B554" s="33" t="s">
        <v>2056</v>
      </c>
    </row>
    <row r="555" spans="1:2" x14ac:dyDescent="0.25">
      <c r="A555" s="30" t="s">
        <v>172</v>
      </c>
      <c r="B555" s="31" t="s">
        <v>2057</v>
      </c>
    </row>
    <row r="556" spans="1:2" x14ac:dyDescent="0.25">
      <c r="A556" s="32" t="s">
        <v>2058</v>
      </c>
      <c r="B556" s="33" t="s">
        <v>2059</v>
      </c>
    </row>
    <row r="557" spans="1:2" x14ac:dyDescent="0.25">
      <c r="A557" s="30" t="s">
        <v>2060</v>
      </c>
      <c r="B557" s="31" t="s">
        <v>2061</v>
      </c>
    </row>
    <row r="558" spans="1:2" x14ac:dyDescent="0.25">
      <c r="A558" s="32" t="s">
        <v>9886</v>
      </c>
      <c r="B558" s="33" t="s">
        <v>9886</v>
      </c>
    </row>
    <row r="559" spans="1:2" x14ac:dyDescent="0.25">
      <c r="A559" s="30" t="s">
        <v>2062</v>
      </c>
      <c r="B559" s="31" t="s">
        <v>2063</v>
      </c>
    </row>
    <row r="560" spans="1:2" x14ac:dyDescent="0.25">
      <c r="A560" s="32" t="s">
        <v>2064</v>
      </c>
      <c r="B560" s="33" t="s">
        <v>2065</v>
      </c>
    </row>
    <row r="561" spans="1:2" x14ac:dyDescent="0.25">
      <c r="A561" s="30" t="s">
        <v>2066</v>
      </c>
      <c r="B561" s="31" t="s">
        <v>2067</v>
      </c>
    </row>
    <row r="562" spans="1:2" x14ac:dyDescent="0.25">
      <c r="A562" s="32" t="s">
        <v>2068</v>
      </c>
      <c r="B562" s="33" t="s">
        <v>2069</v>
      </c>
    </row>
    <row r="563" spans="1:2" x14ac:dyDescent="0.25">
      <c r="A563" s="30" t="s">
        <v>2070</v>
      </c>
      <c r="B563" s="31" t="s">
        <v>2071</v>
      </c>
    </row>
    <row r="564" spans="1:2" x14ac:dyDescent="0.25">
      <c r="A564" s="32" t="s">
        <v>2072</v>
      </c>
      <c r="B564" s="33" t="s">
        <v>2073</v>
      </c>
    </row>
    <row r="565" spans="1:2" x14ac:dyDescent="0.25">
      <c r="A565" s="30" t="s">
        <v>2074</v>
      </c>
      <c r="B565" s="31" t="s">
        <v>2075</v>
      </c>
    </row>
    <row r="566" spans="1:2" x14ac:dyDescent="0.25">
      <c r="A566" s="32" t="s">
        <v>2076</v>
      </c>
      <c r="B566" s="33" t="s">
        <v>2077</v>
      </c>
    </row>
    <row r="567" spans="1:2" x14ac:dyDescent="0.25">
      <c r="A567" s="30" t="s">
        <v>2078</v>
      </c>
      <c r="B567" s="31" t="s">
        <v>2079</v>
      </c>
    </row>
    <row r="568" spans="1:2" x14ac:dyDescent="0.25">
      <c r="A568" s="32" t="s">
        <v>2080</v>
      </c>
      <c r="B568" s="33" t="s">
        <v>2081</v>
      </c>
    </row>
    <row r="569" spans="1:2" x14ac:dyDescent="0.25">
      <c r="A569" s="30" t="s">
        <v>2082</v>
      </c>
      <c r="B569" s="31" t="s">
        <v>2083</v>
      </c>
    </row>
    <row r="570" spans="1:2" x14ac:dyDescent="0.25">
      <c r="A570" s="32" t="s">
        <v>2084</v>
      </c>
      <c r="B570" s="33" t="s">
        <v>2085</v>
      </c>
    </row>
    <row r="571" spans="1:2" x14ac:dyDescent="0.25">
      <c r="A571" s="30" t="s">
        <v>2086</v>
      </c>
      <c r="B571" s="31" t="s">
        <v>2087</v>
      </c>
    </row>
    <row r="572" spans="1:2" x14ac:dyDescent="0.25">
      <c r="A572" s="32" t="s">
        <v>2088</v>
      </c>
      <c r="B572" s="33" t="s">
        <v>2089</v>
      </c>
    </row>
    <row r="573" spans="1:2" x14ac:dyDescent="0.25">
      <c r="A573" s="30" t="s">
        <v>2090</v>
      </c>
      <c r="B573" s="31" t="s">
        <v>2091</v>
      </c>
    </row>
    <row r="574" spans="1:2" x14ac:dyDescent="0.25">
      <c r="A574" s="32" t="s">
        <v>2092</v>
      </c>
      <c r="B574" s="33" t="s">
        <v>2093</v>
      </c>
    </row>
    <row r="575" spans="1:2" x14ac:dyDescent="0.25">
      <c r="A575" s="30" t="s">
        <v>2094</v>
      </c>
      <c r="B575" s="31" t="s">
        <v>2095</v>
      </c>
    </row>
    <row r="576" spans="1:2" x14ac:dyDescent="0.25">
      <c r="A576" s="32" t="s">
        <v>9887</v>
      </c>
      <c r="B576" s="33" t="s">
        <v>9887</v>
      </c>
    </row>
    <row r="577" spans="1:2" x14ac:dyDescent="0.25">
      <c r="A577" s="30" t="s">
        <v>2096</v>
      </c>
      <c r="B577" s="31" t="s">
        <v>2097</v>
      </c>
    </row>
    <row r="578" spans="1:2" x14ac:dyDescent="0.25">
      <c r="A578" s="32" t="s">
        <v>2098</v>
      </c>
      <c r="B578" s="33" t="s">
        <v>2099</v>
      </c>
    </row>
    <row r="579" spans="1:2" x14ac:dyDescent="0.25">
      <c r="A579" s="30" t="s">
        <v>9888</v>
      </c>
      <c r="B579" s="31" t="s">
        <v>9888</v>
      </c>
    </row>
    <row r="580" spans="1:2" x14ac:dyDescent="0.25">
      <c r="A580" s="32" t="s">
        <v>2100</v>
      </c>
      <c r="B580" s="33" t="s">
        <v>2101</v>
      </c>
    </row>
    <row r="581" spans="1:2" x14ac:dyDescent="0.25">
      <c r="A581" s="30" t="s">
        <v>2102</v>
      </c>
      <c r="B581" s="31" t="s">
        <v>2103</v>
      </c>
    </row>
    <row r="582" spans="1:2" x14ac:dyDescent="0.25">
      <c r="A582" s="32" t="s">
        <v>2104</v>
      </c>
      <c r="B582" s="33" t="s">
        <v>2105</v>
      </c>
    </row>
    <row r="583" spans="1:2" x14ac:dyDescent="0.25">
      <c r="A583" s="30" t="s">
        <v>2106</v>
      </c>
      <c r="B583" s="31" t="s">
        <v>2107</v>
      </c>
    </row>
    <row r="584" spans="1:2" x14ac:dyDescent="0.25">
      <c r="A584" s="32" t="s">
        <v>2108</v>
      </c>
      <c r="B584" s="33" t="s">
        <v>2109</v>
      </c>
    </row>
    <row r="585" spans="1:2" x14ac:dyDescent="0.25">
      <c r="A585" s="30" t="s">
        <v>9889</v>
      </c>
      <c r="B585" s="31" t="s">
        <v>9889</v>
      </c>
    </row>
    <row r="586" spans="1:2" x14ac:dyDescent="0.25">
      <c r="A586" s="32" t="s">
        <v>2110</v>
      </c>
      <c r="B586" s="33" t="s">
        <v>2111</v>
      </c>
    </row>
    <row r="587" spans="1:2" x14ac:dyDescent="0.25">
      <c r="A587" s="30" t="s">
        <v>2112</v>
      </c>
      <c r="B587" s="31" t="s">
        <v>2113</v>
      </c>
    </row>
    <row r="588" spans="1:2" x14ac:dyDescent="0.25">
      <c r="A588" s="32" t="s">
        <v>2114</v>
      </c>
      <c r="B588" s="33" t="s">
        <v>2115</v>
      </c>
    </row>
    <row r="589" spans="1:2" x14ac:dyDescent="0.25">
      <c r="A589" s="30" t="s">
        <v>9890</v>
      </c>
      <c r="B589" s="31" t="s">
        <v>9890</v>
      </c>
    </row>
    <row r="590" spans="1:2" x14ac:dyDescent="0.25">
      <c r="A590" s="32" t="s">
        <v>173</v>
      </c>
      <c r="B590" s="33" t="s">
        <v>2116</v>
      </c>
    </row>
    <row r="591" spans="1:2" x14ac:dyDescent="0.25">
      <c r="A591" s="30" t="s">
        <v>2117</v>
      </c>
      <c r="B591" s="31" t="s">
        <v>2118</v>
      </c>
    </row>
    <row r="592" spans="1:2" x14ac:dyDescent="0.25">
      <c r="A592" s="32" t="s">
        <v>2119</v>
      </c>
      <c r="B592" s="33" t="s">
        <v>2120</v>
      </c>
    </row>
    <row r="593" spans="1:2" x14ac:dyDescent="0.25">
      <c r="A593" s="30" t="s">
        <v>9891</v>
      </c>
      <c r="B593" s="31" t="s">
        <v>9891</v>
      </c>
    </row>
    <row r="594" spans="1:2" x14ac:dyDescent="0.25">
      <c r="A594" s="32" t="s">
        <v>2121</v>
      </c>
      <c r="B594" s="33" t="s">
        <v>2122</v>
      </c>
    </row>
    <row r="595" spans="1:2" x14ac:dyDescent="0.25">
      <c r="A595" s="30" t="s">
        <v>2123</v>
      </c>
      <c r="B595" s="31" t="s">
        <v>2124</v>
      </c>
    </row>
    <row r="596" spans="1:2" x14ac:dyDescent="0.25">
      <c r="A596" s="32" t="s">
        <v>2125</v>
      </c>
      <c r="B596" s="33" t="s">
        <v>2126</v>
      </c>
    </row>
    <row r="597" spans="1:2" x14ac:dyDescent="0.25">
      <c r="A597" s="30" t="s">
        <v>9892</v>
      </c>
      <c r="B597" s="31" t="s">
        <v>9892</v>
      </c>
    </row>
    <row r="598" spans="1:2" x14ac:dyDescent="0.25">
      <c r="A598" s="32" t="s">
        <v>2127</v>
      </c>
      <c r="B598" s="33" t="s">
        <v>2128</v>
      </c>
    </row>
    <row r="599" spans="1:2" x14ac:dyDescent="0.25">
      <c r="A599" s="30" t="s">
        <v>2129</v>
      </c>
      <c r="B599" s="31" t="s">
        <v>2130</v>
      </c>
    </row>
    <row r="600" spans="1:2" x14ac:dyDescent="0.25">
      <c r="A600" s="32" t="s">
        <v>174</v>
      </c>
      <c r="B600" s="33" t="s">
        <v>2131</v>
      </c>
    </row>
    <row r="601" spans="1:2" x14ac:dyDescent="0.25">
      <c r="A601" s="30" t="s">
        <v>175</v>
      </c>
      <c r="B601" s="31" t="s">
        <v>2132</v>
      </c>
    </row>
    <row r="602" spans="1:2" x14ac:dyDescent="0.25">
      <c r="A602" s="32" t="s">
        <v>2133</v>
      </c>
      <c r="B602" s="33" t="s">
        <v>2134</v>
      </c>
    </row>
    <row r="603" spans="1:2" x14ac:dyDescent="0.25">
      <c r="A603" s="30" t="s">
        <v>9893</v>
      </c>
      <c r="B603" s="31" t="s">
        <v>9893</v>
      </c>
    </row>
    <row r="604" spans="1:2" x14ac:dyDescent="0.25">
      <c r="A604" s="32" t="s">
        <v>176</v>
      </c>
      <c r="B604" s="33" t="s">
        <v>2135</v>
      </c>
    </row>
    <row r="605" spans="1:2" x14ac:dyDescent="0.25">
      <c r="A605" s="30" t="s">
        <v>9894</v>
      </c>
      <c r="B605" s="31" t="s">
        <v>9894</v>
      </c>
    </row>
    <row r="606" spans="1:2" x14ac:dyDescent="0.25">
      <c r="A606" s="32" t="s">
        <v>9895</v>
      </c>
      <c r="B606" s="33" t="s">
        <v>9895</v>
      </c>
    </row>
    <row r="607" spans="1:2" x14ac:dyDescent="0.25">
      <c r="A607" s="30" t="s">
        <v>9896</v>
      </c>
      <c r="B607" s="31" t="s">
        <v>9896</v>
      </c>
    </row>
    <row r="608" spans="1:2" x14ac:dyDescent="0.25">
      <c r="A608" s="32" t="s">
        <v>9897</v>
      </c>
      <c r="B608" s="33" t="s">
        <v>9897</v>
      </c>
    </row>
    <row r="609" spans="1:2" x14ac:dyDescent="0.25">
      <c r="A609" s="30" t="s">
        <v>9898</v>
      </c>
      <c r="B609" s="31" t="s">
        <v>9898</v>
      </c>
    </row>
    <row r="610" spans="1:2" x14ac:dyDescent="0.25">
      <c r="A610" s="32" t="s">
        <v>9899</v>
      </c>
      <c r="B610" s="33" t="s">
        <v>9899</v>
      </c>
    </row>
    <row r="611" spans="1:2" x14ac:dyDescent="0.25">
      <c r="A611" s="30" t="s">
        <v>2136</v>
      </c>
      <c r="B611" s="31" t="s">
        <v>2137</v>
      </c>
    </row>
    <row r="612" spans="1:2" x14ac:dyDescent="0.25">
      <c r="A612" s="32" t="s">
        <v>2138</v>
      </c>
      <c r="B612" s="33" t="s">
        <v>2139</v>
      </c>
    </row>
    <row r="613" spans="1:2" x14ac:dyDescent="0.25">
      <c r="A613" s="30" t="s">
        <v>2140</v>
      </c>
      <c r="B613" s="31" t="s">
        <v>2141</v>
      </c>
    </row>
    <row r="614" spans="1:2" x14ac:dyDescent="0.25">
      <c r="A614" s="32" t="s">
        <v>177</v>
      </c>
      <c r="B614" s="33" t="s">
        <v>2142</v>
      </c>
    </row>
    <row r="615" spans="1:2" x14ac:dyDescent="0.25">
      <c r="A615" s="30" t="s">
        <v>9900</v>
      </c>
      <c r="B615" s="31" t="s">
        <v>9900</v>
      </c>
    </row>
    <row r="616" spans="1:2" x14ac:dyDescent="0.25">
      <c r="A616" s="32" t="s">
        <v>9901</v>
      </c>
      <c r="B616" s="33" t="s">
        <v>9901</v>
      </c>
    </row>
    <row r="617" spans="1:2" x14ac:dyDescent="0.25">
      <c r="A617" s="30" t="s">
        <v>2143</v>
      </c>
      <c r="B617" s="31" t="s">
        <v>2144</v>
      </c>
    </row>
    <row r="618" spans="1:2" x14ac:dyDescent="0.25">
      <c r="A618" s="32" t="s">
        <v>2145</v>
      </c>
      <c r="B618" s="33" t="s">
        <v>2146</v>
      </c>
    </row>
    <row r="619" spans="1:2" x14ac:dyDescent="0.25">
      <c r="A619" s="30" t="s">
        <v>9902</v>
      </c>
      <c r="B619" s="31" t="s">
        <v>9902</v>
      </c>
    </row>
    <row r="620" spans="1:2" x14ac:dyDescent="0.25">
      <c r="A620" s="32" t="s">
        <v>2147</v>
      </c>
      <c r="B620" s="33" t="s">
        <v>2148</v>
      </c>
    </row>
    <row r="621" spans="1:2" x14ac:dyDescent="0.25">
      <c r="A621" s="30" t="s">
        <v>2149</v>
      </c>
      <c r="B621" s="31" t="s">
        <v>2150</v>
      </c>
    </row>
    <row r="622" spans="1:2" x14ac:dyDescent="0.25">
      <c r="A622" s="32" t="s">
        <v>178</v>
      </c>
      <c r="B622" s="33" t="s">
        <v>2151</v>
      </c>
    </row>
    <row r="623" spans="1:2" x14ac:dyDescent="0.25">
      <c r="A623" s="30" t="s">
        <v>9903</v>
      </c>
      <c r="B623" s="31" t="s">
        <v>9903</v>
      </c>
    </row>
    <row r="624" spans="1:2" x14ac:dyDescent="0.25">
      <c r="A624" s="32" t="s">
        <v>2152</v>
      </c>
      <c r="B624" s="33" t="s">
        <v>2153</v>
      </c>
    </row>
    <row r="625" spans="1:2" x14ac:dyDescent="0.25">
      <c r="A625" s="30" t="s">
        <v>9904</v>
      </c>
      <c r="B625" s="31" t="s">
        <v>9904</v>
      </c>
    </row>
    <row r="626" spans="1:2" x14ac:dyDescent="0.25">
      <c r="A626" s="32" t="s">
        <v>2154</v>
      </c>
      <c r="B626" s="33" t="s">
        <v>2155</v>
      </c>
    </row>
    <row r="627" spans="1:2" x14ac:dyDescent="0.25">
      <c r="A627" s="30" t="s">
        <v>179</v>
      </c>
      <c r="B627" s="31" t="s">
        <v>2156</v>
      </c>
    </row>
    <row r="628" spans="1:2" x14ac:dyDescent="0.25">
      <c r="A628" s="32" t="s">
        <v>2157</v>
      </c>
      <c r="B628" s="33" t="s">
        <v>2158</v>
      </c>
    </row>
    <row r="629" spans="1:2" x14ac:dyDescent="0.25">
      <c r="A629" s="30" t="s">
        <v>2159</v>
      </c>
      <c r="B629" s="31" t="s">
        <v>2160</v>
      </c>
    </row>
    <row r="630" spans="1:2" x14ac:dyDescent="0.25">
      <c r="A630" s="32" t="s">
        <v>2161</v>
      </c>
      <c r="B630" s="33" t="s">
        <v>2162</v>
      </c>
    </row>
    <row r="631" spans="1:2" x14ac:dyDescent="0.25">
      <c r="A631" s="30" t="s">
        <v>2163</v>
      </c>
      <c r="B631" s="31" t="s">
        <v>2164</v>
      </c>
    </row>
    <row r="632" spans="1:2" x14ac:dyDescent="0.25">
      <c r="A632" s="32" t="s">
        <v>2165</v>
      </c>
      <c r="B632" s="33" t="s">
        <v>2166</v>
      </c>
    </row>
    <row r="633" spans="1:2" x14ac:dyDescent="0.25">
      <c r="A633" s="30" t="s">
        <v>180</v>
      </c>
      <c r="B633" s="31" t="s">
        <v>2167</v>
      </c>
    </row>
    <row r="634" spans="1:2" x14ac:dyDescent="0.25">
      <c r="A634" s="32" t="s">
        <v>9905</v>
      </c>
      <c r="B634" s="33" t="s">
        <v>9905</v>
      </c>
    </row>
    <row r="635" spans="1:2" x14ac:dyDescent="0.25">
      <c r="A635" s="30" t="s">
        <v>9906</v>
      </c>
      <c r="B635" s="31" t="s">
        <v>9906</v>
      </c>
    </row>
    <row r="636" spans="1:2" x14ac:dyDescent="0.25">
      <c r="A636" s="32" t="s">
        <v>2168</v>
      </c>
      <c r="B636" s="33" t="s">
        <v>2169</v>
      </c>
    </row>
    <row r="637" spans="1:2" x14ac:dyDescent="0.25">
      <c r="A637" s="30" t="s">
        <v>2170</v>
      </c>
      <c r="B637" s="31" t="s">
        <v>2171</v>
      </c>
    </row>
    <row r="638" spans="1:2" x14ac:dyDescent="0.25">
      <c r="A638" s="32" t="s">
        <v>2172</v>
      </c>
      <c r="B638" s="33" t="s">
        <v>2173</v>
      </c>
    </row>
    <row r="639" spans="1:2" x14ac:dyDescent="0.25">
      <c r="A639" s="30" t="s">
        <v>2174</v>
      </c>
      <c r="B639" s="31" t="s">
        <v>2175</v>
      </c>
    </row>
    <row r="640" spans="1:2" x14ac:dyDescent="0.25">
      <c r="A640" s="32" t="s">
        <v>2176</v>
      </c>
      <c r="B640" s="33" t="s">
        <v>2177</v>
      </c>
    </row>
    <row r="641" spans="1:2" x14ac:dyDescent="0.25">
      <c r="A641" s="30" t="s">
        <v>2178</v>
      </c>
      <c r="B641" s="31" t="s">
        <v>2179</v>
      </c>
    </row>
    <row r="642" spans="1:2" x14ac:dyDescent="0.25">
      <c r="A642" s="32" t="s">
        <v>2180</v>
      </c>
      <c r="B642" s="33" t="s">
        <v>2181</v>
      </c>
    </row>
    <row r="643" spans="1:2" x14ac:dyDescent="0.25">
      <c r="A643" s="30" t="s">
        <v>2182</v>
      </c>
      <c r="B643" s="31" t="s">
        <v>2183</v>
      </c>
    </row>
    <row r="644" spans="1:2" x14ac:dyDescent="0.25">
      <c r="A644" s="32" t="s">
        <v>2184</v>
      </c>
      <c r="B644" s="33" t="s">
        <v>2185</v>
      </c>
    </row>
    <row r="645" spans="1:2" x14ac:dyDescent="0.25">
      <c r="A645" s="30" t="s">
        <v>2186</v>
      </c>
      <c r="B645" s="31" t="s">
        <v>2187</v>
      </c>
    </row>
    <row r="646" spans="1:2" x14ac:dyDescent="0.25">
      <c r="A646" s="32" t="s">
        <v>9907</v>
      </c>
      <c r="B646" s="33" t="s">
        <v>9907</v>
      </c>
    </row>
    <row r="647" spans="1:2" x14ac:dyDescent="0.25">
      <c r="A647" s="30" t="s">
        <v>2188</v>
      </c>
      <c r="B647" s="31" t="s">
        <v>2189</v>
      </c>
    </row>
    <row r="648" spans="1:2" x14ac:dyDescent="0.25">
      <c r="A648" s="32" t="s">
        <v>2190</v>
      </c>
      <c r="B648" s="33" t="s">
        <v>2191</v>
      </c>
    </row>
    <row r="649" spans="1:2" x14ac:dyDescent="0.25">
      <c r="A649" s="30" t="s">
        <v>2192</v>
      </c>
      <c r="B649" s="31" t="s">
        <v>2193</v>
      </c>
    </row>
    <row r="650" spans="1:2" x14ac:dyDescent="0.25">
      <c r="A650" s="32" t="s">
        <v>2194</v>
      </c>
      <c r="B650" s="33" t="s">
        <v>2195</v>
      </c>
    </row>
    <row r="651" spans="1:2" x14ac:dyDescent="0.25">
      <c r="A651" s="30" t="s">
        <v>2196</v>
      </c>
      <c r="B651" s="31" t="s">
        <v>2197</v>
      </c>
    </row>
    <row r="652" spans="1:2" x14ac:dyDescent="0.25">
      <c r="A652" s="32" t="s">
        <v>2198</v>
      </c>
      <c r="B652" s="33" t="s">
        <v>2199</v>
      </c>
    </row>
    <row r="653" spans="1:2" x14ac:dyDescent="0.25">
      <c r="A653" s="30" t="s">
        <v>2200</v>
      </c>
      <c r="B653" s="31" t="s">
        <v>2201</v>
      </c>
    </row>
    <row r="654" spans="1:2" x14ac:dyDescent="0.25">
      <c r="A654" s="32" t="s">
        <v>2202</v>
      </c>
      <c r="B654" s="33" t="s">
        <v>2203</v>
      </c>
    </row>
    <row r="655" spans="1:2" x14ac:dyDescent="0.25">
      <c r="A655" s="30" t="s">
        <v>2204</v>
      </c>
      <c r="B655" s="31" t="s">
        <v>2205</v>
      </c>
    </row>
    <row r="656" spans="1:2" x14ac:dyDescent="0.25">
      <c r="A656" s="32" t="s">
        <v>181</v>
      </c>
      <c r="B656" s="33" t="s">
        <v>2206</v>
      </c>
    </row>
    <row r="657" spans="1:2" x14ac:dyDescent="0.25">
      <c r="A657" s="30" t="s">
        <v>2207</v>
      </c>
      <c r="B657" s="31" t="s">
        <v>2208</v>
      </c>
    </row>
    <row r="658" spans="1:2" x14ac:dyDescent="0.25">
      <c r="A658" s="32" t="s">
        <v>9908</v>
      </c>
      <c r="B658" s="33" t="s">
        <v>9908</v>
      </c>
    </row>
    <row r="659" spans="1:2" x14ac:dyDescent="0.25">
      <c r="A659" s="30" t="s">
        <v>2209</v>
      </c>
      <c r="B659" s="31" t="s">
        <v>2210</v>
      </c>
    </row>
    <row r="660" spans="1:2" x14ac:dyDescent="0.25">
      <c r="A660" s="32" t="s">
        <v>182</v>
      </c>
      <c r="B660" s="33" t="s">
        <v>2211</v>
      </c>
    </row>
    <row r="661" spans="1:2" x14ac:dyDescent="0.25">
      <c r="A661" s="30" t="s">
        <v>2212</v>
      </c>
      <c r="B661" s="31" t="s">
        <v>2213</v>
      </c>
    </row>
    <row r="662" spans="1:2" x14ac:dyDescent="0.25">
      <c r="A662" s="32" t="s">
        <v>9909</v>
      </c>
      <c r="B662" s="33" t="s">
        <v>9909</v>
      </c>
    </row>
    <row r="663" spans="1:2" x14ac:dyDescent="0.25">
      <c r="A663" s="30" t="s">
        <v>2214</v>
      </c>
      <c r="B663" s="31" t="s">
        <v>2215</v>
      </c>
    </row>
    <row r="664" spans="1:2" x14ac:dyDescent="0.25">
      <c r="A664" s="32" t="s">
        <v>2216</v>
      </c>
      <c r="B664" s="33" t="s">
        <v>2217</v>
      </c>
    </row>
    <row r="665" spans="1:2" x14ac:dyDescent="0.25">
      <c r="A665" s="30" t="s">
        <v>2218</v>
      </c>
      <c r="B665" s="31" t="s">
        <v>2219</v>
      </c>
    </row>
    <row r="666" spans="1:2" x14ac:dyDescent="0.25">
      <c r="A666" s="32" t="s">
        <v>2220</v>
      </c>
      <c r="B666" s="33" t="s">
        <v>2221</v>
      </c>
    </row>
    <row r="667" spans="1:2" x14ac:dyDescent="0.25">
      <c r="A667" s="30" t="s">
        <v>9910</v>
      </c>
      <c r="B667" s="31" t="s">
        <v>9910</v>
      </c>
    </row>
    <row r="668" spans="1:2" x14ac:dyDescent="0.25">
      <c r="A668" s="32" t="s">
        <v>2222</v>
      </c>
      <c r="B668" s="33" t="s">
        <v>2223</v>
      </c>
    </row>
    <row r="669" spans="1:2" x14ac:dyDescent="0.25">
      <c r="A669" s="30" t="s">
        <v>9911</v>
      </c>
      <c r="B669" s="31" t="s">
        <v>9911</v>
      </c>
    </row>
    <row r="670" spans="1:2" x14ac:dyDescent="0.25">
      <c r="A670" s="32" t="s">
        <v>2224</v>
      </c>
      <c r="B670" s="33" t="s">
        <v>2225</v>
      </c>
    </row>
    <row r="671" spans="1:2" x14ac:dyDescent="0.25">
      <c r="A671" s="30" t="s">
        <v>2226</v>
      </c>
      <c r="B671" s="31" t="s">
        <v>2227</v>
      </c>
    </row>
    <row r="672" spans="1:2" x14ac:dyDescent="0.25">
      <c r="A672" s="32" t="s">
        <v>2228</v>
      </c>
      <c r="B672" s="33" t="s">
        <v>2229</v>
      </c>
    </row>
    <row r="673" spans="1:2" x14ac:dyDescent="0.25">
      <c r="A673" s="30" t="s">
        <v>2230</v>
      </c>
      <c r="B673" s="31" t="s">
        <v>2231</v>
      </c>
    </row>
    <row r="674" spans="1:2" x14ac:dyDescent="0.25">
      <c r="A674" s="32" t="s">
        <v>9912</v>
      </c>
      <c r="B674" s="33" t="s">
        <v>9912</v>
      </c>
    </row>
    <row r="675" spans="1:2" x14ac:dyDescent="0.25">
      <c r="A675" s="30" t="s">
        <v>2232</v>
      </c>
      <c r="B675" s="31" t="s">
        <v>2233</v>
      </c>
    </row>
    <row r="676" spans="1:2" x14ac:dyDescent="0.25">
      <c r="A676" s="32" t="s">
        <v>2234</v>
      </c>
      <c r="B676" s="33" t="s">
        <v>2235</v>
      </c>
    </row>
    <row r="677" spans="1:2" x14ac:dyDescent="0.25">
      <c r="A677" s="30" t="s">
        <v>2236</v>
      </c>
      <c r="B677" s="31" t="s">
        <v>2237</v>
      </c>
    </row>
    <row r="678" spans="1:2" x14ac:dyDescent="0.25">
      <c r="A678" s="32" t="s">
        <v>2238</v>
      </c>
      <c r="B678" s="33" t="s">
        <v>2239</v>
      </c>
    </row>
    <row r="679" spans="1:2" x14ac:dyDescent="0.25">
      <c r="A679" s="30" t="s">
        <v>183</v>
      </c>
      <c r="B679" s="31" t="s">
        <v>2240</v>
      </c>
    </row>
    <row r="680" spans="1:2" x14ac:dyDescent="0.25">
      <c r="A680" s="32" t="s">
        <v>2241</v>
      </c>
      <c r="B680" s="33" t="s">
        <v>2242</v>
      </c>
    </row>
    <row r="681" spans="1:2" x14ac:dyDescent="0.25">
      <c r="A681" s="30" t="s">
        <v>2243</v>
      </c>
      <c r="B681" s="31" t="s">
        <v>2244</v>
      </c>
    </row>
    <row r="682" spans="1:2" x14ac:dyDescent="0.25">
      <c r="A682" s="32" t="s">
        <v>184</v>
      </c>
      <c r="B682" s="33" t="s">
        <v>2245</v>
      </c>
    </row>
    <row r="683" spans="1:2" x14ac:dyDescent="0.25">
      <c r="A683" s="30" t="s">
        <v>2246</v>
      </c>
      <c r="B683" s="31" t="s">
        <v>2247</v>
      </c>
    </row>
    <row r="684" spans="1:2" x14ac:dyDescent="0.25">
      <c r="A684" s="32" t="s">
        <v>185</v>
      </c>
      <c r="B684" s="33" t="s">
        <v>2248</v>
      </c>
    </row>
    <row r="685" spans="1:2" x14ac:dyDescent="0.25">
      <c r="A685" s="30" t="s">
        <v>186</v>
      </c>
      <c r="B685" s="31" t="s">
        <v>186</v>
      </c>
    </row>
    <row r="686" spans="1:2" x14ac:dyDescent="0.25">
      <c r="A686" s="32" t="s">
        <v>2249</v>
      </c>
      <c r="B686" s="33" t="s">
        <v>2250</v>
      </c>
    </row>
    <row r="687" spans="1:2" x14ac:dyDescent="0.25">
      <c r="A687" s="30" t="s">
        <v>188</v>
      </c>
      <c r="B687" s="31" t="s">
        <v>2251</v>
      </c>
    </row>
    <row r="688" spans="1:2" x14ac:dyDescent="0.25">
      <c r="A688" s="32" t="s">
        <v>9913</v>
      </c>
      <c r="B688" s="33" t="s">
        <v>9913</v>
      </c>
    </row>
    <row r="689" spans="1:2" x14ac:dyDescent="0.25">
      <c r="A689" s="30" t="s">
        <v>9914</v>
      </c>
      <c r="B689" s="31" t="s">
        <v>9914</v>
      </c>
    </row>
    <row r="690" spans="1:2" x14ac:dyDescent="0.25">
      <c r="A690" s="32" t="s">
        <v>9915</v>
      </c>
      <c r="B690" s="33" t="s">
        <v>9915</v>
      </c>
    </row>
    <row r="691" spans="1:2" x14ac:dyDescent="0.25">
      <c r="A691" s="30" t="s">
        <v>9916</v>
      </c>
      <c r="B691" s="31" t="s">
        <v>9916</v>
      </c>
    </row>
    <row r="692" spans="1:2" x14ac:dyDescent="0.25">
      <c r="A692" s="32" t="s">
        <v>2252</v>
      </c>
      <c r="B692" s="33" t="s">
        <v>2253</v>
      </c>
    </row>
    <row r="693" spans="1:2" x14ac:dyDescent="0.25">
      <c r="A693" s="30" t="s">
        <v>2254</v>
      </c>
      <c r="B693" s="31" t="s">
        <v>2255</v>
      </c>
    </row>
    <row r="694" spans="1:2" x14ac:dyDescent="0.25">
      <c r="A694" s="32" t="s">
        <v>2256</v>
      </c>
      <c r="B694" s="33" t="s">
        <v>2257</v>
      </c>
    </row>
    <row r="695" spans="1:2" x14ac:dyDescent="0.25">
      <c r="A695" s="30" t="s">
        <v>2258</v>
      </c>
      <c r="B695" s="31" t="s">
        <v>2259</v>
      </c>
    </row>
    <row r="696" spans="1:2" x14ac:dyDescent="0.25">
      <c r="A696" s="32" t="s">
        <v>2260</v>
      </c>
      <c r="B696" s="33" t="s">
        <v>2261</v>
      </c>
    </row>
    <row r="697" spans="1:2" x14ac:dyDescent="0.25">
      <c r="A697" s="30" t="s">
        <v>2262</v>
      </c>
      <c r="B697" s="31" t="s">
        <v>2263</v>
      </c>
    </row>
    <row r="698" spans="1:2" x14ac:dyDescent="0.25">
      <c r="A698" s="32" t="s">
        <v>189</v>
      </c>
      <c r="B698" s="33" t="s">
        <v>2264</v>
      </c>
    </row>
    <row r="699" spans="1:2" x14ac:dyDescent="0.25">
      <c r="A699" s="30" t="s">
        <v>190</v>
      </c>
      <c r="B699" s="31" t="s">
        <v>2265</v>
      </c>
    </row>
    <row r="700" spans="1:2" x14ac:dyDescent="0.25">
      <c r="A700" s="32" t="s">
        <v>2266</v>
      </c>
      <c r="B700" s="33" t="s">
        <v>2267</v>
      </c>
    </row>
    <row r="701" spans="1:2" x14ac:dyDescent="0.25">
      <c r="A701" s="30" t="s">
        <v>2268</v>
      </c>
      <c r="B701" s="31" t="s">
        <v>2269</v>
      </c>
    </row>
    <row r="702" spans="1:2" x14ac:dyDescent="0.25">
      <c r="A702" s="32" t="s">
        <v>191</v>
      </c>
      <c r="B702" s="33" t="s">
        <v>191</v>
      </c>
    </row>
    <row r="703" spans="1:2" x14ac:dyDescent="0.25">
      <c r="A703" s="30" t="s">
        <v>9917</v>
      </c>
      <c r="B703" s="31" t="s">
        <v>9917</v>
      </c>
    </row>
    <row r="704" spans="1:2" x14ac:dyDescent="0.25">
      <c r="A704" s="32" t="s">
        <v>2270</v>
      </c>
      <c r="B704" s="33" t="s">
        <v>2271</v>
      </c>
    </row>
    <row r="705" spans="1:2" x14ac:dyDescent="0.25">
      <c r="A705" s="30" t="s">
        <v>2272</v>
      </c>
      <c r="B705" s="31" t="s">
        <v>2273</v>
      </c>
    </row>
    <row r="706" spans="1:2" x14ac:dyDescent="0.25">
      <c r="A706" s="32" t="s">
        <v>192</v>
      </c>
      <c r="B706" s="33" t="s">
        <v>2274</v>
      </c>
    </row>
    <row r="707" spans="1:2" x14ac:dyDescent="0.25">
      <c r="A707" s="30" t="s">
        <v>9918</v>
      </c>
      <c r="B707" s="31" t="s">
        <v>9918</v>
      </c>
    </row>
    <row r="708" spans="1:2" x14ac:dyDescent="0.25">
      <c r="A708" s="32" t="s">
        <v>193</v>
      </c>
      <c r="B708" s="33" t="s">
        <v>2275</v>
      </c>
    </row>
    <row r="709" spans="1:2" x14ac:dyDescent="0.25">
      <c r="A709" s="30" t="s">
        <v>2276</v>
      </c>
      <c r="B709" s="31" t="s">
        <v>2277</v>
      </c>
    </row>
    <row r="710" spans="1:2" x14ac:dyDescent="0.25">
      <c r="A710" s="32" t="s">
        <v>2278</v>
      </c>
      <c r="B710" s="33" t="s">
        <v>2279</v>
      </c>
    </row>
    <row r="711" spans="1:2" x14ac:dyDescent="0.25">
      <c r="A711" s="30" t="s">
        <v>9919</v>
      </c>
      <c r="B711" s="31" t="s">
        <v>9919</v>
      </c>
    </row>
    <row r="712" spans="1:2" x14ac:dyDescent="0.25">
      <c r="A712" s="32" t="s">
        <v>2280</v>
      </c>
      <c r="B712" s="33" t="s">
        <v>2281</v>
      </c>
    </row>
    <row r="713" spans="1:2" x14ac:dyDescent="0.25">
      <c r="A713" s="30" t="s">
        <v>194</v>
      </c>
      <c r="B713" s="31" t="s">
        <v>2282</v>
      </c>
    </row>
    <row r="714" spans="1:2" x14ac:dyDescent="0.25">
      <c r="A714" s="32" t="s">
        <v>2283</v>
      </c>
      <c r="B714" s="33" t="s">
        <v>2284</v>
      </c>
    </row>
    <row r="715" spans="1:2" x14ac:dyDescent="0.25">
      <c r="A715" s="30" t="s">
        <v>2285</v>
      </c>
      <c r="B715" s="31" t="s">
        <v>2286</v>
      </c>
    </row>
    <row r="716" spans="1:2" x14ac:dyDescent="0.25">
      <c r="A716" s="32" t="s">
        <v>2287</v>
      </c>
      <c r="B716" s="33" t="s">
        <v>2288</v>
      </c>
    </row>
    <row r="717" spans="1:2" x14ac:dyDescent="0.25">
      <c r="A717" s="30" t="s">
        <v>9920</v>
      </c>
      <c r="B717" s="31" t="s">
        <v>9920</v>
      </c>
    </row>
    <row r="718" spans="1:2" x14ac:dyDescent="0.25">
      <c r="A718" s="32" t="s">
        <v>2289</v>
      </c>
      <c r="B718" s="33" t="s">
        <v>2290</v>
      </c>
    </row>
    <row r="719" spans="1:2" x14ac:dyDescent="0.25">
      <c r="A719" s="30" t="s">
        <v>9921</v>
      </c>
      <c r="B719" s="31" t="s">
        <v>9921</v>
      </c>
    </row>
    <row r="720" spans="1:2" x14ac:dyDescent="0.25">
      <c r="A720" s="32" t="s">
        <v>9922</v>
      </c>
      <c r="B720" s="33" t="s">
        <v>9922</v>
      </c>
    </row>
    <row r="721" spans="1:2" x14ac:dyDescent="0.25">
      <c r="A721" s="30" t="s">
        <v>2291</v>
      </c>
      <c r="B721" s="31" t="s">
        <v>2292</v>
      </c>
    </row>
    <row r="722" spans="1:2" x14ac:dyDescent="0.25">
      <c r="A722" s="32" t="s">
        <v>2293</v>
      </c>
      <c r="B722" s="33" t="s">
        <v>2294</v>
      </c>
    </row>
    <row r="723" spans="1:2" x14ac:dyDescent="0.25">
      <c r="A723" s="30" t="s">
        <v>2295</v>
      </c>
      <c r="B723" s="31" t="s">
        <v>2296</v>
      </c>
    </row>
    <row r="724" spans="1:2" x14ac:dyDescent="0.25">
      <c r="A724" s="32" t="s">
        <v>2297</v>
      </c>
      <c r="B724" s="33" t="s">
        <v>2298</v>
      </c>
    </row>
    <row r="725" spans="1:2" x14ac:dyDescent="0.25">
      <c r="A725" s="30" t="s">
        <v>9923</v>
      </c>
      <c r="B725" s="31" t="s">
        <v>9923</v>
      </c>
    </row>
    <row r="726" spans="1:2" x14ac:dyDescent="0.25">
      <c r="A726" s="32" t="s">
        <v>2299</v>
      </c>
      <c r="B726" s="33" t="s">
        <v>2300</v>
      </c>
    </row>
    <row r="727" spans="1:2" x14ac:dyDescent="0.25">
      <c r="A727" s="30" t="s">
        <v>195</v>
      </c>
      <c r="B727" s="31" t="s">
        <v>2301</v>
      </c>
    </row>
    <row r="728" spans="1:2" x14ac:dyDescent="0.25">
      <c r="A728" s="32" t="s">
        <v>2302</v>
      </c>
      <c r="B728" s="33" t="s">
        <v>2303</v>
      </c>
    </row>
    <row r="729" spans="1:2" x14ac:dyDescent="0.25">
      <c r="A729" s="30" t="s">
        <v>2304</v>
      </c>
      <c r="B729" s="31" t="s">
        <v>2305</v>
      </c>
    </row>
    <row r="730" spans="1:2" x14ac:dyDescent="0.25">
      <c r="A730" s="32" t="s">
        <v>9924</v>
      </c>
      <c r="B730" s="33" t="s">
        <v>9924</v>
      </c>
    </row>
    <row r="731" spans="1:2" x14ac:dyDescent="0.25">
      <c r="A731" s="30" t="s">
        <v>9925</v>
      </c>
      <c r="B731" s="31" t="s">
        <v>9925</v>
      </c>
    </row>
    <row r="732" spans="1:2" x14ac:dyDescent="0.25">
      <c r="A732" s="32" t="s">
        <v>9926</v>
      </c>
      <c r="B732" s="33" t="s">
        <v>9926</v>
      </c>
    </row>
    <row r="733" spans="1:2" x14ac:dyDescent="0.25">
      <c r="A733" s="30" t="s">
        <v>2306</v>
      </c>
      <c r="B733" s="31" t="s">
        <v>2307</v>
      </c>
    </row>
    <row r="734" spans="1:2" x14ac:dyDescent="0.25">
      <c r="A734" s="32" t="s">
        <v>2308</v>
      </c>
      <c r="B734" s="33" t="s">
        <v>2309</v>
      </c>
    </row>
    <row r="735" spans="1:2" x14ac:dyDescent="0.25">
      <c r="A735" s="30" t="s">
        <v>2310</v>
      </c>
      <c r="B735" s="31" t="s">
        <v>2311</v>
      </c>
    </row>
    <row r="736" spans="1:2" x14ac:dyDescent="0.25">
      <c r="A736" s="32" t="s">
        <v>2312</v>
      </c>
      <c r="B736" s="33" t="s">
        <v>2313</v>
      </c>
    </row>
    <row r="737" spans="1:2" x14ac:dyDescent="0.25">
      <c r="A737" s="30" t="s">
        <v>9927</v>
      </c>
      <c r="B737" s="31" t="s">
        <v>9927</v>
      </c>
    </row>
    <row r="738" spans="1:2" x14ac:dyDescent="0.25">
      <c r="A738" s="32" t="s">
        <v>2314</v>
      </c>
      <c r="B738" s="33" t="s">
        <v>2315</v>
      </c>
    </row>
    <row r="739" spans="1:2" x14ac:dyDescent="0.25">
      <c r="A739" s="30" t="s">
        <v>2316</v>
      </c>
      <c r="B739" s="31" t="s">
        <v>2317</v>
      </c>
    </row>
    <row r="740" spans="1:2" x14ac:dyDescent="0.25">
      <c r="A740" s="32" t="s">
        <v>2318</v>
      </c>
      <c r="B740" s="33" t="s">
        <v>2319</v>
      </c>
    </row>
    <row r="741" spans="1:2" x14ac:dyDescent="0.25">
      <c r="A741" s="30" t="s">
        <v>9928</v>
      </c>
      <c r="B741" s="31" t="s">
        <v>9928</v>
      </c>
    </row>
    <row r="742" spans="1:2" x14ac:dyDescent="0.25">
      <c r="A742" s="32" t="s">
        <v>2320</v>
      </c>
      <c r="B742" s="33" t="s">
        <v>2321</v>
      </c>
    </row>
    <row r="743" spans="1:2" x14ac:dyDescent="0.25">
      <c r="A743" s="30" t="s">
        <v>2322</v>
      </c>
      <c r="B743" s="31" t="s">
        <v>2323</v>
      </c>
    </row>
    <row r="744" spans="1:2" x14ac:dyDescent="0.25">
      <c r="A744" s="32" t="s">
        <v>2324</v>
      </c>
      <c r="B744" s="33" t="s">
        <v>2325</v>
      </c>
    </row>
    <row r="745" spans="1:2" x14ac:dyDescent="0.25">
      <c r="A745" s="30" t="s">
        <v>196</v>
      </c>
      <c r="B745" s="31" t="s">
        <v>2326</v>
      </c>
    </row>
    <row r="746" spans="1:2" x14ac:dyDescent="0.25">
      <c r="A746" s="32" t="s">
        <v>197</v>
      </c>
      <c r="B746" s="33" t="s">
        <v>2327</v>
      </c>
    </row>
    <row r="747" spans="1:2" x14ac:dyDescent="0.25">
      <c r="A747" s="30" t="s">
        <v>9929</v>
      </c>
      <c r="B747" s="31" t="s">
        <v>9929</v>
      </c>
    </row>
    <row r="748" spans="1:2" x14ac:dyDescent="0.25">
      <c r="A748" s="32" t="s">
        <v>198</v>
      </c>
      <c r="B748" s="33" t="s">
        <v>2328</v>
      </c>
    </row>
    <row r="749" spans="1:2" x14ac:dyDescent="0.25">
      <c r="A749" s="30" t="s">
        <v>199</v>
      </c>
      <c r="B749" s="31" t="s">
        <v>2329</v>
      </c>
    </row>
    <row r="750" spans="1:2" x14ac:dyDescent="0.25">
      <c r="A750" s="32" t="s">
        <v>200</v>
      </c>
      <c r="B750" s="33" t="s">
        <v>2330</v>
      </c>
    </row>
    <row r="751" spans="1:2" x14ac:dyDescent="0.25">
      <c r="A751" s="30" t="s">
        <v>9930</v>
      </c>
      <c r="B751" s="31" t="s">
        <v>9930</v>
      </c>
    </row>
    <row r="752" spans="1:2" x14ac:dyDescent="0.25">
      <c r="A752" s="32" t="s">
        <v>2331</v>
      </c>
      <c r="B752" s="33" t="s">
        <v>2332</v>
      </c>
    </row>
    <row r="753" spans="1:2" x14ac:dyDescent="0.25">
      <c r="A753" s="30" t="s">
        <v>9931</v>
      </c>
      <c r="B753" s="31" t="s">
        <v>9931</v>
      </c>
    </row>
    <row r="754" spans="1:2" x14ac:dyDescent="0.25">
      <c r="A754" s="32" t="s">
        <v>9932</v>
      </c>
      <c r="B754" s="33" t="s">
        <v>9932</v>
      </c>
    </row>
    <row r="755" spans="1:2" x14ac:dyDescent="0.25">
      <c r="A755" s="30" t="s">
        <v>9933</v>
      </c>
      <c r="B755" s="31" t="s">
        <v>9933</v>
      </c>
    </row>
    <row r="756" spans="1:2" x14ac:dyDescent="0.25">
      <c r="A756" s="32" t="s">
        <v>9934</v>
      </c>
      <c r="B756" s="33" t="s">
        <v>9934</v>
      </c>
    </row>
    <row r="757" spans="1:2" x14ac:dyDescent="0.25">
      <c r="A757" s="30" t="s">
        <v>2333</v>
      </c>
      <c r="B757" s="31" t="s">
        <v>2334</v>
      </c>
    </row>
    <row r="758" spans="1:2" x14ac:dyDescent="0.25">
      <c r="A758" s="32" t="s">
        <v>2335</v>
      </c>
      <c r="B758" s="33" t="s">
        <v>2336</v>
      </c>
    </row>
    <row r="759" spans="1:2" x14ac:dyDescent="0.25">
      <c r="A759" s="30" t="s">
        <v>201</v>
      </c>
      <c r="B759" s="31" t="s">
        <v>201</v>
      </c>
    </row>
    <row r="760" spans="1:2" x14ac:dyDescent="0.25">
      <c r="A760" s="32" t="s">
        <v>2337</v>
      </c>
      <c r="B760" s="33" t="s">
        <v>2338</v>
      </c>
    </row>
    <row r="761" spans="1:2" x14ac:dyDescent="0.25">
      <c r="A761" s="30" t="s">
        <v>2339</v>
      </c>
      <c r="B761" s="31" t="s">
        <v>2340</v>
      </c>
    </row>
    <row r="762" spans="1:2" x14ac:dyDescent="0.25">
      <c r="A762" s="32" t="s">
        <v>2341</v>
      </c>
      <c r="B762" s="33" t="s">
        <v>2342</v>
      </c>
    </row>
    <row r="763" spans="1:2" x14ac:dyDescent="0.25">
      <c r="A763" s="30" t="s">
        <v>2343</v>
      </c>
      <c r="B763" s="31" t="s">
        <v>2344</v>
      </c>
    </row>
    <row r="764" spans="1:2" x14ac:dyDescent="0.25">
      <c r="A764" s="32" t="s">
        <v>202</v>
      </c>
      <c r="B764" s="33" t="s">
        <v>2345</v>
      </c>
    </row>
    <row r="765" spans="1:2" x14ac:dyDescent="0.25">
      <c r="A765" s="30" t="s">
        <v>2346</v>
      </c>
      <c r="B765" s="31" t="s">
        <v>2347</v>
      </c>
    </row>
    <row r="766" spans="1:2" x14ac:dyDescent="0.25">
      <c r="A766" s="32" t="s">
        <v>203</v>
      </c>
      <c r="B766" s="33" t="s">
        <v>203</v>
      </c>
    </row>
    <row r="767" spans="1:2" x14ac:dyDescent="0.25">
      <c r="A767" s="30" t="s">
        <v>204</v>
      </c>
      <c r="B767" s="31" t="s">
        <v>2348</v>
      </c>
    </row>
    <row r="768" spans="1:2" x14ac:dyDescent="0.25">
      <c r="A768" s="32" t="s">
        <v>2349</v>
      </c>
      <c r="B768" s="33" t="s">
        <v>2350</v>
      </c>
    </row>
    <row r="769" spans="1:2" x14ac:dyDescent="0.25">
      <c r="A769" s="30" t="s">
        <v>205</v>
      </c>
      <c r="B769" s="31" t="s">
        <v>2351</v>
      </c>
    </row>
    <row r="770" spans="1:2" x14ac:dyDescent="0.25">
      <c r="A770" s="32" t="s">
        <v>2352</v>
      </c>
      <c r="B770" s="33" t="s">
        <v>2353</v>
      </c>
    </row>
    <row r="771" spans="1:2" x14ac:dyDescent="0.25">
      <c r="A771" s="30" t="s">
        <v>2354</v>
      </c>
      <c r="B771" s="31" t="s">
        <v>2355</v>
      </c>
    </row>
    <row r="772" spans="1:2" x14ac:dyDescent="0.25">
      <c r="A772" s="32" t="s">
        <v>2356</v>
      </c>
      <c r="B772" s="33" t="s">
        <v>2357</v>
      </c>
    </row>
    <row r="773" spans="1:2" x14ac:dyDescent="0.25">
      <c r="A773" s="30" t="s">
        <v>207</v>
      </c>
      <c r="B773" s="31" t="s">
        <v>2358</v>
      </c>
    </row>
    <row r="774" spans="1:2" x14ac:dyDescent="0.25">
      <c r="A774" s="32" t="s">
        <v>2359</v>
      </c>
      <c r="B774" s="33" t="s">
        <v>2360</v>
      </c>
    </row>
    <row r="775" spans="1:2" x14ac:dyDescent="0.25">
      <c r="A775" s="30" t="s">
        <v>2361</v>
      </c>
      <c r="B775" s="31" t="s">
        <v>2362</v>
      </c>
    </row>
    <row r="776" spans="1:2" x14ac:dyDescent="0.25">
      <c r="A776" s="32" t="s">
        <v>2363</v>
      </c>
      <c r="B776" s="33" t="s">
        <v>2364</v>
      </c>
    </row>
    <row r="777" spans="1:2" x14ac:dyDescent="0.25">
      <c r="A777" s="30" t="s">
        <v>208</v>
      </c>
      <c r="B777" s="31" t="s">
        <v>208</v>
      </c>
    </row>
    <row r="778" spans="1:2" x14ac:dyDescent="0.25">
      <c r="A778" s="32" t="s">
        <v>209</v>
      </c>
      <c r="B778" s="33" t="s">
        <v>2365</v>
      </c>
    </row>
    <row r="779" spans="1:2" x14ac:dyDescent="0.25">
      <c r="A779" s="30" t="s">
        <v>2366</v>
      </c>
      <c r="B779" s="31" t="s">
        <v>2367</v>
      </c>
    </row>
    <row r="780" spans="1:2" x14ac:dyDescent="0.25">
      <c r="A780" s="32" t="s">
        <v>9935</v>
      </c>
      <c r="B780" s="33" t="s">
        <v>9935</v>
      </c>
    </row>
    <row r="781" spans="1:2" x14ac:dyDescent="0.25">
      <c r="A781" s="30" t="s">
        <v>9936</v>
      </c>
      <c r="B781" s="31" t="s">
        <v>9936</v>
      </c>
    </row>
    <row r="782" spans="1:2" x14ac:dyDescent="0.25">
      <c r="A782" s="32" t="s">
        <v>210</v>
      </c>
      <c r="B782" s="33" t="s">
        <v>210</v>
      </c>
    </row>
    <row r="783" spans="1:2" x14ac:dyDescent="0.25">
      <c r="A783" s="30" t="s">
        <v>2368</v>
      </c>
      <c r="B783" s="31" t="s">
        <v>2369</v>
      </c>
    </row>
    <row r="784" spans="1:2" x14ac:dyDescent="0.25">
      <c r="A784" s="32" t="s">
        <v>2370</v>
      </c>
      <c r="B784" s="33" t="s">
        <v>2371</v>
      </c>
    </row>
    <row r="785" spans="1:2" x14ac:dyDescent="0.25">
      <c r="A785" s="30" t="s">
        <v>2372</v>
      </c>
      <c r="B785" s="31" t="s">
        <v>2373</v>
      </c>
    </row>
    <row r="786" spans="1:2" x14ac:dyDescent="0.25">
      <c r="A786" s="32" t="s">
        <v>2374</v>
      </c>
      <c r="B786" s="33" t="s">
        <v>2375</v>
      </c>
    </row>
    <row r="787" spans="1:2" x14ac:dyDescent="0.25">
      <c r="A787" s="30" t="s">
        <v>211</v>
      </c>
      <c r="B787" s="31" t="s">
        <v>2376</v>
      </c>
    </row>
    <row r="788" spans="1:2" x14ac:dyDescent="0.25">
      <c r="A788" s="32" t="s">
        <v>212</v>
      </c>
      <c r="B788" s="33" t="s">
        <v>2377</v>
      </c>
    </row>
    <row r="789" spans="1:2" x14ac:dyDescent="0.25">
      <c r="A789" s="30" t="s">
        <v>213</v>
      </c>
      <c r="B789" s="31" t="s">
        <v>2378</v>
      </c>
    </row>
    <row r="790" spans="1:2" x14ac:dyDescent="0.25">
      <c r="A790" s="32" t="s">
        <v>2379</v>
      </c>
      <c r="B790" s="33" t="s">
        <v>2380</v>
      </c>
    </row>
    <row r="791" spans="1:2" x14ac:dyDescent="0.25">
      <c r="A791" s="30" t="s">
        <v>2381</v>
      </c>
      <c r="B791" s="31" t="s">
        <v>2382</v>
      </c>
    </row>
    <row r="792" spans="1:2" x14ac:dyDescent="0.25">
      <c r="A792" s="32" t="s">
        <v>9937</v>
      </c>
      <c r="B792" s="33" t="s">
        <v>9937</v>
      </c>
    </row>
    <row r="793" spans="1:2" x14ac:dyDescent="0.25">
      <c r="A793" s="30" t="s">
        <v>2383</v>
      </c>
      <c r="B793" s="31" t="s">
        <v>2384</v>
      </c>
    </row>
    <row r="794" spans="1:2" x14ac:dyDescent="0.25">
      <c r="A794" s="32" t="s">
        <v>2385</v>
      </c>
      <c r="B794" s="33" t="s">
        <v>2386</v>
      </c>
    </row>
    <row r="795" spans="1:2" x14ac:dyDescent="0.25">
      <c r="A795" s="30" t="s">
        <v>2387</v>
      </c>
      <c r="B795" s="31" t="s">
        <v>2388</v>
      </c>
    </row>
    <row r="796" spans="1:2" x14ac:dyDescent="0.25">
      <c r="A796" s="32" t="s">
        <v>9938</v>
      </c>
      <c r="B796" s="33" t="s">
        <v>9938</v>
      </c>
    </row>
    <row r="797" spans="1:2" x14ac:dyDescent="0.25">
      <c r="A797" s="30" t="s">
        <v>9939</v>
      </c>
      <c r="B797" s="31" t="s">
        <v>9939</v>
      </c>
    </row>
    <row r="798" spans="1:2" x14ac:dyDescent="0.25">
      <c r="A798" s="32" t="s">
        <v>9940</v>
      </c>
      <c r="B798" s="33" t="s">
        <v>9940</v>
      </c>
    </row>
    <row r="799" spans="1:2" x14ac:dyDescent="0.25">
      <c r="A799" s="30" t="s">
        <v>214</v>
      </c>
      <c r="B799" s="31" t="s">
        <v>2389</v>
      </c>
    </row>
    <row r="800" spans="1:2" x14ac:dyDescent="0.25">
      <c r="A800" s="32" t="s">
        <v>9941</v>
      </c>
      <c r="B800" s="33" t="s">
        <v>9941</v>
      </c>
    </row>
    <row r="801" spans="1:2" x14ac:dyDescent="0.25">
      <c r="A801" s="30" t="s">
        <v>215</v>
      </c>
      <c r="B801" s="31" t="s">
        <v>2390</v>
      </c>
    </row>
    <row r="802" spans="1:2" x14ac:dyDescent="0.25">
      <c r="A802" s="32" t="s">
        <v>9942</v>
      </c>
      <c r="B802" s="33" t="s">
        <v>9942</v>
      </c>
    </row>
    <row r="803" spans="1:2" x14ac:dyDescent="0.25">
      <c r="A803" s="30" t="s">
        <v>2391</v>
      </c>
      <c r="B803" s="31" t="s">
        <v>2392</v>
      </c>
    </row>
    <row r="804" spans="1:2" x14ac:dyDescent="0.25">
      <c r="A804" s="32" t="s">
        <v>2393</v>
      </c>
      <c r="B804" s="33" t="s">
        <v>2394</v>
      </c>
    </row>
    <row r="805" spans="1:2" x14ac:dyDescent="0.25">
      <c r="A805" s="30" t="s">
        <v>2395</v>
      </c>
      <c r="B805" s="31" t="s">
        <v>2396</v>
      </c>
    </row>
    <row r="806" spans="1:2" x14ac:dyDescent="0.25">
      <c r="A806" s="32" t="s">
        <v>2397</v>
      </c>
      <c r="B806" s="33" t="s">
        <v>2398</v>
      </c>
    </row>
    <row r="807" spans="1:2" x14ac:dyDescent="0.25">
      <c r="A807" s="30" t="s">
        <v>9943</v>
      </c>
      <c r="B807" s="31" t="s">
        <v>9943</v>
      </c>
    </row>
    <row r="808" spans="1:2" x14ac:dyDescent="0.25">
      <c r="A808" s="32" t="s">
        <v>2399</v>
      </c>
      <c r="B808" s="33" t="s">
        <v>2400</v>
      </c>
    </row>
    <row r="809" spans="1:2" x14ac:dyDescent="0.25">
      <c r="A809" s="30" t="s">
        <v>2401</v>
      </c>
      <c r="B809" s="31" t="s">
        <v>2402</v>
      </c>
    </row>
    <row r="810" spans="1:2" x14ac:dyDescent="0.25">
      <c r="A810" s="32" t="s">
        <v>216</v>
      </c>
      <c r="B810" s="33" t="s">
        <v>2403</v>
      </c>
    </row>
    <row r="811" spans="1:2" x14ac:dyDescent="0.25">
      <c r="A811" s="30" t="s">
        <v>2404</v>
      </c>
      <c r="B811" s="31" t="s">
        <v>2405</v>
      </c>
    </row>
    <row r="812" spans="1:2" x14ac:dyDescent="0.25">
      <c r="A812" s="32" t="s">
        <v>9944</v>
      </c>
      <c r="B812" s="33" t="s">
        <v>9944</v>
      </c>
    </row>
    <row r="813" spans="1:2" x14ac:dyDescent="0.25">
      <c r="A813" s="30" t="s">
        <v>2406</v>
      </c>
      <c r="B813" s="31" t="s">
        <v>2407</v>
      </c>
    </row>
    <row r="814" spans="1:2" x14ac:dyDescent="0.25">
      <c r="A814" s="32" t="s">
        <v>2408</v>
      </c>
      <c r="B814" s="33" t="s">
        <v>2409</v>
      </c>
    </row>
    <row r="815" spans="1:2" x14ac:dyDescent="0.25">
      <c r="A815" s="30" t="s">
        <v>2410</v>
      </c>
      <c r="B815" s="31" t="s">
        <v>2411</v>
      </c>
    </row>
    <row r="816" spans="1:2" x14ac:dyDescent="0.25">
      <c r="A816" s="32" t="s">
        <v>2412</v>
      </c>
      <c r="B816" s="33" t="s">
        <v>2413</v>
      </c>
    </row>
    <row r="817" spans="1:2" x14ac:dyDescent="0.25">
      <c r="A817" s="30" t="s">
        <v>2414</v>
      </c>
      <c r="B817" s="31" t="s">
        <v>2415</v>
      </c>
    </row>
    <row r="818" spans="1:2" x14ac:dyDescent="0.25">
      <c r="A818" s="32" t="s">
        <v>2416</v>
      </c>
      <c r="B818" s="33" t="s">
        <v>2417</v>
      </c>
    </row>
    <row r="819" spans="1:2" x14ac:dyDescent="0.25">
      <c r="A819" s="30" t="s">
        <v>9945</v>
      </c>
      <c r="B819" s="31" t="s">
        <v>9945</v>
      </c>
    </row>
    <row r="820" spans="1:2" x14ac:dyDescent="0.25">
      <c r="A820" s="32" t="s">
        <v>9946</v>
      </c>
      <c r="B820" s="33" t="s">
        <v>9946</v>
      </c>
    </row>
    <row r="821" spans="1:2" x14ac:dyDescent="0.25">
      <c r="A821" s="30" t="s">
        <v>9947</v>
      </c>
      <c r="B821" s="31" t="s">
        <v>9947</v>
      </c>
    </row>
    <row r="822" spans="1:2" x14ac:dyDescent="0.25">
      <c r="A822" s="32" t="s">
        <v>9948</v>
      </c>
      <c r="B822" s="33" t="s">
        <v>9948</v>
      </c>
    </row>
    <row r="823" spans="1:2" x14ac:dyDescent="0.25">
      <c r="A823" s="30" t="s">
        <v>2418</v>
      </c>
      <c r="B823" s="31" t="s">
        <v>2419</v>
      </c>
    </row>
    <row r="824" spans="1:2" x14ac:dyDescent="0.25">
      <c r="A824" s="32" t="s">
        <v>2420</v>
      </c>
      <c r="B824" s="33" t="s">
        <v>2421</v>
      </c>
    </row>
    <row r="825" spans="1:2" x14ac:dyDescent="0.25">
      <c r="A825" s="30" t="s">
        <v>2422</v>
      </c>
      <c r="B825" s="31" t="s">
        <v>2423</v>
      </c>
    </row>
    <row r="826" spans="1:2" x14ac:dyDescent="0.25">
      <c r="A826" s="32" t="s">
        <v>2424</v>
      </c>
      <c r="B826" s="33" t="s">
        <v>2425</v>
      </c>
    </row>
    <row r="827" spans="1:2" x14ac:dyDescent="0.25">
      <c r="A827" s="30" t="s">
        <v>9949</v>
      </c>
      <c r="B827" s="31" t="s">
        <v>9949</v>
      </c>
    </row>
    <row r="828" spans="1:2" x14ac:dyDescent="0.25">
      <c r="A828" s="32" t="s">
        <v>9950</v>
      </c>
      <c r="B828" s="33" t="s">
        <v>9950</v>
      </c>
    </row>
    <row r="829" spans="1:2" x14ac:dyDescent="0.25">
      <c r="A829" s="30" t="s">
        <v>9951</v>
      </c>
      <c r="B829" s="31" t="s">
        <v>9951</v>
      </c>
    </row>
    <row r="830" spans="1:2" x14ac:dyDescent="0.25">
      <c r="A830" s="32" t="s">
        <v>2426</v>
      </c>
      <c r="B830" s="33" t="s">
        <v>2427</v>
      </c>
    </row>
    <row r="831" spans="1:2" x14ac:dyDescent="0.25">
      <c r="A831" s="30" t="s">
        <v>2428</v>
      </c>
      <c r="B831" s="31" t="s">
        <v>2429</v>
      </c>
    </row>
    <row r="832" spans="1:2" x14ac:dyDescent="0.25">
      <c r="A832" s="32" t="s">
        <v>9952</v>
      </c>
      <c r="B832" s="33" t="s">
        <v>9952</v>
      </c>
    </row>
    <row r="833" spans="1:2" x14ac:dyDescent="0.25">
      <c r="A833" s="30" t="s">
        <v>9953</v>
      </c>
      <c r="B833" s="31" t="s">
        <v>9953</v>
      </c>
    </row>
    <row r="834" spans="1:2" x14ac:dyDescent="0.25">
      <c r="A834" s="32" t="s">
        <v>9954</v>
      </c>
      <c r="B834" s="33" t="s">
        <v>9954</v>
      </c>
    </row>
    <row r="835" spans="1:2" x14ac:dyDescent="0.25">
      <c r="A835" s="30" t="s">
        <v>2430</v>
      </c>
      <c r="B835" s="31" t="s">
        <v>2431</v>
      </c>
    </row>
    <row r="836" spans="1:2" x14ac:dyDescent="0.25">
      <c r="A836" s="32" t="s">
        <v>9955</v>
      </c>
      <c r="B836" s="33" t="s">
        <v>9955</v>
      </c>
    </row>
    <row r="837" spans="1:2" x14ac:dyDescent="0.25">
      <c r="A837" s="30" t="s">
        <v>217</v>
      </c>
      <c r="B837" s="31" t="s">
        <v>2432</v>
      </c>
    </row>
    <row r="838" spans="1:2" x14ac:dyDescent="0.25">
      <c r="A838" s="32" t="s">
        <v>9956</v>
      </c>
      <c r="B838" s="33" t="s">
        <v>9956</v>
      </c>
    </row>
    <row r="839" spans="1:2" x14ac:dyDescent="0.25">
      <c r="A839" s="30" t="s">
        <v>9957</v>
      </c>
      <c r="B839" s="31" t="s">
        <v>9957</v>
      </c>
    </row>
    <row r="840" spans="1:2" x14ac:dyDescent="0.25">
      <c r="A840" s="32" t="s">
        <v>9958</v>
      </c>
      <c r="B840" s="33" t="s">
        <v>9958</v>
      </c>
    </row>
    <row r="841" spans="1:2" x14ac:dyDescent="0.25">
      <c r="A841" s="30" t="s">
        <v>2433</v>
      </c>
      <c r="B841" s="31" t="s">
        <v>2434</v>
      </c>
    </row>
    <row r="842" spans="1:2" x14ac:dyDescent="0.25">
      <c r="A842" s="32" t="s">
        <v>2435</v>
      </c>
      <c r="B842" s="33" t="s">
        <v>2436</v>
      </c>
    </row>
    <row r="843" spans="1:2" x14ac:dyDescent="0.25">
      <c r="A843" s="30" t="s">
        <v>9959</v>
      </c>
      <c r="B843" s="31" t="s">
        <v>9959</v>
      </c>
    </row>
    <row r="844" spans="1:2" x14ac:dyDescent="0.25">
      <c r="A844" s="32" t="s">
        <v>2437</v>
      </c>
      <c r="B844" s="33" t="s">
        <v>2438</v>
      </c>
    </row>
    <row r="845" spans="1:2" x14ac:dyDescent="0.25">
      <c r="A845" s="30" t="s">
        <v>218</v>
      </c>
      <c r="B845" s="31" t="s">
        <v>2439</v>
      </c>
    </row>
    <row r="846" spans="1:2" x14ac:dyDescent="0.25">
      <c r="A846" s="32" t="s">
        <v>2440</v>
      </c>
      <c r="B846" s="33" t="s">
        <v>2441</v>
      </c>
    </row>
    <row r="847" spans="1:2" x14ac:dyDescent="0.25">
      <c r="A847" s="30" t="s">
        <v>219</v>
      </c>
      <c r="B847" s="31" t="s">
        <v>2442</v>
      </c>
    </row>
    <row r="848" spans="1:2" x14ac:dyDescent="0.25">
      <c r="A848" s="32" t="s">
        <v>9960</v>
      </c>
      <c r="B848" s="33" t="s">
        <v>9960</v>
      </c>
    </row>
    <row r="849" spans="1:2" x14ac:dyDescent="0.25">
      <c r="A849" s="30" t="s">
        <v>9961</v>
      </c>
      <c r="B849" s="31" t="s">
        <v>9961</v>
      </c>
    </row>
    <row r="850" spans="1:2" x14ac:dyDescent="0.25">
      <c r="A850" s="32" t="s">
        <v>9962</v>
      </c>
      <c r="B850" s="33" t="s">
        <v>9962</v>
      </c>
    </row>
    <row r="851" spans="1:2" x14ac:dyDescent="0.25">
      <c r="A851" s="30" t="s">
        <v>9963</v>
      </c>
      <c r="B851" s="31" t="s">
        <v>9963</v>
      </c>
    </row>
    <row r="852" spans="1:2" x14ac:dyDescent="0.25">
      <c r="A852" s="32" t="s">
        <v>2443</v>
      </c>
      <c r="B852" s="33" t="s">
        <v>2444</v>
      </c>
    </row>
    <row r="853" spans="1:2" x14ac:dyDescent="0.25">
      <c r="A853" s="30" t="s">
        <v>9964</v>
      </c>
      <c r="B853" s="31" t="s">
        <v>9964</v>
      </c>
    </row>
    <row r="854" spans="1:2" x14ac:dyDescent="0.25">
      <c r="A854" s="32" t="s">
        <v>2445</v>
      </c>
      <c r="B854" s="33" t="s">
        <v>2446</v>
      </c>
    </row>
    <row r="855" spans="1:2" x14ac:dyDescent="0.25">
      <c r="A855" s="30" t="s">
        <v>9965</v>
      </c>
      <c r="B855" s="31" t="s">
        <v>9965</v>
      </c>
    </row>
    <row r="856" spans="1:2" x14ac:dyDescent="0.25">
      <c r="A856" s="32" t="s">
        <v>2447</v>
      </c>
      <c r="B856" s="33" t="s">
        <v>2448</v>
      </c>
    </row>
    <row r="857" spans="1:2" x14ac:dyDescent="0.25">
      <c r="A857" s="30" t="s">
        <v>2449</v>
      </c>
      <c r="B857" s="31" t="s">
        <v>2450</v>
      </c>
    </row>
    <row r="858" spans="1:2" x14ac:dyDescent="0.25">
      <c r="A858" s="32" t="s">
        <v>2451</v>
      </c>
      <c r="B858" s="33" t="s">
        <v>2452</v>
      </c>
    </row>
    <row r="859" spans="1:2" x14ac:dyDescent="0.25">
      <c r="A859" s="30" t="s">
        <v>220</v>
      </c>
      <c r="B859" s="31" t="s">
        <v>2453</v>
      </c>
    </row>
    <row r="860" spans="1:2" x14ac:dyDescent="0.25">
      <c r="A860" s="32" t="s">
        <v>9966</v>
      </c>
      <c r="B860" s="33" t="s">
        <v>9966</v>
      </c>
    </row>
    <row r="861" spans="1:2" x14ac:dyDescent="0.25">
      <c r="A861" s="30" t="s">
        <v>2454</v>
      </c>
      <c r="B861" s="31" t="s">
        <v>2455</v>
      </c>
    </row>
    <row r="862" spans="1:2" x14ac:dyDescent="0.25">
      <c r="A862" s="32" t="s">
        <v>221</v>
      </c>
      <c r="B862" s="33" t="s">
        <v>2456</v>
      </c>
    </row>
    <row r="863" spans="1:2" x14ac:dyDescent="0.25">
      <c r="A863" s="30" t="s">
        <v>9967</v>
      </c>
      <c r="B863" s="31" t="s">
        <v>9967</v>
      </c>
    </row>
    <row r="864" spans="1:2" x14ac:dyDescent="0.25">
      <c r="A864" s="32" t="s">
        <v>2457</v>
      </c>
      <c r="B864" s="33" t="s">
        <v>2458</v>
      </c>
    </row>
    <row r="865" spans="1:2" x14ac:dyDescent="0.25">
      <c r="A865" s="30" t="s">
        <v>9968</v>
      </c>
      <c r="B865" s="31" t="s">
        <v>9968</v>
      </c>
    </row>
    <row r="866" spans="1:2" x14ac:dyDescent="0.25">
      <c r="A866" s="32" t="s">
        <v>2459</v>
      </c>
      <c r="B866" s="33" t="s">
        <v>2460</v>
      </c>
    </row>
    <row r="867" spans="1:2" x14ac:dyDescent="0.25">
      <c r="A867" s="30" t="s">
        <v>2461</v>
      </c>
      <c r="B867" s="31" t="s">
        <v>2462</v>
      </c>
    </row>
    <row r="868" spans="1:2" x14ac:dyDescent="0.25">
      <c r="A868" s="32" t="s">
        <v>2463</v>
      </c>
      <c r="B868" s="33" t="s">
        <v>2464</v>
      </c>
    </row>
    <row r="869" spans="1:2" x14ac:dyDescent="0.25">
      <c r="A869" s="30" t="s">
        <v>2465</v>
      </c>
      <c r="B869" s="31" t="s">
        <v>2466</v>
      </c>
    </row>
    <row r="870" spans="1:2" x14ac:dyDescent="0.25">
      <c r="A870" s="32" t="s">
        <v>2467</v>
      </c>
      <c r="B870" s="33" t="s">
        <v>2468</v>
      </c>
    </row>
    <row r="871" spans="1:2" x14ac:dyDescent="0.25">
      <c r="A871" s="30" t="s">
        <v>316</v>
      </c>
      <c r="B871" s="31" t="s">
        <v>2469</v>
      </c>
    </row>
    <row r="872" spans="1:2" x14ac:dyDescent="0.25">
      <c r="A872" s="32" t="s">
        <v>9969</v>
      </c>
      <c r="B872" s="33" t="s">
        <v>9969</v>
      </c>
    </row>
    <row r="873" spans="1:2" x14ac:dyDescent="0.25">
      <c r="A873" s="30" t="s">
        <v>2470</v>
      </c>
      <c r="B873" s="31" t="s">
        <v>2471</v>
      </c>
    </row>
    <row r="874" spans="1:2" x14ac:dyDescent="0.25">
      <c r="A874" s="32" t="s">
        <v>2472</v>
      </c>
      <c r="B874" s="33" t="s">
        <v>2473</v>
      </c>
    </row>
    <row r="875" spans="1:2" x14ac:dyDescent="0.25">
      <c r="A875" s="30" t="s">
        <v>2474</v>
      </c>
      <c r="B875" s="31" t="s">
        <v>2475</v>
      </c>
    </row>
    <row r="876" spans="1:2" x14ac:dyDescent="0.25">
      <c r="A876" s="32" t="s">
        <v>2476</v>
      </c>
      <c r="B876" s="33" t="s">
        <v>2477</v>
      </c>
    </row>
    <row r="877" spans="1:2" x14ac:dyDescent="0.25">
      <c r="A877" s="30" t="s">
        <v>2478</v>
      </c>
      <c r="B877" s="31" t="s">
        <v>2479</v>
      </c>
    </row>
    <row r="878" spans="1:2" x14ac:dyDescent="0.25">
      <c r="A878" s="32" t="s">
        <v>2480</v>
      </c>
      <c r="B878" s="33" t="s">
        <v>2481</v>
      </c>
    </row>
    <row r="879" spans="1:2" x14ac:dyDescent="0.25">
      <c r="A879" s="30" t="s">
        <v>2482</v>
      </c>
      <c r="B879" s="31" t="s">
        <v>2483</v>
      </c>
    </row>
    <row r="880" spans="1:2" x14ac:dyDescent="0.25">
      <c r="A880" s="32" t="s">
        <v>9970</v>
      </c>
      <c r="B880" s="33" t="s">
        <v>9970</v>
      </c>
    </row>
    <row r="881" spans="1:2" x14ac:dyDescent="0.25">
      <c r="A881" s="30" t="s">
        <v>317</v>
      </c>
      <c r="B881" s="31" t="s">
        <v>2484</v>
      </c>
    </row>
    <row r="882" spans="1:2" x14ac:dyDescent="0.25">
      <c r="A882" s="32" t="s">
        <v>2485</v>
      </c>
      <c r="B882" s="33" t="s">
        <v>2486</v>
      </c>
    </row>
    <row r="883" spans="1:2" x14ac:dyDescent="0.25">
      <c r="A883" s="30" t="s">
        <v>318</v>
      </c>
      <c r="B883" s="31" t="s">
        <v>2487</v>
      </c>
    </row>
    <row r="884" spans="1:2" x14ac:dyDescent="0.25">
      <c r="A884" s="32" t="s">
        <v>9971</v>
      </c>
      <c r="B884" s="33" t="s">
        <v>9971</v>
      </c>
    </row>
    <row r="885" spans="1:2" x14ac:dyDescent="0.25">
      <c r="A885" s="30" t="s">
        <v>319</v>
      </c>
      <c r="B885" s="31" t="s">
        <v>2488</v>
      </c>
    </row>
    <row r="886" spans="1:2" x14ac:dyDescent="0.25">
      <c r="A886" s="32" t="s">
        <v>320</v>
      </c>
      <c r="B886" s="33" t="s">
        <v>2489</v>
      </c>
    </row>
    <row r="887" spans="1:2" x14ac:dyDescent="0.25">
      <c r="A887" s="30" t="s">
        <v>321</v>
      </c>
      <c r="B887" s="31" t="s">
        <v>2490</v>
      </c>
    </row>
    <row r="888" spans="1:2" x14ac:dyDescent="0.25">
      <c r="A888" s="32" t="s">
        <v>322</v>
      </c>
      <c r="B888" s="33" t="s">
        <v>2491</v>
      </c>
    </row>
    <row r="889" spans="1:2" x14ac:dyDescent="0.25">
      <c r="A889" s="30" t="s">
        <v>323</v>
      </c>
      <c r="B889" s="31" t="s">
        <v>2492</v>
      </c>
    </row>
    <row r="890" spans="1:2" x14ac:dyDescent="0.25">
      <c r="A890" s="32" t="s">
        <v>2493</v>
      </c>
      <c r="B890" s="33" t="s">
        <v>2494</v>
      </c>
    </row>
    <row r="891" spans="1:2" x14ac:dyDescent="0.25">
      <c r="A891" s="30" t="s">
        <v>324</v>
      </c>
      <c r="B891" s="31" t="s">
        <v>2495</v>
      </c>
    </row>
    <row r="892" spans="1:2" x14ac:dyDescent="0.25">
      <c r="A892" s="32" t="s">
        <v>325</v>
      </c>
      <c r="B892" s="33" t="s">
        <v>2496</v>
      </c>
    </row>
    <row r="893" spans="1:2" x14ac:dyDescent="0.25">
      <c r="A893" s="30" t="s">
        <v>327</v>
      </c>
      <c r="B893" s="31" t="s">
        <v>2497</v>
      </c>
    </row>
    <row r="894" spans="1:2" x14ac:dyDescent="0.25">
      <c r="A894" s="32" t="s">
        <v>329</v>
      </c>
      <c r="B894" s="33" t="s">
        <v>2498</v>
      </c>
    </row>
    <row r="895" spans="1:2" x14ac:dyDescent="0.25">
      <c r="A895" s="30" t="s">
        <v>1251</v>
      </c>
      <c r="B895" s="31" t="s">
        <v>2499</v>
      </c>
    </row>
    <row r="896" spans="1:2" x14ac:dyDescent="0.25">
      <c r="A896" s="32" t="s">
        <v>330</v>
      </c>
      <c r="B896" s="33" t="s">
        <v>2500</v>
      </c>
    </row>
    <row r="897" spans="1:2" x14ac:dyDescent="0.25">
      <c r="A897" s="30" t="s">
        <v>2501</v>
      </c>
      <c r="B897" s="31" t="s">
        <v>2502</v>
      </c>
    </row>
    <row r="898" spans="1:2" x14ac:dyDescent="0.25">
      <c r="A898" s="32" t="s">
        <v>2503</v>
      </c>
      <c r="B898" s="33" t="s">
        <v>2504</v>
      </c>
    </row>
    <row r="899" spans="1:2" x14ac:dyDescent="0.25">
      <c r="A899" s="30" t="s">
        <v>331</v>
      </c>
      <c r="B899" s="31" t="s">
        <v>2505</v>
      </c>
    </row>
    <row r="900" spans="1:2" x14ac:dyDescent="0.25">
      <c r="A900" s="32" t="s">
        <v>2506</v>
      </c>
      <c r="B900" s="33" t="s">
        <v>2507</v>
      </c>
    </row>
    <row r="901" spans="1:2" x14ac:dyDescent="0.25">
      <c r="A901" s="30" t="s">
        <v>332</v>
      </c>
      <c r="B901" s="31" t="s">
        <v>2508</v>
      </c>
    </row>
    <row r="902" spans="1:2" x14ac:dyDescent="0.25">
      <c r="A902" s="32" t="s">
        <v>333</v>
      </c>
      <c r="B902" s="33" t="s">
        <v>2509</v>
      </c>
    </row>
    <row r="903" spans="1:2" x14ac:dyDescent="0.25">
      <c r="A903" s="30" t="s">
        <v>334</v>
      </c>
      <c r="B903" s="31" t="s">
        <v>2510</v>
      </c>
    </row>
    <row r="904" spans="1:2" x14ac:dyDescent="0.25">
      <c r="A904" s="32" t="s">
        <v>335</v>
      </c>
      <c r="B904" s="33" t="s">
        <v>2511</v>
      </c>
    </row>
    <row r="905" spans="1:2" x14ac:dyDescent="0.25">
      <c r="A905" s="30" t="s">
        <v>336</v>
      </c>
      <c r="B905" s="31" t="s">
        <v>2512</v>
      </c>
    </row>
    <row r="906" spans="1:2" x14ac:dyDescent="0.25">
      <c r="A906" s="32" t="s">
        <v>337</v>
      </c>
      <c r="B906" s="33" t="s">
        <v>2513</v>
      </c>
    </row>
    <row r="907" spans="1:2" x14ac:dyDescent="0.25">
      <c r="A907" s="30" t="s">
        <v>338</v>
      </c>
      <c r="B907" s="31" t="s">
        <v>2514</v>
      </c>
    </row>
    <row r="908" spans="1:2" x14ac:dyDescent="0.25">
      <c r="A908" s="32" t="s">
        <v>9972</v>
      </c>
      <c r="B908" s="33" t="s">
        <v>9972</v>
      </c>
    </row>
    <row r="909" spans="1:2" x14ac:dyDescent="0.25">
      <c r="A909" s="30" t="s">
        <v>9973</v>
      </c>
      <c r="B909" s="31" t="s">
        <v>9973</v>
      </c>
    </row>
    <row r="910" spans="1:2" x14ac:dyDescent="0.25">
      <c r="A910" s="32" t="s">
        <v>2515</v>
      </c>
      <c r="B910" s="33" t="s">
        <v>2516</v>
      </c>
    </row>
    <row r="911" spans="1:2" x14ac:dyDescent="0.25">
      <c r="A911" s="30" t="s">
        <v>9974</v>
      </c>
      <c r="B911" s="31" t="s">
        <v>9974</v>
      </c>
    </row>
    <row r="912" spans="1:2" x14ac:dyDescent="0.25">
      <c r="A912" s="32" t="s">
        <v>339</v>
      </c>
      <c r="B912" s="33" t="s">
        <v>2517</v>
      </c>
    </row>
    <row r="913" spans="1:2" x14ac:dyDescent="0.25">
      <c r="A913" s="30" t="s">
        <v>2518</v>
      </c>
      <c r="B913" s="31" t="s">
        <v>2519</v>
      </c>
    </row>
    <row r="914" spans="1:2" x14ac:dyDescent="0.25">
      <c r="A914" s="32" t="s">
        <v>2520</v>
      </c>
      <c r="B914" s="33" t="s">
        <v>2521</v>
      </c>
    </row>
    <row r="915" spans="1:2" x14ac:dyDescent="0.25">
      <c r="A915" s="30" t="s">
        <v>2522</v>
      </c>
      <c r="B915" s="31" t="s">
        <v>2523</v>
      </c>
    </row>
    <row r="916" spans="1:2" x14ac:dyDescent="0.25">
      <c r="A916" s="32" t="s">
        <v>1252</v>
      </c>
      <c r="B916" s="33" t="s">
        <v>2524</v>
      </c>
    </row>
    <row r="917" spans="1:2" x14ac:dyDescent="0.25">
      <c r="A917" s="30" t="s">
        <v>9975</v>
      </c>
      <c r="B917" s="31" t="s">
        <v>9975</v>
      </c>
    </row>
    <row r="918" spans="1:2" x14ac:dyDescent="0.25">
      <c r="A918" s="32" t="s">
        <v>2525</v>
      </c>
      <c r="B918" s="33" t="s">
        <v>2526</v>
      </c>
    </row>
    <row r="919" spans="1:2" x14ac:dyDescent="0.25">
      <c r="A919" s="30" t="s">
        <v>2527</v>
      </c>
      <c r="B919" s="31" t="s">
        <v>2528</v>
      </c>
    </row>
    <row r="920" spans="1:2" x14ac:dyDescent="0.25">
      <c r="A920" s="32" t="s">
        <v>340</v>
      </c>
      <c r="B920" s="33" t="s">
        <v>2529</v>
      </c>
    </row>
    <row r="921" spans="1:2" x14ac:dyDescent="0.25">
      <c r="A921" s="30" t="s">
        <v>2530</v>
      </c>
      <c r="B921" s="31" t="s">
        <v>2531</v>
      </c>
    </row>
    <row r="922" spans="1:2" x14ac:dyDescent="0.25">
      <c r="A922" s="32" t="s">
        <v>9976</v>
      </c>
      <c r="B922" s="33" t="s">
        <v>9976</v>
      </c>
    </row>
    <row r="923" spans="1:2" x14ac:dyDescent="0.25">
      <c r="A923" s="30" t="s">
        <v>9977</v>
      </c>
      <c r="B923" s="31" t="s">
        <v>9977</v>
      </c>
    </row>
    <row r="924" spans="1:2" x14ac:dyDescent="0.25">
      <c r="A924" s="32" t="s">
        <v>9978</v>
      </c>
      <c r="B924" s="33" t="s">
        <v>9978</v>
      </c>
    </row>
    <row r="925" spans="1:2" x14ac:dyDescent="0.25">
      <c r="A925" s="30" t="s">
        <v>341</v>
      </c>
      <c r="B925" s="31" t="s">
        <v>2532</v>
      </c>
    </row>
    <row r="926" spans="1:2" x14ac:dyDescent="0.25">
      <c r="A926" s="32" t="s">
        <v>342</v>
      </c>
      <c r="B926" s="33" t="s">
        <v>2533</v>
      </c>
    </row>
    <row r="927" spans="1:2" x14ac:dyDescent="0.25">
      <c r="A927" s="30" t="s">
        <v>343</v>
      </c>
      <c r="B927" s="31" t="s">
        <v>2534</v>
      </c>
    </row>
    <row r="928" spans="1:2" x14ac:dyDescent="0.25">
      <c r="A928" s="32" t="s">
        <v>9979</v>
      </c>
      <c r="B928" s="33" t="s">
        <v>9979</v>
      </c>
    </row>
    <row r="929" spans="1:2" x14ac:dyDescent="0.25">
      <c r="A929" s="30" t="s">
        <v>2535</v>
      </c>
      <c r="B929" s="31" t="s">
        <v>2536</v>
      </c>
    </row>
    <row r="930" spans="1:2" x14ac:dyDescent="0.25">
      <c r="A930" s="32" t="s">
        <v>2537</v>
      </c>
      <c r="B930" s="33" t="s">
        <v>2538</v>
      </c>
    </row>
    <row r="931" spans="1:2" x14ac:dyDescent="0.25">
      <c r="A931" s="30" t="s">
        <v>9980</v>
      </c>
      <c r="B931" s="31" t="s">
        <v>9980</v>
      </c>
    </row>
    <row r="932" spans="1:2" x14ac:dyDescent="0.25">
      <c r="A932" s="32" t="s">
        <v>344</v>
      </c>
      <c r="B932" s="33" t="s">
        <v>2539</v>
      </c>
    </row>
    <row r="933" spans="1:2" x14ac:dyDescent="0.25">
      <c r="A933" s="30" t="s">
        <v>9981</v>
      </c>
      <c r="B933" s="31" t="s">
        <v>9981</v>
      </c>
    </row>
    <row r="934" spans="1:2" x14ac:dyDescent="0.25">
      <c r="A934" s="32" t="s">
        <v>9982</v>
      </c>
      <c r="B934" s="33" t="s">
        <v>9982</v>
      </c>
    </row>
    <row r="935" spans="1:2" x14ac:dyDescent="0.25">
      <c r="A935" s="30" t="s">
        <v>9983</v>
      </c>
      <c r="B935" s="31" t="s">
        <v>9983</v>
      </c>
    </row>
    <row r="936" spans="1:2" x14ac:dyDescent="0.25">
      <c r="A936" s="32" t="s">
        <v>9984</v>
      </c>
      <c r="B936" s="33" t="s">
        <v>9984</v>
      </c>
    </row>
    <row r="937" spans="1:2" x14ac:dyDescent="0.25">
      <c r="A937" s="30" t="s">
        <v>9985</v>
      </c>
      <c r="B937" s="31" t="s">
        <v>9985</v>
      </c>
    </row>
    <row r="938" spans="1:2" x14ac:dyDescent="0.25">
      <c r="A938" s="32" t="s">
        <v>2540</v>
      </c>
      <c r="B938" s="33" t="s">
        <v>2541</v>
      </c>
    </row>
    <row r="939" spans="1:2" x14ac:dyDescent="0.25">
      <c r="A939" s="30" t="s">
        <v>345</v>
      </c>
      <c r="B939" s="31" t="s">
        <v>2542</v>
      </c>
    </row>
    <row r="940" spans="1:2" x14ac:dyDescent="0.25">
      <c r="A940" s="32" t="s">
        <v>9986</v>
      </c>
      <c r="B940" s="33" t="s">
        <v>9986</v>
      </c>
    </row>
    <row r="941" spans="1:2" x14ac:dyDescent="0.25">
      <c r="A941" s="30" t="s">
        <v>2543</v>
      </c>
      <c r="B941" s="31" t="s">
        <v>2544</v>
      </c>
    </row>
    <row r="942" spans="1:2" x14ac:dyDescent="0.25">
      <c r="A942" s="32" t="s">
        <v>2545</v>
      </c>
      <c r="B942" s="33" t="s">
        <v>2546</v>
      </c>
    </row>
    <row r="943" spans="1:2" x14ac:dyDescent="0.25">
      <c r="A943" s="30" t="s">
        <v>2547</v>
      </c>
      <c r="B943" s="31" t="s">
        <v>2548</v>
      </c>
    </row>
    <row r="944" spans="1:2" x14ac:dyDescent="0.25">
      <c r="A944" s="32" t="s">
        <v>347</v>
      </c>
      <c r="B944" s="33" t="s">
        <v>2549</v>
      </c>
    </row>
    <row r="945" spans="1:2" x14ac:dyDescent="0.25">
      <c r="A945" s="30" t="s">
        <v>9987</v>
      </c>
      <c r="B945" s="31" t="s">
        <v>9987</v>
      </c>
    </row>
    <row r="946" spans="1:2" x14ac:dyDescent="0.25">
      <c r="A946" s="32" t="s">
        <v>2550</v>
      </c>
      <c r="B946" s="33" t="s">
        <v>2551</v>
      </c>
    </row>
    <row r="947" spans="1:2" x14ac:dyDescent="0.25">
      <c r="A947" s="30" t="s">
        <v>349</v>
      </c>
      <c r="B947" s="31" t="s">
        <v>2552</v>
      </c>
    </row>
    <row r="948" spans="1:2" x14ac:dyDescent="0.25">
      <c r="A948" s="32" t="s">
        <v>2553</v>
      </c>
      <c r="B948" s="33" t="s">
        <v>2554</v>
      </c>
    </row>
    <row r="949" spans="1:2" x14ac:dyDescent="0.25">
      <c r="A949" s="30" t="s">
        <v>2555</v>
      </c>
      <c r="B949" s="31" t="s">
        <v>2556</v>
      </c>
    </row>
    <row r="950" spans="1:2" x14ac:dyDescent="0.25">
      <c r="A950" s="32" t="s">
        <v>350</v>
      </c>
      <c r="B950" s="33" t="s">
        <v>2557</v>
      </c>
    </row>
    <row r="951" spans="1:2" x14ac:dyDescent="0.25">
      <c r="A951" s="30" t="s">
        <v>2558</v>
      </c>
      <c r="B951" s="31" t="s">
        <v>2559</v>
      </c>
    </row>
    <row r="952" spans="1:2" x14ac:dyDescent="0.25">
      <c r="A952" s="32" t="s">
        <v>2560</v>
      </c>
      <c r="B952" s="33" t="s">
        <v>2561</v>
      </c>
    </row>
    <row r="953" spans="1:2" x14ac:dyDescent="0.25">
      <c r="A953" s="30" t="s">
        <v>2562</v>
      </c>
      <c r="B953" s="31" t="s">
        <v>2563</v>
      </c>
    </row>
    <row r="954" spans="1:2" x14ac:dyDescent="0.25">
      <c r="A954" s="32" t="s">
        <v>9988</v>
      </c>
      <c r="B954" s="33" t="s">
        <v>9988</v>
      </c>
    </row>
    <row r="955" spans="1:2" x14ac:dyDescent="0.25">
      <c r="A955" s="30" t="s">
        <v>2564</v>
      </c>
      <c r="B955" s="31" t="s">
        <v>2565</v>
      </c>
    </row>
    <row r="956" spans="1:2" x14ac:dyDescent="0.25">
      <c r="A956" s="32" t="s">
        <v>2566</v>
      </c>
      <c r="B956" s="33" t="s">
        <v>2567</v>
      </c>
    </row>
    <row r="957" spans="1:2" x14ac:dyDescent="0.25">
      <c r="A957" s="30" t="s">
        <v>2568</v>
      </c>
      <c r="B957" s="31" t="s">
        <v>2569</v>
      </c>
    </row>
    <row r="958" spans="1:2" x14ac:dyDescent="0.25">
      <c r="A958" s="32" t="s">
        <v>2570</v>
      </c>
      <c r="B958" s="33" t="s">
        <v>2571</v>
      </c>
    </row>
    <row r="959" spans="1:2" x14ac:dyDescent="0.25">
      <c r="A959" s="30" t="s">
        <v>2572</v>
      </c>
      <c r="B959" s="31" t="s">
        <v>2573</v>
      </c>
    </row>
    <row r="960" spans="1:2" x14ac:dyDescent="0.25">
      <c r="A960" s="32" t="s">
        <v>2574</v>
      </c>
      <c r="B960" s="33" t="s">
        <v>2575</v>
      </c>
    </row>
    <row r="961" spans="1:2" x14ac:dyDescent="0.25">
      <c r="A961" s="30" t="s">
        <v>351</v>
      </c>
      <c r="B961" s="31" t="s">
        <v>2576</v>
      </c>
    </row>
    <row r="962" spans="1:2" x14ac:dyDescent="0.25">
      <c r="A962" s="32" t="s">
        <v>352</v>
      </c>
      <c r="B962" s="33" t="s">
        <v>2577</v>
      </c>
    </row>
    <row r="963" spans="1:2" x14ac:dyDescent="0.25">
      <c r="A963" s="30" t="s">
        <v>2578</v>
      </c>
      <c r="B963" s="31" t="s">
        <v>2579</v>
      </c>
    </row>
    <row r="964" spans="1:2" x14ac:dyDescent="0.25">
      <c r="A964" s="32" t="s">
        <v>9989</v>
      </c>
      <c r="B964" s="33" t="s">
        <v>9989</v>
      </c>
    </row>
    <row r="965" spans="1:2" x14ac:dyDescent="0.25">
      <c r="A965" s="30" t="s">
        <v>2580</v>
      </c>
      <c r="B965" s="31" t="s">
        <v>2581</v>
      </c>
    </row>
    <row r="966" spans="1:2" x14ac:dyDescent="0.25">
      <c r="A966" s="32" t="s">
        <v>353</v>
      </c>
      <c r="B966" s="33" t="s">
        <v>2582</v>
      </c>
    </row>
    <row r="967" spans="1:2" x14ac:dyDescent="0.25">
      <c r="A967" s="30" t="s">
        <v>354</v>
      </c>
      <c r="B967" s="31" t="s">
        <v>2583</v>
      </c>
    </row>
    <row r="968" spans="1:2" x14ac:dyDescent="0.25">
      <c r="A968" s="32" t="s">
        <v>355</v>
      </c>
      <c r="B968" s="33" t="s">
        <v>2584</v>
      </c>
    </row>
    <row r="969" spans="1:2" x14ac:dyDescent="0.25">
      <c r="A969" s="30" t="s">
        <v>2585</v>
      </c>
      <c r="B969" s="31" t="s">
        <v>2586</v>
      </c>
    </row>
    <row r="970" spans="1:2" x14ac:dyDescent="0.25">
      <c r="A970" s="32" t="s">
        <v>9990</v>
      </c>
      <c r="B970" s="33" t="s">
        <v>9990</v>
      </c>
    </row>
    <row r="971" spans="1:2" x14ac:dyDescent="0.25">
      <c r="A971" s="30" t="s">
        <v>9991</v>
      </c>
      <c r="B971" s="31" t="s">
        <v>9991</v>
      </c>
    </row>
    <row r="972" spans="1:2" x14ac:dyDescent="0.25">
      <c r="A972" s="32" t="s">
        <v>2587</v>
      </c>
      <c r="B972" s="33" t="s">
        <v>2588</v>
      </c>
    </row>
    <row r="973" spans="1:2" x14ac:dyDescent="0.25">
      <c r="A973" s="30" t="s">
        <v>356</v>
      </c>
      <c r="B973" s="31" t="s">
        <v>2589</v>
      </c>
    </row>
    <row r="974" spans="1:2" x14ac:dyDescent="0.25">
      <c r="A974" s="32" t="s">
        <v>2590</v>
      </c>
      <c r="B974" s="33" t="s">
        <v>2591</v>
      </c>
    </row>
    <row r="975" spans="1:2" x14ac:dyDescent="0.25">
      <c r="A975" s="30" t="s">
        <v>2592</v>
      </c>
      <c r="B975" s="31" t="s">
        <v>2593</v>
      </c>
    </row>
    <row r="976" spans="1:2" x14ac:dyDescent="0.25">
      <c r="A976" s="32" t="s">
        <v>9992</v>
      </c>
      <c r="B976" s="33" t="s">
        <v>9992</v>
      </c>
    </row>
    <row r="977" spans="1:2" x14ac:dyDescent="0.25">
      <c r="A977" s="30" t="s">
        <v>2594</v>
      </c>
      <c r="B977" s="31" t="s">
        <v>2595</v>
      </c>
    </row>
    <row r="978" spans="1:2" x14ac:dyDescent="0.25">
      <c r="A978" s="32" t="s">
        <v>2596</v>
      </c>
      <c r="B978" s="33" t="s">
        <v>2597</v>
      </c>
    </row>
    <row r="979" spans="1:2" x14ac:dyDescent="0.25">
      <c r="A979" s="30" t="s">
        <v>2598</v>
      </c>
      <c r="B979" s="31" t="s">
        <v>2599</v>
      </c>
    </row>
    <row r="980" spans="1:2" x14ac:dyDescent="0.25">
      <c r="A980" s="32" t="s">
        <v>9993</v>
      </c>
      <c r="B980" s="33" t="s">
        <v>9993</v>
      </c>
    </row>
    <row r="981" spans="1:2" x14ac:dyDescent="0.25">
      <c r="A981" s="30" t="s">
        <v>2600</v>
      </c>
      <c r="B981" s="31" t="s">
        <v>2601</v>
      </c>
    </row>
    <row r="982" spans="1:2" x14ac:dyDescent="0.25">
      <c r="A982" s="32" t="s">
        <v>2602</v>
      </c>
      <c r="B982" s="33" t="s">
        <v>2603</v>
      </c>
    </row>
    <row r="983" spans="1:2" x14ac:dyDescent="0.25">
      <c r="A983" s="30" t="s">
        <v>2604</v>
      </c>
      <c r="B983" s="31" t="s">
        <v>2605</v>
      </c>
    </row>
    <row r="984" spans="1:2" x14ac:dyDescent="0.25">
      <c r="A984" s="32" t="s">
        <v>2606</v>
      </c>
      <c r="B984" s="33" t="s">
        <v>2607</v>
      </c>
    </row>
    <row r="985" spans="1:2" x14ac:dyDescent="0.25">
      <c r="A985" s="30" t="s">
        <v>2608</v>
      </c>
      <c r="B985" s="31" t="s">
        <v>2609</v>
      </c>
    </row>
    <row r="986" spans="1:2" x14ac:dyDescent="0.25">
      <c r="A986" s="32" t="s">
        <v>2610</v>
      </c>
      <c r="B986" s="33" t="s">
        <v>2611</v>
      </c>
    </row>
    <row r="987" spans="1:2" x14ac:dyDescent="0.25">
      <c r="A987" s="30" t="s">
        <v>2612</v>
      </c>
      <c r="B987" s="31" t="s">
        <v>2613</v>
      </c>
    </row>
    <row r="988" spans="1:2" x14ac:dyDescent="0.25">
      <c r="A988" s="32" t="s">
        <v>9994</v>
      </c>
      <c r="B988" s="33" t="s">
        <v>9994</v>
      </c>
    </row>
    <row r="989" spans="1:2" x14ac:dyDescent="0.25">
      <c r="A989" s="30" t="s">
        <v>9995</v>
      </c>
      <c r="B989" s="31" t="s">
        <v>9995</v>
      </c>
    </row>
    <row r="990" spans="1:2" x14ac:dyDescent="0.25">
      <c r="A990" s="32" t="s">
        <v>9996</v>
      </c>
      <c r="B990" s="33" t="s">
        <v>9996</v>
      </c>
    </row>
    <row r="991" spans="1:2" x14ac:dyDescent="0.25">
      <c r="A991" s="30" t="s">
        <v>2614</v>
      </c>
      <c r="B991" s="31" t="s">
        <v>2615</v>
      </c>
    </row>
    <row r="992" spans="1:2" x14ac:dyDescent="0.25">
      <c r="A992" s="32" t="s">
        <v>2616</v>
      </c>
      <c r="B992" s="33" t="s">
        <v>2617</v>
      </c>
    </row>
    <row r="993" spans="1:2" x14ac:dyDescent="0.25">
      <c r="A993" s="30" t="s">
        <v>2618</v>
      </c>
      <c r="B993" s="31" t="s">
        <v>2619</v>
      </c>
    </row>
    <row r="994" spans="1:2" x14ac:dyDescent="0.25">
      <c r="A994" s="32" t="s">
        <v>2620</v>
      </c>
      <c r="B994" s="33" t="s">
        <v>2621</v>
      </c>
    </row>
    <row r="995" spans="1:2" x14ac:dyDescent="0.25">
      <c r="A995" s="30" t="s">
        <v>9997</v>
      </c>
      <c r="B995" s="31" t="s">
        <v>9997</v>
      </c>
    </row>
    <row r="996" spans="1:2" x14ac:dyDescent="0.25">
      <c r="A996" s="32" t="s">
        <v>9998</v>
      </c>
      <c r="B996" s="33" t="s">
        <v>9998</v>
      </c>
    </row>
    <row r="997" spans="1:2" x14ac:dyDescent="0.25">
      <c r="A997" s="30" t="s">
        <v>2622</v>
      </c>
      <c r="B997" s="31" t="s">
        <v>2623</v>
      </c>
    </row>
    <row r="998" spans="1:2" x14ac:dyDescent="0.25">
      <c r="A998" s="32" t="s">
        <v>2624</v>
      </c>
      <c r="B998" s="33" t="s">
        <v>2625</v>
      </c>
    </row>
    <row r="999" spans="1:2" x14ac:dyDescent="0.25">
      <c r="A999" s="30" t="s">
        <v>2626</v>
      </c>
      <c r="B999" s="31" t="s">
        <v>2627</v>
      </c>
    </row>
    <row r="1000" spans="1:2" x14ac:dyDescent="0.25">
      <c r="A1000" s="32" t="s">
        <v>2628</v>
      </c>
      <c r="B1000" s="33" t="s">
        <v>2629</v>
      </c>
    </row>
    <row r="1001" spans="1:2" x14ac:dyDescent="0.25">
      <c r="A1001" s="30" t="s">
        <v>2630</v>
      </c>
      <c r="B1001" s="31" t="s">
        <v>2631</v>
      </c>
    </row>
    <row r="1002" spans="1:2" x14ac:dyDescent="0.25">
      <c r="A1002" s="32" t="s">
        <v>2632</v>
      </c>
      <c r="B1002" s="33" t="s">
        <v>2633</v>
      </c>
    </row>
    <row r="1003" spans="1:2" x14ac:dyDescent="0.25">
      <c r="A1003" s="30" t="s">
        <v>2634</v>
      </c>
      <c r="B1003" s="31" t="s">
        <v>2635</v>
      </c>
    </row>
    <row r="1004" spans="1:2" x14ac:dyDescent="0.25">
      <c r="A1004" s="32" t="s">
        <v>2636</v>
      </c>
      <c r="B1004" s="33" t="s">
        <v>2637</v>
      </c>
    </row>
    <row r="1005" spans="1:2" x14ac:dyDescent="0.25">
      <c r="A1005" s="30" t="s">
        <v>358</v>
      </c>
      <c r="B1005" s="31" t="s">
        <v>2638</v>
      </c>
    </row>
    <row r="1006" spans="1:2" x14ac:dyDescent="0.25">
      <c r="A1006" s="32" t="s">
        <v>2639</v>
      </c>
      <c r="B1006" s="33" t="s">
        <v>2640</v>
      </c>
    </row>
    <row r="1007" spans="1:2" x14ac:dyDescent="0.25">
      <c r="A1007" s="30" t="s">
        <v>9999</v>
      </c>
      <c r="B1007" s="31" t="s">
        <v>9999</v>
      </c>
    </row>
    <row r="1008" spans="1:2" x14ac:dyDescent="0.25">
      <c r="A1008" s="32" t="s">
        <v>10000</v>
      </c>
      <c r="B1008" s="33" t="s">
        <v>10000</v>
      </c>
    </row>
    <row r="1009" spans="1:2" x14ac:dyDescent="0.25">
      <c r="A1009" s="30" t="s">
        <v>359</v>
      </c>
      <c r="B1009" s="31" t="s">
        <v>2641</v>
      </c>
    </row>
    <row r="1010" spans="1:2" x14ac:dyDescent="0.25">
      <c r="A1010" s="32" t="s">
        <v>10001</v>
      </c>
      <c r="B1010" s="33" t="s">
        <v>10001</v>
      </c>
    </row>
    <row r="1011" spans="1:2" x14ac:dyDescent="0.25">
      <c r="A1011" s="30" t="s">
        <v>360</v>
      </c>
      <c r="B1011" s="31" t="s">
        <v>2642</v>
      </c>
    </row>
    <row r="1012" spans="1:2" x14ac:dyDescent="0.25">
      <c r="A1012" s="32" t="s">
        <v>361</v>
      </c>
      <c r="B1012" s="33" t="s">
        <v>2643</v>
      </c>
    </row>
    <row r="1013" spans="1:2" x14ac:dyDescent="0.25">
      <c r="A1013" s="30" t="s">
        <v>2644</v>
      </c>
      <c r="B1013" s="31" t="s">
        <v>2645</v>
      </c>
    </row>
    <row r="1014" spans="1:2" x14ac:dyDescent="0.25">
      <c r="A1014" s="32" t="s">
        <v>2646</v>
      </c>
      <c r="B1014" s="33" t="s">
        <v>2647</v>
      </c>
    </row>
    <row r="1015" spans="1:2" x14ac:dyDescent="0.25">
      <c r="A1015" s="30" t="s">
        <v>2648</v>
      </c>
      <c r="B1015" s="31" t="s">
        <v>2649</v>
      </c>
    </row>
    <row r="1016" spans="1:2" x14ac:dyDescent="0.25">
      <c r="A1016" s="32" t="s">
        <v>2650</v>
      </c>
      <c r="B1016" s="33" t="s">
        <v>2651</v>
      </c>
    </row>
    <row r="1017" spans="1:2" x14ac:dyDescent="0.25">
      <c r="A1017" s="30" t="s">
        <v>10002</v>
      </c>
      <c r="B1017" s="31" t="s">
        <v>10002</v>
      </c>
    </row>
    <row r="1018" spans="1:2" x14ac:dyDescent="0.25">
      <c r="A1018" s="32" t="s">
        <v>2652</v>
      </c>
      <c r="B1018" s="33" t="s">
        <v>2653</v>
      </c>
    </row>
    <row r="1019" spans="1:2" x14ac:dyDescent="0.25">
      <c r="A1019" s="30" t="s">
        <v>2654</v>
      </c>
      <c r="B1019" s="31" t="s">
        <v>2655</v>
      </c>
    </row>
    <row r="1020" spans="1:2" x14ac:dyDescent="0.25">
      <c r="A1020" s="32" t="s">
        <v>10003</v>
      </c>
      <c r="B1020" s="33" t="s">
        <v>10003</v>
      </c>
    </row>
    <row r="1021" spans="1:2" x14ac:dyDescent="0.25">
      <c r="A1021" s="30" t="s">
        <v>10004</v>
      </c>
      <c r="B1021" s="31" t="s">
        <v>10004</v>
      </c>
    </row>
    <row r="1022" spans="1:2" x14ac:dyDescent="0.25">
      <c r="A1022" s="32" t="s">
        <v>10005</v>
      </c>
      <c r="B1022" s="33" t="s">
        <v>10005</v>
      </c>
    </row>
    <row r="1023" spans="1:2" x14ac:dyDescent="0.25">
      <c r="A1023" s="30" t="s">
        <v>10006</v>
      </c>
      <c r="B1023" s="31" t="s">
        <v>10006</v>
      </c>
    </row>
    <row r="1024" spans="1:2" x14ac:dyDescent="0.25">
      <c r="A1024" s="32" t="s">
        <v>2656</v>
      </c>
      <c r="B1024" s="33" t="s">
        <v>2657</v>
      </c>
    </row>
    <row r="1025" spans="1:2" x14ac:dyDescent="0.25">
      <c r="A1025" s="30" t="s">
        <v>2658</v>
      </c>
      <c r="B1025" s="31" t="s">
        <v>2659</v>
      </c>
    </row>
    <row r="1026" spans="1:2" x14ac:dyDescent="0.25">
      <c r="A1026" s="32" t="s">
        <v>2660</v>
      </c>
      <c r="B1026" s="33" t="s">
        <v>2661</v>
      </c>
    </row>
    <row r="1027" spans="1:2" x14ac:dyDescent="0.25">
      <c r="A1027" s="30" t="s">
        <v>2662</v>
      </c>
      <c r="B1027" s="31" t="s">
        <v>2663</v>
      </c>
    </row>
    <row r="1028" spans="1:2" x14ac:dyDescent="0.25">
      <c r="A1028" s="32" t="s">
        <v>2664</v>
      </c>
      <c r="B1028" s="33" t="s">
        <v>2665</v>
      </c>
    </row>
    <row r="1029" spans="1:2" x14ac:dyDescent="0.25">
      <c r="A1029" s="30" t="s">
        <v>362</v>
      </c>
      <c r="B1029" s="31" t="s">
        <v>2666</v>
      </c>
    </row>
    <row r="1030" spans="1:2" x14ac:dyDescent="0.25">
      <c r="A1030" s="32" t="s">
        <v>2667</v>
      </c>
      <c r="B1030" s="33" t="s">
        <v>2668</v>
      </c>
    </row>
    <row r="1031" spans="1:2" x14ac:dyDescent="0.25">
      <c r="A1031" s="30" t="s">
        <v>2669</v>
      </c>
      <c r="B1031" s="31" t="s">
        <v>2670</v>
      </c>
    </row>
    <row r="1032" spans="1:2" x14ac:dyDescent="0.25">
      <c r="A1032" s="32" t="s">
        <v>2671</v>
      </c>
      <c r="B1032" s="33" t="s">
        <v>2672</v>
      </c>
    </row>
    <row r="1033" spans="1:2" x14ac:dyDescent="0.25">
      <c r="A1033" s="30" t="s">
        <v>2673</v>
      </c>
      <c r="B1033" s="31" t="s">
        <v>2674</v>
      </c>
    </row>
    <row r="1034" spans="1:2" x14ac:dyDescent="0.25">
      <c r="A1034" s="32" t="s">
        <v>10007</v>
      </c>
      <c r="B1034" s="33" t="s">
        <v>10007</v>
      </c>
    </row>
    <row r="1035" spans="1:2" x14ac:dyDescent="0.25">
      <c r="A1035" s="30" t="s">
        <v>10008</v>
      </c>
      <c r="B1035" s="31" t="s">
        <v>10008</v>
      </c>
    </row>
    <row r="1036" spans="1:2" x14ac:dyDescent="0.25">
      <c r="A1036" s="32" t="s">
        <v>363</v>
      </c>
      <c r="B1036" s="33" t="s">
        <v>2675</v>
      </c>
    </row>
    <row r="1037" spans="1:2" x14ac:dyDescent="0.25">
      <c r="A1037" s="30" t="s">
        <v>2676</v>
      </c>
      <c r="B1037" s="31" t="s">
        <v>2677</v>
      </c>
    </row>
    <row r="1038" spans="1:2" x14ac:dyDescent="0.25">
      <c r="A1038" s="32" t="s">
        <v>2678</v>
      </c>
      <c r="B1038" s="33" t="s">
        <v>2679</v>
      </c>
    </row>
    <row r="1039" spans="1:2" x14ac:dyDescent="0.25">
      <c r="A1039" s="30" t="s">
        <v>10009</v>
      </c>
      <c r="B1039" s="31" t="s">
        <v>10009</v>
      </c>
    </row>
    <row r="1040" spans="1:2" x14ac:dyDescent="0.25">
      <c r="A1040" s="32" t="s">
        <v>10010</v>
      </c>
      <c r="B1040" s="33" t="s">
        <v>10010</v>
      </c>
    </row>
    <row r="1041" spans="1:2" x14ac:dyDescent="0.25">
      <c r="A1041" s="30" t="s">
        <v>10011</v>
      </c>
      <c r="B1041" s="31" t="s">
        <v>10011</v>
      </c>
    </row>
    <row r="1042" spans="1:2" x14ac:dyDescent="0.25">
      <c r="A1042" s="32" t="s">
        <v>10012</v>
      </c>
      <c r="B1042" s="33" t="s">
        <v>10012</v>
      </c>
    </row>
    <row r="1043" spans="1:2" x14ac:dyDescent="0.25">
      <c r="A1043" s="30" t="s">
        <v>10013</v>
      </c>
      <c r="B1043" s="31" t="s">
        <v>10013</v>
      </c>
    </row>
    <row r="1044" spans="1:2" x14ac:dyDescent="0.25">
      <c r="A1044" s="32" t="s">
        <v>10014</v>
      </c>
      <c r="B1044" s="33" t="s">
        <v>10014</v>
      </c>
    </row>
    <row r="1045" spans="1:2" x14ac:dyDescent="0.25">
      <c r="A1045" s="30" t="s">
        <v>10015</v>
      </c>
      <c r="B1045" s="31" t="s">
        <v>10015</v>
      </c>
    </row>
    <row r="1046" spans="1:2" x14ac:dyDescent="0.25">
      <c r="A1046" s="32" t="s">
        <v>10016</v>
      </c>
      <c r="B1046" s="33" t="s">
        <v>10016</v>
      </c>
    </row>
    <row r="1047" spans="1:2" x14ac:dyDescent="0.25">
      <c r="A1047" s="30" t="s">
        <v>10017</v>
      </c>
      <c r="B1047" s="31" t="s">
        <v>10017</v>
      </c>
    </row>
    <row r="1048" spans="1:2" x14ac:dyDescent="0.25">
      <c r="A1048" s="32" t="s">
        <v>10018</v>
      </c>
      <c r="B1048" s="33" t="s">
        <v>10018</v>
      </c>
    </row>
    <row r="1049" spans="1:2" x14ac:dyDescent="0.25">
      <c r="A1049" s="30" t="s">
        <v>10019</v>
      </c>
      <c r="B1049" s="31" t="s">
        <v>10019</v>
      </c>
    </row>
    <row r="1050" spans="1:2" x14ac:dyDescent="0.25">
      <c r="A1050" s="32" t="s">
        <v>10020</v>
      </c>
      <c r="B1050" s="33" t="s">
        <v>10020</v>
      </c>
    </row>
    <row r="1051" spans="1:2" x14ac:dyDescent="0.25">
      <c r="A1051" s="30" t="s">
        <v>10021</v>
      </c>
      <c r="B1051" s="31" t="s">
        <v>10021</v>
      </c>
    </row>
    <row r="1052" spans="1:2" x14ac:dyDescent="0.25">
      <c r="A1052" s="32" t="s">
        <v>10022</v>
      </c>
      <c r="B1052" s="33" t="s">
        <v>10022</v>
      </c>
    </row>
    <row r="1053" spans="1:2" x14ac:dyDescent="0.25">
      <c r="A1053" s="30" t="s">
        <v>10023</v>
      </c>
      <c r="B1053" s="31" t="s">
        <v>10023</v>
      </c>
    </row>
    <row r="1054" spans="1:2" x14ac:dyDescent="0.25">
      <c r="A1054" s="32" t="s">
        <v>10024</v>
      </c>
      <c r="B1054" s="33" t="s">
        <v>10024</v>
      </c>
    </row>
    <row r="1055" spans="1:2" x14ac:dyDescent="0.25">
      <c r="A1055" s="30" t="s">
        <v>10025</v>
      </c>
      <c r="B1055" s="31" t="s">
        <v>10025</v>
      </c>
    </row>
    <row r="1056" spans="1:2" x14ac:dyDescent="0.25">
      <c r="A1056" s="32" t="s">
        <v>10026</v>
      </c>
      <c r="B1056" s="33" t="s">
        <v>10026</v>
      </c>
    </row>
    <row r="1057" spans="1:2" x14ac:dyDescent="0.25">
      <c r="A1057" s="30" t="s">
        <v>2680</v>
      </c>
      <c r="B1057" s="31" t="s">
        <v>2681</v>
      </c>
    </row>
    <row r="1058" spans="1:2" x14ac:dyDescent="0.25">
      <c r="A1058" s="32" t="s">
        <v>2682</v>
      </c>
      <c r="B1058" s="33" t="s">
        <v>2683</v>
      </c>
    </row>
    <row r="1059" spans="1:2" x14ac:dyDescent="0.25">
      <c r="A1059" s="30" t="s">
        <v>2684</v>
      </c>
      <c r="B1059" s="31" t="s">
        <v>2685</v>
      </c>
    </row>
    <row r="1060" spans="1:2" x14ac:dyDescent="0.25">
      <c r="A1060" s="32" t="s">
        <v>2686</v>
      </c>
      <c r="B1060" s="33" t="s">
        <v>2687</v>
      </c>
    </row>
    <row r="1061" spans="1:2" x14ac:dyDescent="0.25">
      <c r="A1061" s="30" t="s">
        <v>364</v>
      </c>
      <c r="B1061" s="31" t="s">
        <v>2688</v>
      </c>
    </row>
    <row r="1062" spans="1:2" x14ac:dyDescent="0.25">
      <c r="A1062" s="32" t="s">
        <v>2689</v>
      </c>
      <c r="B1062" s="33" t="s">
        <v>2690</v>
      </c>
    </row>
    <row r="1063" spans="1:2" x14ac:dyDescent="0.25">
      <c r="A1063" s="30" t="s">
        <v>2691</v>
      </c>
      <c r="B1063" s="31" t="s">
        <v>2692</v>
      </c>
    </row>
    <row r="1064" spans="1:2" x14ac:dyDescent="0.25">
      <c r="A1064" s="32" t="s">
        <v>10027</v>
      </c>
      <c r="B1064" s="33" t="s">
        <v>10027</v>
      </c>
    </row>
    <row r="1065" spans="1:2" x14ac:dyDescent="0.25">
      <c r="A1065" s="30" t="s">
        <v>365</v>
      </c>
      <c r="B1065" s="31" t="s">
        <v>2693</v>
      </c>
    </row>
    <row r="1066" spans="1:2" x14ac:dyDescent="0.25">
      <c r="A1066" s="32" t="s">
        <v>366</v>
      </c>
      <c r="B1066" s="33" t="s">
        <v>2694</v>
      </c>
    </row>
    <row r="1067" spans="1:2" x14ac:dyDescent="0.25">
      <c r="A1067" s="30" t="s">
        <v>367</v>
      </c>
      <c r="B1067" s="31" t="s">
        <v>2695</v>
      </c>
    </row>
    <row r="1068" spans="1:2" x14ac:dyDescent="0.25">
      <c r="A1068" s="32" t="s">
        <v>368</v>
      </c>
      <c r="B1068" s="33" t="s">
        <v>2696</v>
      </c>
    </row>
    <row r="1069" spans="1:2" x14ac:dyDescent="0.25">
      <c r="A1069" s="30" t="s">
        <v>369</v>
      </c>
      <c r="B1069" s="31" t="s">
        <v>2697</v>
      </c>
    </row>
    <row r="1070" spans="1:2" x14ac:dyDescent="0.25">
      <c r="A1070" s="32" t="s">
        <v>370</v>
      </c>
      <c r="B1070" s="33" t="s">
        <v>2698</v>
      </c>
    </row>
    <row r="1071" spans="1:2" x14ac:dyDescent="0.25">
      <c r="A1071" s="30" t="s">
        <v>10028</v>
      </c>
      <c r="B1071" s="31" t="s">
        <v>10028</v>
      </c>
    </row>
    <row r="1072" spans="1:2" x14ac:dyDescent="0.25">
      <c r="A1072" s="32" t="s">
        <v>10029</v>
      </c>
      <c r="B1072" s="33" t="s">
        <v>10029</v>
      </c>
    </row>
    <row r="1073" spans="1:2" x14ac:dyDescent="0.25">
      <c r="A1073" s="30" t="s">
        <v>2699</v>
      </c>
      <c r="B1073" s="31" t="s">
        <v>2700</v>
      </c>
    </row>
    <row r="1074" spans="1:2" x14ac:dyDescent="0.25">
      <c r="A1074" s="32" t="s">
        <v>2701</v>
      </c>
      <c r="B1074" s="33" t="s">
        <v>2702</v>
      </c>
    </row>
    <row r="1075" spans="1:2" x14ac:dyDescent="0.25">
      <c r="A1075" s="30" t="s">
        <v>371</v>
      </c>
      <c r="B1075" s="31" t="s">
        <v>2703</v>
      </c>
    </row>
    <row r="1076" spans="1:2" x14ac:dyDescent="0.25">
      <c r="A1076" s="32" t="s">
        <v>372</v>
      </c>
      <c r="B1076" s="33" t="s">
        <v>2704</v>
      </c>
    </row>
    <row r="1077" spans="1:2" x14ac:dyDescent="0.25">
      <c r="A1077" s="30" t="s">
        <v>2705</v>
      </c>
      <c r="B1077" s="31" t="s">
        <v>2706</v>
      </c>
    </row>
    <row r="1078" spans="1:2" x14ac:dyDescent="0.25">
      <c r="A1078" s="32" t="s">
        <v>373</v>
      </c>
      <c r="B1078" s="33" t="s">
        <v>2707</v>
      </c>
    </row>
    <row r="1079" spans="1:2" x14ac:dyDescent="0.25">
      <c r="A1079" s="30" t="s">
        <v>2708</v>
      </c>
      <c r="B1079" s="31" t="s">
        <v>2709</v>
      </c>
    </row>
    <row r="1080" spans="1:2" x14ac:dyDescent="0.25">
      <c r="A1080" s="32" t="s">
        <v>2710</v>
      </c>
      <c r="B1080" s="33" t="s">
        <v>2711</v>
      </c>
    </row>
    <row r="1081" spans="1:2" x14ac:dyDescent="0.25">
      <c r="A1081" s="30" t="s">
        <v>10030</v>
      </c>
      <c r="B1081" s="31" t="s">
        <v>10030</v>
      </c>
    </row>
    <row r="1082" spans="1:2" x14ac:dyDescent="0.25">
      <c r="A1082" s="32" t="s">
        <v>10031</v>
      </c>
      <c r="B1082" s="33" t="s">
        <v>10031</v>
      </c>
    </row>
    <row r="1083" spans="1:2" x14ac:dyDescent="0.25">
      <c r="A1083" s="30" t="s">
        <v>10032</v>
      </c>
      <c r="B1083" s="31" t="s">
        <v>10032</v>
      </c>
    </row>
    <row r="1084" spans="1:2" x14ac:dyDescent="0.25">
      <c r="A1084" s="32" t="s">
        <v>374</v>
      </c>
      <c r="B1084" s="33" t="s">
        <v>2712</v>
      </c>
    </row>
    <row r="1085" spans="1:2" x14ac:dyDescent="0.25">
      <c r="A1085" s="30" t="s">
        <v>10033</v>
      </c>
      <c r="B1085" s="31" t="s">
        <v>10033</v>
      </c>
    </row>
    <row r="1086" spans="1:2" x14ac:dyDescent="0.25">
      <c r="A1086" s="32" t="s">
        <v>10034</v>
      </c>
      <c r="B1086" s="33" t="s">
        <v>10034</v>
      </c>
    </row>
    <row r="1087" spans="1:2" x14ac:dyDescent="0.25">
      <c r="A1087" s="30" t="s">
        <v>2713</v>
      </c>
      <c r="B1087" s="31" t="s">
        <v>2714</v>
      </c>
    </row>
    <row r="1088" spans="1:2" x14ac:dyDescent="0.25">
      <c r="A1088" s="32" t="s">
        <v>375</v>
      </c>
      <c r="B1088" s="33" t="s">
        <v>2715</v>
      </c>
    </row>
    <row r="1089" spans="1:2" x14ac:dyDescent="0.25">
      <c r="A1089" s="30" t="s">
        <v>2716</v>
      </c>
      <c r="B1089" s="31" t="s">
        <v>2717</v>
      </c>
    </row>
    <row r="1090" spans="1:2" x14ac:dyDescent="0.25">
      <c r="A1090" s="32" t="s">
        <v>376</v>
      </c>
      <c r="B1090" s="33" t="s">
        <v>2718</v>
      </c>
    </row>
    <row r="1091" spans="1:2" x14ac:dyDescent="0.25">
      <c r="A1091" s="30" t="s">
        <v>377</v>
      </c>
      <c r="B1091" s="31" t="s">
        <v>2719</v>
      </c>
    </row>
    <row r="1092" spans="1:2" x14ac:dyDescent="0.25">
      <c r="A1092" s="32" t="s">
        <v>378</v>
      </c>
      <c r="B1092" s="33" t="s">
        <v>2720</v>
      </c>
    </row>
    <row r="1093" spans="1:2" x14ac:dyDescent="0.25">
      <c r="A1093" s="30" t="s">
        <v>2721</v>
      </c>
      <c r="B1093" s="31" t="s">
        <v>2722</v>
      </c>
    </row>
    <row r="1094" spans="1:2" x14ac:dyDescent="0.25">
      <c r="A1094" s="32" t="s">
        <v>10035</v>
      </c>
      <c r="B1094" s="33" t="s">
        <v>10035</v>
      </c>
    </row>
    <row r="1095" spans="1:2" x14ac:dyDescent="0.25">
      <c r="A1095" s="30" t="s">
        <v>2723</v>
      </c>
      <c r="B1095" s="31" t="s">
        <v>2724</v>
      </c>
    </row>
    <row r="1096" spans="1:2" x14ac:dyDescent="0.25">
      <c r="A1096" s="32" t="s">
        <v>10036</v>
      </c>
      <c r="B1096" s="33" t="s">
        <v>10036</v>
      </c>
    </row>
    <row r="1097" spans="1:2" x14ac:dyDescent="0.25">
      <c r="A1097" s="30" t="s">
        <v>380</v>
      </c>
      <c r="B1097" s="31" t="s">
        <v>2725</v>
      </c>
    </row>
    <row r="1098" spans="1:2" x14ac:dyDescent="0.25">
      <c r="A1098" s="32" t="s">
        <v>2726</v>
      </c>
      <c r="B1098" s="33" t="s">
        <v>2727</v>
      </c>
    </row>
    <row r="1099" spans="1:2" x14ac:dyDescent="0.25">
      <c r="A1099" s="30" t="s">
        <v>2728</v>
      </c>
      <c r="B1099" s="31" t="s">
        <v>2729</v>
      </c>
    </row>
    <row r="1100" spans="1:2" x14ac:dyDescent="0.25">
      <c r="A1100" s="32" t="s">
        <v>2730</v>
      </c>
      <c r="B1100" s="33" t="s">
        <v>2731</v>
      </c>
    </row>
    <row r="1101" spans="1:2" x14ac:dyDescent="0.25">
      <c r="A1101" s="30" t="s">
        <v>381</v>
      </c>
      <c r="B1101" s="31" t="s">
        <v>2732</v>
      </c>
    </row>
    <row r="1102" spans="1:2" x14ac:dyDescent="0.25">
      <c r="A1102" s="32" t="s">
        <v>10037</v>
      </c>
      <c r="B1102" s="33" t="s">
        <v>10037</v>
      </c>
    </row>
    <row r="1103" spans="1:2" x14ac:dyDescent="0.25">
      <c r="A1103" s="30" t="s">
        <v>2733</v>
      </c>
      <c r="B1103" s="31" t="s">
        <v>2734</v>
      </c>
    </row>
    <row r="1104" spans="1:2" x14ac:dyDescent="0.25">
      <c r="A1104" s="32" t="s">
        <v>382</v>
      </c>
      <c r="B1104" s="33" t="s">
        <v>2735</v>
      </c>
    </row>
    <row r="1105" spans="1:2" x14ac:dyDescent="0.25">
      <c r="A1105" s="30" t="s">
        <v>10038</v>
      </c>
      <c r="B1105" s="31" t="s">
        <v>10038</v>
      </c>
    </row>
    <row r="1106" spans="1:2" x14ac:dyDescent="0.25">
      <c r="A1106" s="32" t="s">
        <v>10039</v>
      </c>
      <c r="B1106" s="33" t="s">
        <v>10039</v>
      </c>
    </row>
    <row r="1107" spans="1:2" x14ac:dyDescent="0.25">
      <c r="A1107" s="30" t="s">
        <v>383</v>
      </c>
      <c r="B1107" s="31" t="s">
        <v>2736</v>
      </c>
    </row>
    <row r="1108" spans="1:2" x14ac:dyDescent="0.25">
      <c r="A1108" s="32" t="s">
        <v>2737</v>
      </c>
      <c r="B1108" s="33" t="s">
        <v>2738</v>
      </c>
    </row>
    <row r="1109" spans="1:2" x14ac:dyDescent="0.25">
      <c r="A1109" s="30" t="s">
        <v>384</v>
      </c>
      <c r="B1109" s="31" t="s">
        <v>2739</v>
      </c>
    </row>
    <row r="1110" spans="1:2" x14ac:dyDescent="0.25">
      <c r="A1110" s="32" t="s">
        <v>10040</v>
      </c>
      <c r="B1110" s="33" t="s">
        <v>10040</v>
      </c>
    </row>
    <row r="1111" spans="1:2" x14ac:dyDescent="0.25">
      <c r="A1111" s="30" t="s">
        <v>385</v>
      </c>
      <c r="B1111" s="31" t="s">
        <v>2740</v>
      </c>
    </row>
    <row r="1112" spans="1:2" x14ac:dyDescent="0.25">
      <c r="A1112" s="32" t="s">
        <v>10041</v>
      </c>
      <c r="B1112" s="33" t="s">
        <v>10041</v>
      </c>
    </row>
    <row r="1113" spans="1:2" x14ac:dyDescent="0.25">
      <c r="A1113" s="30" t="s">
        <v>10042</v>
      </c>
      <c r="B1113" s="31" t="s">
        <v>10042</v>
      </c>
    </row>
    <row r="1114" spans="1:2" x14ac:dyDescent="0.25">
      <c r="A1114" s="32" t="s">
        <v>2741</v>
      </c>
      <c r="B1114" s="33" t="s">
        <v>2742</v>
      </c>
    </row>
    <row r="1115" spans="1:2" x14ac:dyDescent="0.25">
      <c r="A1115" s="30" t="s">
        <v>2743</v>
      </c>
      <c r="B1115" s="31" t="s">
        <v>2744</v>
      </c>
    </row>
    <row r="1116" spans="1:2" x14ac:dyDescent="0.25">
      <c r="A1116" s="32" t="s">
        <v>2745</v>
      </c>
      <c r="B1116" s="33" t="s">
        <v>2746</v>
      </c>
    </row>
    <row r="1117" spans="1:2" x14ac:dyDescent="0.25">
      <c r="A1117" s="30" t="s">
        <v>2747</v>
      </c>
      <c r="B1117" s="31" t="s">
        <v>2748</v>
      </c>
    </row>
    <row r="1118" spans="1:2" x14ac:dyDescent="0.25">
      <c r="A1118" s="32" t="s">
        <v>10043</v>
      </c>
      <c r="B1118" s="33" t="s">
        <v>10043</v>
      </c>
    </row>
    <row r="1119" spans="1:2" x14ac:dyDescent="0.25">
      <c r="A1119" s="30" t="s">
        <v>2749</v>
      </c>
      <c r="B1119" s="31" t="s">
        <v>2750</v>
      </c>
    </row>
    <row r="1120" spans="1:2" x14ac:dyDescent="0.25">
      <c r="A1120" s="32" t="s">
        <v>2751</v>
      </c>
      <c r="B1120" s="33" t="s">
        <v>2752</v>
      </c>
    </row>
    <row r="1121" spans="1:2" x14ac:dyDescent="0.25">
      <c r="A1121" s="30" t="s">
        <v>386</v>
      </c>
      <c r="B1121" s="31" t="s">
        <v>2753</v>
      </c>
    </row>
    <row r="1122" spans="1:2" x14ac:dyDescent="0.25">
      <c r="A1122" s="32" t="s">
        <v>10044</v>
      </c>
      <c r="B1122" s="33" t="s">
        <v>10044</v>
      </c>
    </row>
    <row r="1123" spans="1:2" x14ac:dyDescent="0.25">
      <c r="A1123" s="30" t="s">
        <v>10045</v>
      </c>
      <c r="B1123" s="31" t="s">
        <v>10045</v>
      </c>
    </row>
    <row r="1124" spans="1:2" x14ac:dyDescent="0.25">
      <c r="A1124" s="32" t="s">
        <v>2754</v>
      </c>
      <c r="B1124" s="33" t="s">
        <v>2755</v>
      </c>
    </row>
    <row r="1125" spans="1:2" x14ac:dyDescent="0.25">
      <c r="A1125" s="30" t="s">
        <v>10046</v>
      </c>
      <c r="B1125" s="31" t="s">
        <v>10046</v>
      </c>
    </row>
    <row r="1126" spans="1:2" x14ac:dyDescent="0.25">
      <c r="A1126" s="32" t="s">
        <v>10047</v>
      </c>
      <c r="B1126" s="33" t="s">
        <v>10047</v>
      </c>
    </row>
    <row r="1127" spans="1:2" x14ac:dyDescent="0.25">
      <c r="A1127" s="30" t="s">
        <v>387</v>
      </c>
      <c r="B1127" s="31" t="s">
        <v>2756</v>
      </c>
    </row>
    <row r="1128" spans="1:2" x14ac:dyDescent="0.25">
      <c r="A1128" s="32" t="s">
        <v>388</v>
      </c>
      <c r="B1128" s="33" t="s">
        <v>2757</v>
      </c>
    </row>
    <row r="1129" spans="1:2" x14ac:dyDescent="0.25">
      <c r="A1129" s="30" t="s">
        <v>10048</v>
      </c>
      <c r="B1129" s="31" t="s">
        <v>10048</v>
      </c>
    </row>
    <row r="1130" spans="1:2" x14ac:dyDescent="0.25">
      <c r="A1130" s="32" t="s">
        <v>10049</v>
      </c>
      <c r="B1130" s="33" t="s">
        <v>10049</v>
      </c>
    </row>
    <row r="1131" spans="1:2" x14ac:dyDescent="0.25">
      <c r="A1131" s="30" t="s">
        <v>10050</v>
      </c>
      <c r="B1131" s="31" t="s">
        <v>10050</v>
      </c>
    </row>
    <row r="1132" spans="1:2" x14ac:dyDescent="0.25">
      <c r="A1132" s="32" t="s">
        <v>2758</v>
      </c>
      <c r="B1132" s="33" t="s">
        <v>2759</v>
      </c>
    </row>
    <row r="1133" spans="1:2" x14ac:dyDescent="0.25">
      <c r="A1133" s="30" t="s">
        <v>390</v>
      </c>
      <c r="B1133" s="31" t="s">
        <v>2760</v>
      </c>
    </row>
    <row r="1134" spans="1:2" x14ac:dyDescent="0.25">
      <c r="A1134" s="32" t="s">
        <v>2761</v>
      </c>
      <c r="B1134" s="33" t="s">
        <v>2762</v>
      </c>
    </row>
    <row r="1135" spans="1:2" x14ac:dyDescent="0.25">
      <c r="A1135" s="30" t="s">
        <v>2763</v>
      </c>
      <c r="B1135" s="31" t="s">
        <v>2764</v>
      </c>
    </row>
    <row r="1136" spans="1:2" x14ac:dyDescent="0.25">
      <c r="A1136" s="32" t="s">
        <v>2765</v>
      </c>
      <c r="B1136" s="33" t="s">
        <v>2766</v>
      </c>
    </row>
    <row r="1137" spans="1:2" x14ac:dyDescent="0.25">
      <c r="A1137" s="30" t="s">
        <v>2767</v>
      </c>
      <c r="B1137" s="31" t="s">
        <v>2768</v>
      </c>
    </row>
    <row r="1138" spans="1:2" x14ac:dyDescent="0.25">
      <c r="A1138" s="32" t="s">
        <v>2769</v>
      </c>
      <c r="B1138" s="33" t="s">
        <v>2770</v>
      </c>
    </row>
    <row r="1139" spans="1:2" x14ac:dyDescent="0.25">
      <c r="A1139" s="30" t="s">
        <v>2771</v>
      </c>
      <c r="B1139" s="31" t="s">
        <v>2772</v>
      </c>
    </row>
    <row r="1140" spans="1:2" x14ac:dyDescent="0.25">
      <c r="A1140" s="32" t="s">
        <v>10051</v>
      </c>
      <c r="B1140" s="33" t="s">
        <v>10051</v>
      </c>
    </row>
    <row r="1141" spans="1:2" x14ac:dyDescent="0.25">
      <c r="A1141" s="30" t="s">
        <v>2773</v>
      </c>
      <c r="B1141" s="31" t="s">
        <v>2774</v>
      </c>
    </row>
    <row r="1142" spans="1:2" x14ac:dyDescent="0.25">
      <c r="A1142" s="32" t="s">
        <v>2775</v>
      </c>
      <c r="B1142" s="33" t="s">
        <v>2776</v>
      </c>
    </row>
    <row r="1143" spans="1:2" x14ac:dyDescent="0.25">
      <c r="A1143" s="30" t="s">
        <v>2777</v>
      </c>
      <c r="B1143" s="31" t="s">
        <v>2778</v>
      </c>
    </row>
    <row r="1144" spans="1:2" x14ac:dyDescent="0.25">
      <c r="A1144" s="32" t="s">
        <v>2779</v>
      </c>
      <c r="B1144" s="33" t="s">
        <v>2780</v>
      </c>
    </row>
    <row r="1145" spans="1:2" x14ac:dyDescent="0.25">
      <c r="A1145" s="30" t="s">
        <v>2781</v>
      </c>
      <c r="B1145" s="31" t="s">
        <v>2782</v>
      </c>
    </row>
    <row r="1146" spans="1:2" x14ac:dyDescent="0.25">
      <c r="A1146" s="32" t="s">
        <v>391</v>
      </c>
      <c r="B1146" s="33" t="s">
        <v>2783</v>
      </c>
    </row>
    <row r="1147" spans="1:2" x14ac:dyDescent="0.25">
      <c r="A1147" s="30" t="s">
        <v>392</v>
      </c>
      <c r="B1147" s="31" t="s">
        <v>2784</v>
      </c>
    </row>
    <row r="1148" spans="1:2" x14ac:dyDescent="0.25">
      <c r="A1148" s="32" t="s">
        <v>393</v>
      </c>
      <c r="B1148" s="33" t="s">
        <v>2785</v>
      </c>
    </row>
    <row r="1149" spans="1:2" x14ac:dyDescent="0.25">
      <c r="A1149" s="30" t="s">
        <v>394</v>
      </c>
      <c r="B1149" s="31" t="s">
        <v>2786</v>
      </c>
    </row>
    <row r="1150" spans="1:2" x14ac:dyDescent="0.25">
      <c r="A1150" s="32" t="s">
        <v>395</v>
      </c>
      <c r="B1150" s="33" t="s">
        <v>2787</v>
      </c>
    </row>
    <row r="1151" spans="1:2" x14ac:dyDescent="0.25">
      <c r="A1151" s="30" t="s">
        <v>396</v>
      </c>
      <c r="B1151" s="31" t="s">
        <v>2788</v>
      </c>
    </row>
    <row r="1152" spans="1:2" x14ac:dyDescent="0.25">
      <c r="A1152" s="32" t="s">
        <v>397</v>
      </c>
      <c r="B1152" s="33" t="s">
        <v>2789</v>
      </c>
    </row>
    <row r="1153" spans="1:2" x14ac:dyDescent="0.25">
      <c r="A1153" s="30" t="s">
        <v>2790</v>
      </c>
      <c r="B1153" s="31" t="s">
        <v>2791</v>
      </c>
    </row>
    <row r="1154" spans="1:2" x14ac:dyDescent="0.25">
      <c r="A1154" s="32" t="s">
        <v>2792</v>
      </c>
      <c r="B1154" s="33" t="s">
        <v>2793</v>
      </c>
    </row>
    <row r="1155" spans="1:2" x14ac:dyDescent="0.25">
      <c r="A1155" s="30" t="s">
        <v>398</v>
      </c>
      <c r="B1155" s="31" t="s">
        <v>2794</v>
      </c>
    </row>
    <row r="1156" spans="1:2" x14ac:dyDescent="0.25">
      <c r="A1156" s="32" t="s">
        <v>399</v>
      </c>
      <c r="B1156" s="33" t="s">
        <v>2795</v>
      </c>
    </row>
    <row r="1157" spans="1:2" x14ac:dyDescent="0.25">
      <c r="A1157" s="30" t="s">
        <v>400</v>
      </c>
      <c r="B1157" s="31" t="s">
        <v>2796</v>
      </c>
    </row>
    <row r="1158" spans="1:2" x14ac:dyDescent="0.25">
      <c r="A1158" s="32" t="s">
        <v>401</v>
      </c>
      <c r="B1158" s="33" t="s">
        <v>2797</v>
      </c>
    </row>
    <row r="1159" spans="1:2" x14ac:dyDescent="0.25">
      <c r="A1159" s="30" t="s">
        <v>402</v>
      </c>
      <c r="B1159" s="31" t="s">
        <v>2798</v>
      </c>
    </row>
    <row r="1160" spans="1:2" x14ac:dyDescent="0.25">
      <c r="A1160" s="32" t="s">
        <v>10052</v>
      </c>
      <c r="B1160" s="33" t="s">
        <v>10052</v>
      </c>
    </row>
    <row r="1161" spans="1:2" x14ac:dyDescent="0.25">
      <c r="A1161" s="30" t="s">
        <v>403</v>
      </c>
      <c r="B1161" s="31" t="s">
        <v>2799</v>
      </c>
    </row>
    <row r="1162" spans="1:2" x14ac:dyDescent="0.25">
      <c r="A1162" s="32" t="s">
        <v>10053</v>
      </c>
      <c r="B1162" s="33" t="s">
        <v>10053</v>
      </c>
    </row>
    <row r="1163" spans="1:2" x14ac:dyDescent="0.25">
      <c r="A1163" s="30" t="s">
        <v>2800</v>
      </c>
      <c r="B1163" s="31" t="s">
        <v>2801</v>
      </c>
    </row>
    <row r="1164" spans="1:2" x14ac:dyDescent="0.25">
      <c r="A1164" s="32" t="s">
        <v>2802</v>
      </c>
      <c r="B1164" s="33" t="s">
        <v>2803</v>
      </c>
    </row>
    <row r="1165" spans="1:2" x14ac:dyDescent="0.25">
      <c r="A1165" s="30" t="s">
        <v>2804</v>
      </c>
      <c r="B1165" s="31" t="s">
        <v>2805</v>
      </c>
    </row>
    <row r="1166" spans="1:2" x14ac:dyDescent="0.25">
      <c r="A1166" s="32" t="s">
        <v>2806</v>
      </c>
      <c r="B1166" s="33" t="s">
        <v>2807</v>
      </c>
    </row>
    <row r="1167" spans="1:2" x14ac:dyDescent="0.25">
      <c r="A1167" s="30" t="s">
        <v>2808</v>
      </c>
      <c r="B1167" s="31" t="s">
        <v>2809</v>
      </c>
    </row>
    <row r="1168" spans="1:2" x14ac:dyDescent="0.25">
      <c r="A1168" s="32" t="s">
        <v>2810</v>
      </c>
      <c r="B1168" s="33" t="s">
        <v>2811</v>
      </c>
    </row>
    <row r="1169" spans="1:2" x14ac:dyDescent="0.25">
      <c r="A1169" s="30" t="s">
        <v>2812</v>
      </c>
      <c r="B1169" s="31" t="s">
        <v>2813</v>
      </c>
    </row>
    <row r="1170" spans="1:2" x14ac:dyDescent="0.25">
      <c r="A1170" s="32" t="s">
        <v>10054</v>
      </c>
      <c r="B1170" s="33" t="s">
        <v>10054</v>
      </c>
    </row>
    <row r="1171" spans="1:2" x14ac:dyDescent="0.25">
      <c r="A1171" s="30" t="s">
        <v>2814</v>
      </c>
      <c r="B1171" s="31" t="s">
        <v>2815</v>
      </c>
    </row>
    <row r="1172" spans="1:2" x14ac:dyDescent="0.25">
      <c r="A1172" s="32" t="s">
        <v>10055</v>
      </c>
      <c r="B1172" s="33" t="s">
        <v>10055</v>
      </c>
    </row>
    <row r="1173" spans="1:2" x14ac:dyDescent="0.25">
      <c r="A1173" s="30" t="s">
        <v>2816</v>
      </c>
      <c r="B1173" s="31" t="s">
        <v>2817</v>
      </c>
    </row>
    <row r="1174" spans="1:2" x14ac:dyDescent="0.25">
      <c r="A1174" s="32" t="s">
        <v>2818</v>
      </c>
      <c r="B1174" s="33" t="s">
        <v>2819</v>
      </c>
    </row>
    <row r="1175" spans="1:2" x14ac:dyDescent="0.25">
      <c r="A1175" s="30" t="s">
        <v>10056</v>
      </c>
      <c r="B1175" s="31" t="s">
        <v>10056</v>
      </c>
    </row>
    <row r="1176" spans="1:2" x14ac:dyDescent="0.25">
      <c r="A1176" s="32" t="s">
        <v>2820</v>
      </c>
      <c r="B1176" s="33" t="s">
        <v>2821</v>
      </c>
    </row>
    <row r="1177" spans="1:2" x14ac:dyDescent="0.25">
      <c r="A1177" s="30" t="s">
        <v>10057</v>
      </c>
      <c r="B1177" s="31" t="s">
        <v>10057</v>
      </c>
    </row>
    <row r="1178" spans="1:2" x14ac:dyDescent="0.25">
      <c r="A1178" s="32" t="s">
        <v>10058</v>
      </c>
      <c r="B1178" s="33" t="s">
        <v>10058</v>
      </c>
    </row>
    <row r="1179" spans="1:2" x14ac:dyDescent="0.25">
      <c r="A1179" s="30" t="s">
        <v>10059</v>
      </c>
      <c r="B1179" s="31" t="s">
        <v>10059</v>
      </c>
    </row>
    <row r="1180" spans="1:2" x14ac:dyDescent="0.25">
      <c r="A1180" s="32" t="s">
        <v>2822</v>
      </c>
      <c r="B1180" s="33" t="s">
        <v>2823</v>
      </c>
    </row>
    <row r="1181" spans="1:2" x14ac:dyDescent="0.25">
      <c r="A1181" s="30" t="s">
        <v>2824</v>
      </c>
      <c r="B1181" s="31" t="s">
        <v>2825</v>
      </c>
    </row>
    <row r="1182" spans="1:2" x14ac:dyDescent="0.25">
      <c r="A1182" s="32" t="s">
        <v>10060</v>
      </c>
      <c r="B1182" s="33" t="s">
        <v>10060</v>
      </c>
    </row>
    <row r="1183" spans="1:2" x14ac:dyDescent="0.25">
      <c r="A1183" s="30" t="s">
        <v>2826</v>
      </c>
      <c r="B1183" s="31" t="s">
        <v>2827</v>
      </c>
    </row>
    <row r="1184" spans="1:2" x14ac:dyDescent="0.25">
      <c r="A1184" s="32" t="s">
        <v>10061</v>
      </c>
      <c r="B1184" s="33" t="s">
        <v>10061</v>
      </c>
    </row>
    <row r="1185" spans="1:2" x14ac:dyDescent="0.25">
      <c r="A1185" s="30" t="s">
        <v>10062</v>
      </c>
      <c r="B1185" s="31" t="s">
        <v>10062</v>
      </c>
    </row>
    <row r="1186" spans="1:2" x14ac:dyDescent="0.25">
      <c r="A1186" s="32" t="s">
        <v>404</v>
      </c>
      <c r="B1186" s="33" t="s">
        <v>2828</v>
      </c>
    </row>
    <row r="1187" spans="1:2" x14ac:dyDescent="0.25">
      <c r="A1187" s="30" t="s">
        <v>405</v>
      </c>
      <c r="B1187" s="31" t="s">
        <v>2829</v>
      </c>
    </row>
    <row r="1188" spans="1:2" x14ac:dyDescent="0.25">
      <c r="A1188" s="32" t="s">
        <v>2830</v>
      </c>
      <c r="B1188" s="33" t="s">
        <v>2831</v>
      </c>
    </row>
    <row r="1189" spans="1:2" x14ac:dyDescent="0.25">
      <c r="A1189" s="30" t="s">
        <v>406</v>
      </c>
      <c r="B1189" s="31" t="s">
        <v>2832</v>
      </c>
    </row>
    <row r="1190" spans="1:2" x14ac:dyDescent="0.25">
      <c r="A1190" s="32" t="s">
        <v>10063</v>
      </c>
      <c r="B1190" s="33" t="s">
        <v>10063</v>
      </c>
    </row>
    <row r="1191" spans="1:2" x14ac:dyDescent="0.25">
      <c r="A1191" s="30" t="s">
        <v>407</v>
      </c>
      <c r="B1191" s="31" t="s">
        <v>2833</v>
      </c>
    </row>
    <row r="1192" spans="1:2" x14ac:dyDescent="0.25">
      <c r="A1192" s="32" t="s">
        <v>10064</v>
      </c>
      <c r="B1192" s="33" t="s">
        <v>10064</v>
      </c>
    </row>
    <row r="1193" spans="1:2" x14ac:dyDescent="0.25">
      <c r="A1193" s="30" t="s">
        <v>2834</v>
      </c>
      <c r="B1193" s="31" t="s">
        <v>2835</v>
      </c>
    </row>
    <row r="1194" spans="1:2" x14ac:dyDescent="0.25">
      <c r="A1194" s="32" t="s">
        <v>10065</v>
      </c>
      <c r="B1194" s="33" t="s">
        <v>10065</v>
      </c>
    </row>
    <row r="1195" spans="1:2" x14ac:dyDescent="0.25">
      <c r="A1195" s="30" t="s">
        <v>10066</v>
      </c>
      <c r="B1195" s="31" t="s">
        <v>10066</v>
      </c>
    </row>
    <row r="1196" spans="1:2" x14ac:dyDescent="0.25">
      <c r="A1196" s="32" t="s">
        <v>408</v>
      </c>
      <c r="B1196" s="33" t="s">
        <v>2836</v>
      </c>
    </row>
    <row r="1197" spans="1:2" x14ac:dyDescent="0.25">
      <c r="A1197" s="30" t="s">
        <v>409</v>
      </c>
      <c r="B1197" s="31" t="s">
        <v>2837</v>
      </c>
    </row>
    <row r="1198" spans="1:2" x14ac:dyDescent="0.25">
      <c r="A1198" s="32" t="s">
        <v>2838</v>
      </c>
      <c r="B1198" s="33" t="s">
        <v>2839</v>
      </c>
    </row>
    <row r="1199" spans="1:2" x14ac:dyDescent="0.25">
      <c r="A1199" s="30" t="s">
        <v>2840</v>
      </c>
      <c r="B1199" s="31" t="s">
        <v>2841</v>
      </c>
    </row>
    <row r="1200" spans="1:2" x14ac:dyDescent="0.25">
      <c r="A1200" s="32" t="s">
        <v>410</v>
      </c>
      <c r="B1200" s="33" t="s">
        <v>2842</v>
      </c>
    </row>
    <row r="1201" spans="1:2" x14ac:dyDescent="0.25">
      <c r="A1201" s="30" t="s">
        <v>2843</v>
      </c>
      <c r="B1201" s="31" t="s">
        <v>2844</v>
      </c>
    </row>
    <row r="1202" spans="1:2" x14ac:dyDescent="0.25">
      <c r="A1202" s="32" t="s">
        <v>411</v>
      </c>
      <c r="B1202" s="33" t="s">
        <v>2845</v>
      </c>
    </row>
    <row r="1203" spans="1:2" x14ac:dyDescent="0.25">
      <c r="A1203" s="30" t="s">
        <v>2846</v>
      </c>
      <c r="B1203" s="31" t="s">
        <v>2847</v>
      </c>
    </row>
    <row r="1204" spans="1:2" x14ac:dyDescent="0.25">
      <c r="A1204" s="32" t="s">
        <v>2848</v>
      </c>
      <c r="B1204" s="33" t="s">
        <v>2849</v>
      </c>
    </row>
    <row r="1205" spans="1:2" x14ac:dyDescent="0.25">
      <c r="A1205" s="30" t="s">
        <v>2850</v>
      </c>
      <c r="B1205" s="31" t="s">
        <v>2851</v>
      </c>
    </row>
    <row r="1206" spans="1:2" x14ac:dyDescent="0.25">
      <c r="A1206" s="32" t="s">
        <v>2852</v>
      </c>
      <c r="B1206" s="33" t="s">
        <v>2853</v>
      </c>
    </row>
    <row r="1207" spans="1:2" x14ac:dyDescent="0.25">
      <c r="A1207" s="30" t="s">
        <v>2854</v>
      </c>
      <c r="B1207" s="31" t="s">
        <v>2855</v>
      </c>
    </row>
    <row r="1208" spans="1:2" x14ac:dyDescent="0.25">
      <c r="A1208" s="32" t="s">
        <v>2856</v>
      </c>
      <c r="B1208" s="33" t="s">
        <v>2857</v>
      </c>
    </row>
    <row r="1209" spans="1:2" x14ac:dyDescent="0.25">
      <c r="A1209" s="30" t="s">
        <v>2858</v>
      </c>
      <c r="B1209" s="31" t="s">
        <v>2859</v>
      </c>
    </row>
    <row r="1210" spans="1:2" x14ac:dyDescent="0.25">
      <c r="A1210" s="32" t="s">
        <v>412</v>
      </c>
      <c r="B1210" s="33" t="s">
        <v>2860</v>
      </c>
    </row>
    <row r="1211" spans="1:2" x14ac:dyDescent="0.25">
      <c r="A1211" s="30" t="s">
        <v>413</v>
      </c>
      <c r="B1211" s="31" t="s">
        <v>2861</v>
      </c>
    </row>
    <row r="1212" spans="1:2" x14ac:dyDescent="0.25">
      <c r="A1212" s="32" t="s">
        <v>10067</v>
      </c>
      <c r="B1212" s="33" t="s">
        <v>10067</v>
      </c>
    </row>
    <row r="1213" spans="1:2" x14ac:dyDescent="0.25">
      <c r="A1213" s="30" t="s">
        <v>10068</v>
      </c>
      <c r="B1213" s="31" t="s">
        <v>10068</v>
      </c>
    </row>
    <row r="1214" spans="1:2" x14ac:dyDescent="0.25">
      <c r="A1214" s="32" t="s">
        <v>2862</v>
      </c>
      <c r="B1214" s="33" t="s">
        <v>2863</v>
      </c>
    </row>
    <row r="1215" spans="1:2" x14ac:dyDescent="0.25">
      <c r="A1215" s="30" t="s">
        <v>2864</v>
      </c>
      <c r="B1215" s="31" t="s">
        <v>2865</v>
      </c>
    </row>
    <row r="1216" spans="1:2" x14ac:dyDescent="0.25">
      <c r="A1216" s="32" t="s">
        <v>2866</v>
      </c>
      <c r="B1216" s="33" t="s">
        <v>2867</v>
      </c>
    </row>
    <row r="1217" spans="1:2" x14ac:dyDescent="0.25">
      <c r="A1217" s="30" t="s">
        <v>10069</v>
      </c>
      <c r="B1217" s="31" t="s">
        <v>10069</v>
      </c>
    </row>
    <row r="1218" spans="1:2" x14ac:dyDescent="0.25">
      <c r="A1218" s="32" t="s">
        <v>10070</v>
      </c>
      <c r="B1218" s="33" t="s">
        <v>10070</v>
      </c>
    </row>
    <row r="1219" spans="1:2" x14ac:dyDescent="0.25">
      <c r="A1219" s="30" t="s">
        <v>10071</v>
      </c>
      <c r="B1219" s="31" t="s">
        <v>10071</v>
      </c>
    </row>
    <row r="1220" spans="1:2" x14ac:dyDescent="0.25">
      <c r="A1220" s="32" t="s">
        <v>10072</v>
      </c>
      <c r="B1220" s="33" t="s">
        <v>10072</v>
      </c>
    </row>
    <row r="1221" spans="1:2" x14ac:dyDescent="0.25">
      <c r="A1221" s="30" t="s">
        <v>2868</v>
      </c>
      <c r="B1221" s="31" t="s">
        <v>2869</v>
      </c>
    </row>
    <row r="1222" spans="1:2" x14ac:dyDescent="0.25">
      <c r="A1222" s="32" t="s">
        <v>10073</v>
      </c>
      <c r="B1222" s="33" t="s">
        <v>10073</v>
      </c>
    </row>
    <row r="1223" spans="1:2" x14ac:dyDescent="0.25">
      <c r="A1223" s="30" t="s">
        <v>10074</v>
      </c>
      <c r="B1223" s="31" t="s">
        <v>10074</v>
      </c>
    </row>
    <row r="1224" spans="1:2" x14ac:dyDescent="0.25">
      <c r="A1224" s="32" t="s">
        <v>2870</v>
      </c>
      <c r="B1224" s="33" t="s">
        <v>2871</v>
      </c>
    </row>
    <row r="1225" spans="1:2" x14ac:dyDescent="0.25">
      <c r="A1225" s="30" t="s">
        <v>2872</v>
      </c>
      <c r="B1225" s="31" t="s">
        <v>2873</v>
      </c>
    </row>
    <row r="1226" spans="1:2" x14ac:dyDescent="0.25">
      <c r="A1226" s="32" t="s">
        <v>414</v>
      </c>
      <c r="B1226" s="33" t="s">
        <v>2874</v>
      </c>
    </row>
    <row r="1227" spans="1:2" x14ac:dyDescent="0.25">
      <c r="A1227" s="30" t="s">
        <v>2875</v>
      </c>
      <c r="B1227" s="31" t="s">
        <v>2876</v>
      </c>
    </row>
    <row r="1228" spans="1:2" x14ac:dyDescent="0.25">
      <c r="A1228" s="32" t="s">
        <v>415</v>
      </c>
      <c r="B1228" s="33" t="s">
        <v>2877</v>
      </c>
    </row>
    <row r="1229" spans="1:2" x14ac:dyDescent="0.25">
      <c r="A1229" s="30" t="s">
        <v>416</v>
      </c>
      <c r="B1229" s="31" t="s">
        <v>2878</v>
      </c>
    </row>
    <row r="1230" spans="1:2" x14ac:dyDescent="0.25">
      <c r="A1230" s="32" t="s">
        <v>2879</v>
      </c>
      <c r="B1230" s="33" t="s">
        <v>2880</v>
      </c>
    </row>
    <row r="1231" spans="1:2" x14ac:dyDescent="0.25">
      <c r="A1231" s="30" t="s">
        <v>2881</v>
      </c>
      <c r="B1231" s="31" t="s">
        <v>2882</v>
      </c>
    </row>
    <row r="1232" spans="1:2" x14ac:dyDescent="0.25">
      <c r="A1232" s="32" t="s">
        <v>2883</v>
      </c>
      <c r="B1232" s="33" t="s">
        <v>2884</v>
      </c>
    </row>
    <row r="1233" spans="1:2" x14ac:dyDescent="0.25">
      <c r="A1233" s="30" t="s">
        <v>10075</v>
      </c>
      <c r="B1233" s="31" t="s">
        <v>10075</v>
      </c>
    </row>
    <row r="1234" spans="1:2" x14ac:dyDescent="0.25">
      <c r="A1234" s="32" t="s">
        <v>10076</v>
      </c>
      <c r="B1234" s="33" t="s">
        <v>10076</v>
      </c>
    </row>
    <row r="1235" spans="1:2" x14ac:dyDescent="0.25">
      <c r="A1235" s="30" t="s">
        <v>10077</v>
      </c>
      <c r="B1235" s="31" t="s">
        <v>10077</v>
      </c>
    </row>
    <row r="1236" spans="1:2" x14ac:dyDescent="0.25">
      <c r="A1236" s="32" t="s">
        <v>10078</v>
      </c>
      <c r="B1236" s="33" t="s">
        <v>10078</v>
      </c>
    </row>
    <row r="1237" spans="1:2" x14ac:dyDescent="0.25">
      <c r="A1237" s="30" t="s">
        <v>2885</v>
      </c>
      <c r="B1237" s="31" t="s">
        <v>2886</v>
      </c>
    </row>
    <row r="1238" spans="1:2" x14ac:dyDescent="0.25">
      <c r="A1238" s="32" t="s">
        <v>2887</v>
      </c>
      <c r="B1238" s="33" t="s">
        <v>2888</v>
      </c>
    </row>
    <row r="1239" spans="1:2" x14ac:dyDescent="0.25">
      <c r="A1239" s="30" t="s">
        <v>2889</v>
      </c>
      <c r="B1239" s="31" t="s">
        <v>2890</v>
      </c>
    </row>
    <row r="1240" spans="1:2" x14ac:dyDescent="0.25">
      <c r="A1240" s="32" t="s">
        <v>10079</v>
      </c>
      <c r="B1240" s="33" t="s">
        <v>10079</v>
      </c>
    </row>
    <row r="1241" spans="1:2" x14ac:dyDescent="0.25">
      <c r="A1241" s="30" t="s">
        <v>2891</v>
      </c>
      <c r="B1241" s="31" t="s">
        <v>2892</v>
      </c>
    </row>
    <row r="1242" spans="1:2" x14ac:dyDescent="0.25">
      <c r="A1242" s="32" t="s">
        <v>2893</v>
      </c>
      <c r="B1242" s="33" t="s">
        <v>2894</v>
      </c>
    </row>
    <row r="1243" spans="1:2" x14ac:dyDescent="0.25">
      <c r="A1243" s="30" t="s">
        <v>2895</v>
      </c>
      <c r="B1243" s="31" t="s">
        <v>2896</v>
      </c>
    </row>
    <row r="1244" spans="1:2" x14ac:dyDescent="0.25">
      <c r="A1244" s="32" t="s">
        <v>2897</v>
      </c>
      <c r="B1244" s="33" t="s">
        <v>2898</v>
      </c>
    </row>
    <row r="1245" spans="1:2" x14ac:dyDescent="0.25">
      <c r="A1245" s="30" t="s">
        <v>2899</v>
      </c>
      <c r="B1245" s="31" t="s">
        <v>2900</v>
      </c>
    </row>
    <row r="1246" spans="1:2" x14ac:dyDescent="0.25">
      <c r="A1246" s="32" t="s">
        <v>10080</v>
      </c>
      <c r="B1246" s="33" t="s">
        <v>10080</v>
      </c>
    </row>
    <row r="1247" spans="1:2" x14ac:dyDescent="0.25">
      <c r="A1247" s="30" t="s">
        <v>2901</v>
      </c>
      <c r="B1247" s="31" t="s">
        <v>2902</v>
      </c>
    </row>
    <row r="1248" spans="1:2" x14ac:dyDescent="0.25">
      <c r="A1248" s="32" t="s">
        <v>2903</v>
      </c>
      <c r="B1248" s="33" t="s">
        <v>2904</v>
      </c>
    </row>
    <row r="1249" spans="1:2" x14ac:dyDescent="0.25">
      <c r="A1249" s="30" t="s">
        <v>2905</v>
      </c>
      <c r="B1249" s="31" t="s">
        <v>2906</v>
      </c>
    </row>
    <row r="1250" spans="1:2" x14ac:dyDescent="0.25">
      <c r="A1250" s="32" t="s">
        <v>2907</v>
      </c>
      <c r="B1250" s="33" t="s">
        <v>2908</v>
      </c>
    </row>
    <row r="1251" spans="1:2" x14ac:dyDescent="0.25">
      <c r="A1251" s="30" t="s">
        <v>2909</v>
      </c>
      <c r="B1251" s="31" t="s">
        <v>2910</v>
      </c>
    </row>
    <row r="1252" spans="1:2" x14ac:dyDescent="0.25">
      <c r="A1252" s="32" t="s">
        <v>417</v>
      </c>
      <c r="B1252" s="33" t="s">
        <v>2911</v>
      </c>
    </row>
    <row r="1253" spans="1:2" x14ac:dyDescent="0.25">
      <c r="A1253" s="30" t="s">
        <v>10081</v>
      </c>
      <c r="B1253" s="31" t="s">
        <v>10081</v>
      </c>
    </row>
    <row r="1254" spans="1:2" x14ac:dyDescent="0.25">
      <c r="A1254" s="32" t="s">
        <v>2912</v>
      </c>
      <c r="B1254" s="33" t="s">
        <v>2913</v>
      </c>
    </row>
    <row r="1255" spans="1:2" x14ac:dyDescent="0.25">
      <c r="A1255" s="30" t="s">
        <v>2914</v>
      </c>
      <c r="B1255" s="31" t="s">
        <v>2915</v>
      </c>
    </row>
    <row r="1256" spans="1:2" x14ac:dyDescent="0.25">
      <c r="A1256" s="32" t="s">
        <v>10082</v>
      </c>
      <c r="B1256" s="33" t="s">
        <v>10082</v>
      </c>
    </row>
    <row r="1257" spans="1:2" x14ac:dyDescent="0.25">
      <c r="A1257" s="30" t="s">
        <v>418</v>
      </c>
      <c r="B1257" s="31" t="s">
        <v>2916</v>
      </c>
    </row>
    <row r="1258" spans="1:2" x14ac:dyDescent="0.25">
      <c r="A1258" s="32" t="s">
        <v>2917</v>
      </c>
      <c r="B1258" s="33" t="s">
        <v>2918</v>
      </c>
    </row>
    <row r="1259" spans="1:2" x14ac:dyDescent="0.25">
      <c r="A1259" s="30" t="s">
        <v>10083</v>
      </c>
      <c r="B1259" s="31" t="s">
        <v>10083</v>
      </c>
    </row>
    <row r="1260" spans="1:2" x14ac:dyDescent="0.25">
      <c r="A1260" s="32" t="s">
        <v>2919</v>
      </c>
      <c r="B1260" s="33" t="s">
        <v>2920</v>
      </c>
    </row>
    <row r="1261" spans="1:2" x14ac:dyDescent="0.25">
      <c r="A1261" s="30" t="s">
        <v>2921</v>
      </c>
      <c r="B1261" s="31" t="s">
        <v>2922</v>
      </c>
    </row>
    <row r="1262" spans="1:2" x14ac:dyDescent="0.25">
      <c r="A1262" s="32" t="s">
        <v>419</v>
      </c>
      <c r="B1262" s="33" t="s">
        <v>2923</v>
      </c>
    </row>
    <row r="1263" spans="1:2" x14ac:dyDescent="0.25">
      <c r="A1263" s="30" t="s">
        <v>2924</v>
      </c>
      <c r="B1263" s="31" t="s">
        <v>2925</v>
      </c>
    </row>
    <row r="1264" spans="1:2" x14ac:dyDescent="0.25">
      <c r="A1264" s="32" t="s">
        <v>10084</v>
      </c>
      <c r="B1264" s="33" t="s">
        <v>10084</v>
      </c>
    </row>
    <row r="1265" spans="1:2" x14ac:dyDescent="0.25">
      <c r="A1265" s="30" t="s">
        <v>10085</v>
      </c>
      <c r="B1265" s="31" t="s">
        <v>10085</v>
      </c>
    </row>
    <row r="1266" spans="1:2" x14ac:dyDescent="0.25">
      <c r="A1266" s="32" t="s">
        <v>2926</v>
      </c>
      <c r="B1266" s="33" t="s">
        <v>2927</v>
      </c>
    </row>
    <row r="1267" spans="1:2" x14ac:dyDescent="0.25">
      <c r="A1267" s="30" t="s">
        <v>10086</v>
      </c>
      <c r="B1267" s="31" t="s">
        <v>10086</v>
      </c>
    </row>
    <row r="1268" spans="1:2" x14ac:dyDescent="0.25">
      <c r="A1268" s="32" t="s">
        <v>10087</v>
      </c>
      <c r="B1268" s="33" t="s">
        <v>10087</v>
      </c>
    </row>
    <row r="1269" spans="1:2" x14ac:dyDescent="0.25">
      <c r="A1269" s="30" t="s">
        <v>2928</v>
      </c>
      <c r="B1269" s="31" t="s">
        <v>2929</v>
      </c>
    </row>
    <row r="1270" spans="1:2" x14ac:dyDescent="0.25">
      <c r="A1270" s="32" t="s">
        <v>10088</v>
      </c>
      <c r="B1270" s="33" t="s">
        <v>10088</v>
      </c>
    </row>
    <row r="1271" spans="1:2" x14ac:dyDescent="0.25">
      <c r="A1271" s="30" t="s">
        <v>2930</v>
      </c>
      <c r="B1271" s="31" t="s">
        <v>2931</v>
      </c>
    </row>
    <row r="1272" spans="1:2" x14ac:dyDescent="0.25">
      <c r="A1272" s="32" t="s">
        <v>2932</v>
      </c>
      <c r="B1272" s="33" t="s">
        <v>2933</v>
      </c>
    </row>
    <row r="1273" spans="1:2" x14ac:dyDescent="0.25">
      <c r="A1273" s="30" t="s">
        <v>10089</v>
      </c>
      <c r="B1273" s="31" t="s">
        <v>10089</v>
      </c>
    </row>
    <row r="1274" spans="1:2" x14ac:dyDescent="0.25">
      <c r="A1274" s="32" t="s">
        <v>420</v>
      </c>
      <c r="B1274" s="33" t="s">
        <v>2934</v>
      </c>
    </row>
    <row r="1275" spans="1:2" x14ac:dyDescent="0.25">
      <c r="A1275" s="30" t="s">
        <v>421</v>
      </c>
      <c r="B1275" s="31" t="s">
        <v>2935</v>
      </c>
    </row>
    <row r="1276" spans="1:2" x14ac:dyDescent="0.25">
      <c r="A1276" s="32" t="s">
        <v>422</v>
      </c>
      <c r="B1276" s="33" t="s">
        <v>2936</v>
      </c>
    </row>
    <row r="1277" spans="1:2" x14ac:dyDescent="0.25">
      <c r="A1277" s="30" t="s">
        <v>2937</v>
      </c>
      <c r="B1277" s="31" t="s">
        <v>2938</v>
      </c>
    </row>
    <row r="1278" spans="1:2" x14ac:dyDescent="0.25">
      <c r="A1278" s="32" t="s">
        <v>423</v>
      </c>
      <c r="B1278" s="33" t="s">
        <v>2939</v>
      </c>
    </row>
    <row r="1279" spans="1:2" x14ac:dyDescent="0.25">
      <c r="A1279" s="30" t="s">
        <v>2940</v>
      </c>
      <c r="B1279" s="31" t="s">
        <v>2941</v>
      </c>
    </row>
    <row r="1280" spans="1:2" x14ac:dyDescent="0.25">
      <c r="A1280" s="32" t="s">
        <v>2942</v>
      </c>
      <c r="B1280" s="33" t="s">
        <v>2943</v>
      </c>
    </row>
    <row r="1281" spans="1:2" x14ac:dyDescent="0.25">
      <c r="A1281" s="30" t="s">
        <v>424</v>
      </c>
      <c r="B1281" s="31" t="s">
        <v>2944</v>
      </c>
    </row>
    <row r="1282" spans="1:2" x14ac:dyDescent="0.25">
      <c r="A1282" s="32" t="s">
        <v>2945</v>
      </c>
      <c r="B1282" s="33" t="s">
        <v>2946</v>
      </c>
    </row>
    <row r="1283" spans="1:2" x14ac:dyDescent="0.25">
      <c r="A1283" s="30" t="s">
        <v>425</v>
      </c>
      <c r="B1283" s="31" t="s">
        <v>2947</v>
      </c>
    </row>
    <row r="1284" spans="1:2" x14ac:dyDescent="0.25">
      <c r="A1284" s="32" t="s">
        <v>426</v>
      </c>
      <c r="B1284" s="33" t="s">
        <v>2948</v>
      </c>
    </row>
    <row r="1285" spans="1:2" x14ac:dyDescent="0.25">
      <c r="A1285" s="30" t="s">
        <v>427</v>
      </c>
      <c r="B1285" s="31" t="s">
        <v>2949</v>
      </c>
    </row>
    <row r="1286" spans="1:2" x14ac:dyDescent="0.25">
      <c r="A1286" s="32" t="s">
        <v>428</v>
      </c>
      <c r="B1286" s="33" t="s">
        <v>2950</v>
      </c>
    </row>
    <row r="1287" spans="1:2" x14ac:dyDescent="0.25">
      <c r="A1287" s="30" t="s">
        <v>2951</v>
      </c>
      <c r="B1287" s="31" t="s">
        <v>2952</v>
      </c>
    </row>
    <row r="1288" spans="1:2" x14ac:dyDescent="0.25">
      <c r="A1288" s="32" t="s">
        <v>2953</v>
      </c>
      <c r="B1288" s="33" t="s">
        <v>2954</v>
      </c>
    </row>
    <row r="1289" spans="1:2" x14ac:dyDescent="0.25">
      <c r="A1289" s="30" t="s">
        <v>2955</v>
      </c>
      <c r="B1289" s="31" t="s">
        <v>2956</v>
      </c>
    </row>
    <row r="1290" spans="1:2" x14ac:dyDescent="0.25">
      <c r="A1290" s="32" t="s">
        <v>10090</v>
      </c>
      <c r="B1290" s="33" t="s">
        <v>10090</v>
      </c>
    </row>
    <row r="1291" spans="1:2" x14ac:dyDescent="0.25">
      <c r="A1291" s="30" t="s">
        <v>429</v>
      </c>
      <c r="B1291" s="31" t="s">
        <v>2957</v>
      </c>
    </row>
    <row r="1292" spans="1:2" x14ac:dyDescent="0.25">
      <c r="A1292" s="32" t="s">
        <v>10091</v>
      </c>
      <c r="B1292" s="33" t="s">
        <v>10091</v>
      </c>
    </row>
    <row r="1293" spans="1:2" x14ac:dyDescent="0.25">
      <c r="A1293" s="30" t="s">
        <v>2958</v>
      </c>
      <c r="B1293" s="31" t="s">
        <v>2959</v>
      </c>
    </row>
    <row r="1294" spans="1:2" x14ac:dyDescent="0.25">
      <c r="A1294" s="32" t="s">
        <v>10092</v>
      </c>
      <c r="B1294" s="33" t="s">
        <v>10092</v>
      </c>
    </row>
    <row r="1295" spans="1:2" x14ac:dyDescent="0.25">
      <c r="A1295" s="30" t="s">
        <v>2960</v>
      </c>
      <c r="B1295" s="31" t="s">
        <v>2961</v>
      </c>
    </row>
    <row r="1296" spans="1:2" x14ac:dyDescent="0.25">
      <c r="A1296" s="32" t="s">
        <v>2962</v>
      </c>
      <c r="B1296" s="33" t="s">
        <v>2963</v>
      </c>
    </row>
    <row r="1297" spans="1:2" x14ac:dyDescent="0.25">
      <c r="A1297" s="30" t="s">
        <v>10093</v>
      </c>
      <c r="B1297" s="31" t="s">
        <v>10093</v>
      </c>
    </row>
    <row r="1298" spans="1:2" x14ac:dyDescent="0.25">
      <c r="A1298" s="32" t="s">
        <v>430</v>
      </c>
      <c r="B1298" s="33" t="s">
        <v>2964</v>
      </c>
    </row>
    <row r="1299" spans="1:2" x14ac:dyDescent="0.25">
      <c r="A1299" s="30" t="s">
        <v>431</v>
      </c>
      <c r="B1299" s="31" t="s">
        <v>2965</v>
      </c>
    </row>
    <row r="1300" spans="1:2" x14ac:dyDescent="0.25">
      <c r="A1300" s="32" t="s">
        <v>2966</v>
      </c>
      <c r="B1300" s="33" t="s">
        <v>2967</v>
      </c>
    </row>
    <row r="1301" spans="1:2" x14ac:dyDescent="0.25">
      <c r="A1301" s="30" t="s">
        <v>432</v>
      </c>
      <c r="B1301" s="31" t="s">
        <v>2968</v>
      </c>
    </row>
    <row r="1302" spans="1:2" x14ac:dyDescent="0.25">
      <c r="A1302" s="32" t="s">
        <v>10094</v>
      </c>
      <c r="B1302" s="33" t="s">
        <v>10094</v>
      </c>
    </row>
    <row r="1303" spans="1:2" x14ac:dyDescent="0.25">
      <c r="A1303" s="30" t="s">
        <v>10095</v>
      </c>
      <c r="B1303" s="31" t="s">
        <v>10095</v>
      </c>
    </row>
    <row r="1304" spans="1:2" x14ac:dyDescent="0.25">
      <c r="A1304" s="32" t="s">
        <v>2969</v>
      </c>
      <c r="B1304" s="33" t="s">
        <v>2970</v>
      </c>
    </row>
    <row r="1305" spans="1:2" x14ac:dyDescent="0.25">
      <c r="A1305" s="30" t="s">
        <v>10096</v>
      </c>
      <c r="B1305" s="31" t="s">
        <v>10096</v>
      </c>
    </row>
    <row r="1306" spans="1:2" x14ac:dyDescent="0.25">
      <c r="A1306" s="32" t="s">
        <v>10097</v>
      </c>
      <c r="B1306" s="33" t="s">
        <v>10097</v>
      </c>
    </row>
    <row r="1307" spans="1:2" x14ac:dyDescent="0.25">
      <c r="A1307" s="30" t="s">
        <v>2971</v>
      </c>
      <c r="B1307" s="31" t="s">
        <v>2972</v>
      </c>
    </row>
    <row r="1308" spans="1:2" x14ac:dyDescent="0.25">
      <c r="A1308" s="32" t="s">
        <v>2973</v>
      </c>
      <c r="B1308" s="33" t="s">
        <v>2974</v>
      </c>
    </row>
    <row r="1309" spans="1:2" x14ac:dyDescent="0.25">
      <c r="A1309" s="30" t="s">
        <v>2975</v>
      </c>
      <c r="B1309" s="31" t="s">
        <v>2976</v>
      </c>
    </row>
    <row r="1310" spans="1:2" x14ac:dyDescent="0.25">
      <c r="A1310" s="32" t="s">
        <v>10098</v>
      </c>
      <c r="B1310" s="33" t="s">
        <v>10098</v>
      </c>
    </row>
    <row r="1311" spans="1:2" x14ac:dyDescent="0.25">
      <c r="A1311" s="30" t="s">
        <v>10099</v>
      </c>
      <c r="B1311" s="31" t="s">
        <v>10099</v>
      </c>
    </row>
    <row r="1312" spans="1:2" x14ac:dyDescent="0.25">
      <c r="A1312" s="32" t="s">
        <v>10100</v>
      </c>
      <c r="B1312" s="33" t="s">
        <v>10100</v>
      </c>
    </row>
    <row r="1313" spans="1:2" x14ac:dyDescent="0.25">
      <c r="A1313" s="30" t="s">
        <v>2977</v>
      </c>
      <c r="B1313" s="31" t="s">
        <v>2978</v>
      </c>
    </row>
    <row r="1314" spans="1:2" x14ac:dyDescent="0.25">
      <c r="A1314" s="32" t="s">
        <v>10101</v>
      </c>
      <c r="B1314" s="33" t="s">
        <v>10101</v>
      </c>
    </row>
    <row r="1315" spans="1:2" x14ac:dyDescent="0.25">
      <c r="A1315" s="30" t="s">
        <v>2979</v>
      </c>
      <c r="B1315" s="31" t="s">
        <v>2980</v>
      </c>
    </row>
    <row r="1316" spans="1:2" x14ac:dyDescent="0.25">
      <c r="A1316" s="32" t="s">
        <v>10102</v>
      </c>
      <c r="B1316" s="33" t="s">
        <v>10102</v>
      </c>
    </row>
    <row r="1317" spans="1:2" x14ac:dyDescent="0.25">
      <c r="A1317" s="30" t="s">
        <v>10103</v>
      </c>
      <c r="B1317" s="31" t="s">
        <v>10103</v>
      </c>
    </row>
    <row r="1318" spans="1:2" x14ac:dyDescent="0.25">
      <c r="A1318" s="32" t="s">
        <v>2981</v>
      </c>
      <c r="B1318" s="33" t="s">
        <v>2982</v>
      </c>
    </row>
    <row r="1319" spans="1:2" x14ac:dyDescent="0.25">
      <c r="A1319" s="30" t="s">
        <v>2983</v>
      </c>
      <c r="B1319" s="31" t="s">
        <v>2984</v>
      </c>
    </row>
    <row r="1320" spans="1:2" x14ac:dyDescent="0.25">
      <c r="A1320" s="32" t="s">
        <v>10104</v>
      </c>
      <c r="B1320" s="33" t="s">
        <v>10104</v>
      </c>
    </row>
    <row r="1321" spans="1:2" x14ac:dyDescent="0.25">
      <c r="A1321" s="30" t="s">
        <v>2985</v>
      </c>
      <c r="B1321" s="31" t="s">
        <v>2986</v>
      </c>
    </row>
    <row r="1322" spans="1:2" x14ac:dyDescent="0.25">
      <c r="A1322" s="32" t="s">
        <v>978</v>
      </c>
      <c r="B1322" s="33" t="s">
        <v>2987</v>
      </c>
    </row>
    <row r="1323" spans="1:2" x14ac:dyDescent="0.25">
      <c r="A1323" s="30" t="s">
        <v>2988</v>
      </c>
      <c r="B1323" s="31" t="s">
        <v>2989</v>
      </c>
    </row>
    <row r="1324" spans="1:2" x14ac:dyDescent="0.25">
      <c r="A1324" s="32" t="s">
        <v>10105</v>
      </c>
      <c r="B1324" s="33" t="s">
        <v>10105</v>
      </c>
    </row>
    <row r="1325" spans="1:2" x14ac:dyDescent="0.25">
      <c r="A1325" s="30" t="s">
        <v>10106</v>
      </c>
      <c r="B1325" s="31" t="s">
        <v>10106</v>
      </c>
    </row>
    <row r="1326" spans="1:2" x14ac:dyDescent="0.25">
      <c r="A1326" s="32" t="s">
        <v>10107</v>
      </c>
      <c r="B1326" s="33" t="s">
        <v>10107</v>
      </c>
    </row>
    <row r="1327" spans="1:2" x14ac:dyDescent="0.25">
      <c r="A1327" s="30" t="s">
        <v>10108</v>
      </c>
      <c r="B1327" s="31" t="s">
        <v>10108</v>
      </c>
    </row>
    <row r="1328" spans="1:2" x14ac:dyDescent="0.25">
      <c r="A1328" s="32" t="s">
        <v>433</v>
      </c>
      <c r="B1328" s="33" t="s">
        <v>2990</v>
      </c>
    </row>
    <row r="1329" spans="1:2" x14ac:dyDescent="0.25">
      <c r="A1329" s="30" t="s">
        <v>10109</v>
      </c>
      <c r="B1329" s="31" t="s">
        <v>10109</v>
      </c>
    </row>
    <row r="1330" spans="1:2" x14ac:dyDescent="0.25">
      <c r="A1330" s="32" t="s">
        <v>10110</v>
      </c>
      <c r="B1330" s="33" t="s">
        <v>10110</v>
      </c>
    </row>
    <row r="1331" spans="1:2" x14ac:dyDescent="0.25">
      <c r="A1331" s="30" t="s">
        <v>10111</v>
      </c>
      <c r="B1331" s="31" t="s">
        <v>10111</v>
      </c>
    </row>
    <row r="1332" spans="1:2" x14ac:dyDescent="0.25">
      <c r="A1332" s="32" t="s">
        <v>10112</v>
      </c>
      <c r="B1332" s="33" t="s">
        <v>10112</v>
      </c>
    </row>
    <row r="1333" spans="1:2" x14ac:dyDescent="0.25">
      <c r="A1333" s="30" t="s">
        <v>10113</v>
      </c>
      <c r="B1333" s="31" t="s">
        <v>10113</v>
      </c>
    </row>
    <row r="1334" spans="1:2" x14ac:dyDescent="0.25">
      <c r="A1334" s="32" t="s">
        <v>2991</v>
      </c>
      <c r="B1334" s="33" t="s">
        <v>2992</v>
      </c>
    </row>
    <row r="1335" spans="1:2" x14ac:dyDescent="0.25">
      <c r="A1335" s="30" t="s">
        <v>10114</v>
      </c>
      <c r="B1335" s="31" t="s">
        <v>10114</v>
      </c>
    </row>
    <row r="1336" spans="1:2" x14ac:dyDescent="0.25">
      <c r="A1336" s="32" t="s">
        <v>434</v>
      </c>
      <c r="B1336" s="33" t="s">
        <v>2993</v>
      </c>
    </row>
    <row r="1337" spans="1:2" x14ac:dyDescent="0.25">
      <c r="A1337" s="30" t="s">
        <v>10115</v>
      </c>
      <c r="B1337" s="31" t="s">
        <v>10115</v>
      </c>
    </row>
    <row r="1338" spans="1:2" x14ac:dyDescent="0.25">
      <c r="A1338" s="32" t="s">
        <v>2994</v>
      </c>
      <c r="B1338" s="33" t="s">
        <v>2995</v>
      </c>
    </row>
    <row r="1339" spans="1:2" x14ac:dyDescent="0.25">
      <c r="A1339" s="30" t="s">
        <v>2996</v>
      </c>
      <c r="B1339" s="31" t="s">
        <v>2997</v>
      </c>
    </row>
    <row r="1340" spans="1:2" x14ac:dyDescent="0.25">
      <c r="A1340" s="32" t="s">
        <v>2998</v>
      </c>
      <c r="B1340" s="33" t="s">
        <v>2999</v>
      </c>
    </row>
    <row r="1341" spans="1:2" x14ac:dyDescent="0.25">
      <c r="A1341" s="30" t="s">
        <v>3000</v>
      </c>
      <c r="B1341" s="31" t="s">
        <v>3001</v>
      </c>
    </row>
    <row r="1342" spans="1:2" x14ac:dyDescent="0.25">
      <c r="A1342" s="32" t="s">
        <v>10116</v>
      </c>
      <c r="B1342" s="33" t="s">
        <v>10116</v>
      </c>
    </row>
    <row r="1343" spans="1:2" x14ac:dyDescent="0.25">
      <c r="A1343" s="30" t="s">
        <v>3002</v>
      </c>
      <c r="B1343" s="31" t="s">
        <v>3003</v>
      </c>
    </row>
    <row r="1344" spans="1:2" x14ac:dyDescent="0.25">
      <c r="A1344" s="32" t="s">
        <v>3004</v>
      </c>
      <c r="B1344" s="33" t="s">
        <v>3005</v>
      </c>
    </row>
    <row r="1345" spans="1:2" x14ac:dyDescent="0.25">
      <c r="A1345" s="30" t="s">
        <v>3006</v>
      </c>
      <c r="B1345" s="31" t="s">
        <v>3007</v>
      </c>
    </row>
    <row r="1346" spans="1:2" x14ac:dyDescent="0.25">
      <c r="A1346" s="32" t="s">
        <v>3008</v>
      </c>
      <c r="B1346" s="33" t="s">
        <v>3009</v>
      </c>
    </row>
    <row r="1347" spans="1:2" x14ac:dyDescent="0.25">
      <c r="A1347" s="30" t="s">
        <v>3010</v>
      </c>
      <c r="B1347" s="31" t="s">
        <v>3011</v>
      </c>
    </row>
    <row r="1348" spans="1:2" x14ac:dyDescent="0.25">
      <c r="A1348" s="32" t="s">
        <v>3012</v>
      </c>
      <c r="B1348" s="33" t="s">
        <v>3013</v>
      </c>
    </row>
    <row r="1349" spans="1:2" x14ac:dyDescent="0.25">
      <c r="A1349" s="30" t="s">
        <v>3014</v>
      </c>
      <c r="B1349" s="31" t="s">
        <v>3015</v>
      </c>
    </row>
    <row r="1350" spans="1:2" x14ac:dyDescent="0.25">
      <c r="A1350" s="32" t="s">
        <v>3016</v>
      </c>
      <c r="B1350" s="33" t="s">
        <v>3017</v>
      </c>
    </row>
    <row r="1351" spans="1:2" x14ac:dyDescent="0.25">
      <c r="A1351" s="30" t="s">
        <v>3018</v>
      </c>
      <c r="B1351" s="31" t="s">
        <v>3019</v>
      </c>
    </row>
    <row r="1352" spans="1:2" x14ac:dyDescent="0.25">
      <c r="A1352" s="32" t="s">
        <v>10117</v>
      </c>
      <c r="B1352" s="33" t="s">
        <v>10117</v>
      </c>
    </row>
    <row r="1353" spans="1:2" x14ac:dyDescent="0.25">
      <c r="A1353" s="30" t="s">
        <v>435</v>
      </c>
      <c r="B1353" s="31" t="s">
        <v>435</v>
      </c>
    </row>
    <row r="1354" spans="1:2" x14ac:dyDescent="0.25">
      <c r="A1354" s="32" t="s">
        <v>3020</v>
      </c>
      <c r="B1354" s="33" t="s">
        <v>3021</v>
      </c>
    </row>
    <row r="1355" spans="1:2" x14ac:dyDescent="0.25">
      <c r="A1355" s="30" t="s">
        <v>3022</v>
      </c>
      <c r="B1355" s="31" t="s">
        <v>3023</v>
      </c>
    </row>
    <row r="1356" spans="1:2" x14ac:dyDescent="0.25">
      <c r="A1356" s="32" t="s">
        <v>10118</v>
      </c>
      <c r="B1356" s="33" t="s">
        <v>10118</v>
      </c>
    </row>
    <row r="1357" spans="1:2" x14ac:dyDescent="0.25">
      <c r="A1357" s="30" t="s">
        <v>3024</v>
      </c>
      <c r="B1357" s="31" t="s">
        <v>3025</v>
      </c>
    </row>
    <row r="1358" spans="1:2" x14ac:dyDescent="0.25">
      <c r="A1358" s="32" t="s">
        <v>3026</v>
      </c>
      <c r="B1358" s="33" t="s">
        <v>3027</v>
      </c>
    </row>
    <row r="1359" spans="1:2" x14ac:dyDescent="0.25">
      <c r="A1359" s="30" t="s">
        <v>10119</v>
      </c>
      <c r="B1359" s="31" t="s">
        <v>10119</v>
      </c>
    </row>
    <row r="1360" spans="1:2" x14ac:dyDescent="0.25">
      <c r="A1360" s="32" t="s">
        <v>3028</v>
      </c>
      <c r="B1360" s="33" t="s">
        <v>3029</v>
      </c>
    </row>
    <row r="1361" spans="1:2" x14ac:dyDescent="0.25">
      <c r="A1361" s="30" t="s">
        <v>3030</v>
      </c>
      <c r="B1361" s="31" t="s">
        <v>3031</v>
      </c>
    </row>
    <row r="1362" spans="1:2" x14ac:dyDescent="0.25">
      <c r="A1362" s="32" t="s">
        <v>10120</v>
      </c>
      <c r="B1362" s="33" t="s">
        <v>10120</v>
      </c>
    </row>
    <row r="1363" spans="1:2" x14ac:dyDescent="0.25">
      <c r="A1363" s="30" t="s">
        <v>3032</v>
      </c>
      <c r="B1363" s="31" t="s">
        <v>3033</v>
      </c>
    </row>
    <row r="1364" spans="1:2" x14ac:dyDescent="0.25">
      <c r="A1364" s="32" t="s">
        <v>3034</v>
      </c>
      <c r="B1364" s="33" t="s">
        <v>3035</v>
      </c>
    </row>
    <row r="1365" spans="1:2" x14ac:dyDescent="0.25">
      <c r="A1365" s="30" t="s">
        <v>3036</v>
      </c>
      <c r="B1365" s="31" t="s">
        <v>3037</v>
      </c>
    </row>
    <row r="1366" spans="1:2" x14ac:dyDescent="0.25">
      <c r="A1366" s="32" t="s">
        <v>10121</v>
      </c>
      <c r="B1366" s="33" t="s">
        <v>10121</v>
      </c>
    </row>
    <row r="1367" spans="1:2" x14ac:dyDescent="0.25">
      <c r="A1367" s="30" t="s">
        <v>436</v>
      </c>
      <c r="B1367" s="31" t="s">
        <v>3038</v>
      </c>
    </row>
    <row r="1368" spans="1:2" x14ac:dyDescent="0.25">
      <c r="A1368" s="32" t="s">
        <v>3039</v>
      </c>
      <c r="B1368" s="33" t="s">
        <v>3040</v>
      </c>
    </row>
    <row r="1369" spans="1:2" x14ac:dyDescent="0.25">
      <c r="A1369" s="30" t="s">
        <v>3041</v>
      </c>
      <c r="B1369" s="31" t="s">
        <v>3042</v>
      </c>
    </row>
    <row r="1370" spans="1:2" x14ac:dyDescent="0.25">
      <c r="A1370" s="32" t="s">
        <v>3043</v>
      </c>
      <c r="B1370" s="33" t="s">
        <v>3044</v>
      </c>
    </row>
    <row r="1371" spans="1:2" x14ac:dyDescent="0.25">
      <c r="A1371" s="30" t="s">
        <v>10122</v>
      </c>
      <c r="B1371" s="31" t="s">
        <v>10122</v>
      </c>
    </row>
    <row r="1372" spans="1:2" x14ac:dyDescent="0.25">
      <c r="A1372" s="32" t="s">
        <v>10123</v>
      </c>
      <c r="B1372" s="33" t="s">
        <v>10123</v>
      </c>
    </row>
    <row r="1373" spans="1:2" x14ac:dyDescent="0.25">
      <c r="A1373" s="30" t="s">
        <v>3045</v>
      </c>
      <c r="B1373" s="31" t="s">
        <v>3046</v>
      </c>
    </row>
    <row r="1374" spans="1:2" x14ac:dyDescent="0.25">
      <c r="A1374" s="32" t="s">
        <v>10124</v>
      </c>
      <c r="B1374" s="33" t="s">
        <v>10124</v>
      </c>
    </row>
    <row r="1375" spans="1:2" x14ac:dyDescent="0.25">
      <c r="A1375" s="30" t="s">
        <v>10125</v>
      </c>
      <c r="B1375" s="31" t="s">
        <v>10125</v>
      </c>
    </row>
    <row r="1376" spans="1:2" x14ac:dyDescent="0.25">
      <c r="A1376" s="32" t="s">
        <v>10126</v>
      </c>
      <c r="B1376" s="33" t="s">
        <v>10126</v>
      </c>
    </row>
    <row r="1377" spans="1:2" x14ac:dyDescent="0.25">
      <c r="A1377" s="30" t="s">
        <v>10127</v>
      </c>
      <c r="B1377" s="31" t="s">
        <v>10127</v>
      </c>
    </row>
    <row r="1378" spans="1:2" x14ac:dyDescent="0.25">
      <c r="A1378" s="32" t="s">
        <v>10128</v>
      </c>
      <c r="B1378" s="33" t="s">
        <v>10128</v>
      </c>
    </row>
    <row r="1379" spans="1:2" x14ac:dyDescent="0.25">
      <c r="A1379" s="30" t="s">
        <v>10129</v>
      </c>
      <c r="B1379" s="31" t="s">
        <v>10129</v>
      </c>
    </row>
    <row r="1380" spans="1:2" x14ac:dyDescent="0.25">
      <c r="A1380" s="32" t="s">
        <v>10130</v>
      </c>
      <c r="B1380" s="33" t="s">
        <v>10130</v>
      </c>
    </row>
    <row r="1381" spans="1:2" x14ac:dyDescent="0.25">
      <c r="A1381" s="30" t="s">
        <v>10131</v>
      </c>
      <c r="B1381" s="31" t="s">
        <v>10131</v>
      </c>
    </row>
    <row r="1382" spans="1:2" x14ac:dyDescent="0.25">
      <c r="A1382" s="32" t="s">
        <v>10132</v>
      </c>
      <c r="B1382" s="33" t="s">
        <v>10132</v>
      </c>
    </row>
    <row r="1383" spans="1:2" x14ac:dyDescent="0.25">
      <c r="A1383" s="30" t="s">
        <v>10133</v>
      </c>
      <c r="B1383" s="31" t="s">
        <v>10133</v>
      </c>
    </row>
    <row r="1384" spans="1:2" x14ac:dyDescent="0.25">
      <c r="A1384" s="32" t="s">
        <v>10134</v>
      </c>
      <c r="B1384" s="33" t="s">
        <v>10134</v>
      </c>
    </row>
    <row r="1385" spans="1:2" x14ac:dyDescent="0.25">
      <c r="A1385" s="30" t="s">
        <v>10135</v>
      </c>
      <c r="B1385" s="31" t="s">
        <v>10135</v>
      </c>
    </row>
    <row r="1386" spans="1:2" x14ac:dyDescent="0.25">
      <c r="A1386" s="32" t="s">
        <v>3047</v>
      </c>
      <c r="B1386" s="33" t="s">
        <v>3048</v>
      </c>
    </row>
    <row r="1387" spans="1:2" x14ac:dyDescent="0.25">
      <c r="A1387" s="30" t="s">
        <v>10136</v>
      </c>
      <c r="B1387" s="31" t="s">
        <v>10136</v>
      </c>
    </row>
    <row r="1388" spans="1:2" x14ac:dyDescent="0.25">
      <c r="A1388" s="32" t="s">
        <v>3049</v>
      </c>
      <c r="B1388" s="33" t="s">
        <v>3050</v>
      </c>
    </row>
    <row r="1389" spans="1:2" x14ac:dyDescent="0.25">
      <c r="A1389" s="30" t="s">
        <v>10137</v>
      </c>
      <c r="B1389" s="31" t="s">
        <v>10137</v>
      </c>
    </row>
    <row r="1390" spans="1:2" x14ac:dyDescent="0.25">
      <c r="A1390" s="32" t="s">
        <v>10138</v>
      </c>
      <c r="B1390" s="33" t="s">
        <v>10138</v>
      </c>
    </row>
    <row r="1391" spans="1:2" x14ac:dyDescent="0.25">
      <c r="A1391" s="30" t="s">
        <v>3051</v>
      </c>
      <c r="B1391" s="31" t="s">
        <v>3052</v>
      </c>
    </row>
    <row r="1392" spans="1:2" x14ac:dyDescent="0.25">
      <c r="A1392" s="32" t="s">
        <v>3053</v>
      </c>
      <c r="B1392" s="33" t="s">
        <v>3054</v>
      </c>
    </row>
    <row r="1393" spans="1:2" x14ac:dyDescent="0.25">
      <c r="A1393" s="30" t="s">
        <v>3055</v>
      </c>
      <c r="B1393" s="31" t="s">
        <v>3056</v>
      </c>
    </row>
    <row r="1394" spans="1:2" x14ac:dyDescent="0.25">
      <c r="A1394" s="32" t="s">
        <v>3057</v>
      </c>
      <c r="B1394" s="33" t="s">
        <v>3058</v>
      </c>
    </row>
    <row r="1395" spans="1:2" x14ac:dyDescent="0.25">
      <c r="A1395" s="30" t="s">
        <v>10139</v>
      </c>
      <c r="B1395" s="31" t="s">
        <v>10139</v>
      </c>
    </row>
    <row r="1396" spans="1:2" x14ac:dyDescent="0.25">
      <c r="A1396" s="32" t="s">
        <v>10140</v>
      </c>
      <c r="B1396" s="33" t="s">
        <v>10140</v>
      </c>
    </row>
    <row r="1397" spans="1:2" x14ac:dyDescent="0.25">
      <c r="A1397" s="30" t="s">
        <v>10141</v>
      </c>
      <c r="B1397" s="31" t="s">
        <v>10141</v>
      </c>
    </row>
    <row r="1398" spans="1:2" x14ac:dyDescent="0.25">
      <c r="A1398" s="32" t="s">
        <v>3059</v>
      </c>
      <c r="B1398" s="33" t="s">
        <v>3060</v>
      </c>
    </row>
    <row r="1399" spans="1:2" x14ac:dyDescent="0.25">
      <c r="A1399" s="30" t="s">
        <v>3061</v>
      </c>
      <c r="B1399" s="31" t="s">
        <v>3062</v>
      </c>
    </row>
    <row r="1400" spans="1:2" x14ac:dyDescent="0.25">
      <c r="A1400" s="32" t="s">
        <v>10142</v>
      </c>
      <c r="B1400" s="33" t="s">
        <v>10142</v>
      </c>
    </row>
    <row r="1401" spans="1:2" x14ac:dyDescent="0.25">
      <c r="A1401" s="30" t="s">
        <v>10143</v>
      </c>
      <c r="B1401" s="31" t="s">
        <v>10143</v>
      </c>
    </row>
    <row r="1402" spans="1:2" x14ac:dyDescent="0.25">
      <c r="A1402" s="32" t="s">
        <v>10144</v>
      </c>
      <c r="B1402" s="33" t="s">
        <v>10144</v>
      </c>
    </row>
    <row r="1403" spans="1:2" x14ac:dyDescent="0.25">
      <c r="A1403" s="30" t="s">
        <v>10145</v>
      </c>
      <c r="B1403" s="31" t="s">
        <v>10145</v>
      </c>
    </row>
    <row r="1404" spans="1:2" x14ac:dyDescent="0.25">
      <c r="A1404" s="32" t="s">
        <v>10146</v>
      </c>
      <c r="B1404" s="33" t="s">
        <v>10146</v>
      </c>
    </row>
    <row r="1405" spans="1:2" x14ac:dyDescent="0.25">
      <c r="A1405" s="30" t="s">
        <v>10147</v>
      </c>
      <c r="B1405" s="31" t="s">
        <v>10147</v>
      </c>
    </row>
    <row r="1406" spans="1:2" x14ac:dyDescent="0.25">
      <c r="A1406" s="32" t="s">
        <v>10148</v>
      </c>
      <c r="B1406" s="33" t="s">
        <v>10148</v>
      </c>
    </row>
    <row r="1407" spans="1:2" x14ac:dyDescent="0.25">
      <c r="A1407" s="30" t="s">
        <v>437</v>
      </c>
      <c r="B1407" s="31" t="s">
        <v>3063</v>
      </c>
    </row>
    <row r="1408" spans="1:2" x14ac:dyDescent="0.25">
      <c r="A1408" s="32" t="s">
        <v>438</v>
      </c>
      <c r="B1408" s="33" t="s">
        <v>3064</v>
      </c>
    </row>
    <row r="1409" spans="1:2" x14ac:dyDescent="0.25">
      <c r="A1409" s="30" t="s">
        <v>10149</v>
      </c>
      <c r="B1409" s="31" t="s">
        <v>10149</v>
      </c>
    </row>
    <row r="1410" spans="1:2" x14ac:dyDescent="0.25">
      <c r="A1410" s="32" t="s">
        <v>3065</v>
      </c>
      <c r="B1410" s="33" t="s">
        <v>3066</v>
      </c>
    </row>
    <row r="1411" spans="1:2" x14ac:dyDescent="0.25">
      <c r="A1411" s="30" t="s">
        <v>10150</v>
      </c>
      <c r="B1411" s="31" t="s">
        <v>10150</v>
      </c>
    </row>
    <row r="1412" spans="1:2" x14ac:dyDescent="0.25">
      <c r="A1412" s="32" t="s">
        <v>3067</v>
      </c>
      <c r="B1412" s="33" t="s">
        <v>3068</v>
      </c>
    </row>
    <row r="1413" spans="1:2" x14ac:dyDescent="0.25">
      <c r="A1413" s="30" t="s">
        <v>439</v>
      </c>
      <c r="B1413" s="31" t="s">
        <v>3069</v>
      </c>
    </row>
    <row r="1414" spans="1:2" x14ac:dyDescent="0.25">
      <c r="A1414" s="32" t="s">
        <v>3070</v>
      </c>
      <c r="B1414" s="33" t="s">
        <v>3071</v>
      </c>
    </row>
    <row r="1415" spans="1:2" x14ac:dyDescent="0.25">
      <c r="A1415" s="30" t="s">
        <v>3072</v>
      </c>
      <c r="B1415" s="31" t="s">
        <v>3073</v>
      </c>
    </row>
    <row r="1416" spans="1:2" x14ac:dyDescent="0.25">
      <c r="A1416" s="32" t="s">
        <v>3074</v>
      </c>
      <c r="B1416" s="33" t="s">
        <v>3075</v>
      </c>
    </row>
    <row r="1417" spans="1:2" x14ac:dyDescent="0.25">
      <c r="A1417" s="30" t="s">
        <v>3076</v>
      </c>
      <c r="B1417" s="31" t="s">
        <v>3077</v>
      </c>
    </row>
    <row r="1418" spans="1:2" x14ac:dyDescent="0.25">
      <c r="A1418" s="32" t="s">
        <v>3078</v>
      </c>
      <c r="B1418" s="33" t="s">
        <v>3079</v>
      </c>
    </row>
    <row r="1419" spans="1:2" x14ac:dyDescent="0.25">
      <c r="A1419" s="30" t="s">
        <v>3080</v>
      </c>
      <c r="B1419" s="31" t="s">
        <v>3081</v>
      </c>
    </row>
    <row r="1420" spans="1:2" x14ac:dyDescent="0.25">
      <c r="A1420" s="32" t="s">
        <v>3082</v>
      </c>
      <c r="B1420" s="33" t="s">
        <v>3083</v>
      </c>
    </row>
    <row r="1421" spans="1:2" x14ac:dyDescent="0.25">
      <c r="A1421" s="30" t="s">
        <v>3084</v>
      </c>
      <c r="B1421" s="31" t="s">
        <v>3085</v>
      </c>
    </row>
    <row r="1422" spans="1:2" x14ac:dyDescent="0.25">
      <c r="A1422" s="32" t="s">
        <v>3086</v>
      </c>
      <c r="B1422" s="33" t="s">
        <v>3087</v>
      </c>
    </row>
    <row r="1423" spans="1:2" x14ac:dyDescent="0.25">
      <c r="A1423" s="30" t="s">
        <v>3088</v>
      </c>
      <c r="B1423" s="31" t="s">
        <v>3089</v>
      </c>
    </row>
    <row r="1424" spans="1:2" x14ac:dyDescent="0.25">
      <c r="A1424" s="32" t="s">
        <v>3090</v>
      </c>
      <c r="B1424" s="33" t="s">
        <v>3091</v>
      </c>
    </row>
    <row r="1425" spans="1:2" x14ac:dyDescent="0.25">
      <c r="A1425" s="30" t="s">
        <v>10151</v>
      </c>
      <c r="B1425" s="31" t="s">
        <v>10151</v>
      </c>
    </row>
    <row r="1426" spans="1:2" x14ac:dyDescent="0.25">
      <c r="A1426" s="32" t="s">
        <v>10152</v>
      </c>
      <c r="B1426" s="33" t="s">
        <v>10152</v>
      </c>
    </row>
    <row r="1427" spans="1:2" x14ac:dyDescent="0.25">
      <c r="A1427" s="30" t="s">
        <v>10153</v>
      </c>
      <c r="B1427" s="31" t="s">
        <v>10153</v>
      </c>
    </row>
    <row r="1428" spans="1:2" x14ac:dyDescent="0.25">
      <c r="A1428" s="32" t="s">
        <v>3092</v>
      </c>
      <c r="B1428" s="33" t="s">
        <v>3093</v>
      </c>
    </row>
    <row r="1429" spans="1:2" x14ac:dyDescent="0.25">
      <c r="A1429" s="30" t="s">
        <v>10154</v>
      </c>
      <c r="B1429" s="31" t="s">
        <v>10154</v>
      </c>
    </row>
    <row r="1430" spans="1:2" x14ac:dyDescent="0.25">
      <c r="A1430" s="32" t="s">
        <v>3094</v>
      </c>
      <c r="B1430" s="33" t="s">
        <v>3095</v>
      </c>
    </row>
    <row r="1431" spans="1:2" x14ac:dyDescent="0.25">
      <c r="A1431" s="30" t="s">
        <v>3096</v>
      </c>
      <c r="B1431" s="31" t="s">
        <v>3097</v>
      </c>
    </row>
    <row r="1432" spans="1:2" x14ac:dyDescent="0.25">
      <c r="A1432" s="32" t="s">
        <v>10155</v>
      </c>
      <c r="B1432" s="33" t="s">
        <v>10155</v>
      </c>
    </row>
    <row r="1433" spans="1:2" x14ac:dyDescent="0.25">
      <c r="A1433" s="30" t="s">
        <v>3098</v>
      </c>
      <c r="B1433" s="31" t="s">
        <v>3099</v>
      </c>
    </row>
    <row r="1434" spans="1:2" x14ac:dyDescent="0.25">
      <c r="A1434" s="32" t="s">
        <v>10156</v>
      </c>
      <c r="B1434" s="33" t="s">
        <v>10156</v>
      </c>
    </row>
    <row r="1435" spans="1:2" x14ac:dyDescent="0.25">
      <c r="A1435" s="30" t="s">
        <v>10157</v>
      </c>
      <c r="B1435" s="31" t="s">
        <v>10157</v>
      </c>
    </row>
    <row r="1436" spans="1:2" x14ac:dyDescent="0.25">
      <c r="A1436" s="32" t="s">
        <v>3100</v>
      </c>
      <c r="B1436" s="33" t="s">
        <v>3101</v>
      </c>
    </row>
    <row r="1437" spans="1:2" x14ac:dyDescent="0.25">
      <c r="A1437" s="30" t="s">
        <v>10158</v>
      </c>
      <c r="B1437" s="31" t="s">
        <v>10158</v>
      </c>
    </row>
    <row r="1438" spans="1:2" x14ac:dyDescent="0.25">
      <c r="A1438" s="32" t="s">
        <v>3102</v>
      </c>
      <c r="B1438" s="33" t="s">
        <v>3103</v>
      </c>
    </row>
    <row r="1439" spans="1:2" x14ac:dyDescent="0.25">
      <c r="A1439" s="30" t="s">
        <v>3104</v>
      </c>
      <c r="B1439" s="31" t="s">
        <v>3105</v>
      </c>
    </row>
    <row r="1440" spans="1:2" x14ac:dyDescent="0.25">
      <c r="A1440" s="32" t="s">
        <v>10159</v>
      </c>
      <c r="B1440" s="33" t="s">
        <v>10159</v>
      </c>
    </row>
    <row r="1441" spans="1:2" x14ac:dyDescent="0.25">
      <c r="A1441" s="30" t="s">
        <v>10160</v>
      </c>
      <c r="B1441" s="31" t="s">
        <v>10160</v>
      </c>
    </row>
    <row r="1442" spans="1:2" x14ac:dyDescent="0.25">
      <c r="A1442" s="32" t="s">
        <v>10161</v>
      </c>
      <c r="B1442" s="33" t="s">
        <v>10161</v>
      </c>
    </row>
    <row r="1443" spans="1:2" x14ac:dyDescent="0.25">
      <c r="A1443" s="30" t="s">
        <v>3106</v>
      </c>
      <c r="B1443" s="31" t="s">
        <v>3107</v>
      </c>
    </row>
    <row r="1444" spans="1:2" x14ac:dyDescent="0.25">
      <c r="A1444" s="32" t="s">
        <v>3108</v>
      </c>
      <c r="B1444" s="33" t="s">
        <v>3109</v>
      </c>
    </row>
    <row r="1445" spans="1:2" x14ac:dyDescent="0.25">
      <c r="A1445" s="30" t="s">
        <v>3110</v>
      </c>
      <c r="B1445" s="31" t="s">
        <v>3111</v>
      </c>
    </row>
    <row r="1446" spans="1:2" x14ac:dyDescent="0.25">
      <c r="A1446" s="32" t="s">
        <v>10162</v>
      </c>
      <c r="B1446" s="33" t="s">
        <v>10162</v>
      </c>
    </row>
    <row r="1447" spans="1:2" x14ac:dyDescent="0.25">
      <c r="A1447" s="30" t="s">
        <v>3112</v>
      </c>
      <c r="B1447" s="31" t="s">
        <v>3113</v>
      </c>
    </row>
    <row r="1448" spans="1:2" x14ac:dyDescent="0.25">
      <c r="A1448" s="32" t="s">
        <v>3114</v>
      </c>
      <c r="B1448" s="33" t="s">
        <v>3115</v>
      </c>
    </row>
    <row r="1449" spans="1:2" x14ac:dyDescent="0.25">
      <c r="A1449" s="30" t="s">
        <v>3116</v>
      </c>
      <c r="B1449" s="31" t="s">
        <v>3117</v>
      </c>
    </row>
    <row r="1450" spans="1:2" x14ac:dyDescent="0.25">
      <c r="A1450" s="32" t="s">
        <v>3118</v>
      </c>
      <c r="B1450" s="33" t="s">
        <v>3119</v>
      </c>
    </row>
    <row r="1451" spans="1:2" x14ac:dyDescent="0.25">
      <c r="A1451" s="30" t="s">
        <v>3120</v>
      </c>
      <c r="B1451" s="31" t="s">
        <v>3121</v>
      </c>
    </row>
    <row r="1452" spans="1:2" x14ac:dyDescent="0.25">
      <c r="A1452" s="32" t="s">
        <v>10163</v>
      </c>
      <c r="B1452" s="33" t="s">
        <v>10163</v>
      </c>
    </row>
    <row r="1453" spans="1:2" x14ac:dyDescent="0.25">
      <c r="A1453" s="30" t="s">
        <v>3122</v>
      </c>
      <c r="B1453" s="31" t="s">
        <v>3123</v>
      </c>
    </row>
    <row r="1454" spans="1:2" x14ac:dyDescent="0.25">
      <c r="A1454" s="32" t="s">
        <v>3124</v>
      </c>
      <c r="B1454" s="33" t="s">
        <v>3125</v>
      </c>
    </row>
    <row r="1455" spans="1:2" x14ac:dyDescent="0.25">
      <c r="A1455" s="30" t="s">
        <v>10164</v>
      </c>
      <c r="B1455" s="31" t="s">
        <v>10164</v>
      </c>
    </row>
    <row r="1456" spans="1:2" x14ac:dyDescent="0.25">
      <c r="A1456" s="32" t="s">
        <v>10165</v>
      </c>
      <c r="B1456" s="33" t="s">
        <v>10165</v>
      </c>
    </row>
    <row r="1457" spans="1:2" x14ac:dyDescent="0.25">
      <c r="A1457" s="30" t="s">
        <v>10166</v>
      </c>
      <c r="B1457" s="31" t="s">
        <v>10166</v>
      </c>
    </row>
    <row r="1458" spans="1:2" x14ac:dyDescent="0.25">
      <c r="A1458" s="32" t="s">
        <v>10167</v>
      </c>
      <c r="B1458" s="33" t="s">
        <v>10167</v>
      </c>
    </row>
    <row r="1459" spans="1:2" x14ac:dyDescent="0.25">
      <c r="A1459" s="30" t="s">
        <v>10168</v>
      </c>
      <c r="B1459" s="31" t="s">
        <v>10168</v>
      </c>
    </row>
    <row r="1460" spans="1:2" x14ac:dyDescent="0.25">
      <c r="A1460" s="32" t="s">
        <v>10169</v>
      </c>
      <c r="B1460" s="33" t="s">
        <v>10169</v>
      </c>
    </row>
    <row r="1461" spans="1:2" x14ac:dyDescent="0.25">
      <c r="A1461" s="30" t="s">
        <v>10170</v>
      </c>
      <c r="B1461" s="31" t="s">
        <v>10170</v>
      </c>
    </row>
    <row r="1462" spans="1:2" x14ac:dyDescent="0.25">
      <c r="A1462" s="32" t="s">
        <v>3126</v>
      </c>
      <c r="B1462" s="33" t="s">
        <v>3127</v>
      </c>
    </row>
    <row r="1463" spans="1:2" x14ac:dyDescent="0.25">
      <c r="A1463" s="30" t="s">
        <v>3128</v>
      </c>
      <c r="B1463" s="31" t="s">
        <v>3129</v>
      </c>
    </row>
    <row r="1464" spans="1:2" x14ac:dyDescent="0.25">
      <c r="A1464" s="32" t="s">
        <v>3130</v>
      </c>
      <c r="B1464" s="33" t="s">
        <v>3131</v>
      </c>
    </row>
    <row r="1465" spans="1:2" x14ac:dyDescent="0.25">
      <c r="A1465" s="30" t="s">
        <v>3132</v>
      </c>
      <c r="B1465" s="31" t="s">
        <v>3133</v>
      </c>
    </row>
    <row r="1466" spans="1:2" x14ac:dyDescent="0.25">
      <c r="A1466" s="32" t="s">
        <v>3134</v>
      </c>
      <c r="B1466" s="33" t="s">
        <v>3135</v>
      </c>
    </row>
    <row r="1467" spans="1:2" x14ac:dyDescent="0.25">
      <c r="A1467" s="30" t="s">
        <v>10171</v>
      </c>
      <c r="B1467" s="31" t="s">
        <v>10171</v>
      </c>
    </row>
    <row r="1468" spans="1:2" x14ac:dyDescent="0.25">
      <c r="A1468" s="32" t="s">
        <v>3136</v>
      </c>
      <c r="B1468" s="33" t="s">
        <v>3137</v>
      </c>
    </row>
    <row r="1469" spans="1:2" x14ac:dyDescent="0.25">
      <c r="A1469" s="30" t="s">
        <v>3138</v>
      </c>
      <c r="B1469" s="31" t="s">
        <v>3139</v>
      </c>
    </row>
    <row r="1470" spans="1:2" x14ac:dyDescent="0.25">
      <c r="A1470" s="32" t="s">
        <v>440</v>
      </c>
      <c r="B1470" s="33" t="s">
        <v>3140</v>
      </c>
    </row>
    <row r="1471" spans="1:2" x14ac:dyDescent="0.25">
      <c r="A1471" s="30" t="s">
        <v>10172</v>
      </c>
      <c r="B1471" s="31" t="s">
        <v>10172</v>
      </c>
    </row>
    <row r="1472" spans="1:2" x14ac:dyDescent="0.25">
      <c r="A1472" s="32" t="s">
        <v>10173</v>
      </c>
      <c r="B1472" s="33" t="s">
        <v>10173</v>
      </c>
    </row>
    <row r="1473" spans="1:2" x14ac:dyDescent="0.25">
      <c r="A1473" s="30" t="s">
        <v>3141</v>
      </c>
      <c r="B1473" s="31" t="s">
        <v>3142</v>
      </c>
    </row>
    <row r="1474" spans="1:2" x14ac:dyDescent="0.25">
      <c r="A1474" s="32" t="s">
        <v>3143</v>
      </c>
      <c r="B1474" s="33" t="s">
        <v>3144</v>
      </c>
    </row>
    <row r="1475" spans="1:2" x14ac:dyDescent="0.25">
      <c r="A1475" s="30" t="s">
        <v>10174</v>
      </c>
      <c r="B1475" s="31" t="s">
        <v>10174</v>
      </c>
    </row>
    <row r="1476" spans="1:2" x14ac:dyDescent="0.25">
      <c r="A1476" s="32" t="s">
        <v>10175</v>
      </c>
      <c r="B1476" s="33" t="s">
        <v>10175</v>
      </c>
    </row>
    <row r="1477" spans="1:2" x14ac:dyDescent="0.25">
      <c r="A1477" s="30" t="s">
        <v>3145</v>
      </c>
      <c r="B1477" s="31" t="s">
        <v>3146</v>
      </c>
    </row>
    <row r="1478" spans="1:2" x14ac:dyDescent="0.25">
      <c r="A1478" s="32" t="s">
        <v>3147</v>
      </c>
      <c r="B1478" s="33" t="s">
        <v>3148</v>
      </c>
    </row>
    <row r="1479" spans="1:2" x14ac:dyDescent="0.25">
      <c r="A1479" s="30" t="s">
        <v>10176</v>
      </c>
      <c r="B1479" s="31" t="s">
        <v>10176</v>
      </c>
    </row>
    <row r="1480" spans="1:2" x14ac:dyDescent="0.25">
      <c r="A1480" s="32" t="s">
        <v>10177</v>
      </c>
      <c r="B1480" s="33" t="s">
        <v>10177</v>
      </c>
    </row>
    <row r="1481" spans="1:2" x14ac:dyDescent="0.25">
      <c r="A1481" s="30" t="s">
        <v>10178</v>
      </c>
      <c r="B1481" s="31" t="s">
        <v>10178</v>
      </c>
    </row>
    <row r="1482" spans="1:2" x14ac:dyDescent="0.25">
      <c r="A1482" s="32" t="s">
        <v>10179</v>
      </c>
      <c r="B1482" s="33" t="s">
        <v>10179</v>
      </c>
    </row>
    <row r="1483" spans="1:2" x14ac:dyDescent="0.25">
      <c r="A1483" s="30" t="s">
        <v>10180</v>
      </c>
      <c r="B1483" s="31" t="s">
        <v>10180</v>
      </c>
    </row>
    <row r="1484" spans="1:2" x14ac:dyDescent="0.25">
      <c r="A1484" s="32" t="s">
        <v>10181</v>
      </c>
      <c r="B1484" s="33" t="s">
        <v>10181</v>
      </c>
    </row>
    <row r="1485" spans="1:2" x14ac:dyDescent="0.25">
      <c r="A1485" s="30" t="s">
        <v>10182</v>
      </c>
      <c r="B1485" s="31" t="s">
        <v>10182</v>
      </c>
    </row>
    <row r="1486" spans="1:2" x14ac:dyDescent="0.25">
      <c r="A1486" s="32" t="s">
        <v>10183</v>
      </c>
      <c r="B1486" s="33" t="s">
        <v>10183</v>
      </c>
    </row>
    <row r="1487" spans="1:2" x14ac:dyDescent="0.25">
      <c r="A1487" s="30" t="s">
        <v>10184</v>
      </c>
      <c r="B1487" s="31" t="s">
        <v>10184</v>
      </c>
    </row>
    <row r="1488" spans="1:2" x14ac:dyDescent="0.25">
      <c r="A1488" s="32" t="s">
        <v>3149</v>
      </c>
      <c r="B1488" s="33" t="s">
        <v>3150</v>
      </c>
    </row>
    <row r="1489" spans="1:2" x14ac:dyDescent="0.25">
      <c r="A1489" s="30" t="s">
        <v>10185</v>
      </c>
      <c r="B1489" s="31" t="s">
        <v>10185</v>
      </c>
    </row>
    <row r="1490" spans="1:2" x14ac:dyDescent="0.25">
      <c r="A1490" s="32" t="s">
        <v>3151</v>
      </c>
      <c r="B1490" s="33" t="s">
        <v>3152</v>
      </c>
    </row>
    <row r="1491" spans="1:2" x14ac:dyDescent="0.25">
      <c r="A1491" s="30" t="s">
        <v>3153</v>
      </c>
      <c r="B1491" s="31" t="s">
        <v>3154</v>
      </c>
    </row>
    <row r="1492" spans="1:2" x14ac:dyDescent="0.25">
      <c r="A1492" s="32" t="s">
        <v>3155</v>
      </c>
      <c r="B1492" s="33" t="s">
        <v>3156</v>
      </c>
    </row>
    <row r="1493" spans="1:2" x14ac:dyDescent="0.25">
      <c r="A1493" s="30" t="s">
        <v>10186</v>
      </c>
      <c r="B1493" s="31" t="s">
        <v>10186</v>
      </c>
    </row>
    <row r="1494" spans="1:2" x14ac:dyDescent="0.25">
      <c r="A1494" s="32" t="s">
        <v>3157</v>
      </c>
      <c r="B1494" s="33" t="s">
        <v>3158</v>
      </c>
    </row>
    <row r="1495" spans="1:2" x14ac:dyDescent="0.25">
      <c r="A1495" s="30" t="s">
        <v>10187</v>
      </c>
      <c r="B1495" s="31" t="s">
        <v>10187</v>
      </c>
    </row>
    <row r="1496" spans="1:2" x14ac:dyDescent="0.25">
      <c r="A1496" s="32" t="s">
        <v>10188</v>
      </c>
      <c r="B1496" s="33" t="s">
        <v>10188</v>
      </c>
    </row>
    <row r="1497" spans="1:2" x14ac:dyDescent="0.25">
      <c r="A1497" s="30" t="s">
        <v>3159</v>
      </c>
      <c r="B1497" s="31" t="s">
        <v>3160</v>
      </c>
    </row>
    <row r="1498" spans="1:2" x14ac:dyDescent="0.25">
      <c r="A1498" s="32" t="s">
        <v>441</v>
      </c>
      <c r="B1498" s="33" t="s">
        <v>3161</v>
      </c>
    </row>
    <row r="1499" spans="1:2" x14ac:dyDescent="0.25">
      <c r="A1499" s="30" t="s">
        <v>10189</v>
      </c>
      <c r="B1499" s="31" t="s">
        <v>10189</v>
      </c>
    </row>
    <row r="1500" spans="1:2" x14ac:dyDescent="0.25">
      <c r="A1500" s="32" t="s">
        <v>3162</v>
      </c>
      <c r="B1500" s="33" t="s">
        <v>3163</v>
      </c>
    </row>
    <row r="1501" spans="1:2" x14ac:dyDescent="0.25">
      <c r="A1501" s="30" t="s">
        <v>442</v>
      </c>
      <c r="B1501" s="31" t="s">
        <v>3164</v>
      </c>
    </row>
    <row r="1502" spans="1:2" x14ac:dyDescent="0.25">
      <c r="A1502" s="32" t="s">
        <v>10190</v>
      </c>
      <c r="B1502" s="33" t="s">
        <v>10190</v>
      </c>
    </row>
    <row r="1503" spans="1:2" x14ac:dyDescent="0.25">
      <c r="A1503" s="30" t="s">
        <v>10191</v>
      </c>
      <c r="B1503" s="31" t="s">
        <v>10191</v>
      </c>
    </row>
    <row r="1504" spans="1:2" x14ac:dyDescent="0.25">
      <c r="A1504" s="32" t="s">
        <v>3165</v>
      </c>
      <c r="B1504" s="33" t="s">
        <v>3166</v>
      </c>
    </row>
    <row r="1505" spans="1:2" x14ac:dyDescent="0.25">
      <c r="A1505" s="30" t="s">
        <v>3167</v>
      </c>
      <c r="B1505" s="31" t="s">
        <v>3168</v>
      </c>
    </row>
    <row r="1506" spans="1:2" x14ac:dyDescent="0.25">
      <c r="A1506" s="32" t="s">
        <v>3169</v>
      </c>
      <c r="B1506" s="33" t="s">
        <v>3170</v>
      </c>
    </row>
    <row r="1507" spans="1:2" x14ac:dyDescent="0.25">
      <c r="A1507" s="30" t="s">
        <v>3171</v>
      </c>
      <c r="B1507" s="31" t="s">
        <v>3172</v>
      </c>
    </row>
    <row r="1508" spans="1:2" x14ac:dyDescent="0.25">
      <c r="A1508" s="32" t="s">
        <v>443</v>
      </c>
      <c r="B1508" s="33" t="s">
        <v>3173</v>
      </c>
    </row>
    <row r="1509" spans="1:2" x14ac:dyDescent="0.25">
      <c r="A1509" s="30" t="s">
        <v>3174</v>
      </c>
      <c r="B1509" s="31" t="s">
        <v>3175</v>
      </c>
    </row>
    <row r="1510" spans="1:2" x14ac:dyDescent="0.25">
      <c r="A1510" s="32" t="s">
        <v>444</v>
      </c>
      <c r="B1510" s="33" t="s">
        <v>3176</v>
      </c>
    </row>
    <row r="1511" spans="1:2" x14ac:dyDescent="0.25">
      <c r="A1511" s="30" t="s">
        <v>3177</v>
      </c>
      <c r="B1511" s="31" t="s">
        <v>3178</v>
      </c>
    </row>
    <row r="1512" spans="1:2" x14ac:dyDescent="0.25">
      <c r="A1512" s="32" t="s">
        <v>3179</v>
      </c>
      <c r="B1512" s="33" t="s">
        <v>3180</v>
      </c>
    </row>
    <row r="1513" spans="1:2" x14ac:dyDescent="0.25">
      <c r="A1513" s="30" t="s">
        <v>3181</v>
      </c>
      <c r="B1513" s="31" t="s">
        <v>3182</v>
      </c>
    </row>
    <row r="1514" spans="1:2" x14ac:dyDescent="0.25">
      <c r="A1514" s="32" t="s">
        <v>445</v>
      </c>
      <c r="B1514" s="33" t="s">
        <v>3183</v>
      </c>
    </row>
    <row r="1515" spans="1:2" x14ac:dyDescent="0.25">
      <c r="A1515" s="30" t="s">
        <v>3184</v>
      </c>
      <c r="B1515" s="31" t="s">
        <v>3185</v>
      </c>
    </row>
    <row r="1516" spans="1:2" x14ac:dyDescent="0.25">
      <c r="A1516" s="32" t="s">
        <v>3186</v>
      </c>
      <c r="B1516" s="33" t="s">
        <v>3187</v>
      </c>
    </row>
    <row r="1517" spans="1:2" x14ac:dyDescent="0.25">
      <c r="A1517" s="30" t="s">
        <v>3188</v>
      </c>
      <c r="B1517" s="31" t="s">
        <v>3189</v>
      </c>
    </row>
    <row r="1518" spans="1:2" x14ac:dyDescent="0.25">
      <c r="A1518" s="32" t="s">
        <v>3190</v>
      </c>
      <c r="B1518" s="33" t="s">
        <v>3191</v>
      </c>
    </row>
    <row r="1519" spans="1:2" x14ac:dyDescent="0.25">
      <c r="A1519" s="30" t="s">
        <v>3192</v>
      </c>
      <c r="B1519" s="31" t="s">
        <v>3193</v>
      </c>
    </row>
    <row r="1520" spans="1:2" x14ac:dyDescent="0.25">
      <c r="A1520" s="32" t="s">
        <v>10192</v>
      </c>
      <c r="B1520" s="33" t="s">
        <v>10192</v>
      </c>
    </row>
    <row r="1521" spans="1:2" x14ac:dyDescent="0.25">
      <c r="A1521" s="30" t="s">
        <v>446</v>
      </c>
      <c r="B1521" s="31" t="s">
        <v>3194</v>
      </c>
    </row>
    <row r="1522" spans="1:2" x14ac:dyDescent="0.25">
      <c r="A1522" s="32" t="s">
        <v>10193</v>
      </c>
      <c r="B1522" s="33" t="s">
        <v>10193</v>
      </c>
    </row>
    <row r="1523" spans="1:2" x14ac:dyDescent="0.25">
      <c r="A1523" s="30" t="s">
        <v>3195</v>
      </c>
      <c r="B1523" s="31" t="s">
        <v>3196</v>
      </c>
    </row>
    <row r="1524" spans="1:2" x14ac:dyDescent="0.25">
      <c r="A1524" s="32" t="s">
        <v>10194</v>
      </c>
      <c r="B1524" s="33" t="s">
        <v>10194</v>
      </c>
    </row>
    <row r="1525" spans="1:2" x14ac:dyDescent="0.25">
      <c r="A1525" s="30" t="s">
        <v>10195</v>
      </c>
      <c r="B1525" s="31" t="s">
        <v>10195</v>
      </c>
    </row>
    <row r="1526" spans="1:2" x14ac:dyDescent="0.25">
      <c r="A1526" s="32" t="s">
        <v>3197</v>
      </c>
      <c r="B1526" s="33" t="s">
        <v>3198</v>
      </c>
    </row>
    <row r="1527" spans="1:2" x14ac:dyDescent="0.25">
      <c r="A1527" s="30" t="s">
        <v>10196</v>
      </c>
      <c r="B1527" s="31" t="s">
        <v>10196</v>
      </c>
    </row>
    <row r="1528" spans="1:2" x14ac:dyDescent="0.25">
      <c r="A1528" s="32" t="s">
        <v>3199</v>
      </c>
      <c r="B1528" s="33" t="s">
        <v>3200</v>
      </c>
    </row>
    <row r="1529" spans="1:2" x14ac:dyDescent="0.25">
      <c r="A1529" s="30" t="s">
        <v>10197</v>
      </c>
      <c r="B1529" s="31" t="s">
        <v>10197</v>
      </c>
    </row>
    <row r="1530" spans="1:2" x14ac:dyDescent="0.25">
      <c r="A1530" s="32" t="s">
        <v>3201</v>
      </c>
      <c r="B1530" s="33" t="s">
        <v>3202</v>
      </c>
    </row>
    <row r="1531" spans="1:2" x14ac:dyDescent="0.25">
      <c r="A1531" s="30" t="s">
        <v>3203</v>
      </c>
      <c r="B1531" s="31" t="s">
        <v>3204</v>
      </c>
    </row>
    <row r="1532" spans="1:2" x14ac:dyDescent="0.25">
      <c r="A1532" s="32" t="s">
        <v>3205</v>
      </c>
      <c r="B1532" s="33" t="s">
        <v>3206</v>
      </c>
    </row>
    <row r="1533" spans="1:2" x14ac:dyDescent="0.25">
      <c r="A1533" s="30" t="s">
        <v>10198</v>
      </c>
      <c r="B1533" s="31" t="s">
        <v>10198</v>
      </c>
    </row>
    <row r="1534" spans="1:2" x14ac:dyDescent="0.25">
      <c r="A1534" s="32" t="s">
        <v>3207</v>
      </c>
      <c r="B1534" s="33" t="s">
        <v>3208</v>
      </c>
    </row>
    <row r="1535" spans="1:2" x14ac:dyDescent="0.25">
      <c r="A1535" s="30" t="s">
        <v>10199</v>
      </c>
      <c r="B1535" s="31" t="s">
        <v>10199</v>
      </c>
    </row>
    <row r="1536" spans="1:2" x14ac:dyDescent="0.25">
      <c r="A1536" s="32" t="s">
        <v>3209</v>
      </c>
      <c r="B1536" s="33" t="s">
        <v>3210</v>
      </c>
    </row>
    <row r="1537" spans="1:2" x14ac:dyDescent="0.25">
      <c r="A1537" s="30" t="s">
        <v>10200</v>
      </c>
      <c r="B1537" s="31" t="s">
        <v>10200</v>
      </c>
    </row>
    <row r="1538" spans="1:2" x14ac:dyDescent="0.25">
      <c r="A1538" s="32" t="s">
        <v>3211</v>
      </c>
      <c r="B1538" s="33" t="s">
        <v>3212</v>
      </c>
    </row>
    <row r="1539" spans="1:2" x14ac:dyDescent="0.25">
      <c r="A1539" s="30" t="s">
        <v>3213</v>
      </c>
      <c r="B1539" s="31" t="s">
        <v>3214</v>
      </c>
    </row>
    <row r="1540" spans="1:2" x14ac:dyDescent="0.25">
      <c r="A1540" s="32" t="s">
        <v>10201</v>
      </c>
      <c r="B1540" s="33" t="s">
        <v>10201</v>
      </c>
    </row>
    <row r="1541" spans="1:2" x14ac:dyDescent="0.25">
      <c r="A1541" s="30" t="s">
        <v>447</v>
      </c>
      <c r="B1541" s="31" t="s">
        <v>3215</v>
      </c>
    </row>
    <row r="1542" spans="1:2" x14ac:dyDescent="0.25">
      <c r="A1542" s="32" t="s">
        <v>3216</v>
      </c>
      <c r="B1542" s="33" t="s">
        <v>3217</v>
      </c>
    </row>
    <row r="1543" spans="1:2" x14ac:dyDescent="0.25">
      <c r="A1543" s="30" t="s">
        <v>10202</v>
      </c>
      <c r="B1543" s="31" t="s">
        <v>10202</v>
      </c>
    </row>
    <row r="1544" spans="1:2" x14ac:dyDescent="0.25">
      <c r="A1544" s="32" t="s">
        <v>10203</v>
      </c>
      <c r="B1544" s="33" t="s">
        <v>10203</v>
      </c>
    </row>
    <row r="1545" spans="1:2" x14ac:dyDescent="0.25">
      <c r="A1545" s="30" t="s">
        <v>10204</v>
      </c>
      <c r="B1545" s="31" t="s">
        <v>10204</v>
      </c>
    </row>
    <row r="1546" spans="1:2" x14ac:dyDescent="0.25">
      <c r="A1546" s="32" t="s">
        <v>3218</v>
      </c>
      <c r="B1546" s="33" t="s">
        <v>3219</v>
      </c>
    </row>
    <row r="1547" spans="1:2" x14ac:dyDescent="0.25">
      <c r="A1547" s="30" t="s">
        <v>10205</v>
      </c>
      <c r="B1547" s="31" t="s">
        <v>10205</v>
      </c>
    </row>
    <row r="1548" spans="1:2" x14ac:dyDescent="0.25">
      <c r="A1548" s="32" t="s">
        <v>3220</v>
      </c>
      <c r="B1548" s="33" t="s">
        <v>3221</v>
      </c>
    </row>
    <row r="1549" spans="1:2" x14ac:dyDescent="0.25">
      <c r="A1549" s="30" t="s">
        <v>3222</v>
      </c>
      <c r="B1549" s="31" t="s">
        <v>3223</v>
      </c>
    </row>
    <row r="1550" spans="1:2" x14ac:dyDescent="0.25">
      <c r="A1550" s="32" t="s">
        <v>3224</v>
      </c>
      <c r="B1550" s="33" t="s">
        <v>3225</v>
      </c>
    </row>
    <row r="1551" spans="1:2" x14ac:dyDescent="0.25">
      <c r="A1551" s="30" t="s">
        <v>3226</v>
      </c>
      <c r="B1551" s="31" t="s">
        <v>3227</v>
      </c>
    </row>
    <row r="1552" spans="1:2" x14ac:dyDescent="0.25">
      <c r="A1552" s="32" t="s">
        <v>3228</v>
      </c>
      <c r="B1552" s="33" t="s">
        <v>3229</v>
      </c>
    </row>
    <row r="1553" spans="1:2" x14ac:dyDescent="0.25">
      <c r="A1553" s="30" t="s">
        <v>10206</v>
      </c>
      <c r="B1553" s="31" t="s">
        <v>10206</v>
      </c>
    </row>
    <row r="1554" spans="1:2" x14ac:dyDescent="0.25">
      <c r="A1554" s="32" t="s">
        <v>10207</v>
      </c>
      <c r="B1554" s="33" t="s">
        <v>10207</v>
      </c>
    </row>
    <row r="1555" spans="1:2" x14ac:dyDescent="0.25">
      <c r="A1555" s="30" t="s">
        <v>10208</v>
      </c>
      <c r="B1555" s="31" t="s">
        <v>10208</v>
      </c>
    </row>
    <row r="1556" spans="1:2" x14ac:dyDescent="0.25">
      <c r="A1556" s="32" t="s">
        <v>3230</v>
      </c>
      <c r="B1556" s="33" t="s">
        <v>3231</v>
      </c>
    </row>
    <row r="1557" spans="1:2" x14ac:dyDescent="0.25">
      <c r="A1557" s="30" t="s">
        <v>10209</v>
      </c>
      <c r="B1557" s="31" t="s">
        <v>10209</v>
      </c>
    </row>
    <row r="1558" spans="1:2" x14ac:dyDescent="0.25">
      <c r="A1558" s="32" t="s">
        <v>10210</v>
      </c>
      <c r="B1558" s="33" t="s">
        <v>10210</v>
      </c>
    </row>
    <row r="1559" spans="1:2" x14ac:dyDescent="0.25">
      <c r="A1559" s="30" t="s">
        <v>3232</v>
      </c>
      <c r="B1559" s="31" t="s">
        <v>3233</v>
      </c>
    </row>
    <row r="1560" spans="1:2" x14ac:dyDescent="0.25">
      <c r="A1560" s="32" t="s">
        <v>3234</v>
      </c>
      <c r="B1560" s="33" t="s">
        <v>3235</v>
      </c>
    </row>
    <row r="1561" spans="1:2" x14ac:dyDescent="0.25">
      <c r="A1561" s="30" t="s">
        <v>10211</v>
      </c>
      <c r="B1561" s="31" t="s">
        <v>10211</v>
      </c>
    </row>
    <row r="1562" spans="1:2" x14ac:dyDescent="0.25">
      <c r="A1562" s="32" t="s">
        <v>10212</v>
      </c>
      <c r="B1562" s="33" t="s">
        <v>10212</v>
      </c>
    </row>
    <row r="1563" spans="1:2" x14ac:dyDescent="0.25">
      <c r="A1563" s="30" t="s">
        <v>3236</v>
      </c>
      <c r="B1563" s="31" t="s">
        <v>3237</v>
      </c>
    </row>
    <row r="1564" spans="1:2" x14ac:dyDescent="0.25">
      <c r="A1564" s="32" t="s">
        <v>3238</v>
      </c>
      <c r="B1564" s="33" t="s">
        <v>3239</v>
      </c>
    </row>
    <row r="1565" spans="1:2" x14ac:dyDescent="0.25">
      <c r="A1565" s="30" t="s">
        <v>10213</v>
      </c>
      <c r="B1565" s="31" t="s">
        <v>10213</v>
      </c>
    </row>
    <row r="1566" spans="1:2" x14ac:dyDescent="0.25">
      <c r="A1566" s="32" t="s">
        <v>10214</v>
      </c>
      <c r="B1566" s="33" t="s">
        <v>10214</v>
      </c>
    </row>
    <row r="1567" spans="1:2" x14ac:dyDescent="0.25">
      <c r="A1567" s="30" t="s">
        <v>10215</v>
      </c>
      <c r="B1567" s="31" t="s">
        <v>10215</v>
      </c>
    </row>
    <row r="1568" spans="1:2" x14ac:dyDescent="0.25">
      <c r="A1568" s="32" t="s">
        <v>10216</v>
      </c>
      <c r="B1568" s="33" t="s">
        <v>10216</v>
      </c>
    </row>
    <row r="1569" spans="1:2" x14ac:dyDescent="0.25">
      <c r="A1569" s="30" t="s">
        <v>10217</v>
      </c>
      <c r="B1569" s="31" t="s">
        <v>10217</v>
      </c>
    </row>
    <row r="1570" spans="1:2" x14ac:dyDescent="0.25">
      <c r="A1570" s="32" t="s">
        <v>10218</v>
      </c>
      <c r="B1570" s="33" t="s">
        <v>10218</v>
      </c>
    </row>
    <row r="1571" spans="1:2" x14ac:dyDescent="0.25">
      <c r="A1571" s="30" t="s">
        <v>10219</v>
      </c>
      <c r="B1571" s="31" t="s">
        <v>10219</v>
      </c>
    </row>
    <row r="1572" spans="1:2" x14ac:dyDescent="0.25">
      <c r="A1572" s="32" t="s">
        <v>10220</v>
      </c>
      <c r="B1572" s="33" t="s">
        <v>10220</v>
      </c>
    </row>
    <row r="1573" spans="1:2" x14ac:dyDescent="0.25">
      <c r="A1573" s="30" t="s">
        <v>10221</v>
      </c>
      <c r="B1573" s="31" t="s">
        <v>10221</v>
      </c>
    </row>
    <row r="1574" spans="1:2" x14ac:dyDescent="0.25">
      <c r="A1574" s="32" t="s">
        <v>10222</v>
      </c>
      <c r="B1574" s="33" t="s">
        <v>10222</v>
      </c>
    </row>
    <row r="1575" spans="1:2" x14ac:dyDescent="0.25">
      <c r="A1575" s="30" t="s">
        <v>10223</v>
      </c>
      <c r="B1575" s="31" t="s">
        <v>10223</v>
      </c>
    </row>
    <row r="1576" spans="1:2" x14ac:dyDescent="0.25">
      <c r="A1576" s="32" t="s">
        <v>10224</v>
      </c>
      <c r="B1576" s="33" t="s">
        <v>10224</v>
      </c>
    </row>
    <row r="1577" spans="1:2" x14ac:dyDescent="0.25">
      <c r="A1577" s="30" t="s">
        <v>10225</v>
      </c>
      <c r="B1577" s="31" t="s">
        <v>10225</v>
      </c>
    </row>
    <row r="1578" spans="1:2" x14ac:dyDescent="0.25">
      <c r="A1578" s="32" t="s">
        <v>10226</v>
      </c>
      <c r="B1578" s="33" t="s">
        <v>10226</v>
      </c>
    </row>
    <row r="1579" spans="1:2" x14ac:dyDescent="0.25">
      <c r="A1579" s="30" t="s">
        <v>3240</v>
      </c>
      <c r="B1579" s="31" t="s">
        <v>3241</v>
      </c>
    </row>
    <row r="1580" spans="1:2" x14ac:dyDescent="0.25">
      <c r="A1580" s="32" t="s">
        <v>3242</v>
      </c>
      <c r="B1580" s="33" t="s">
        <v>3243</v>
      </c>
    </row>
    <row r="1581" spans="1:2" x14ac:dyDescent="0.25">
      <c r="A1581" s="30" t="s">
        <v>3244</v>
      </c>
      <c r="B1581" s="31" t="s">
        <v>3245</v>
      </c>
    </row>
    <row r="1582" spans="1:2" x14ac:dyDescent="0.25">
      <c r="A1582" s="32" t="s">
        <v>10227</v>
      </c>
      <c r="B1582" s="33" t="s">
        <v>10227</v>
      </c>
    </row>
    <row r="1583" spans="1:2" x14ac:dyDescent="0.25">
      <c r="A1583" s="30" t="s">
        <v>10228</v>
      </c>
      <c r="B1583" s="31" t="s">
        <v>10228</v>
      </c>
    </row>
    <row r="1584" spans="1:2" x14ac:dyDescent="0.25">
      <c r="A1584" s="32" t="s">
        <v>3246</v>
      </c>
      <c r="B1584" s="33" t="s">
        <v>3247</v>
      </c>
    </row>
    <row r="1585" spans="1:2" x14ac:dyDescent="0.25">
      <c r="A1585" s="30" t="s">
        <v>3248</v>
      </c>
      <c r="B1585" s="31" t="s">
        <v>3249</v>
      </c>
    </row>
    <row r="1586" spans="1:2" x14ac:dyDescent="0.25">
      <c r="A1586" s="32" t="s">
        <v>10229</v>
      </c>
      <c r="B1586" s="33" t="s">
        <v>10229</v>
      </c>
    </row>
    <row r="1587" spans="1:2" x14ac:dyDescent="0.25">
      <c r="A1587" s="30" t="s">
        <v>3250</v>
      </c>
      <c r="B1587" s="31" t="s">
        <v>3251</v>
      </c>
    </row>
    <row r="1588" spans="1:2" x14ac:dyDescent="0.25">
      <c r="A1588" s="32" t="s">
        <v>448</v>
      </c>
      <c r="B1588" s="33" t="s">
        <v>3252</v>
      </c>
    </row>
    <row r="1589" spans="1:2" x14ac:dyDescent="0.25">
      <c r="A1589" s="30" t="s">
        <v>3253</v>
      </c>
      <c r="B1589" s="31" t="s">
        <v>3254</v>
      </c>
    </row>
    <row r="1590" spans="1:2" x14ac:dyDescent="0.25">
      <c r="A1590" s="32" t="s">
        <v>449</v>
      </c>
      <c r="B1590" s="33" t="s">
        <v>3255</v>
      </c>
    </row>
    <row r="1591" spans="1:2" x14ac:dyDescent="0.25">
      <c r="A1591" s="30" t="s">
        <v>10230</v>
      </c>
      <c r="B1591" s="31" t="s">
        <v>10230</v>
      </c>
    </row>
    <row r="1592" spans="1:2" x14ac:dyDescent="0.25">
      <c r="A1592" s="32" t="s">
        <v>3256</v>
      </c>
      <c r="B1592" s="33" t="s">
        <v>3257</v>
      </c>
    </row>
    <row r="1593" spans="1:2" x14ac:dyDescent="0.25">
      <c r="A1593" s="30" t="s">
        <v>3258</v>
      </c>
      <c r="B1593" s="31" t="s">
        <v>3259</v>
      </c>
    </row>
    <row r="1594" spans="1:2" x14ac:dyDescent="0.25">
      <c r="A1594" s="32" t="s">
        <v>10231</v>
      </c>
      <c r="B1594" s="33" t="s">
        <v>10231</v>
      </c>
    </row>
    <row r="1595" spans="1:2" x14ac:dyDescent="0.25">
      <c r="A1595" s="30" t="s">
        <v>450</v>
      </c>
      <c r="B1595" s="31" t="s">
        <v>3260</v>
      </c>
    </row>
    <row r="1596" spans="1:2" x14ac:dyDescent="0.25">
      <c r="A1596" s="32" t="s">
        <v>3261</v>
      </c>
      <c r="B1596" s="33" t="s">
        <v>3262</v>
      </c>
    </row>
    <row r="1597" spans="1:2" x14ac:dyDescent="0.25">
      <c r="A1597" s="30" t="s">
        <v>3263</v>
      </c>
      <c r="B1597" s="31" t="s">
        <v>3264</v>
      </c>
    </row>
    <row r="1598" spans="1:2" x14ac:dyDescent="0.25">
      <c r="A1598" s="32" t="s">
        <v>10232</v>
      </c>
      <c r="B1598" s="33" t="s">
        <v>10232</v>
      </c>
    </row>
    <row r="1599" spans="1:2" x14ac:dyDescent="0.25">
      <c r="A1599" s="30" t="s">
        <v>3265</v>
      </c>
      <c r="B1599" s="31" t="s">
        <v>3266</v>
      </c>
    </row>
    <row r="1600" spans="1:2" x14ac:dyDescent="0.25">
      <c r="A1600" s="32" t="s">
        <v>3267</v>
      </c>
      <c r="B1600" s="33" t="s">
        <v>3268</v>
      </c>
    </row>
    <row r="1601" spans="1:2" x14ac:dyDescent="0.25">
      <c r="A1601" s="30" t="s">
        <v>3269</v>
      </c>
      <c r="B1601" s="31" t="s">
        <v>3270</v>
      </c>
    </row>
    <row r="1602" spans="1:2" x14ac:dyDescent="0.25">
      <c r="A1602" s="32" t="s">
        <v>10233</v>
      </c>
      <c r="B1602" s="33" t="s">
        <v>10233</v>
      </c>
    </row>
    <row r="1603" spans="1:2" x14ac:dyDescent="0.25">
      <c r="A1603" s="30" t="s">
        <v>451</v>
      </c>
      <c r="B1603" s="31" t="s">
        <v>3271</v>
      </c>
    </row>
    <row r="1604" spans="1:2" x14ac:dyDescent="0.25">
      <c r="A1604" s="32" t="s">
        <v>10234</v>
      </c>
      <c r="B1604" s="33" t="s">
        <v>10234</v>
      </c>
    </row>
    <row r="1605" spans="1:2" x14ac:dyDescent="0.25">
      <c r="A1605" s="30" t="s">
        <v>10235</v>
      </c>
      <c r="B1605" s="31" t="s">
        <v>10235</v>
      </c>
    </row>
    <row r="1606" spans="1:2" x14ac:dyDescent="0.25">
      <c r="A1606" s="32" t="s">
        <v>3272</v>
      </c>
      <c r="B1606" s="33" t="s">
        <v>3273</v>
      </c>
    </row>
    <row r="1607" spans="1:2" x14ac:dyDescent="0.25">
      <c r="A1607" s="30" t="s">
        <v>3274</v>
      </c>
      <c r="B1607" s="31" t="s">
        <v>3275</v>
      </c>
    </row>
    <row r="1608" spans="1:2" x14ac:dyDescent="0.25">
      <c r="A1608" s="32" t="s">
        <v>3276</v>
      </c>
      <c r="B1608" s="33" t="s">
        <v>3277</v>
      </c>
    </row>
    <row r="1609" spans="1:2" x14ac:dyDescent="0.25">
      <c r="A1609" s="30" t="s">
        <v>3278</v>
      </c>
      <c r="B1609" s="31" t="s">
        <v>3279</v>
      </c>
    </row>
    <row r="1610" spans="1:2" x14ac:dyDescent="0.25">
      <c r="A1610" s="32" t="s">
        <v>3280</v>
      </c>
      <c r="B1610" s="33" t="s">
        <v>3281</v>
      </c>
    </row>
    <row r="1611" spans="1:2" x14ac:dyDescent="0.25">
      <c r="A1611" s="30" t="s">
        <v>3282</v>
      </c>
      <c r="B1611" s="31" t="s">
        <v>3283</v>
      </c>
    </row>
    <row r="1612" spans="1:2" x14ac:dyDescent="0.25">
      <c r="A1612" s="32" t="s">
        <v>10236</v>
      </c>
      <c r="B1612" s="33" t="s">
        <v>10236</v>
      </c>
    </row>
    <row r="1613" spans="1:2" x14ac:dyDescent="0.25">
      <c r="A1613" s="30" t="s">
        <v>3284</v>
      </c>
      <c r="B1613" s="31" t="s">
        <v>3285</v>
      </c>
    </row>
    <row r="1614" spans="1:2" x14ac:dyDescent="0.25">
      <c r="A1614" s="32" t="s">
        <v>3286</v>
      </c>
      <c r="B1614" s="33" t="s">
        <v>3287</v>
      </c>
    </row>
    <row r="1615" spans="1:2" x14ac:dyDescent="0.25">
      <c r="A1615" s="30" t="s">
        <v>3288</v>
      </c>
      <c r="B1615" s="31" t="s">
        <v>3289</v>
      </c>
    </row>
    <row r="1616" spans="1:2" x14ac:dyDescent="0.25">
      <c r="A1616" s="32" t="s">
        <v>3290</v>
      </c>
      <c r="B1616" s="33" t="s">
        <v>3291</v>
      </c>
    </row>
    <row r="1617" spans="1:2" x14ac:dyDescent="0.25">
      <c r="A1617" s="30" t="s">
        <v>10237</v>
      </c>
      <c r="B1617" s="31" t="s">
        <v>10237</v>
      </c>
    </row>
    <row r="1618" spans="1:2" x14ac:dyDescent="0.25">
      <c r="A1618" s="32" t="s">
        <v>3292</v>
      </c>
      <c r="B1618" s="33" t="s">
        <v>3293</v>
      </c>
    </row>
    <row r="1619" spans="1:2" x14ac:dyDescent="0.25">
      <c r="A1619" s="30" t="s">
        <v>10238</v>
      </c>
      <c r="B1619" s="31" t="s">
        <v>10238</v>
      </c>
    </row>
    <row r="1620" spans="1:2" x14ac:dyDescent="0.25">
      <c r="A1620" s="32" t="s">
        <v>3294</v>
      </c>
      <c r="B1620" s="33" t="s">
        <v>3295</v>
      </c>
    </row>
    <row r="1621" spans="1:2" x14ac:dyDescent="0.25">
      <c r="A1621" s="30" t="s">
        <v>3296</v>
      </c>
      <c r="B1621" s="31" t="s">
        <v>3297</v>
      </c>
    </row>
    <row r="1622" spans="1:2" x14ac:dyDescent="0.25">
      <c r="A1622" s="32" t="s">
        <v>3298</v>
      </c>
      <c r="B1622" s="33" t="s">
        <v>3299</v>
      </c>
    </row>
    <row r="1623" spans="1:2" x14ac:dyDescent="0.25">
      <c r="A1623" s="30" t="s">
        <v>3300</v>
      </c>
      <c r="B1623" s="31" t="s">
        <v>3301</v>
      </c>
    </row>
    <row r="1624" spans="1:2" x14ac:dyDescent="0.25">
      <c r="A1624" s="32" t="s">
        <v>10239</v>
      </c>
      <c r="B1624" s="33" t="s">
        <v>10239</v>
      </c>
    </row>
    <row r="1625" spans="1:2" x14ac:dyDescent="0.25">
      <c r="A1625" s="30" t="s">
        <v>10240</v>
      </c>
      <c r="B1625" s="31" t="s">
        <v>10240</v>
      </c>
    </row>
    <row r="1626" spans="1:2" x14ac:dyDescent="0.25">
      <c r="A1626" s="32" t="s">
        <v>3302</v>
      </c>
      <c r="B1626" s="33" t="s">
        <v>3303</v>
      </c>
    </row>
    <row r="1627" spans="1:2" x14ac:dyDescent="0.25">
      <c r="A1627" s="30" t="s">
        <v>10241</v>
      </c>
      <c r="B1627" s="31" t="s">
        <v>10241</v>
      </c>
    </row>
    <row r="1628" spans="1:2" x14ac:dyDescent="0.25">
      <c r="A1628" s="32" t="s">
        <v>3304</v>
      </c>
      <c r="B1628" s="33" t="s">
        <v>3305</v>
      </c>
    </row>
    <row r="1629" spans="1:2" x14ac:dyDescent="0.25">
      <c r="A1629" s="30" t="s">
        <v>3306</v>
      </c>
      <c r="B1629" s="31" t="s">
        <v>3307</v>
      </c>
    </row>
    <row r="1630" spans="1:2" x14ac:dyDescent="0.25">
      <c r="A1630" s="32" t="s">
        <v>10242</v>
      </c>
      <c r="B1630" s="33" t="s">
        <v>10242</v>
      </c>
    </row>
    <row r="1631" spans="1:2" x14ac:dyDescent="0.25">
      <c r="A1631" s="30" t="s">
        <v>3308</v>
      </c>
      <c r="B1631" s="31" t="s">
        <v>3309</v>
      </c>
    </row>
    <row r="1632" spans="1:2" x14ac:dyDescent="0.25">
      <c r="A1632" s="32" t="s">
        <v>3310</v>
      </c>
      <c r="B1632" s="33" t="s">
        <v>3311</v>
      </c>
    </row>
    <row r="1633" spans="1:2" x14ac:dyDescent="0.25">
      <c r="A1633" s="30" t="s">
        <v>10243</v>
      </c>
      <c r="B1633" s="31" t="s">
        <v>10243</v>
      </c>
    </row>
    <row r="1634" spans="1:2" x14ac:dyDescent="0.25">
      <c r="A1634" s="32" t="s">
        <v>3312</v>
      </c>
      <c r="B1634" s="33" t="s">
        <v>3313</v>
      </c>
    </row>
    <row r="1635" spans="1:2" x14ac:dyDescent="0.25">
      <c r="A1635" s="30" t="s">
        <v>3314</v>
      </c>
      <c r="B1635" s="31" t="s">
        <v>3315</v>
      </c>
    </row>
    <row r="1636" spans="1:2" x14ac:dyDescent="0.25">
      <c r="A1636" s="32" t="s">
        <v>3316</v>
      </c>
      <c r="B1636" s="33" t="s">
        <v>3317</v>
      </c>
    </row>
    <row r="1637" spans="1:2" x14ac:dyDescent="0.25">
      <c r="A1637" s="30" t="s">
        <v>3318</v>
      </c>
      <c r="B1637" s="31" t="s">
        <v>3319</v>
      </c>
    </row>
    <row r="1638" spans="1:2" x14ac:dyDescent="0.25">
      <c r="A1638" s="32" t="s">
        <v>10244</v>
      </c>
      <c r="B1638" s="33" t="s">
        <v>10244</v>
      </c>
    </row>
    <row r="1639" spans="1:2" x14ac:dyDescent="0.25">
      <c r="A1639" s="30" t="s">
        <v>10245</v>
      </c>
      <c r="B1639" s="31" t="s">
        <v>10245</v>
      </c>
    </row>
    <row r="1640" spans="1:2" x14ac:dyDescent="0.25">
      <c r="A1640" s="32" t="s">
        <v>10246</v>
      </c>
      <c r="B1640" s="33" t="s">
        <v>10246</v>
      </c>
    </row>
    <row r="1641" spans="1:2" x14ac:dyDescent="0.25">
      <c r="A1641" s="30" t="s">
        <v>10247</v>
      </c>
      <c r="B1641" s="31" t="s">
        <v>10247</v>
      </c>
    </row>
    <row r="1642" spans="1:2" x14ac:dyDescent="0.25">
      <c r="A1642" s="32" t="s">
        <v>10248</v>
      </c>
      <c r="B1642" s="33" t="s">
        <v>10248</v>
      </c>
    </row>
    <row r="1643" spans="1:2" x14ac:dyDescent="0.25">
      <c r="A1643" s="30" t="s">
        <v>452</v>
      </c>
      <c r="B1643" s="31" t="s">
        <v>3320</v>
      </c>
    </row>
    <row r="1644" spans="1:2" x14ac:dyDescent="0.25">
      <c r="A1644" s="32" t="s">
        <v>10249</v>
      </c>
      <c r="B1644" s="33" t="s">
        <v>10249</v>
      </c>
    </row>
    <row r="1645" spans="1:2" x14ac:dyDescent="0.25">
      <c r="A1645" s="30" t="s">
        <v>10250</v>
      </c>
      <c r="B1645" s="31" t="s">
        <v>10250</v>
      </c>
    </row>
    <row r="1646" spans="1:2" x14ac:dyDescent="0.25">
      <c r="A1646" s="32" t="s">
        <v>10251</v>
      </c>
      <c r="B1646" s="33" t="s">
        <v>10251</v>
      </c>
    </row>
    <row r="1647" spans="1:2" x14ac:dyDescent="0.25">
      <c r="A1647" s="30" t="s">
        <v>10252</v>
      </c>
      <c r="B1647" s="31" t="s">
        <v>10252</v>
      </c>
    </row>
    <row r="1648" spans="1:2" x14ac:dyDescent="0.25">
      <c r="A1648" s="32" t="s">
        <v>10253</v>
      </c>
      <c r="B1648" s="33" t="s">
        <v>10253</v>
      </c>
    </row>
    <row r="1649" spans="1:2" x14ac:dyDescent="0.25">
      <c r="A1649" s="30" t="s">
        <v>10254</v>
      </c>
      <c r="B1649" s="31" t="s">
        <v>10254</v>
      </c>
    </row>
    <row r="1650" spans="1:2" x14ac:dyDescent="0.25">
      <c r="A1650" s="32" t="s">
        <v>10255</v>
      </c>
      <c r="B1650" s="33" t="s">
        <v>10255</v>
      </c>
    </row>
    <row r="1651" spans="1:2" x14ac:dyDescent="0.25">
      <c r="A1651" s="30" t="s">
        <v>453</v>
      </c>
      <c r="B1651" s="31" t="s">
        <v>3321</v>
      </c>
    </row>
    <row r="1652" spans="1:2" x14ac:dyDescent="0.25">
      <c r="A1652" s="32" t="s">
        <v>3322</v>
      </c>
      <c r="B1652" s="33" t="s">
        <v>3323</v>
      </c>
    </row>
    <row r="1653" spans="1:2" x14ac:dyDescent="0.25">
      <c r="A1653" s="30" t="s">
        <v>10256</v>
      </c>
      <c r="B1653" s="31" t="s">
        <v>10256</v>
      </c>
    </row>
    <row r="1654" spans="1:2" x14ac:dyDescent="0.25">
      <c r="A1654" s="32" t="s">
        <v>10257</v>
      </c>
      <c r="B1654" s="33" t="s">
        <v>10257</v>
      </c>
    </row>
    <row r="1655" spans="1:2" x14ac:dyDescent="0.25">
      <c r="A1655" s="30" t="s">
        <v>10258</v>
      </c>
      <c r="B1655" s="31" t="s">
        <v>10258</v>
      </c>
    </row>
    <row r="1656" spans="1:2" x14ac:dyDescent="0.25">
      <c r="A1656" s="32" t="s">
        <v>10259</v>
      </c>
      <c r="B1656" s="33" t="s">
        <v>10259</v>
      </c>
    </row>
    <row r="1657" spans="1:2" x14ac:dyDescent="0.25">
      <c r="A1657" s="30" t="s">
        <v>454</v>
      </c>
      <c r="B1657" s="31" t="s">
        <v>3324</v>
      </c>
    </row>
    <row r="1658" spans="1:2" x14ac:dyDescent="0.25">
      <c r="A1658" s="32" t="s">
        <v>3325</v>
      </c>
      <c r="B1658" s="33" t="s">
        <v>3326</v>
      </c>
    </row>
    <row r="1659" spans="1:2" x14ac:dyDescent="0.25">
      <c r="A1659" s="30" t="s">
        <v>10260</v>
      </c>
      <c r="B1659" s="31" t="s">
        <v>10260</v>
      </c>
    </row>
    <row r="1660" spans="1:2" x14ac:dyDescent="0.25">
      <c r="A1660" s="32" t="s">
        <v>10261</v>
      </c>
      <c r="B1660" s="33" t="s">
        <v>10261</v>
      </c>
    </row>
    <row r="1661" spans="1:2" x14ac:dyDescent="0.25">
      <c r="A1661" s="30" t="s">
        <v>3327</v>
      </c>
      <c r="B1661" s="31" t="s">
        <v>3328</v>
      </c>
    </row>
    <row r="1662" spans="1:2" x14ac:dyDescent="0.25">
      <c r="A1662" s="32" t="s">
        <v>10262</v>
      </c>
      <c r="B1662" s="33" t="s">
        <v>10262</v>
      </c>
    </row>
    <row r="1663" spans="1:2" x14ac:dyDescent="0.25">
      <c r="A1663" s="30" t="s">
        <v>10263</v>
      </c>
      <c r="B1663" s="31" t="s">
        <v>10263</v>
      </c>
    </row>
    <row r="1664" spans="1:2" x14ac:dyDescent="0.25">
      <c r="A1664" s="32" t="s">
        <v>3329</v>
      </c>
      <c r="B1664" s="33" t="s">
        <v>3330</v>
      </c>
    </row>
    <row r="1665" spans="1:2" x14ac:dyDescent="0.25">
      <c r="A1665" s="30" t="s">
        <v>10264</v>
      </c>
      <c r="B1665" s="31" t="s">
        <v>10264</v>
      </c>
    </row>
    <row r="1666" spans="1:2" x14ac:dyDescent="0.25">
      <c r="A1666" s="32" t="s">
        <v>10265</v>
      </c>
      <c r="B1666" s="33" t="s">
        <v>10265</v>
      </c>
    </row>
    <row r="1667" spans="1:2" x14ac:dyDescent="0.25">
      <c r="A1667" s="30" t="s">
        <v>10266</v>
      </c>
      <c r="B1667" s="31" t="s">
        <v>10266</v>
      </c>
    </row>
    <row r="1668" spans="1:2" x14ac:dyDescent="0.25">
      <c r="A1668" s="32" t="s">
        <v>3331</v>
      </c>
      <c r="B1668" s="33" t="s">
        <v>3332</v>
      </c>
    </row>
    <row r="1669" spans="1:2" x14ac:dyDescent="0.25">
      <c r="A1669" s="30" t="s">
        <v>10267</v>
      </c>
      <c r="B1669" s="31" t="s">
        <v>10267</v>
      </c>
    </row>
    <row r="1670" spans="1:2" x14ac:dyDescent="0.25">
      <c r="A1670" s="32" t="s">
        <v>455</v>
      </c>
      <c r="B1670" s="33" t="s">
        <v>3333</v>
      </c>
    </row>
    <row r="1671" spans="1:2" x14ac:dyDescent="0.25">
      <c r="A1671" s="30" t="s">
        <v>10268</v>
      </c>
      <c r="B1671" s="31" t="s">
        <v>10268</v>
      </c>
    </row>
    <row r="1672" spans="1:2" x14ac:dyDescent="0.25">
      <c r="A1672" s="32" t="s">
        <v>10269</v>
      </c>
      <c r="B1672" s="33" t="s">
        <v>10269</v>
      </c>
    </row>
    <row r="1673" spans="1:2" x14ac:dyDescent="0.25">
      <c r="A1673" s="30" t="s">
        <v>3334</v>
      </c>
      <c r="B1673" s="31" t="s">
        <v>3335</v>
      </c>
    </row>
    <row r="1674" spans="1:2" x14ac:dyDescent="0.25">
      <c r="A1674" s="32" t="s">
        <v>10270</v>
      </c>
      <c r="B1674" s="33" t="s">
        <v>10270</v>
      </c>
    </row>
    <row r="1675" spans="1:2" x14ac:dyDescent="0.25">
      <c r="A1675" s="30" t="s">
        <v>3336</v>
      </c>
      <c r="B1675" s="31" t="s">
        <v>3337</v>
      </c>
    </row>
    <row r="1676" spans="1:2" x14ac:dyDescent="0.25">
      <c r="A1676" s="32" t="s">
        <v>456</v>
      </c>
      <c r="B1676" s="33" t="s">
        <v>3338</v>
      </c>
    </row>
    <row r="1677" spans="1:2" x14ac:dyDescent="0.25">
      <c r="A1677" s="30" t="s">
        <v>3339</v>
      </c>
      <c r="B1677" s="31" t="s">
        <v>3340</v>
      </c>
    </row>
    <row r="1678" spans="1:2" x14ac:dyDescent="0.25">
      <c r="A1678" s="32" t="s">
        <v>3341</v>
      </c>
      <c r="B1678" s="33" t="s">
        <v>3342</v>
      </c>
    </row>
    <row r="1679" spans="1:2" x14ac:dyDescent="0.25">
      <c r="A1679" s="30" t="s">
        <v>3343</v>
      </c>
      <c r="B1679" s="31" t="s">
        <v>3344</v>
      </c>
    </row>
    <row r="1680" spans="1:2" x14ac:dyDescent="0.25">
      <c r="A1680" s="32" t="s">
        <v>457</v>
      </c>
      <c r="B1680" s="33" t="s">
        <v>3345</v>
      </c>
    </row>
    <row r="1681" spans="1:2" x14ac:dyDescent="0.25">
      <c r="A1681" s="30" t="s">
        <v>3346</v>
      </c>
      <c r="B1681" s="31" t="s">
        <v>3347</v>
      </c>
    </row>
    <row r="1682" spans="1:2" x14ac:dyDescent="0.25">
      <c r="A1682" s="32" t="s">
        <v>10271</v>
      </c>
      <c r="B1682" s="33" t="s">
        <v>10271</v>
      </c>
    </row>
    <row r="1683" spans="1:2" x14ac:dyDescent="0.25">
      <c r="A1683" s="30" t="s">
        <v>3348</v>
      </c>
      <c r="B1683" s="31" t="s">
        <v>3349</v>
      </c>
    </row>
    <row r="1684" spans="1:2" x14ac:dyDescent="0.25">
      <c r="A1684" s="32" t="s">
        <v>3350</v>
      </c>
      <c r="B1684" s="33" t="s">
        <v>3351</v>
      </c>
    </row>
    <row r="1685" spans="1:2" x14ac:dyDescent="0.25">
      <c r="A1685" s="30" t="s">
        <v>3352</v>
      </c>
      <c r="B1685" s="31" t="s">
        <v>3353</v>
      </c>
    </row>
    <row r="1686" spans="1:2" x14ac:dyDescent="0.25">
      <c r="A1686" s="32" t="s">
        <v>3354</v>
      </c>
      <c r="B1686" s="33" t="s">
        <v>3355</v>
      </c>
    </row>
    <row r="1687" spans="1:2" x14ac:dyDescent="0.25">
      <c r="A1687" s="30" t="s">
        <v>3356</v>
      </c>
      <c r="B1687" s="31" t="s">
        <v>3357</v>
      </c>
    </row>
    <row r="1688" spans="1:2" x14ac:dyDescent="0.25">
      <c r="A1688" s="32" t="s">
        <v>458</v>
      </c>
      <c r="B1688" s="33" t="s">
        <v>3358</v>
      </c>
    </row>
    <row r="1689" spans="1:2" x14ac:dyDescent="0.25">
      <c r="A1689" s="30" t="s">
        <v>459</v>
      </c>
      <c r="B1689" s="31" t="s">
        <v>3359</v>
      </c>
    </row>
    <row r="1690" spans="1:2" x14ac:dyDescent="0.25">
      <c r="A1690" s="32" t="s">
        <v>10272</v>
      </c>
      <c r="B1690" s="33" t="s">
        <v>10272</v>
      </c>
    </row>
    <row r="1691" spans="1:2" x14ac:dyDescent="0.25">
      <c r="A1691" s="30" t="s">
        <v>10273</v>
      </c>
      <c r="B1691" s="31" t="s">
        <v>10273</v>
      </c>
    </row>
    <row r="1692" spans="1:2" x14ac:dyDescent="0.25">
      <c r="A1692" s="32" t="s">
        <v>3360</v>
      </c>
      <c r="B1692" s="33" t="s">
        <v>3361</v>
      </c>
    </row>
    <row r="1693" spans="1:2" x14ac:dyDescent="0.25">
      <c r="A1693" s="30" t="s">
        <v>10274</v>
      </c>
      <c r="B1693" s="31" t="s">
        <v>10274</v>
      </c>
    </row>
    <row r="1694" spans="1:2" x14ac:dyDescent="0.25">
      <c r="A1694" s="32" t="s">
        <v>10275</v>
      </c>
      <c r="B1694" s="33" t="s">
        <v>10275</v>
      </c>
    </row>
    <row r="1695" spans="1:2" x14ac:dyDescent="0.25">
      <c r="A1695" s="30" t="s">
        <v>3362</v>
      </c>
      <c r="B1695" s="31" t="s">
        <v>3363</v>
      </c>
    </row>
    <row r="1696" spans="1:2" x14ac:dyDescent="0.25">
      <c r="A1696" s="32" t="s">
        <v>10276</v>
      </c>
      <c r="B1696" s="33" t="s">
        <v>10276</v>
      </c>
    </row>
    <row r="1697" spans="1:2" x14ac:dyDescent="0.25">
      <c r="A1697" s="30" t="s">
        <v>10277</v>
      </c>
      <c r="B1697" s="31" t="s">
        <v>10277</v>
      </c>
    </row>
    <row r="1698" spans="1:2" x14ac:dyDescent="0.25">
      <c r="A1698" s="32" t="s">
        <v>10278</v>
      </c>
      <c r="B1698" s="33" t="s">
        <v>10278</v>
      </c>
    </row>
    <row r="1699" spans="1:2" x14ac:dyDescent="0.25">
      <c r="A1699" s="30" t="s">
        <v>3364</v>
      </c>
      <c r="B1699" s="31" t="s">
        <v>3365</v>
      </c>
    </row>
    <row r="1700" spans="1:2" x14ac:dyDescent="0.25">
      <c r="A1700" s="32" t="s">
        <v>3366</v>
      </c>
      <c r="B1700" s="33" t="s">
        <v>3367</v>
      </c>
    </row>
    <row r="1701" spans="1:2" x14ac:dyDescent="0.25">
      <c r="A1701" s="30" t="s">
        <v>3368</v>
      </c>
      <c r="B1701" s="31" t="s">
        <v>3369</v>
      </c>
    </row>
    <row r="1702" spans="1:2" x14ac:dyDescent="0.25">
      <c r="A1702" s="32" t="s">
        <v>10279</v>
      </c>
      <c r="B1702" s="33" t="s">
        <v>10279</v>
      </c>
    </row>
    <row r="1703" spans="1:2" x14ac:dyDescent="0.25">
      <c r="A1703" s="30" t="s">
        <v>10280</v>
      </c>
      <c r="B1703" s="31" t="s">
        <v>10280</v>
      </c>
    </row>
    <row r="1704" spans="1:2" x14ac:dyDescent="0.25">
      <c r="A1704" s="32" t="s">
        <v>10281</v>
      </c>
      <c r="B1704" s="33" t="s">
        <v>10281</v>
      </c>
    </row>
    <row r="1705" spans="1:2" x14ac:dyDescent="0.25">
      <c r="A1705" s="30" t="s">
        <v>10282</v>
      </c>
      <c r="B1705" s="31" t="s">
        <v>10282</v>
      </c>
    </row>
    <row r="1706" spans="1:2" x14ac:dyDescent="0.25">
      <c r="A1706" s="32" t="s">
        <v>3370</v>
      </c>
      <c r="B1706" s="33" t="s">
        <v>3371</v>
      </c>
    </row>
    <row r="1707" spans="1:2" x14ac:dyDescent="0.25">
      <c r="A1707" s="30" t="s">
        <v>3372</v>
      </c>
      <c r="B1707" s="31" t="s">
        <v>3373</v>
      </c>
    </row>
    <row r="1708" spans="1:2" x14ac:dyDescent="0.25">
      <c r="A1708" s="32" t="s">
        <v>3374</v>
      </c>
      <c r="B1708" s="33" t="s">
        <v>3375</v>
      </c>
    </row>
    <row r="1709" spans="1:2" x14ac:dyDescent="0.25">
      <c r="A1709" s="30" t="s">
        <v>3376</v>
      </c>
      <c r="B1709" s="31" t="s">
        <v>3377</v>
      </c>
    </row>
    <row r="1710" spans="1:2" x14ac:dyDescent="0.25">
      <c r="A1710" s="32" t="s">
        <v>3378</v>
      </c>
      <c r="B1710" s="33" t="s">
        <v>3379</v>
      </c>
    </row>
    <row r="1711" spans="1:2" x14ac:dyDescent="0.25">
      <c r="A1711" s="30" t="s">
        <v>10283</v>
      </c>
      <c r="B1711" s="31" t="s">
        <v>10283</v>
      </c>
    </row>
    <row r="1712" spans="1:2" x14ac:dyDescent="0.25">
      <c r="A1712" s="32" t="s">
        <v>10284</v>
      </c>
      <c r="B1712" s="33" t="s">
        <v>10284</v>
      </c>
    </row>
    <row r="1713" spans="1:2" x14ac:dyDescent="0.25">
      <c r="A1713" s="30" t="s">
        <v>10285</v>
      </c>
      <c r="B1713" s="31" t="s">
        <v>10285</v>
      </c>
    </row>
    <row r="1714" spans="1:2" x14ac:dyDescent="0.25">
      <c r="A1714" s="32" t="s">
        <v>10286</v>
      </c>
      <c r="B1714" s="33" t="s">
        <v>10286</v>
      </c>
    </row>
    <row r="1715" spans="1:2" x14ac:dyDescent="0.25">
      <c r="A1715" s="30" t="s">
        <v>3380</v>
      </c>
      <c r="B1715" s="31" t="s">
        <v>3381</v>
      </c>
    </row>
    <row r="1716" spans="1:2" x14ac:dyDescent="0.25">
      <c r="A1716" s="32" t="s">
        <v>3382</v>
      </c>
      <c r="B1716" s="33" t="s">
        <v>3383</v>
      </c>
    </row>
    <row r="1717" spans="1:2" x14ac:dyDescent="0.25">
      <c r="A1717" s="30" t="s">
        <v>3384</v>
      </c>
      <c r="B1717" s="31" t="s">
        <v>3385</v>
      </c>
    </row>
    <row r="1718" spans="1:2" x14ac:dyDescent="0.25">
      <c r="A1718" s="32" t="s">
        <v>460</v>
      </c>
      <c r="B1718" s="33" t="s">
        <v>3386</v>
      </c>
    </row>
    <row r="1719" spans="1:2" x14ac:dyDescent="0.25">
      <c r="A1719" s="30" t="s">
        <v>3387</v>
      </c>
      <c r="B1719" s="31" t="s">
        <v>3388</v>
      </c>
    </row>
    <row r="1720" spans="1:2" x14ac:dyDescent="0.25">
      <c r="A1720" s="32" t="s">
        <v>3389</v>
      </c>
      <c r="B1720" s="33" t="s">
        <v>3390</v>
      </c>
    </row>
    <row r="1721" spans="1:2" x14ac:dyDescent="0.25">
      <c r="A1721" s="30" t="s">
        <v>10287</v>
      </c>
      <c r="B1721" s="31" t="s">
        <v>10287</v>
      </c>
    </row>
    <row r="1722" spans="1:2" x14ac:dyDescent="0.25">
      <c r="A1722" s="32" t="s">
        <v>3391</v>
      </c>
      <c r="B1722" s="33" t="s">
        <v>3392</v>
      </c>
    </row>
    <row r="1723" spans="1:2" x14ac:dyDescent="0.25">
      <c r="A1723" s="30" t="s">
        <v>10288</v>
      </c>
      <c r="B1723" s="31" t="s">
        <v>10288</v>
      </c>
    </row>
    <row r="1724" spans="1:2" x14ac:dyDescent="0.25">
      <c r="A1724" s="32" t="s">
        <v>3393</v>
      </c>
      <c r="B1724" s="33" t="s">
        <v>3394</v>
      </c>
    </row>
    <row r="1725" spans="1:2" x14ac:dyDescent="0.25">
      <c r="A1725" s="30" t="s">
        <v>3395</v>
      </c>
      <c r="B1725" s="31" t="s">
        <v>3396</v>
      </c>
    </row>
    <row r="1726" spans="1:2" x14ac:dyDescent="0.25">
      <c r="A1726" s="32" t="s">
        <v>3397</v>
      </c>
      <c r="B1726" s="33" t="s">
        <v>3398</v>
      </c>
    </row>
    <row r="1727" spans="1:2" x14ac:dyDescent="0.25">
      <c r="A1727" s="30" t="s">
        <v>3399</v>
      </c>
      <c r="B1727" s="31" t="s">
        <v>3400</v>
      </c>
    </row>
    <row r="1728" spans="1:2" x14ac:dyDescent="0.25">
      <c r="A1728" s="32" t="s">
        <v>10289</v>
      </c>
      <c r="B1728" s="33" t="s">
        <v>10289</v>
      </c>
    </row>
    <row r="1729" spans="1:2" x14ac:dyDescent="0.25">
      <c r="A1729" s="30" t="s">
        <v>3401</v>
      </c>
      <c r="B1729" s="31" t="s">
        <v>3402</v>
      </c>
    </row>
    <row r="1730" spans="1:2" x14ac:dyDescent="0.25">
      <c r="A1730" s="32" t="s">
        <v>3403</v>
      </c>
      <c r="B1730" s="33" t="s">
        <v>3404</v>
      </c>
    </row>
    <row r="1731" spans="1:2" x14ac:dyDescent="0.25">
      <c r="A1731" s="30" t="s">
        <v>3405</v>
      </c>
      <c r="B1731" s="31" t="s">
        <v>3406</v>
      </c>
    </row>
    <row r="1732" spans="1:2" x14ac:dyDescent="0.25">
      <c r="A1732" s="32" t="s">
        <v>10290</v>
      </c>
      <c r="B1732" s="33" t="s">
        <v>10290</v>
      </c>
    </row>
    <row r="1733" spans="1:2" x14ac:dyDescent="0.25">
      <c r="A1733" s="30" t="s">
        <v>10291</v>
      </c>
      <c r="B1733" s="31" t="s">
        <v>10291</v>
      </c>
    </row>
    <row r="1734" spans="1:2" x14ac:dyDescent="0.25">
      <c r="A1734" s="32" t="s">
        <v>10292</v>
      </c>
      <c r="B1734" s="33" t="s">
        <v>10292</v>
      </c>
    </row>
    <row r="1735" spans="1:2" x14ac:dyDescent="0.25">
      <c r="A1735" s="30" t="s">
        <v>10293</v>
      </c>
      <c r="B1735" s="31" t="s">
        <v>10293</v>
      </c>
    </row>
    <row r="1736" spans="1:2" x14ac:dyDescent="0.25">
      <c r="A1736" s="32" t="s">
        <v>10294</v>
      </c>
      <c r="B1736" s="33" t="s">
        <v>10294</v>
      </c>
    </row>
    <row r="1737" spans="1:2" x14ac:dyDescent="0.25">
      <c r="A1737" s="30" t="s">
        <v>10295</v>
      </c>
      <c r="B1737" s="31" t="s">
        <v>10295</v>
      </c>
    </row>
    <row r="1738" spans="1:2" x14ac:dyDescent="0.25">
      <c r="A1738" s="32" t="s">
        <v>10296</v>
      </c>
      <c r="B1738" s="33" t="s">
        <v>10296</v>
      </c>
    </row>
    <row r="1739" spans="1:2" x14ac:dyDescent="0.25">
      <c r="A1739" s="30" t="s">
        <v>10297</v>
      </c>
      <c r="B1739" s="31" t="s">
        <v>10297</v>
      </c>
    </row>
    <row r="1740" spans="1:2" x14ac:dyDescent="0.25">
      <c r="A1740" s="32" t="s">
        <v>3407</v>
      </c>
      <c r="B1740" s="33" t="s">
        <v>3408</v>
      </c>
    </row>
    <row r="1741" spans="1:2" x14ac:dyDescent="0.25">
      <c r="A1741" s="30" t="s">
        <v>10298</v>
      </c>
      <c r="B1741" s="31" t="s">
        <v>10298</v>
      </c>
    </row>
    <row r="1742" spans="1:2" x14ac:dyDescent="0.25">
      <c r="A1742" s="32" t="s">
        <v>3409</v>
      </c>
      <c r="B1742" s="33" t="s">
        <v>3410</v>
      </c>
    </row>
    <row r="1743" spans="1:2" x14ac:dyDescent="0.25">
      <c r="A1743" s="30" t="s">
        <v>461</v>
      </c>
      <c r="B1743" s="31" t="s">
        <v>3411</v>
      </c>
    </row>
    <row r="1744" spans="1:2" x14ac:dyDescent="0.25">
      <c r="A1744" s="32" t="s">
        <v>3412</v>
      </c>
      <c r="B1744" s="33" t="s">
        <v>3413</v>
      </c>
    </row>
    <row r="1745" spans="1:2" x14ac:dyDescent="0.25">
      <c r="A1745" s="30" t="s">
        <v>3414</v>
      </c>
      <c r="B1745" s="31" t="s">
        <v>3415</v>
      </c>
    </row>
    <row r="1746" spans="1:2" x14ac:dyDescent="0.25">
      <c r="A1746" s="32" t="s">
        <v>10299</v>
      </c>
      <c r="B1746" s="33" t="s">
        <v>10299</v>
      </c>
    </row>
    <row r="1747" spans="1:2" x14ac:dyDescent="0.25">
      <c r="A1747" s="30" t="s">
        <v>3416</v>
      </c>
      <c r="B1747" s="31" t="s">
        <v>3417</v>
      </c>
    </row>
    <row r="1748" spans="1:2" x14ac:dyDescent="0.25">
      <c r="A1748" s="32" t="s">
        <v>10300</v>
      </c>
      <c r="B1748" s="33" t="s">
        <v>10300</v>
      </c>
    </row>
    <row r="1749" spans="1:2" x14ac:dyDescent="0.25">
      <c r="A1749" s="30" t="s">
        <v>3418</v>
      </c>
      <c r="B1749" s="31" t="s">
        <v>3419</v>
      </c>
    </row>
    <row r="1750" spans="1:2" x14ac:dyDescent="0.25">
      <c r="A1750" s="32" t="s">
        <v>3420</v>
      </c>
      <c r="B1750" s="33" t="s">
        <v>3421</v>
      </c>
    </row>
    <row r="1751" spans="1:2" x14ac:dyDescent="0.25">
      <c r="A1751" s="30" t="s">
        <v>462</v>
      </c>
      <c r="B1751" s="31" t="s">
        <v>3422</v>
      </c>
    </row>
    <row r="1752" spans="1:2" x14ac:dyDescent="0.25">
      <c r="A1752" s="32" t="s">
        <v>3423</v>
      </c>
      <c r="B1752" s="33" t="s">
        <v>3424</v>
      </c>
    </row>
    <row r="1753" spans="1:2" x14ac:dyDescent="0.25">
      <c r="A1753" s="30" t="s">
        <v>3425</v>
      </c>
      <c r="B1753" s="31" t="s">
        <v>3426</v>
      </c>
    </row>
    <row r="1754" spans="1:2" x14ac:dyDescent="0.25">
      <c r="A1754" s="32" t="s">
        <v>3427</v>
      </c>
      <c r="B1754" s="33" t="s">
        <v>3428</v>
      </c>
    </row>
    <row r="1755" spans="1:2" x14ac:dyDescent="0.25">
      <c r="A1755" s="30" t="s">
        <v>3429</v>
      </c>
      <c r="B1755" s="31" t="s">
        <v>3430</v>
      </c>
    </row>
    <row r="1756" spans="1:2" x14ac:dyDescent="0.25">
      <c r="A1756" s="32" t="s">
        <v>3431</v>
      </c>
      <c r="B1756" s="33" t="s">
        <v>3432</v>
      </c>
    </row>
    <row r="1757" spans="1:2" x14ac:dyDescent="0.25">
      <c r="A1757" s="30" t="s">
        <v>10301</v>
      </c>
      <c r="B1757" s="31" t="s">
        <v>10301</v>
      </c>
    </row>
    <row r="1758" spans="1:2" x14ac:dyDescent="0.25">
      <c r="A1758" s="32" t="s">
        <v>463</v>
      </c>
      <c r="B1758" s="33" t="s">
        <v>3433</v>
      </c>
    </row>
    <row r="1759" spans="1:2" x14ac:dyDescent="0.25">
      <c r="A1759" s="30" t="s">
        <v>464</v>
      </c>
      <c r="B1759" s="31" t="s">
        <v>3434</v>
      </c>
    </row>
    <row r="1760" spans="1:2" x14ac:dyDescent="0.25">
      <c r="A1760" s="32" t="s">
        <v>3435</v>
      </c>
      <c r="B1760" s="33" t="s">
        <v>3436</v>
      </c>
    </row>
    <row r="1761" spans="1:2" x14ac:dyDescent="0.25">
      <c r="A1761" s="30" t="s">
        <v>10302</v>
      </c>
      <c r="B1761" s="31" t="s">
        <v>10302</v>
      </c>
    </row>
    <row r="1762" spans="1:2" x14ac:dyDescent="0.25">
      <c r="A1762" s="32" t="s">
        <v>3437</v>
      </c>
      <c r="B1762" s="33" t="s">
        <v>3438</v>
      </c>
    </row>
    <row r="1763" spans="1:2" x14ac:dyDescent="0.25">
      <c r="A1763" s="30" t="s">
        <v>3439</v>
      </c>
      <c r="B1763" s="31" t="s">
        <v>3440</v>
      </c>
    </row>
    <row r="1764" spans="1:2" x14ac:dyDescent="0.25">
      <c r="A1764" s="32" t="s">
        <v>3441</v>
      </c>
      <c r="B1764" s="33" t="s">
        <v>3442</v>
      </c>
    </row>
    <row r="1765" spans="1:2" x14ac:dyDescent="0.25">
      <c r="A1765" s="30" t="s">
        <v>10303</v>
      </c>
      <c r="B1765" s="31" t="s">
        <v>10303</v>
      </c>
    </row>
    <row r="1766" spans="1:2" x14ac:dyDescent="0.25">
      <c r="A1766" s="32" t="s">
        <v>3443</v>
      </c>
      <c r="B1766" s="33" t="s">
        <v>3444</v>
      </c>
    </row>
    <row r="1767" spans="1:2" x14ac:dyDescent="0.25">
      <c r="A1767" s="30" t="s">
        <v>10304</v>
      </c>
      <c r="B1767" s="31" t="s">
        <v>10304</v>
      </c>
    </row>
    <row r="1768" spans="1:2" x14ac:dyDescent="0.25">
      <c r="A1768" s="32" t="s">
        <v>10305</v>
      </c>
      <c r="B1768" s="33" t="s">
        <v>10305</v>
      </c>
    </row>
    <row r="1769" spans="1:2" x14ac:dyDescent="0.25">
      <c r="A1769" s="30" t="s">
        <v>3445</v>
      </c>
      <c r="B1769" s="31" t="s">
        <v>3446</v>
      </c>
    </row>
    <row r="1770" spans="1:2" x14ac:dyDescent="0.25">
      <c r="A1770" s="32" t="s">
        <v>3447</v>
      </c>
      <c r="B1770" s="33" t="s">
        <v>3448</v>
      </c>
    </row>
    <row r="1771" spans="1:2" x14ac:dyDescent="0.25">
      <c r="A1771" s="30" t="s">
        <v>3449</v>
      </c>
      <c r="B1771" s="31" t="s">
        <v>3450</v>
      </c>
    </row>
    <row r="1772" spans="1:2" x14ac:dyDescent="0.25">
      <c r="A1772" s="32" t="s">
        <v>3451</v>
      </c>
      <c r="B1772" s="33" t="s">
        <v>3452</v>
      </c>
    </row>
    <row r="1773" spans="1:2" x14ac:dyDescent="0.25">
      <c r="A1773" s="30" t="s">
        <v>3453</v>
      </c>
      <c r="B1773" s="31" t="s">
        <v>3454</v>
      </c>
    </row>
    <row r="1774" spans="1:2" x14ac:dyDescent="0.25">
      <c r="A1774" s="32" t="s">
        <v>3455</v>
      </c>
      <c r="B1774" s="33" t="s">
        <v>3456</v>
      </c>
    </row>
    <row r="1775" spans="1:2" x14ac:dyDescent="0.25">
      <c r="A1775" s="30" t="s">
        <v>3457</v>
      </c>
      <c r="B1775" s="31" t="s">
        <v>3458</v>
      </c>
    </row>
    <row r="1776" spans="1:2" x14ac:dyDescent="0.25">
      <c r="A1776" s="32" t="s">
        <v>3459</v>
      </c>
      <c r="B1776" s="33" t="s">
        <v>3460</v>
      </c>
    </row>
    <row r="1777" spans="1:2" x14ac:dyDescent="0.25">
      <c r="A1777" s="30" t="s">
        <v>465</v>
      </c>
      <c r="B1777" s="31" t="s">
        <v>3461</v>
      </c>
    </row>
    <row r="1778" spans="1:2" x14ac:dyDescent="0.25">
      <c r="A1778" s="32" t="s">
        <v>3462</v>
      </c>
      <c r="B1778" s="33" t="s">
        <v>3463</v>
      </c>
    </row>
    <row r="1779" spans="1:2" x14ac:dyDescent="0.25">
      <c r="A1779" s="30" t="s">
        <v>3464</v>
      </c>
      <c r="B1779" s="31" t="s">
        <v>3465</v>
      </c>
    </row>
    <row r="1780" spans="1:2" x14ac:dyDescent="0.25">
      <c r="A1780" s="32" t="s">
        <v>3466</v>
      </c>
      <c r="B1780" s="33" t="s">
        <v>3467</v>
      </c>
    </row>
    <row r="1781" spans="1:2" x14ac:dyDescent="0.25">
      <c r="A1781" s="30" t="s">
        <v>10306</v>
      </c>
      <c r="B1781" s="31" t="s">
        <v>10306</v>
      </c>
    </row>
    <row r="1782" spans="1:2" x14ac:dyDescent="0.25">
      <c r="A1782" s="32" t="s">
        <v>3468</v>
      </c>
      <c r="B1782" s="33" t="s">
        <v>3469</v>
      </c>
    </row>
    <row r="1783" spans="1:2" x14ac:dyDescent="0.25">
      <c r="A1783" s="30" t="s">
        <v>10307</v>
      </c>
      <c r="B1783" s="31" t="s">
        <v>10307</v>
      </c>
    </row>
    <row r="1784" spans="1:2" x14ac:dyDescent="0.25">
      <c r="A1784" s="32" t="s">
        <v>3470</v>
      </c>
      <c r="B1784" s="33" t="s">
        <v>3471</v>
      </c>
    </row>
    <row r="1785" spans="1:2" x14ac:dyDescent="0.25">
      <c r="A1785" s="30" t="s">
        <v>3472</v>
      </c>
      <c r="B1785" s="31" t="s">
        <v>3473</v>
      </c>
    </row>
    <row r="1786" spans="1:2" x14ac:dyDescent="0.25">
      <c r="A1786" s="32" t="s">
        <v>3474</v>
      </c>
      <c r="B1786" s="33" t="s">
        <v>3475</v>
      </c>
    </row>
    <row r="1787" spans="1:2" x14ac:dyDescent="0.25">
      <c r="A1787" s="30" t="s">
        <v>3476</v>
      </c>
      <c r="B1787" s="31" t="s">
        <v>3477</v>
      </c>
    </row>
    <row r="1788" spans="1:2" x14ac:dyDescent="0.25">
      <c r="A1788" s="32" t="s">
        <v>3478</v>
      </c>
      <c r="B1788" s="33" t="s">
        <v>3479</v>
      </c>
    </row>
    <row r="1789" spans="1:2" x14ac:dyDescent="0.25">
      <c r="A1789" s="30" t="s">
        <v>3480</v>
      </c>
      <c r="B1789" s="31" t="s">
        <v>3481</v>
      </c>
    </row>
    <row r="1790" spans="1:2" x14ac:dyDescent="0.25">
      <c r="A1790" s="32" t="s">
        <v>3482</v>
      </c>
      <c r="B1790" s="33" t="s">
        <v>3483</v>
      </c>
    </row>
    <row r="1791" spans="1:2" x14ac:dyDescent="0.25">
      <c r="A1791" s="30" t="s">
        <v>3484</v>
      </c>
      <c r="B1791" s="31" t="s">
        <v>3485</v>
      </c>
    </row>
    <row r="1792" spans="1:2" x14ac:dyDescent="0.25">
      <c r="A1792" s="32" t="s">
        <v>3486</v>
      </c>
      <c r="B1792" s="33" t="s">
        <v>3487</v>
      </c>
    </row>
    <row r="1793" spans="1:2" x14ac:dyDescent="0.25">
      <c r="A1793" s="30" t="s">
        <v>3488</v>
      </c>
      <c r="B1793" s="31" t="s">
        <v>3489</v>
      </c>
    </row>
    <row r="1794" spans="1:2" x14ac:dyDescent="0.25">
      <c r="A1794" s="32" t="s">
        <v>466</v>
      </c>
      <c r="B1794" s="33" t="s">
        <v>3490</v>
      </c>
    </row>
    <row r="1795" spans="1:2" x14ac:dyDescent="0.25">
      <c r="A1795" s="30" t="s">
        <v>3491</v>
      </c>
      <c r="B1795" s="31" t="s">
        <v>3492</v>
      </c>
    </row>
    <row r="1796" spans="1:2" x14ac:dyDescent="0.25">
      <c r="A1796" s="32" t="s">
        <v>3493</v>
      </c>
      <c r="B1796" s="33" t="s">
        <v>3494</v>
      </c>
    </row>
    <row r="1797" spans="1:2" x14ac:dyDescent="0.25">
      <c r="A1797" s="30" t="s">
        <v>3495</v>
      </c>
      <c r="B1797" s="31" t="s">
        <v>3496</v>
      </c>
    </row>
    <row r="1798" spans="1:2" x14ac:dyDescent="0.25">
      <c r="A1798" s="32" t="s">
        <v>3497</v>
      </c>
      <c r="B1798" s="33" t="s">
        <v>3498</v>
      </c>
    </row>
    <row r="1799" spans="1:2" x14ac:dyDescent="0.25">
      <c r="A1799" s="30" t="s">
        <v>3499</v>
      </c>
      <c r="B1799" s="31" t="s">
        <v>3500</v>
      </c>
    </row>
    <row r="1800" spans="1:2" x14ac:dyDescent="0.25">
      <c r="A1800" s="32" t="s">
        <v>3501</v>
      </c>
      <c r="B1800" s="33" t="s">
        <v>3502</v>
      </c>
    </row>
    <row r="1801" spans="1:2" x14ac:dyDescent="0.25">
      <c r="A1801" s="30" t="s">
        <v>3503</v>
      </c>
      <c r="B1801" s="31" t="s">
        <v>3504</v>
      </c>
    </row>
    <row r="1802" spans="1:2" x14ac:dyDescent="0.25">
      <c r="A1802" s="32" t="s">
        <v>3505</v>
      </c>
      <c r="B1802" s="33" t="s">
        <v>3506</v>
      </c>
    </row>
    <row r="1803" spans="1:2" x14ac:dyDescent="0.25">
      <c r="A1803" s="30" t="s">
        <v>3507</v>
      </c>
      <c r="B1803" s="31" t="s">
        <v>3508</v>
      </c>
    </row>
    <row r="1804" spans="1:2" x14ac:dyDescent="0.25">
      <c r="A1804" s="32" t="s">
        <v>3509</v>
      </c>
      <c r="B1804" s="33" t="s">
        <v>3510</v>
      </c>
    </row>
    <row r="1805" spans="1:2" x14ac:dyDescent="0.25">
      <c r="A1805" s="30" t="s">
        <v>3511</v>
      </c>
      <c r="B1805" s="31" t="s">
        <v>3512</v>
      </c>
    </row>
    <row r="1806" spans="1:2" x14ac:dyDescent="0.25">
      <c r="A1806" s="32" t="s">
        <v>3513</v>
      </c>
      <c r="B1806" s="33" t="s">
        <v>3514</v>
      </c>
    </row>
    <row r="1807" spans="1:2" x14ac:dyDescent="0.25">
      <c r="A1807" s="30" t="s">
        <v>3515</v>
      </c>
      <c r="B1807" s="31" t="s">
        <v>3516</v>
      </c>
    </row>
    <row r="1808" spans="1:2" x14ac:dyDescent="0.25">
      <c r="A1808" s="32" t="s">
        <v>3517</v>
      </c>
      <c r="B1808" s="33" t="s">
        <v>3518</v>
      </c>
    </row>
    <row r="1809" spans="1:2" x14ac:dyDescent="0.25">
      <c r="A1809" s="30" t="s">
        <v>3519</v>
      </c>
      <c r="B1809" s="31" t="s">
        <v>3520</v>
      </c>
    </row>
    <row r="1810" spans="1:2" x14ac:dyDescent="0.25">
      <c r="A1810" s="32" t="s">
        <v>3521</v>
      </c>
      <c r="B1810" s="33" t="s">
        <v>3522</v>
      </c>
    </row>
    <row r="1811" spans="1:2" x14ac:dyDescent="0.25">
      <c r="A1811" s="30" t="s">
        <v>3523</v>
      </c>
      <c r="B1811" s="31" t="s">
        <v>3524</v>
      </c>
    </row>
    <row r="1812" spans="1:2" x14ac:dyDescent="0.25">
      <c r="A1812" s="32" t="s">
        <v>467</v>
      </c>
      <c r="B1812" s="33" t="s">
        <v>3525</v>
      </c>
    </row>
    <row r="1813" spans="1:2" x14ac:dyDescent="0.25">
      <c r="A1813" s="30" t="s">
        <v>3526</v>
      </c>
      <c r="B1813" s="31" t="s">
        <v>3527</v>
      </c>
    </row>
    <row r="1814" spans="1:2" x14ac:dyDescent="0.25">
      <c r="A1814" s="32" t="s">
        <v>3528</v>
      </c>
      <c r="B1814" s="33" t="s">
        <v>3529</v>
      </c>
    </row>
    <row r="1815" spans="1:2" x14ac:dyDescent="0.25">
      <c r="A1815" s="30" t="s">
        <v>3530</v>
      </c>
      <c r="B1815" s="31" t="s">
        <v>3531</v>
      </c>
    </row>
    <row r="1816" spans="1:2" x14ac:dyDescent="0.25">
      <c r="A1816" s="32" t="s">
        <v>3532</v>
      </c>
      <c r="B1816" s="33" t="s">
        <v>3533</v>
      </c>
    </row>
    <row r="1817" spans="1:2" x14ac:dyDescent="0.25">
      <c r="A1817" s="30" t="s">
        <v>3534</v>
      </c>
      <c r="B1817" s="31" t="s">
        <v>3535</v>
      </c>
    </row>
    <row r="1818" spans="1:2" x14ac:dyDescent="0.25">
      <c r="A1818" s="32" t="s">
        <v>3536</v>
      </c>
      <c r="B1818" s="33" t="s">
        <v>3537</v>
      </c>
    </row>
    <row r="1819" spans="1:2" x14ac:dyDescent="0.25">
      <c r="A1819" s="30" t="s">
        <v>10308</v>
      </c>
      <c r="B1819" s="31" t="s">
        <v>10308</v>
      </c>
    </row>
    <row r="1820" spans="1:2" x14ac:dyDescent="0.25">
      <c r="A1820" s="32" t="s">
        <v>3538</v>
      </c>
      <c r="B1820" s="33" t="s">
        <v>3539</v>
      </c>
    </row>
    <row r="1821" spans="1:2" x14ac:dyDescent="0.25">
      <c r="A1821" s="30" t="s">
        <v>3540</v>
      </c>
      <c r="B1821" s="31" t="s">
        <v>3541</v>
      </c>
    </row>
    <row r="1822" spans="1:2" x14ac:dyDescent="0.25">
      <c r="A1822" s="32" t="s">
        <v>3542</v>
      </c>
      <c r="B1822" s="33" t="s">
        <v>3543</v>
      </c>
    </row>
    <row r="1823" spans="1:2" x14ac:dyDescent="0.25">
      <c r="A1823" s="30" t="s">
        <v>3544</v>
      </c>
      <c r="B1823" s="31" t="s">
        <v>3545</v>
      </c>
    </row>
    <row r="1824" spans="1:2" x14ac:dyDescent="0.25">
      <c r="A1824" s="32" t="s">
        <v>3546</v>
      </c>
      <c r="B1824" s="33" t="s">
        <v>3547</v>
      </c>
    </row>
    <row r="1825" spans="1:2" x14ac:dyDescent="0.25">
      <c r="A1825" s="30" t="s">
        <v>3548</v>
      </c>
      <c r="B1825" s="31" t="s">
        <v>3549</v>
      </c>
    </row>
    <row r="1826" spans="1:2" x14ac:dyDescent="0.25">
      <c r="A1826" s="32" t="s">
        <v>468</v>
      </c>
      <c r="B1826" s="33" t="s">
        <v>3550</v>
      </c>
    </row>
    <row r="1827" spans="1:2" x14ac:dyDescent="0.25">
      <c r="A1827" s="30" t="s">
        <v>3551</v>
      </c>
      <c r="B1827" s="31" t="s">
        <v>3552</v>
      </c>
    </row>
    <row r="1828" spans="1:2" x14ac:dyDescent="0.25">
      <c r="A1828" s="32" t="s">
        <v>3553</v>
      </c>
      <c r="B1828" s="33" t="s">
        <v>3554</v>
      </c>
    </row>
    <row r="1829" spans="1:2" x14ac:dyDescent="0.25">
      <c r="A1829" s="30" t="s">
        <v>3555</v>
      </c>
      <c r="B1829" s="31" t="s">
        <v>3556</v>
      </c>
    </row>
    <row r="1830" spans="1:2" x14ac:dyDescent="0.25">
      <c r="A1830" s="32" t="s">
        <v>3557</v>
      </c>
      <c r="B1830" s="33" t="s">
        <v>3558</v>
      </c>
    </row>
    <row r="1831" spans="1:2" x14ac:dyDescent="0.25">
      <c r="A1831" s="30" t="s">
        <v>3559</v>
      </c>
      <c r="B1831" s="31" t="s">
        <v>3560</v>
      </c>
    </row>
    <row r="1832" spans="1:2" x14ac:dyDescent="0.25">
      <c r="A1832" s="32" t="s">
        <v>3561</v>
      </c>
      <c r="B1832" s="33" t="s">
        <v>3562</v>
      </c>
    </row>
    <row r="1833" spans="1:2" x14ac:dyDescent="0.25">
      <c r="A1833" s="30" t="s">
        <v>3563</v>
      </c>
      <c r="B1833" s="31" t="s">
        <v>3564</v>
      </c>
    </row>
    <row r="1834" spans="1:2" x14ac:dyDescent="0.25">
      <c r="A1834" s="32" t="s">
        <v>3565</v>
      </c>
      <c r="B1834" s="33" t="s">
        <v>3566</v>
      </c>
    </row>
    <row r="1835" spans="1:2" x14ac:dyDescent="0.25">
      <c r="A1835" s="30" t="s">
        <v>3567</v>
      </c>
      <c r="B1835" s="31" t="s">
        <v>3568</v>
      </c>
    </row>
    <row r="1836" spans="1:2" x14ac:dyDescent="0.25">
      <c r="A1836" s="32" t="s">
        <v>3569</v>
      </c>
      <c r="B1836" s="33" t="s">
        <v>3570</v>
      </c>
    </row>
    <row r="1837" spans="1:2" x14ac:dyDescent="0.25">
      <c r="A1837" s="30" t="s">
        <v>3571</v>
      </c>
      <c r="B1837" s="31" t="s">
        <v>3572</v>
      </c>
    </row>
    <row r="1838" spans="1:2" x14ac:dyDescent="0.25">
      <c r="A1838" s="32" t="s">
        <v>3573</v>
      </c>
      <c r="B1838" s="33" t="s">
        <v>3574</v>
      </c>
    </row>
    <row r="1839" spans="1:2" x14ac:dyDescent="0.25">
      <c r="A1839" s="30" t="s">
        <v>3575</v>
      </c>
      <c r="B1839" s="31" t="s">
        <v>3576</v>
      </c>
    </row>
    <row r="1840" spans="1:2" x14ac:dyDescent="0.25">
      <c r="A1840" s="32" t="s">
        <v>469</v>
      </c>
      <c r="B1840" s="33" t="s">
        <v>3577</v>
      </c>
    </row>
    <row r="1841" spans="1:2" x14ac:dyDescent="0.25">
      <c r="A1841" s="30" t="s">
        <v>3578</v>
      </c>
      <c r="B1841" s="31" t="s">
        <v>3579</v>
      </c>
    </row>
    <row r="1842" spans="1:2" x14ac:dyDescent="0.25">
      <c r="A1842" s="32" t="s">
        <v>3580</v>
      </c>
      <c r="B1842" s="33" t="s">
        <v>3581</v>
      </c>
    </row>
    <row r="1843" spans="1:2" x14ac:dyDescent="0.25">
      <c r="A1843" s="30" t="s">
        <v>10309</v>
      </c>
      <c r="B1843" s="31" t="s">
        <v>10309</v>
      </c>
    </row>
    <row r="1844" spans="1:2" x14ac:dyDescent="0.25">
      <c r="A1844" s="32" t="s">
        <v>3582</v>
      </c>
      <c r="B1844" s="33" t="s">
        <v>3583</v>
      </c>
    </row>
    <row r="1845" spans="1:2" x14ac:dyDescent="0.25">
      <c r="A1845" s="30" t="s">
        <v>3584</v>
      </c>
      <c r="B1845" s="31" t="s">
        <v>3585</v>
      </c>
    </row>
    <row r="1846" spans="1:2" x14ac:dyDescent="0.25">
      <c r="A1846" s="32" t="s">
        <v>3586</v>
      </c>
      <c r="B1846" s="33" t="s">
        <v>3587</v>
      </c>
    </row>
    <row r="1847" spans="1:2" x14ac:dyDescent="0.25">
      <c r="A1847" s="30" t="s">
        <v>3588</v>
      </c>
      <c r="B1847" s="31" t="s">
        <v>3589</v>
      </c>
    </row>
    <row r="1848" spans="1:2" x14ac:dyDescent="0.25">
      <c r="A1848" s="32" t="s">
        <v>3590</v>
      </c>
      <c r="B1848" s="33" t="s">
        <v>3591</v>
      </c>
    </row>
    <row r="1849" spans="1:2" x14ac:dyDescent="0.25">
      <c r="A1849" s="30" t="s">
        <v>10310</v>
      </c>
      <c r="B1849" s="31" t="s">
        <v>10310</v>
      </c>
    </row>
    <row r="1850" spans="1:2" x14ac:dyDescent="0.25">
      <c r="A1850" s="32" t="s">
        <v>10311</v>
      </c>
      <c r="B1850" s="33" t="s">
        <v>10311</v>
      </c>
    </row>
    <row r="1851" spans="1:2" x14ac:dyDescent="0.25">
      <c r="A1851" s="30" t="s">
        <v>3592</v>
      </c>
      <c r="B1851" s="31" t="s">
        <v>3593</v>
      </c>
    </row>
    <row r="1852" spans="1:2" x14ac:dyDescent="0.25">
      <c r="A1852" s="32" t="s">
        <v>3594</v>
      </c>
      <c r="B1852" s="33" t="s">
        <v>3595</v>
      </c>
    </row>
    <row r="1853" spans="1:2" x14ac:dyDescent="0.25">
      <c r="A1853" s="30" t="s">
        <v>3596</v>
      </c>
      <c r="B1853" s="31" t="s">
        <v>3597</v>
      </c>
    </row>
    <row r="1854" spans="1:2" x14ac:dyDescent="0.25">
      <c r="A1854" s="32" t="s">
        <v>10312</v>
      </c>
      <c r="B1854" s="33" t="s">
        <v>10312</v>
      </c>
    </row>
    <row r="1855" spans="1:2" x14ac:dyDescent="0.25">
      <c r="A1855" s="30" t="s">
        <v>3598</v>
      </c>
      <c r="B1855" s="31" t="s">
        <v>3599</v>
      </c>
    </row>
    <row r="1856" spans="1:2" x14ac:dyDescent="0.25">
      <c r="A1856" s="32" t="s">
        <v>3600</v>
      </c>
      <c r="B1856" s="33" t="s">
        <v>3601</v>
      </c>
    </row>
    <row r="1857" spans="1:2" x14ac:dyDescent="0.25">
      <c r="A1857" s="30" t="s">
        <v>3602</v>
      </c>
      <c r="B1857" s="31" t="s">
        <v>3603</v>
      </c>
    </row>
    <row r="1858" spans="1:2" x14ac:dyDescent="0.25">
      <c r="A1858" s="32" t="s">
        <v>3604</v>
      </c>
      <c r="B1858" s="33" t="s">
        <v>3605</v>
      </c>
    </row>
    <row r="1859" spans="1:2" x14ac:dyDescent="0.25">
      <c r="A1859" s="30" t="s">
        <v>3606</v>
      </c>
      <c r="B1859" s="31" t="s">
        <v>3607</v>
      </c>
    </row>
    <row r="1860" spans="1:2" x14ac:dyDescent="0.25">
      <c r="A1860" s="32" t="s">
        <v>470</v>
      </c>
      <c r="B1860" s="33" t="s">
        <v>3608</v>
      </c>
    </row>
    <row r="1861" spans="1:2" x14ac:dyDescent="0.25">
      <c r="A1861" s="30" t="s">
        <v>3609</v>
      </c>
      <c r="B1861" s="31" t="s">
        <v>3610</v>
      </c>
    </row>
    <row r="1862" spans="1:2" x14ac:dyDescent="0.25">
      <c r="A1862" s="32" t="s">
        <v>3611</v>
      </c>
      <c r="B1862" s="33" t="s">
        <v>3612</v>
      </c>
    </row>
    <row r="1863" spans="1:2" x14ac:dyDescent="0.25">
      <c r="A1863" s="30" t="s">
        <v>3613</v>
      </c>
      <c r="B1863" s="31" t="s">
        <v>3614</v>
      </c>
    </row>
    <row r="1864" spans="1:2" x14ac:dyDescent="0.25">
      <c r="A1864" s="32" t="s">
        <v>3615</v>
      </c>
      <c r="B1864" s="33" t="s">
        <v>3616</v>
      </c>
    </row>
    <row r="1865" spans="1:2" x14ac:dyDescent="0.25">
      <c r="A1865" s="30" t="s">
        <v>3617</v>
      </c>
      <c r="B1865" s="31" t="s">
        <v>3618</v>
      </c>
    </row>
    <row r="1866" spans="1:2" x14ac:dyDescent="0.25">
      <c r="A1866" s="32" t="s">
        <v>3619</v>
      </c>
      <c r="B1866" s="33" t="s">
        <v>3620</v>
      </c>
    </row>
    <row r="1867" spans="1:2" x14ac:dyDescent="0.25">
      <c r="A1867" s="30" t="s">
        <v>3621</v>
      </c>
      <c r="B1867" s="31" t="s">
        <v>3622</v>
      </c>
    </row>
    <row r="1868" spans="1:2" x14ac:dyDescent="0.25">
      <c r="A1868" s="32" t="s">
        <v>3623</v>
      </c>
      <c r="B1868" s="33" t="s">
        <v>3624</v>
      </c>
    </row>
    <row r="1869" spans="1:2" x14ac:dyDescent="0.25">
      <c r="A1869" s="30" t="s">
        <v>3625</v>
      </c>
      <c r="B1869" s="31" t="s">
        <v>3626</v>
      </c>
    </row>
    <row r="1870" spans="1:2" x14ac:dyDescent="0.25">
      <c r="A1870" s="32" t="s">
        <v>3627</v>
      </c>
      <c r="B1870" s="33" t="s">
        <v>3628</v>
      </c>
    </row>
    <row r="1871" spans="1:2" x14ac:dyDescent="0.25">
      <c r="A1871" s="30" t="s">
        <v>3629</v>
      </c>
      <c r="B1871" s="31" t="s">
        <v>3630</v>
      </c>
    </row>
    <row r="1872" spans="1:2" x14ac:dyDescent="0.25">
      <c r="A1872" s="32" t="s">
        <v>3631</v>
      </c>
      <c r="B1872" s="33" t="s">
        <v>3632</v>
      </c>
    </row>
    <row r="1873" spans="1:2" x14ac:dyDescent="0.25">
      <c r="A1873" s="30" t="s">
        <v>3633</v>
      </c>
      <c r="B1873" s="31" t="s">
        <v>3634</v>
      </c>
    </row>
    <row r="1874" spans="1:2" x14ac:dyDescent="0.25">
      <c r="A1874" s="32" t="s">
        <v>471</v>
      </c>
      <c r="B1874" s="33" t="s">
        <v>3635</v>
      </c>
    </row>
    <row r="1875" spans="1:2" x14ac:dyDescent="0.25">
      <c r="A1875" s="30" t="s">
        <v>3636</v>
      </c>
      <c r="B1875" s="31" t="s">
        <v>3637</v>
      </c>
    </row>
    <row r="1876" spans="1:2" x14ac:dyDescent="0.25">
      <c r="A1876" s="32" t="s">
        <v>3638</v>
      </c>
      <c r="B1876" s="33" t="s">
        <v>3639</v>
      </c>
    </row>
    <row r="1877" spans="1:2" x14ac:dyDescent="0.25">
      <c r="A1877" s="30" t="s">
        <v>3640</v>
      </c>
      <c r="B1877" s="31" t="s">
        <v>3641</v>
      </c>
    </row>
    <row r="1878" spans="1:2" x14ac:dyDescent="0.25">
      <c r="A1878" s="32" t="s">
        <v>3642</v>
      </c>
      <c r="B1878" s="33" t="s">
        <v>3643</v>
      </c>
    </row>
    <row r="1879" spans="1:2" x14ac:dyDescent="0.25">
      <c r="A1879" s="30" t="s">
        <v>472</v>
      </c>
      <c r="B1879" s="31" t="s">
        <v>3644</v>
      </c>
    </row>
    <row r="1880" spans="1:2" x14ac:dyDescent="0.25">
      <c r="A1880" s="32" t="s">
        <v>3645</v>
      </c>
      <c r="B1880" s="33" t="s">
        <v>3646</v>
      </c>
    </row>
    <row r="1881" spans="1:2" x14ac:dyDescent="0.25">
      <c r="A1881" s="30" t="s">
        <v>3647</v>
      </c>
      <c r="B1881" s="31" t="s">
        <v>3648</v>
      </c>
    </row>
    <row r="1882" spans="1:2" x14ac:dyDescent="0.25">
      <c r="A1882" s="32" t="s">
        <v>3649</v>
      </c>
      <c r="B1882" s="33" t="s">
        <v>3650</v>
      </c>
    </row>
    <row r="1883" spans="1:2" x14ac:dyDescent="0.25">
      <c r="A1883" s="30" t="s">
        <v>3651</v>
      </c>
      <c r="B1883" s="31" t="s">
        <v>3652</v>
      </c>
    </row>
    <row r="1884" spans="1:2" x14ac:dyDescent="0.25">
      <c r="A1884" s="32" t="s">
        <v>3653</v>
      </c>
      <c r="B1884" s="33" t="s">
        <v>3654</v>
      </c>
    </row>
    <row r="1885" spans="1:2" x14ac:dyDescent="0.25">
      <c r="A1885" s="30" t="s">
        <v>3655</v>
      </c>
      <c r="B1885" s="31" t="s">
        <v>3656</v>
      </c>
    </row>
    <row r="1886" spans="1:2" x14ac:dyDescent="0.25">
      <c r="A1886" s="32" t="s">
        <v>3657</v>
      </c>
      <c r="B1886" s="33" t="s">
        <v>3658</v>
      </c>
    </row>
    <row r="1887" spans="1:2" x14ac:dyDescent="0.25">
      <c r="A1887" s="30" t="s">
        <v>473</v>
      </c>
      <c r="B1887" s="31" t="s">
        <v>3659</v>
      </c>
    </row>
    <row r="1888" spans="1:2" x14ac:dyDescent="0.25">
      <c r="A1888" s="32" t="s">
        <v>474</v>
      </c>
      <c r="B1888" s="33" t="s">
        <v>3660</v>
      </c>
    </row>
    <row r="1889" spans="1:2" x14ac:dyDescent="0.25">
      <c r="A1889" s="30" t="s">
        <v>3661</v>
      </c>
      <c r="B1889" s="31" t="s">
        <v>3662</v>
      </c>
    </row>
    <row r="1890" spans="1:2" x14ac:dyDescent="0.25">
      <c r="A1890" s="32" t="s">
        <v>3663</v>
      </c>
      <c r="B1890" s="33" t="s">
        <v>3664</v>
      </c>
    </row>
    <row r="1891" spans="1:2" x14ac:dyDescent="0.25">
      <c r="A1891" s="30" t="s">
        <v>10313</v>
      </c>
      <c r="B1891" s="31" t="s">
        <v>10313</v>
      </c>
    </row>
    <row r="1892" spans="1:2" x14ac:dyDescent="0.25">
      <c r="A1892" s="32" t="s">
        <v>3665</v>
      </c>
      <c r="B1892" s="33" t="s">
        <v>3666</v>
      </c>
    </row>
    <row r="1893" spans="1:2" x14ac:dyDescent="0.25">
      <c r="A1893" s="30" t="s">
        <v>3667</v>
      </c>
      <c r="B1893" s="31" t="s">
        <v>3668</v>
      </c>
    </row>
    <row r="1894" spans="1:2" x14ac:dyDescent="0.25">
      <c r="A1894" s="32" t="s">
        <v>3669</v>
      </c>
      <c r="B1894" s="33" t="s">
        <v>3670</v>
      </c>
    </row>
    <row r="1895" spans="1:2" x14ac:dyDescent="0.25">
      <c r="A1895" s="30" t="s">
        <v>3671</v>
      </c>
      <c r="B1895" s="31" t="s">
        <v>3672</v>
      </c>
    </row>
    <row r="1896" spans="1:2" x14ac:dyDescent="0.25">
      <c r="A1896" s="32" t="s">
        <v>3673</v>
      </c>
      <c r="B1896" s="33" t="s">
        <v>3674</v>
      </c>
    </row>
    <row r="1897" spans="1:2" x14ac:dyDescent="0.25">
      <c r="A1897" s="30" t="s">
        <v>475</v>
      </c>
      <c r="B1897" s="31" t="s">
        <v>3675</v>
      </c>
    </row>
    <row r="1898" spans="1:2" x14ac:dyDescent="0.25">
      <c r="A1898" s="32" t="s">
        <v>3676</v>
      </c>
      <c r="B1898" s="33" t="s">
        <v>3677</v>
      </c>
    </row>
    <row r="1899" spans="1:2" x14ac:dyDescent="0.25">
      <c r="A1899" s="30" t="s">
        <v>3678</v>
      </c>
      <c r="B1899" s="31" t="s">
        <v>3679</v>
      </c>
    </row>
    <row r="1900" spans="1:2" x14ac:dyDescent="0.25">
      <c r="A1900" s="32" t="s">
        <v>3680</v>
      </c>
      <c r="B1900" s="33" t="s">
        <v>3681</v>
      </c>
    </row>
    <row r="1901" spans="1:2" x14ac:dyDescent="0.25">
      <c r="A1901" s="30" t="s">
        <v>3682</v>
      </c>
      <c r="B1901" s="31" t="s">
        <v>3683</v>
      </c>
    </row>
    <row r="1902" spans="1:2" x14ac:dyDescent="0.25">
      <c r="A1902" s="32" t="s">
        <v>3684</v>
      </c>
      <c r="B1902" s="33" t="s">
        <v>3685</v>
      </c>
    </row>
    <row r="1903" spans="1:2" x14ac:dyDescent="0.25">
      <c r="A1903" s="30" t="s">
        <v>3686</v>
      </c>
      <c r="B1903" s="31" t="s">
        <v>3687</v>
      </c>
    </row>
    <row r="1904" spans="1:2" x14ac:dyDescent="0.25">
      <c r="A1904" s="32" t="s">
        <v>3688</v>
      </c>
      <c r="B1904" s="33" t="s">
        <v>3689</v>
      </c>
    </row>
    <row r="1905" spans="1:2" x14ac:dyDescent="0.25">
      <c r="A1905" s="30" t="s">
        <v>3690</v>
      </c>
      <c r="B1905" s="31" t="s">
        <v>3691</v>
      </c>
    </row>
    <row r="1906" spans="1:2" x14ac:dyDescent="0.25">
      <c r="A1906" s="32" t="s">
        <v>3692</v>
      </c>
      <c r="B1906" s="33" t="s">
        <v>3693</v>
      </c>
    </row>
    <row r="1907" spans="1:2" x14ac:dyDescent="0.25">
      <c r="A1907" s="30" t="s">
        <v>3694</v>
      </c>
      <c r="B1907" s="31" t="s">
        <v>3695</v>
      </c>
    </row>
    <row r="1908" spans="1:2" x14ac:dyDescent="0.25">
      <c r="A1908" s="32" t="s">
        <v>476</v>
      </c>
      <c r="B1908" s="33" t="s">
        <v>3696</v>
      </c>
    </row>
    <row r="1909" spans="1:2" x14ac:dyDescent="0.25">
      <c r="A1909" s="30" t="s">
        <v>3697</v>
      </c>
      <c r="B1909" s="31" t="s">
        <v>3698</v>
      </c>
    </row>
    <row r="1910" spans="1:2" x14ac:dyDescent="0.25">
      <c r="A1910" s="32" t="s">
        <v>3699</v>
      </c>
      <c r="B1910" s="33" t="s">
        <v>3700</v>
      </c>
    </row>
    <row r="1911" spans="1:2" x14ac:dyDescent="0.25">
      <c r="A1911" s="30" t="s">
        <v>3701</v>
      </c>
      <c r="B1911" s="31" t="s">
        <v>3702</v>
      </c>
    </row>
    <row r="1912" spans="1:2" x14ac:dyDescent="0.25">
      <c r="A1912" s="32" t="s">
        <v>477</v>
      </c>
      <c r="B1912" s="33" t="s">
        <v>3703</v>
      </c>
    </row>
    <row r="1913" spans="1:2" x14ac:dyDescent="0.25">
      <c r="A1913" s="30" t="s">
        <v>3704</v>
      </c>
      <c r="B1913" s="31" t="s">
        <v>3705</v>
      </c>
    </row>
    <row r="1914" spans="1:2" x14ac:dyDescent="0.25">
      <c r="A1914" s="32" t="s">
        <v>3706</v>
      </c>
      <c r="B1914" s="33" t="s">
        <v>3707</v>
      </c>
    </row>
    <row r="1915" spans="1:2" x14ac:dyDescent="0.25">
      <c r="A1915" s="30" t="s">
        <v>3708</v>
      </c>
      <c r="B1915" s="31" t="s">
        <v>3709</v>
      </c>
    </row>
    <row r="1916" spans="1:2" x14ac:dyDescent="0.25">
      <c r="A1916" s="32" t="s">
        <v>3710</v>
      </c>
      <c r="B1916" s="33" t="s">
        <v>3711</v>
      </c>
    </row>
    <row r="1917" spans="1:2" x14ac:dyDescent="0.25">
      <c r="A1917" s="30" t="s">
        <v>3712</v>
      </c>
      <c r="B1917" s="31" t="s">
        <v>3713</v>
      </c>
    </row>
    <row r="1918" spans="1:2" x14ac:dyDescent="0.25">
      <c r="A1918" s="32" t="s">
        <v>10314</v>
      </c>
      <c r="B1918" s="33" t="s">
        <v>10314</v>
      </c>
    </row>
    <row r="1919" spans="1:2" x14ac:dyDescent="0.25">
      <c r="A1919" s="30" t="s">
        <v>3714</v>
      </c>
      <c r="B1919" s="31" t="s">
        <v>3715</v>
      </c>
    </row>
    <row r="1920" spans="1:2" x14ac:dyDescent="0.25">
      <c r="A1920" s="32" t="s">
        <v>3716</v>
      </c>
      <c r="B1920" s="33" t="s">
        <v>3717</v>
      </c>
    </row>
    <row r="1921" spans="1:2" x14ac:dyDescent="0.25">
      <c r="A1921" s="30" t="s">
        <v>3718</v>
      </c>
      <c r="B1921" s="31" t="s">
        <v>3719</v>
      </c>
    </row>
    <row r="1922" spans="1:2" x14ac:dyDescent="0.25">
      <c r="A1922" s="32" t="s">
        <v>3720</v>
      </c>
      <c r="B1922" s="33" t="s">
        <v>3721</v>
      </c>
    </row>
    <row r="1923" spans="1:2" x14ac:dyDescent="0.25">
      <c r="A1923" s="30" t="s">
        <v>3722</v>
      </c>
      <c r="B1923" s="31" t="s">
        <v>3723</v>
      </c>
    </row>
    <row r="1924" spans="1:2" x14ac:dyDescent="0.25">
      <c r="A1924" s="32" t="s">
        <v>3724</v>
      </c>
      <c r="B1924" s="33" t="s">
        <v>3725</v>
      </c>
    </row>
    <row r="1925" spans="1:2" x14ac:dyDescent="0.25">
      <c r="A1925" s="30" t="s">
        <v>3726</v>
      </c>
      <c r="B1925" s="31" t="s">
        <v>3727</v>
      </c>
    </row>
    <row r="1926" spans="1:2" x14ac:dyDescent="0.25">
      <c r="A1926" s="32" t="s">
        <v>3728</v>
      </c>
      <c r="B1926" s="33" t="s">
        <v>3729</v>
      </c>
    </row>
    <row r="1927" spans="1:2" x14ac:dyDescent="0.25">
      <c r="A1927" s="30" t="s">
        <v>3730</v>
      </c>
      <c r="B1927" s="31" t="s">
        <v>3731</v>
      </c>
    </row>
    <row r="1928" spans="1:2" x14ac:dyDescent="0.25">
      <c r="A1928" s="32" t="s">
        <v>3732</v>
      </c>
      <c r="B1928" s="33" t="s">
        <v>3733</v>
      </c>
    </row>
    <row r="1929" spans="1:2" x14ac:dyDescent="0.25">
      <c r="A1929" s="30" t="s">
        <v>3734</v>
      </c>
      <c r="B1929" s="31" t="s">
        <v>3735</v>
      </c>
    </row>
    <row r="1930" spans="1:2" x14ac:dyDescent="0.25">
      <c r="A1930" s="32" t="s">
        <v>3736</v>
      </c>
      <c r="B1930" s="33" t="s">
        <v>3737</v>
      </c>
    </row>
    <row r="1931" spans="1:2" x14ac:dyDescent="0.25">
      <c r="A1931" s="30" t="s">
        <v>3738</v>
      </c>
      <c r="B1931" s="31" t="s">
        <v>3739</v>
      </c>
    </row>
    <row r="1932" spans="1:2" x14ac:dyDescent="0.25">
      <c r="A1932" s="32" t="s">
        <v>3740</v>
      </c>
      <c r="B1932" s="33" t="s">
        <v>3741</v>
      </c>
    </row>
    <row r="1933" spans="1:2" x14ac:dyDescent="0.25">
      <c r="A1933" s="30" t="s">
        <v>3742</v>
      </c>
      <c r="B1933" s="31" t="s">
        <v>3743</v>
      </c>
    </row>
    <row r="1934" spans="1:2" x14ac:dyDescent="0.25">
      <c r="A1934" s="32" t="s">
        <v>3744</v>
      </c>
      <c r="B1934" s="33" t="s">
        <v>3745</v>
      </c>
    </row>
    <row r="1935" spans="1:2" x14ac:dyDescent="0.25">
      <c r="A1935" s="30" t="s">
        <v>3746</v>
      </c>
      <c r="B1935" s="31" t="s">
        <v>3747</v>
      </c>
    </row>
    <row r="1936" spans="1:2" x14ac:dyDescent="0.25">
      <c r="A1936" s="32" t="s">
        <v>3748</v>
      </c>
      <c r="B1936" s="33" t="s">
        <v>3749</v>
      </c>
    </row>
    <row r="1937" spans="1:2" x14ac:dyDescent="0.25">
      <c r="A1937" s="30" t="s">
        <v>3750</v>
      </c>
      <c r="B1937" s="31" t="s">
        <v>3751</v>
      </c>
    </row>
    <row r="1938" spans="1:2" x14ac:dyDescent="0.25">
      <c r="A1938" s="32" t="s">
        <v>3752</v>
      </c>
      <c r="B1938" s="33" t="s">
        <v>3753</v>
      </c>
    </row>
    <row r="1939" spans="1:2" x14ac:dyDescent="0.25">
      <c r="A1939" s="30" t="s">
        <v>478</v>
      </c>
      <c r="B1939" s="31" t="s">
        <v>3754</v>
      </c>
    </row>
    <row r="1940" spans="1:2" x14ac:dyDescent="0.25">
      <c r="A1940" s="32" t="s">
        <v>3755</v>
      </c>
      <c r="B1940" s="33" t="s">
        <v>3756</v>
      </c>
    </row>
    <row r="1941" spans="1:2" x14ac:dyDescent="0.25">
      <c r="A1941" s="30" t="s">
        <v>3757</v>
      </c>
      <c r="B1941" s="31" t="s">
        <v>3758</v>
      </c>
    </row>
    <row r="1942" spans="1:2" x14ac:dyDescent="0.25">
      <c r="A1942" s="32" t="s">
        <v>479</v>
      </c>
      <c r="B1942" s="33" t="s">
        <v>3759</v>
      </c>
    </row>
    <row r="1943" spans="1:2" x14ac:dyDescent="0.25">
      <c r="A1943" s="30" t="s">
        <v>10315</v>
      </c>
      <c r="B1943" s="31" t="s">
        <v>10315</v>
      </c>
    </row>
    <row r="1944" spans="1:2" x14ac:dyDescent="0.25">
      <c r="A1944" s="32" t="s">
        <v>3760</v>
      </c>
      <c r="B1944" s="33" t="s">
        <v>3761</v>
      </c>
    </row>
    <row r="1945" spans="1:2" x14ac:dyDescent="0.25">
      <c r="A1945" s="30" t="s">
        <v>10316</v>
      </c>
      <c r="B1945" s="31" t="s">
        <v>10316</v>
      </c>
    </row>
    <row r="1946" spans="1:2" x14ac:dyDescent="0.25">
      <c r="A1946" s="32" t="s">
        <v>3762</v>
      </c>
      <c r="B1946" s="33" t="s">
        <v>3763</v>
      </c>
    </row>
    <row r="1947" spans="1:2" x14ac:dyDescent="0.25">
      <c r="A1947" s="30" t="s">
        <v>3764</v>
      </c>
      <c r="B1947" s="31" t="s">
        <v>3765</v>
      </c>
    </row>
    <row r="1948" spans="1:2" x14ac:dyDescent="0.25">
      <c r="A1948" s="32" t="s">
        <v>3766</v>
      </c>
      <c r="B1948" s="33" t="s">
        <v>3767</v>
      </c>
    </row>
    <row r="1949" spans="1:2" x14ac:dyDescent="0.25">
      <c r="A1949" s="30" t="s">
        <v>481</v>
      </c>
      <c r="B1949" s="31" t="s">
        <v>3768</v>
      </c>
    </row>
    <row r="1950" spans="1:2" x14ac:dyDescent="0.25">
      <c r="A1950" s="32" t="s">
        <v>482</v>
      </c>
      <c r="B1950" s="33" t="s">
        <v>3769</v>
      </c>
    </row>
    <row r="1951" spans="1:2" x14ac:dyDescent="0.25">
      <c r="A1951" s="30" t="s">
        <v>3770</v>
      </c>
      <c r="B1951" s="31" t="s">
        <v>3771</v>
      </c>
    </row>
    <row r="1952" spans="1:2" x14ac:dyDescent="0.25">
      <c r="A1952" s="32" t="s">
        <v>3772</v>
      </c>
      <c r="B1952" s="33" t="s">
        <v>3773</v>
      </c>
    </row>
    <row r="1953" spans="1:2" x14ac:dyDescent="0.25">
      <c r="A1953" s="30" t="s">
        <v>483</v>
      </c>
      <c r="B1953" s="31" t="s">
        <v>3774</v>
      </c>
    </row>
    <row r="1954" spans="1:2" x14ac:dyDescent="0.25">
      <c r="A1954" s="32" t="s">
        <v>484</v>
      </c>
      <c r="B1954" s="33" t="s">
        <v>3775</v>
      </c>
    </row>
    <row r="1955" spans="1:2" x14ac:dyDescent="0.25">
      <c r="A1955" s="30" t="s">
        <v>3776</v>
      </c>
      <c r="B1955" s="31" t="s">
        <v>3777</v>
      </c>
    </row>
    <row r="1956" spans="1:2" x14ac:dyDescent="0.25">
      <c r="A1956" s="32" t="s">
        <v>3778</v>
      </c>
      <c r="B1956" s="33" t="s">
        <v>3779</v>
      </c>
    </row>
    <row r="1957" spans="1:2" x14ac:dyDescent="0.25">
      <c r="A1957" s="30" t="s">
        <v>485</v>
      </c>
      <c r="B1957" s="31" t="s">
        <v>3780</v>
      </c>
    </row>
    <row r="1958" spans="1:2" x14ac:dyDescent="0.25">
      <c r="A1958" s="32" t="s">
        <v>486</v>
      </c>
      <c r="B1958" s="33" t="s">
        <v>3781</v>
      </c>
    </row>
    <row r="1959" spans="1:2" x14ac:dyDescent="0.25">
      <c r="A1959" s="30" t="s">
        <v>3782</v>
      </c>
      <c r="B1959" s="31" t="s">
        <v>3783</v>
      </c>
    </row>
    <row r="1960" spans="1:2" x14ac:dyDescent="0.25">
      <c r="A1960" s="32" t="s">
        <v>3784</v>
      </c>
      <c r="B1960" s="33" t="s">
        <v>3785</v>
      </c>
    </row>
    <row r="1961" spans="1:2" x14ac:dyDescent="0.25">
      <c r="A1961" s="30" t="s">
        <v>3786</v>
      </c>
      <c r="B1961" s="31" t="s">
        <v>3787</v>
      </c>
    </row>
    <row r="1962" spans="1:2" x14ac:dyDescent="0.25">
      <c r="A1962" s="32" t="s">
        <v>3788</v>
      </c>
      <c r="B1962" s="33" t="s">
        <v>3789</v>
      </c>
    </row>
    <row r="1963" spans="1:2" x14ac:dyDescent="0.25">
      <c r="A1963" s="30" t="s">
        <v>10317</v>
      </c>
      <c r="B1963" s="31" t="s">
        <v>10317</v>
      </c>
    </row>
    <row r="1964" spans="1:2" x14ac:dyDescent="0.25">
      <c r="A1964" s="32" t="s">
        <v>3790</v>
      </c>
      <c r="B1964" s="33" t="s">
        <v>3791</v>
      </c>
    </row>
    <row r="1965" spans="1:2" x14ac:dyDescent="0.25">
      <c r="A1965" s="30" t="s">
        <v>3792</v>
      </c>
      <c r="B1965" s="31" t="s">
        <v>3793</v>
      </c>
    </row>
    <row r="1966" spans="1:2" x14ac:dyDescent="0.25">
      <c r="A1966" s="32" t="s">
        <v>3794</v>
      </c>
      <c r="B1966" s="33" t="s">
        <v>3795</v>
      </c>
    </row>
    <row r="1967" spans="1:2" x14ac:dyDescent="0.25">
      <c r="A1967" s="30" t="s">
        <v>3796</v>
      </c>
      <c r="B1967" s="31" t="s">
        <v>3797</v>
      </c>
    </row>
    <row r="1968" spans="1:2" x14ac:dyDescent="0.25">
      <c r="A1968" s="32" t="s">
        <v>3798</v>
      </c>
      <c r="B1968" s="33" t="s">
        <v>3799</v>
      </c>
    </row>
    <row r="1969" spans="1:2" x14ac:dyDescent="0.25">
      <c r="A1969" s="30" t="s">
        <v>10318</v>
      </c>
      <c r="B1969" s="31" t="s">
        <v>10318</v>
      </c>
    </row>
    <row r="1970" spans="1:2" x14ac:dyDescent="0.25">
      <c r="A1970" s="32" t="s">
        <v>3800</v>
      </c>
      <c r="B1970" s="33" t="s">
        <v>3801</v>
      </c>
    </row>
    <row r="1971" spans="1:2" x14ac:dyDescent="0.25">
      <c r="A1971" s="30" t="s">
        <v>10319</v>
      </c>
      <c r="B1971" s="31" t="s">
        <v>10319</v>
      </c>
    </row>
    <row r="1972" spans="1:2" x14ac:dyDescent="0.25">
      <c r="A1972" s="32" t="s">
        <v>3802</v>
      </c>
      <c r="B1972" s="33" t="s">
        <v>3803</v>
      </c>
    </row>
    <row r="1973" spans="1:2" x14ac:dyDescent="0.25">
      <c r="A1973" s="30" t="s">
        <v>10320</v>
      </c>
      <c r="B1973" s="31" t="s">
        <v>10320</v>
      </c>
    </row>
    <row r="1974" spans="1:2" x14ac:dyDescent="0.25">
      <c r="A1974" s="32" t="s">
        <v>10321</v>
      </c>
      <c r="B1974" s="33" t="s">
        <v>10321</v>
      </c>
    </row>
    <row r="1975" spans="1:2" x14ac:dyDescent="0.25">
      <c r="A1975" s="30" t="s">
        <v>10322</v>
      </c>
      <c r="B1975" s="31" t="s">
        <v>10322</v>
      </c>
    </row>
    <row r="1976" spans="1:2" x14ac:dyDescent="0.25">
      <c r="A1976" s="32" t="s">
        <v>10323</v>
      </c>
      <c r="B1976" s="33" t="s">
        <v>10323</v>
      </c>
    </row>
    <row r="1977" spans="1:2" x14ac:dyDescent="0.25">
      <c r="A1977" s="30" t="s">
        <v>10324</v>
      </c>
      <c r="B1977" s="31" t="s">
        <v>10324</v>
      </c>
    </row>
    <row r="1978" spans="1:2" x14ac:dyDescent="0.25">
      <c r="A1978" s="32" t="s">
        <v>10325</v>
      </c>
      <c r="B1978" s="33" t="s">
        <v>10325</v>
      </c>
    </row>
    <row r="1979" spans="1:2" x14ac:dyDescent="0.25">
      <c r="A1979" s="30" t="s">
        <v>3804</v>
      </c>
      <c r="B1979" s="31" t="s">
        <v>3805</v>
      </c>
    </row>
    <row r="1980" spans="1:2" x14ac:dyDescent="0.25">
      <c r="A1980" s="32" t="s">
        <v>10326</v>
      </c>
      <c r="B1980" s="33" t="s">
        <v>10326</v>
      </c>
    </row>
    <row r="1981" spans="1:2" x14ac:dyDescent="0.25">
      <c r="A1981" s="30" t="s">
        <v>3806</v>
      </c>
      <c r="B1981" s="31" t="s">
        <v>3807</v>
      </c>
    </row>
    <row r="1982" spans="1:2" x14ac:dyDescent="0.25">
      <c r="A1982" s="32" t="s">
        <v>3808</v>
      </c>
      <c r="B1982" s="33" t="s">
        <v>3809</v>
      </c>
    </row>
    <row r="1983" spans="1:2" x14ac:dyDescent="0.25">
      <c r="A1983" s="30" t="s">
        <v>3810</v>
      </c>
      <c r="B1983" s="31" t="s">
        <v>3811</v>
      </c>
    </row>
    <row r="1984" spans="1:2" x14ac:dyDescent="0.25">
      <c r="A1984" s="32" t="s">
        <v>3812</v>
      </c>
      <c r="B1984" s="33" t="s">
        <v>3813</v>
      </c>
    </row>
    <row r="1985" spans="1:2" x14ac:dyDescent="0.25">
      <c r="A1985" s="30" t="s">
        <v>3814</v>
      </c>
      <c r="B1985" s="31" t="s">
        <v>3815</v>
      </c>
    </row>
    <row r="1986" spans="1:2" x14ac:dyDescent="0.25">
      <c r="A1986" s="32" t="s">
        <v>10327</v>
      </c>
      <c r="B1986" s="33" t="s">
        <v>10327</v>
      </c>
    </row>
    <row r="1987" spans="1:2" x14ac:dyDescent="0.25">
      <c r="A1987" s="30" t="s">
        <v>10328</v>
      </c>
      <c r="B1987" s="31" t="s">
        <v>10328</v>
      </c>
    </row>
    <row r="1988" spans="1:2" x14ac:dyDescent="0.25">
      <c r="A1988" s="32" t="s">
        <v>10329</v>
      </c>
      <c r="B1988" s="33" t="s">
        <v>10329</v>
      </c>
    </row>
    <row r="1989" spans="1:2" x14ac:dyDescent="0.25">
      <c r="A1989" s="30" t="s">
        <v>487</v>
      </c>
      <c r="B1989" s="31" t="s">
        <v>3816</v>
      </c>
    </row>
    <row r="1990" spans="1:2" x14ac:dyDescent="0.25">
      <c r="A1990" s="32" t="s">
        <v>3817</v>
      </c>
      <c r="B1990" s="33" t="s">
        <v>3818</v>
      </c>
    </row>
    <row r="1991" spans="1:2" x14ac:dyDescent="0.25">
      <c r="A1991" s="30" t="s">
        <v>3819</v>
      </c>
      <c r="B1991" s="31" t="s">
        <v>3820</v>
      </c>
    </row>
    <row r="1992" spans="1:2" x14ac:dyDescent="0.25">
      <c r="A1992" s="32" t="s">
        <v>10330</v>
      </c>
      <c r="B1992" s="33" t="s">
        <v>10330</v>
      </c>
    </row>
    <row r="1993" spans="1:2" x14ac:dyDescent="0.25">
      <c r="A1993" s="30" t="s">
        <v>10331</v>
      </c>
      <c r="B1993" s="31" t="s">
        <v>10331</v>
      </c>
    </row>
    <row r="1994" spans="1:2" x14ac:dyDescent="0.25">
      <c r="A1994" s="32" t="s">
        <v>3821</v>
      </c>
      <c r="B1994" s="33" t="s">
        <v>3822</v>
      </c>
    </row>
    <row r="1995" spans="1:2" x14ac:dyDescent="0.25">
      <c r="A1995" s="30" t="s">
        <v>3823</v>
      </c>
      <c r="B1995" s="31" t="s">
        <v>3824</v>
      </c>
    </row>
    <row r="1996" spans="1:2" x14ac:dyDescent="0.25">
      <c r="A1996" s="32" t="s">
        <v>488</v>
      </c>
      <c r="B1996" s="33" t="s">
        <v>3825</v>
      </c>
    </row>
    <row r="1997" spans="1:2" x14ac:dyDescent="0.25">
      <c r="A1997" s="30" t="s">
        <v>3826</v>
      </c>
      <c r="B1997" s="31" t="s">
        <v>3827</v>
      </c>
    </row>
    <row r="1998" spans="1:2" x14ac:dyDescent="0.25">
      <c r="A1998" s="32" t="s">
        <v>3828</v>
      </c>
      <c r="B1998" s="33" t="s">
        <v>3829</v>
      </c>
    </row>
    <row r="1999" spans="1:2" x14ac:dyDescent="0.25">
      <c r="A1999" s="30" t="s">
        <v>3830</v>
      </c>
      <c r="B1999" s="31" t="s">
        <v>3831</v>
      </c>
    </row>
    <row r="2000" spans="1:2" x14ac:dyDescent="0.25">
      <c r="A2000" s="32" t="s">
        <v>10332</v>
      </c>
      <c r="B2000" s="33" t="s">
        <v>10332</v>
      </c>
    </row>
    <row r="2001" spans="1:2" x14ac:dyDescent="0.25">
      <c r="A2001" s="30" t="s">
        <v>3832</v>
      </c>
      <c r="B2001" s="31" t="s">
        <v>3833</v>
      </c>
    </row>
    <row r="2002" spans="1:2" x14ac:dyDescent="0.25">
      <c r="A2002" s="32" t="s">
        <v>10333</v>
      </c>
      <c r="B2002" s="33" t="s">
        <v>10333</v>
      </c>
    </row>
    <row r="2003" spans="1:2" x14ac:dyDescent="0.25">
      <c r="A2003" s="30" t="s">
        <v>10334</v>
      </c>
      <c r="B2003" s="31" t="s">
        <v>10334</v>
      </c>
    </row>
    <row r="2004" spans="1:2" x14ac:dyDescent="0.25">
      <c r="A2004" s="32" t="s">
        <v>10335</v>
      </c>
      <c r="B2004" s="33" t="s">
        <v>10335</v>
      </c>
    </row>
    <row r="2005" spans="1:2" x14ac:dyDescent="0.25">
      <c r="A2005" s="30" t="s">
        <v>3834</v>
      </c>
      <c r="B2005" s="31" t="s">
        <v>3835</v>
      </c>
    </row>
    <row r="2006" spans="1:2" x14ac:dyDescent="0.25">
      <c r="A2006" s="32" t="s">
        <v>3836</v>
      </c>
      <c r="B2006" s="33" t="s">
        <v>3837</v>
      </c>
    </row>
    <row r="2007" spans="1:2" x14ac:dyDescent="0.25">
      <c r="A2007" s="30" t="s">
        <v>3838</v>
      </c>
      <c r="B2007" s="31" t="s">
        <v>3839</v>
      </c>
    </row>
    <row r="2008" spans="1:2" x14ac:dyDescent="0.25">
      <c r="A2008" s="32" t="s">
        <v>3840</v>
      </c>
      <c r="B2008" s="33" t="s">
        <v>3841</v>
      </c>
    </row>
    <row r="2009" spans="1:2" x14ac:dyDescent="0.25">
      <c r="A2009" s="30" t="s">
        <v>3842</v>
      </c>
      <c r="B2009" s="31" t="s">
        <v>3843</v>
      </c>
    </row>
    <row r="2010" spans="1:2" x14ac:dyDescent="0.25">
      <c r="A2010" s="32" t="s">
        <v>489</v>
      </c>
      <c r="B2010" s="33" t="s">
        <v>3844</v>
      </c>
    </row>
    <row r="2011" spans="1:2" x14ac:dyDescent="0.25">
      <c r="A2011" s="30" t="s">
        <v>10336</v>
      </c>
      <c r="B2011" s="31" t="s">
        <v>10336</v>
      </c>
    </row>
    <row r="2012" spans="1:2" x14ac:dyDescent="0.25">
      <c r="A2012" s="32" t="s">
        <v>10337</v>
      </c>
      <c r="B2012" s="33" t="s">
        <v>10337</v>
      </c>
    </row>
    <row r="2013" spans="1:2" x14ac:dyDescent="0.25">
      <c r="A2013" s="30" t="s">
        <v>3845</v>
      </c>
      <c r="B2013" s="31" t="s">
        <v>3846</v>
      </c>
    </row>
    <row r="2014" spans="1:2" x14ac:dyDescent="0.25">
      <c r="A2014" s="32" t="s">
        <v>3847</v>
      </c>
      <c r="B2014" s="33" t="s">
        <v>3848</v>
      </c>
    </row>
    <row r="2015" spans="1:2" x14ac:dyDescent="0.25">
      <c r="A2015" s="30" t="s">
        <v>490</v>
      </c>
      <c r="B2015" s="31" t="s">
        <v>3849</v>
      </c>
    </row>
    <row r="2016" spans="1:2" x14ac:dyDescent="0.25">
      <c r="A2016" s="32" t="s">
        <v>491</v>
      </c>
      <c r="B2016" s="33" t="s">
        <v>3850</v>
      </c>
    </row>
    <row r="2017" spans="1:2" x14ac:dyDescent="0.25">
      <c r="A2017" s="30" t="s">
        <v>492</v>
      </c>
      <c r="B2017" s="31" t="s">
        <v>3851</v>
      </c>
    </row>
    <row r="2018" spans="1:2" x14ac:dyDescent="0.25">
      <c r="A2018" s="32" t="s">
        <v>3852</v>
      </c>
      <c r="B2018" s="33" t="s">
        <v>3853</v>
      </c>
    </row>
    <row r="2019" spans="1:2" x14ac:dyDescent="0.25">
      <c r="A2019" s="30" t="s">
        <v>3854</v>
      </c>
      <c r="B2019" s="31" t="s">
        <v>3855</v>
      </c>
    </row>
    <row r="2020" spans="1:2" x14ac:dyDescent="0.25">
      <c r="A2020" s="32" t="s">
        <v>3856</v>
      </c>
      <c r="B2020" s="33" t="s">
        <v>3857</v>
      </c>
    </row>
    <row r="2021" spans="1:2" x14ac:dyDescent="0.25">
      <c r="A2021" s="30" t="s">
        <v>3858</v>
      </c>
      <c r="B2021" s="31" t="s">
        <v>3859</v>
      </c>
    </row>
    <row r="2022" spans="1:2" x14ac:dyDescent="0.25">
      <c r="A2022" s="32" t="s">
        <v>3860</v>
      </c>
      <c r="B2022" s="33" t="s">
        <v>3861</v>
      </c>
    </row>
    <row r="2023" spans="1:2" x14ac:dyDescent="0.25">
      <c r="A2023" s="30" t="s">
        <v>3862</v>
      </c>
      <c r="B2023" s="31" t="s">
        <v>3863</v>
      </c>
    </row>
    <row r="2024" spans="1:2" x14ac:dyDescent="0.25">
      <c r="A2024" s="32" t="s">
        <v>3864</v>
      </c>
      <c r="B2024" s="33" t="s">
        <v>3865</v>
      </c>
    </row>
    <row r="2025" spans="1:2" x14ac:dyDescent="0.25">
      <c r="A2025" s="30" t="s">
        <v>3866</v>
      </c>
      <c r="B2025" s="31" t="s">
        <v>3867</v>
      </c>
    </row>
    <row r="2026" spans="1:2" x14ac:dyDescent="0.25">
      <c r="A2026" s="32" t="s">
        <v>3868</v>
      </c>
      <c r="B2026" s="33" t="s">
        <v>3869</v>
      </c>
    </row>
    <row r="2027" spans="1:2" x14ac:dyDescent="0.25">
      <c r="A2027" s="30" t="s">
        <v>3870</v>
      </c>
      <c r="B2027" s="31" t="s">
        <v>3871</v>
      </c>
    </row>
    <row r="2028" spans="1:2" x14ac:dyDescent="0.25">
      <c r="A2028" s="32" t="s">
        <v>10338</v>
      </c>
      <c r="B2028" s="33" t="s">
        <v>10338</v>
      </c>
    </row>
    <row r="2029" spans="1:2" x14ac:dyDescent="0.25">
      <c r="A2029" s="30" t="s">
        <v>3872</v>
      </c>
      <c r="B2029" s="31" t="s">
        <v>3873</v>
      </c>
    </row>
    <row r="2030" spans="1:2" x14ac:dyDescent="0.25">
      <c r="A2030" s="32" t="s">
        <v>3874</v>
      </c>
      <c r="B2030" s="33" t="s">
        <v>3875</v>
      </c>
    </row>
    <row r="2031" spans="1:2" x14ac:dyDescent="0.25">
      <c r="A2031" s="30" t="s">
        <v>3876</v>
      </c>
      <c r="B2031" s="31" t="s">
        <v>3877</v>
      </c>
    </row>
    <row r="2032" spans="1:2" x14ac:dyDescent="0.25">
      <c r="A2032" s="32" t="s">
        <v>3878</v>
      </c>
      <c r="B2032" s="33" t="s">
        <v>3879</v>
      </c>
    </row>
    <row r="2033" spans="1:2" x14ac:dyDescent="0.25">
      <c r="A2033" s="30" t="s">
        <v>3880</v>
      </c>
      <c r="B2033" s="31" t="s">
        <v>3881</v>
      </c>
    </row>
    <row r="2034" spans="1:2" x14ac:dyDescent="0.25">
      <c r="A2034" s="32" t="s">
        <v>3882</v>
      </c>
      <c r="B2034" s="33" t="s">
        <v>3883</v>
      </c>
    </row>
    <row r="2035" spans="1:2" x14ac:dyDescent="0.25">
      <c r="A2035" s="30" t="s">
        <v>10339</v>
      </c>
      <c r="B2035" s="31" t="s">
        <v>10339</v>
      </c>
    </row>
    <row r="2036" spans="1:2" x14ac:dyDescent="0.25">
      <c r="A2036" s="32" t="s">
        <v>10340</v>
      </c>
      <c r="B2036" s="33" t="s">
        <v>10340</v>
      </c>
    </row>
    <row r="2037" spans="1:2" x14ac:dyDescent="0.25">
      <c r="A2037" s="30" t="s">
        <v>3884</v>
      </c>
      <c r="B2037" s="31" t="s">
        <v>3885</v>
      </c>
    </row>
    <row r="2038" spans="1:2" x14ac:dyDescent="0.25">
      <c r="A2038" s="32" t="s">
        <v>3886</v>
      </c>
      <c r="B2038" s="33" t="s">
        <v>3887</v>
      </c>
    </row>
    <row r="2039" spans="1:2" x14ac:dyDescent="0.25">
      <c r="A2039" s="30" t="s">
        <v>3888</v>
      </c>
      <c r="B2039" s="31" t="s">
        <v>3889</v>
      </c>
    </row>
    <row r="2040" spans="1:2" x14ac:dyDescent="0.25">
      <c r="A2040" s="32" t="s">
        <v>10341</v>
      </c>
      <c r="B2040" s="33" t="s">
        <v>10341</v>
      </c>
    </row>
    <row r="2041" spans="1:2" x14ac:dyDescent="0.25">
      <c r="A2041" s="30" t="s">
        <v>3890</v>
      </c>
      <c r="B2041" s="31" t="s">
        <v>3891</v>
      </c>
    </row>
    <row r="2042" spans="1:2" x14ac:dyDescent="0.25">
      <c r="A2042" s="32" t="s">
        <v>3892</v>
      </c>
      <c r="B2042" s="33" t="s">
        <v>3893</v>
      </c>
    </row>
    <row r="2043" spans="1:2" x14ac:dyDescent="0.25">
      <c r="A2043" s="30" t="s">
        <v>493</v>
      </c>
      <c r="B2043" s="31" t="s">
        <v>3894</v>
      </c>
    </row>
    <row r="2044" spans="1:2" x14ac:dyDescent="0.25">
      <c r="A2044" s="32" t="s">
        <v>3895</v>
      </c>
      <c r="B2044" s="33" t="s">
        <v>3896</v>
      </c>
    </row>
    <row r="2045" spans="1:2" x14ac:dyDescent="0.25">
      <c r="A2045" s="30" t="s">
        <v>3897</v>
      </c>
      <c r="B2045" s="31" t="s">
        <v>3898</v>
      </c>
    </row>
    <row r="2046" spans="1:2" x14ac:dyDescent="0.25">
      <c r="A2046" s="32" t="s">
        <v>3899</v>
      </c>
      <c r="B2046" s="33" t="s">
        <v>3900</v>
      </c>
    </row>
    <row r="2047" spans="1:2" x14ac:dyDescent="0.25">
      <c r="A2047" s="30" t="s">
        <v>3901</v>
      </c>
      <c r="B2047" s="31" t="s">
        <v>3902</v>
      </c>
    </row>
    <row r="2048" spans="1:2" x14ac:dyDescent="0.25">
      <c r="A2048" s="32" t="s">
        <v>3903</v>
      </c>
      <c r="B2048" s="33" t="s">
        <v>3904</v>
      </c>
    </row>
    <row r="2049" spans="1:2" x14ac:dyDescent="0.25">
      <c r="A2049" s="30" t="s">
        <v>10342</v>
      </c>
      <c r="B2049" s="31" t="s">
        <v>10342</v>
      </c>
    </row>
    <row r="2050" spans="1:2" x14ac:dyDescent="0.25">
      <c r="A2050" s="32" t="s">
        <v>3905</v>
      </c>
      <c r="B2050" s="33" t="s">
        <v>3906</v>
      </c>
    </row>
    <row r="2051" spans="1:2" x14ac:dyDescent="0.25">
      <c r="A2051" s="30" t="s">
        <v>3907</v>
      </c>
      <c r="B2051" s="31" t="s">
        <v>3908</v>
      </c>
    </row>
    <row r="2052" spans="1:2" x14ac:dyDescent="0.25">
      <c r="A2052" s="32" t="s">
        <v>3909</v>
      </c>
      <c r="B2052" s="33" t="s">
        <v>3910</v>
      </c>
    </row>
    <row r="2053" spans="1:2" x14ac:dyDescent="0.25">
      <c r="A2053" s="30" t="s">
        <v>3911</v>
      </c>
      <c r="B2053" s="31" t="s">
        <v>3912</v>
      </c>
    </row>
    <row r="2054" spans="1:2" x14ac:dyDescent="0.25">
      <c r="A2054" s="32" t="s">
        <v>3913</v>
      </c>
      <c r="B2054" s="33" t="s">
        <v>3914</v>
      </c>
    </row>
    <row r="2055" spans="1:2" x14ac:dyDescent="0.25">
      <c r="A2055" s="30" t="s">
        <v>10343</v>
      </c>
      <c r="B2055" s="31" t="s">
        <v>10343</v>
      </c>
    </row>
    <row r="2056" spans="1:2" x14ac:dyDescent="0.25">
      <c r="A2056" s="32" t="s">
        <v>10344</v>
      </c>
      <c r="B2056" s="33" t="s">
        <v>10344</v>
      </c>
    </row>
    <row r="2057" spans="1:2" x14ac:dyDescent="0.25">
      <c r="A2057" s="30" t="s">
        <v>3915</v>
      </c>
      <c r="B2057" s="31" t="s">
        <v>3916</v>
      </c>
    </row>
    <row r="2058" spans="1:2" x14ac:dyDescent="0.25">
      <c r="A2058" s="32" t="s">
        <v>3917</v>
      </c>
      <c r="B2058" s="33" t="s">
        <v>3918</v>
      </c>
    </row>
    <row r="2059" spans="1:2" x14ac:dyDescent="0.25">
      <c r="A2059" s="30" t="s">
        <v>3919</v>
      </c>
      <c r="B2059" s="31" t="s">
        <v>3920</v>
      </c>
    </row>
    <row r="2060" spans="1:2" x14ac:dyDescent="0.25">
      <c r="A2060" s="32" t="s">
        <v>3921</v>
      </c>
      <c r="B2060" s="33" t="s">
        <v>3922</v>
      </c>
    </row>
    <row r="2061" spans="1:2" x14ac:dyDescent="0.25">
      <c r="A2061" s="30" t="s">
        <v>3923</v>
      </c>
      <c r="B2061" s="31" t="s">
        <v>3924</v>
      </c>
    </row>
    <row r="2062" spans="1:2" x14ac:dyDescent="0.25">
      <c r="A2062" s="32" t="s">
        <v>10345</v>
      </c>
      <c r="B2062" s="33" t="s">
        <v>10345</v>
      </c>
    </row>
    <row r="2063" spans="1:2" x14ac:dyDescent="0.25">
      <c r="A2063" s="30" t="s">
        <v>3925</v>
      </c>
      <c r="B2063" s="31" t="s">
        <v>3926</v>
      </c>
    </row>
    <row r="2064" spans="1:2" x14ac:dyDescent="0.25">
      <c r="A2064" s="32" t="s">
        <v>3927</v>
      </c>
      <c r="B2064" s="33" t="s">
        <v>3928</v>
      </c>
    </row>
    <row r="2065" spans="1:2" x14ac:dyDescent="0.25">
      <c r="A2065" s="30" t="s">
        <v>3929</v>
      </c>
      <c r="B2065" s="31" t="s">
        <v>3930</v>
      </c>
    </row>
    <row r="2066" spans="1:2" x14ac:dyDescent="0.25">
      <c r="A2066" s="32" t="s">
        <v>3931</v>
      </c>
      <c r="B2066" s="33" t="s">
        <v>3932</v>
      </c>
    </row>
    <row r="2067" spans="1:2" x14ac:dyDescent="0.25">
      <c r="A2067" s="30" t="s">
        <v>3933</v>
      </c>
      <c r="B2067" s="31" t="s">
        <v>3934</v>
      </c>
    </row>
    <row r="2068" spans="1:2" x14ac:dyDescent="0.25">
      <c r="A2068" s="32" t="s">
        <v>10346</v>
      </c>
      <c r="B2068" s="33" t="s">
        <v>10346</v>
      </c>
    </row>
    <row r="2069" spans="1:2" x14ac:dyDescent="0.25">
      <c r="A2069" s="30" t="s">
        <v>3935</v>
      </c>
      <c r="B2069" s="31" t="s">
        <v>3936</v>
      </c>
    </row>
    <row r="2070" spans="1:2" x14ac:dyDescent="0.25">
      <c r="A2070" s="32" t="s">
        <v>10347</v>
      </c>
      <c r="B2070" s="33" t="s">
        <v>10347</v>
      </c>
    </row>
    <row r="2071" spans="1:2" x14ac:dyDescent="0.25">
      <c r="A2071" s="30" t="s">
        <v>3937</v>
      </c>
      <c r="B2071" s="31" t="s">
        <v>3938</v>
      </c>
    </row>
    <row r="2072" spans="1:2" x14ac:dyDescent="0.25">
      <c r="A2072" s="32" t="s">
        <v>3939</v>
      </c>
      <c r="B2072" s="33" t="s">
        <v>3940</v>
      </c>
    </row>
    <row r="2073" spans="1:2" x14ac:dyDescent="0.25">
      <c r="A2073" s="30" t="s">
        <v>10348</v>
      </c>
      <c r="B2073" s="31" t="s">
        <v>10348</v>
      </c>
    </row>
    <row r="2074" spans="1:2" x14ac:dyDescent="0.25">
      <c r="A2074" s="32" t="s">
        <v>3941</v>
      </c>
      <c r="B2074" s="33" t="s">
        <v>3942</v>
      </c>
    </row>
    <row r="2075" spans="1:2" x14ac:dyDescent="0.25">
      <c r="A2075" s="30" t="s">
        <v>10349</v>
      </c>
      <c r="B2075" s="31" t="s">
        <v>10349</v>
      </c>
    </row>
    <row r="2076" spans="1:2" x14ac:dyDescent="0.25">
      <c r="A2076" s="32" t="s">
        <v>3943</v>
      </c>
      <c r="B2076" s="33" t="s">
        <v>3944</v>
      </c>
    </row>
    <row r="2077" spans="1:2" x14ac:dyDescent="0.25">
      <c r="A2077" s="30" t="s">
        <v>10350</v>
      </c>
      <c r="B2077" s="31" t="s">
        <v>10350</v>
      </c>
    </row>
    <row r="2078" spans="1:2" x14ac:dyDescent="0.25">
      <c r="A2078" s="32" t="s">
        <v>3945</v>
      </c>
      <c r="B2078" s="33" t="s">
        <v>3946</v>
      </c>
    </row>
    <row r="2079" spans="1:2" x14ac:dyDescent="0.25">
      <c r="A2079" s="30" t="s">
        <v>3947</v>
      </c>
      <c r="B2079" s="31" t="s">
        <v>3948</v>
      </c>
    </row>
    <row r="2080" spans="1:2" x14ac:dyDescent="0.25">
      <c r="A2080" s="32" t="s">
        <v>10351</v>
      </c>
      <c r="B2080" s="33" t="s">
        <v>10351</v>
      </c>
    </row>
    <row r="2081" spans="1:2" x14ac:dyDescent="0.25">
      <c r="A2081" s="30" t="s">
        <v>3949</v>
      </c>
      <c r="B2081" s="31" t="s">
        <v>3950</v>
      </c>
    </row>
    <row r="2082" spans="1:2" x14ac:dyDescent="0.25">
      <c r="A2082" s="32" t="s">
        <v>10352</v>
      </c>
      <c r="B2082" s="33" t="s">
        <v>10352</v>
      </c>
    </row>
    <row r="2083" spans="1:2" x14ac:dyDescent="0.25">
      <c r="A2083" s="30" t="s">
        <v>3951</v>
      </c>
      <c r="B2083" s="31" t="s">
        <v>3952</v>
      </c>
    </row>
    <row r="2084" spans="1:2" x14ac:dyDescent="0.25">
      <c r="A2084" s="32" t="s">
        <v>10353</v>
      </c>
      <c r="B2084" s="33" t="s">
        <v>10353</v>
      </c>
    </row>
    <row r="2085" spans="1:2" x14ac:dyDescent="0.25">
      <c r="A2085" s="30" t="s">
        <v>10354</v>
      </c>
      <c r="B2085" s="31" t="s">
        <v>10354</v>
      </c>
    </row>
    <row r="2086" spans="1:2" x14ac:dyDescent="0.25">
      <c r="A2086" s="32" t="s">
        <v>10355</v>
      </c>
      <c r="B2086" s="33" t="s">
        <v>10355</v>
      </c>
    </row>
    <row r="2087" spans="1:2" x14ac:dyDescent="0.25">
      <c r="A2087" s="30" t="s">
        <v>3953</v>
      </c>
      <c r="B2087" s="31" t="s">
        <v>3954</v>
      </c>
    </row>
    <row r="2088" spans="1:2" x14ac:dyDescent="0.25">
      <c r="A2088" s="32" t="s">
        <v>3955</v>
      </c>
      <c r="B2088" s="33" t="s">
        <v>3956</v>
      </c>
    </row>
    <row r="2089" spans="1:2" x14ac:dyDescent="0.25">
      <c r="A2089" s="30" t="s">
        <v>3957</v>
      </c>
      <c r="B2089" s="31" t="s">
        <v>3958</v>
      </c>
    </row>
    <row r="2090" spans="1:2" x14ac:dyDescent="0.25">
      <c r="A2090" s="32" t="s">
        <v>10356</v>
      </c>
      <c r="B2090" s="33" t="s">
        <v>10356</v>
      </c>
    </row>
    <row r="2091" spans="1:2" x14ac:dyDescent="0.25">
      <c r="A2091" s="30" t="s">
        <v>10357</v>
      </c>
      <c r="B2091" s="31" t="s">
        <v>10357</v>
      </c>
    </row>
    <row r="2092" spans="1:2" x14ac:dyDescent="0.25">
      <c r="A2092" s="32" t="s">
        <v>3959</v>
      </c>
      <c r="B2092" s="33" t="s">
        <v>3960</v>
      </c>
    </row>
    <row r="2093" spans="1:2" x14ac:dyDescent="0.25">
      <c r="A2093" s="30" t="s">
        <v>10358</v>
      </c>
      <c r="B2093" s="31" t="s">
        <v>10358</v>
      </c>
    </row>
    <row r="2094" spans="1:2" x14ac:dyDescent="0.25">
      <c r="A2094" s="32" t="s">
        <v>3961</v>
      </c>
      <c r="B2094" s="33" t="s">
        <v>3962</v>
      </c>
    </row>
    <row r="2095" spans="1:2" x14ac:dyDescent="0.25">
      <c r="A2095" s="30" t="s">
        <v>10359</v>
      </c>
      <c r="B2095" s="31" t="s">
        <v>10359</v>
      </c>
    </row>
    <row r="2096" spans="1:2" x14ac:dyDescent="0.25">
      <c r="A2096" s="32" t="s">
        <v>10360</v>
      </c>
      <c r="B2096" s="33" t="s">
        <v>10360</v>
      </c>
    </row>
    <row r="2097" spans="1:2" x14ac:dyDescent="0.25">
      <c r="A2097" s="30" t="s">
        <v>10361</v>
      </c>
      <c r="B2097" s="31" t="s">
        <v>10361</v>
      </c>
    </row>
    <row r="2098" spans="1:2" x14ac:dyDescent="0.25">
      <c r="A2098" s="32" t="s">
        <v>10362</v>
      </c>
      <c r="B2098" s="33" t="s">
        <v>10362</v>
      </c>
    </row>
    <row r="2099" spans="1:2" x14ac:dyDescent="0.25">
      <c r="A2099" s="30" t="s">
        <v>3963</v>
      </c>
      <c r="B2099" s="31" t="s">
        <v>3964</v>
      </c>
    </row>
    <row r="2100" spans="1:2" x14ac:dyDescent="0.25">
      <c r="A2100" s="32" t="s">
        <v>3965</v>
      </c>
      <c r="B2100" s="33" t="s">
        <v>3966</v>
      </c>
    </row>
    <row r="2101" spans="1:2" x14ac:dyDescent="0.25">
      <c r="A2101" s="30" t="s">
        <v>10363</v>
      </c>
      <c r="B2101" s="31" t="s">
        <v>10363</v>
      </c>
    </row>
    <row r="2102" spans="1:2" x14ac:dyDescent="0.25">
      <c r="A2102" s="32" t="s">
        <v>10364</v>
      </c>
      <c r="B2102" s="33" t="s">
        <v>10364</v>
      </c>
    </row>
    <row r="2103" spans="1:2" x14ac:dyDescent="0.25">
      <c r="A2103" s="30" t="s">
        <v>494</v>
      </c>
      <c r="B2103" s="31" t="s">
        <v>494</v>
      </c>
    </row>
    <row r="2104" spans="1:2" x14ac:dyDescent="0.25">
      <c r="A2104" s="32" t="s">
        <v>10365</v>
      </c>
      <c r="B2104" s="33" t="s">
        <v>10365</v>
      </c>
    </row>
    <row r="2105" spans="1:2" x14ac:dyDescent="0.25">
      <c r="A2105" s="30" t="s">
        <v>3967</v>
      </c>
      <c r="B2105" s="31" t="s">
        <v>3968</v>
      </c>
    </row>
    <row r="2106" spans="1:2" x14ac:dyDescent="0.25">
      <c r="A2106" s="32" t="s">
        <v>10366</v>
      </c>
      <c r="B2106" s="33" t="s">
        <v>10366</v>
      </c>
    </row>
    <row r="2107" spans="1:2" x14ac:dyDescent="0.25">
      <c r="A2107" s="30" t="s">
        <v>495</v>
      </c>
      <c r="B2107" s="31" t="s">
        <v>495</v>
      </c>
    </row>
    <row r="2108" spans="1:2" x14ac:dyDescent="0.25">
      <c r="A2108" s="32" t="s">
        <v>3969</v>
      </c>
      <c r="B2108" s="33" t="s">
        <v>3970</v>
      </c>
    </row>
    <row r="2109" spans="1:2" x14ac:dyDescent="0.25">
      <c r="A2109" s="30" t="s">
        <v>3971</v>
      </c>
      <c r="B2109" s="31" t="s">
        <v>3972</v>
      </c>
    </row>
    <row r="2110" spans="1:2" x14ac:dyDescent="0.25">
      <c r="A2110" s="32" t="s">
        <v>3973</v>
      </c>
      <c r="B2110" s="33" t="s">
        <v>3974</v>
      </c>
    </row>
    <row r="2111" spans="1:2" x14ac:dyDescent="0.25">
      <c r="A2111" s="30" t="s">
        <v>3975</v>
      </c>
      <c r="B2111" s="31" t="s">
        <v>3976</v>
      </c>
    </row>
    <row r="2112" spans="1:2" x14ac:dyDescent="0.25">
      <c r="A2112" s="32" t="s">
        <v>3977</v>
      </c>
      <c r="B2112" s="33" t="s">
        <v>3978</v>
      </c>
    </row>
    <row r="2113" spans="1:2" x14ac:dyDescent="0.25">
      <c r="A2113" s="30" t="s">
        <v>10367</v>
      </c>
      <c r="B2113" s="31" t="s">
        <v>10367</v>
      </c>
    </row>
    <row r="2114" spans="1:2" x14ac:dyDescent="0.25">
      <c r="A2114" s="32" t="s">
        <v>3979</v>
      </c>
      <c r="B2114" s="33" t="s">
        <v>3980</v>
      </c>
    </row>
    <row r="2115" spans="1:2" x14ac:dyDescent="0.25">
      <c r="A2115" s="30" t="s">
        <v>3981</v>
      </c>
      <c r="B2115" s="31" t="s">
        <v>3982</v>
      </c>
    </row>
    <row r="2116" spans="1:2" x14ac:dyDescent="0.25">
      <c r="A2116" s="32" t="s">
        <v>3983</v>
      </c>
      <c r="B2116" s="33" t="s">
        <v>3984</v>
      </c>
    </row>
    <row r="2117" spans="1:2" x14ac:dyDescent="0.25">
      <c r="A2117" s="30" t="s">
        <v>3985</v>
      </c>
      <c r="B2117" s="31" t="s">
        <v>3986</v>
      </c>
    </row>
    <row r="2118" spans="1:2" x14ac:dyDescent="0.25">
      <c r="A2118" s="32" t="s">
        <v>10368</v>
      </c>
      <c r="B2118" s="33" t="s">
        <v>10368</v>
      </c>
    </row>
    <row r="2119" spans="1:2" x14ac:dyDescent="0.25">
      <c r="A2119" s="30" t="s">
        <v>3987</v>
      </c>
      <c r="B2119" s="31" t="s">
        <v>3988</v>
      </c>
    </row>
    <row r="2120" spans="1:2" x14ac:dyDescent="0.25">
      <c r="A2120" s="32" t="s">
        <v>3989</v>
      </c>
      <c r="B2120" s="33" t="s">
        <v>3990</v>
      </c>
    </row>
    <row r="2121" spans="1:2" x14ac:dyDescent="0.25">
      <c r="A2121" s="30" t="s">
        <v>3991</v>
      </c>
      <c r="B2121" s="31" t="s">
        <v>3992</v>
      </c>
    </row>
    <row r="2122" spans="1:2" x14ac:dyDescent="0.25">
      <c r="A2122" s="32" t="s">
        <v>3993</v>
      </c>
      <c r="B2122" s="33" t="s">
        <v>3994</v>
      </c>
    </row>
    <row r="2123" spans="1:2" x14ac:dyDescent="0.25">
      <c r="A2123" s="30" t="s">
        <v>3995</v>
      </c>
      <c r="B2123" s="31" t="s">
        <v>3996</v>
      </c>
    </row>
    <row r="2124" spans="1:2" x14ac:dyDescent="0.25">
      <c r="A2124" s="32" t="s">
        <v>10369</v>
      </c>
      <c r="B2124" s="33" t="s">
        <v>10369</v>
      </c>
    </row>
    <row r="2125" spans="1:2" x14ac:dyDescent="0.25">
      <c r="A2125" s="30" t="s">
        <v>10370</v>
      </c>
      <c r="B2125" s="31" t="s">
        <v>10370</v>
      </c>
    </row>
    <row r="2126" spans="1:2" x14ac:dyDescent="0.25">
      <c r="A2126" s="32" t="s">
        <v>3997</v>
      </c>
      <c r="B2126" s="33" t="s">
        <v>3998</v>
      </c>
    </row>
    <row r="2127" spans="1:2" x14ac:dyDescent="0.25">
      <c r="A2127" s="30" t="s">
        <v>10371</v>
      </c>
      <c r="B2127" s="31" t="s">
        <v>10371</v>
      </c>
    </row>
    <row r="2128" spans="1:2" x14ac:dyDescent="0.25">
      <c r="A2128" s="32" t="s">
        <v>496</v>
      </c>
      <c r="B2128" s="33" t="s">
        <v>3999</v>
      </c>
    </row>
    <row r="2129" spans="1:2" x14ac:dyDescent="0.25">
      <c r="A2129" s="30" t="s">
        <v>10372</v>
      </c>
      <c r="B2129" s="31" t="s">
        <v>10372</v>
      </c>
    </row>
    <row r="2130" spans="1:2" x14ac:dyDescent="0.25">
      <c r="A2130" s="32" t="s">
        <v>4000</v>
      </c>
      <c r="B2130" s="33" t="s">
        <v>4001</v>
      </c>
    </row>
    <row r="2131" spans="1:2" x14ac:dyDescent="0.25">
      <c r="A2131" s="30" t="s">
        <v>4002</v>
      </c>
      <c r="B2131" s="31" t="s">
        <v>4003</v>
      </c>
    </row>
    <row r="2132" spans="1:2" x14ac:dyDescent="0.25">
      <c r="A2132" s="32" t="s">
        <v>10373</v>
      </c>
      <c r="B2132" s="33" t="s">
        <v>10373</v>
      </c>
    </row>
    <row r="2133" spans="1:2" x14ac:dyDescent="0.25">
      <c r="A2133" s="30" t="s">
        <v>4004</v>
      </c>
      <c r="B2133" s="31" t="s">
        <v>4005</v>
      </c>
    </row>
    <row r="2134" spans="1:2" x14ac:dyDescent="0.25">
      <c r="A2134" s="32" t="s">
        <v>4006</v>
      </c>
      <c r="B2134" s="33" t="s">
        <v>4007</v>
      </c>
    </row>
    <row r="2135" spans="1:2" x14ac:dyDescent="0.25">
      <c r="A2135" s="30" t="s">
        <v>4008</v>
      </c>
      <c r="B2135" s="31" t="s">
        <v>4009</v>
      </c>
    </row>
    <row r="2136" spans="1:2" x14ac:dyDescent="0.25">
      <c r="A2136" s="32" t="s">
        <v>4010</v>
      </c>
      <c r="B2136" s="33" t="s">
        <v>4011</v>
      </c>
    </row>
    <row r="2137" spans="1:2" x14ac:dyDescent="0.25">
      <c r="A2137" s="30" t="s">
        <v>4012</v>
      </c>
      <c r="B2137" s="31" t="s">
        <v>4013</v>
      </c>
    </row>
    <row r="2138" spans="1:2" x14ac:dyDescent="0.25">
      <c r="A2138" s="32" t="s">
        <v>4014</v>
      </c>
      <c r="B2138" s="33" t="s">
        <v>4015</v>
      </c>
    </row>
    <row r="2139" spans="1:2" x14ac:dyDescent="0.25">
      <c r="A2139" s="30" t="s">
        <v>497</v>
      </c>
      <c r="B2139" s="31" t="s">
        <v>4016</v>
      </c>
    </row>
    <row r="2140" spans="1:2" x14ac:dyDescent="0.25">
      <c r="A2140" s="32" t="s">
        <v>4017</v>
      </c>
      <c r="B2140" s="33" t="s">
        <v>4018</v>
      </c>
    </row>
    <row r="2141" spans="1:2" x14ac:dyDescent="0.25">
      <c r="A2141" s="30" t="s">
        <v>4019</v>
      </c>
      <c r="B2141" s="31" t="s">
        <v>4020</v>
      </c>
    </row>
    <row r="2142" spans="1:2" x14ac:dyDescent="0.25">
      <c r="A2142" s="32" t="s">
        <v>4021</v>
      </c>
      <c r="B2142" s="33" t="s">
        <v>4022</v>
      </c>
    </row>
    <row r="2143" spans="1:2" x14ac:dyDescent="0.25">
      <c r="A2143" s="30" t="s">
        <v>4023</v>
      </c>
      <c r="B2143" s="31" t="s">
        <v>4024</v>
      </c>
    </row>
    <row r="2144" spans="1:2" x14ac:dyDescent="0.25">
      <c r="A2144" s="32" t="s">
        <v>4025</v>
      </c>
      <c r="B2144" s="33" t="s">
        <v>4026</v>
      </c>
    </row>
    <row r="2145" spans="1:2" x14ac:dyDescent="0.25">
      <c r="A2145" s="30" t="s">
        <v>4027</v>
      </c>
      <c r="B2145" s="31" t="s">
        <v>4028</v>
      </c>
    </row>
    <row r="2146" spans="1:2" x14ac:dyDescent="0.25">
      <c r="A2146" s="32" t="s">
        <v>4029</v>
      </c>
      <c r="B2146" s="33" t="s">
        <v>4030</v>
      </c>
    </row>
    <row r="2147" spans="1:2" x14ac:dyDescent="0.25">
      <c r="A2147" s="30" t="s">
        <v>4031</v>
      </c>
      <c r="B2147" s="31" t="s">
        <v>4032</v>
      </c>
    </row>
    <row r="2148" spans="1:2" x14ac:dyDescent="0.25">
      <c r="A2148" s="32" t="s">
        <v>4033</v>
      </c>
      <c r="B2148" s="33" t="s">
        <v>4034</v>
      </c>
    </row>
    <row r="2149" spans="1:2" x14ac:dyDescent="0.25">
      <c r="A2149" s="30" t="s">
        <v>4035</v>
      </c>
      <c r="B2149" s="31" t="s">
        <v>4036</v>
      </c>
    </row>
    <row r="2150" spans="1:2" x14ac:dyDescent="0.25">
      <c r="A2150" s="32" t="s">
        <v>4037</v>
      </c>
      <c r="B2150" s="33" t="s">
        <v>4038</v>
      </c>
    </row>
    <row r="2151" spans="1:2" x14ac:dyDescent="0.25">
      <c r="A2151" s="30" t="s">
        <v>4039</v>
      </c>
      <c r="B2151" s="31" t="s">
        <v>4040</v>
      </c>
    </row>
    <row r="2152" spans="1:2" x14ac:dyDescent="0.25">
      <c r="A2152" s="32" t="s">
        <v>4041</v>
      </c>
      <c r="B2152" s="33" t="s">
        <v>4042</v>
      </c>
    </row>
    <row r="2153" spans="1:2" x14ac:dyDescent="0.25">
      <c r="A2153" s="30" t="s">
        <v>4043</v>
      </c>
      <c r="B2153" s="31" t="s">
        <v>4044</v>
      </c>
    </row>
    <row r="2154" spans="1:2" x14ac:dyDescent="0.25">
      <c r="A2154" s="32" t="s">
        <v>4045</v>
      </c>
      <c r="B2154" s="33" t="s">
        <v>4046</v>
      </c>
    </row>
    <row r="2155" spans="1:2" x14ac:dyDescent="0.25">
      <c r="A2155" s="30" t="s">
        <v>10374</v>
      </c>
      <c r="B2155" s="31" t="s">
        <v>10374</v>
      </c>
    </row>
    <row r="2156" spans="1:2" x14ac:dyDescent="0.25">
      <c r="A2156" s="32" t="s">
        <v>4047</v>
      </c>
      <c r="B2156" s="33" t="s">
        <v>4048</v>
      </c>
    </row>
    <row r="2157" spans="1:2" x14ac:dyDescent="0.25">
      <c r="A2157" s="30" t="s">
        <v>4049</v>
      </c>
      <c r="B2157" s="31" t="s">
        <v>4050</v>
      </c>
    </row>
    <row r="2158" spans="1:2" x14ac:dyDescent="0.25">
      <c r="A2158" s="32" t="s">
        <v>10375</v>
      </c>
      <c r="B2158" s="33" t="s">
        <v>10375</v>
      </c>
    </row>
    <row r="2159" spans="1:2" x14ac:dyDescent="0.25">
      <c r="A2159" s="30" t="s">
        <v>4051</v>
      </c>
      <c r="B2159" s="31" t="s">
        <v>4052</v>
      </c>
    </row>
    <row r="2160" spans="1:2" x14ac:dyDescent="0.25">
      <c r="A2160" s="32" t="s">
        <v>10376</v>
      </c>
      <c r="B2160" s="33" t="s">
        <v>10376</v>
      </c>
    </row>
    <row r="2161" spans="1:2" x14ac:dyDescent="0.25">
      <c r="A2161" s="30" t="s">
        <v>4053</v>
      </c>
      <c r="B2161" s="31" t="s">
        <v>4054</v>
      </c>
    </row>
    <row r="2162" spans="1:2" x14ac:dyDescent="0.25">
      <c r="A2162" s="32" t="s">
        <v>10377</v>
      </c>
      <c r="B2162" s="33" t="s">
        <v>10377</v>
      </c>
    </row>
    <row r="2163" spans="1:2" x14ac:dyDescent="0.25">
      <c r="A2163" s="30" t="s">
        <v>4055</v>
      </c>
      <c r="B2163" s="31" t="s">
        <v>4056</v>
      </c>
    </row>
    <row r="2164" spans="1:2" x14ac:dyDescent="0.25">
      <c r="A2164" s="32" t="s">
        <v>4057</v>
      </c>
      <c r="B2164" s="33" t="s">
        <v>4058</v>
      </c>
    </row>
    <row r="2165" spans="1:2" x14ac:dyDescent="0.25">
      <c r="A2165" s="30" t="s">
        <v>10378</v>
      </c>
      <c r="B2165" s="31" t="s">
        <v>10378</v>
      </c>
    </row>
    <row r="2166" spans="1:2" x14ac:dyDescent="0.25">
      <c r="A2166" s="32" t="s">
        <v>10379</v>
      </c>
      <c r="B2166" s="33" t="s">
        <v>10379</v>
      </c>
    </row>
    <row r="2167" spans="1:2" x14ac:dyDescent="0.25">
      <c r="A2167" s="30" t="s">
        <v>10380</v>
      </c>
      <c r="B2167" s="31" t="s">
        <v>10380</v>
      </c>
    </row>
    <row r="2168" spans="1:2" x14ac:dyDescent="0.25">
      <c r="A2168" s="32" t="s">
        <v>4059</v>
      </c>
      <c r="B2168" s="33" t="s">
        <v>4060</v>
      </c>
    </row>
    <row r="2169" spans="1:2" x14ac:dyDescent="0.25">
      <c r="A2169" s="30" t="s">
        <v>4061</v>
      </c>
      <c r="B2169" s="31" t="s">
        <v>4062</v>
      </c>
    </row>
    <row r="2170" spans="1:2" x14ac:dyDescent="0.25">
      <c r="A2170" s="32" t="s">
        <v>4063</v>
      </c>
      <c r="B2170" s="33" t="s">
        <v>4064</v>
      </c>
    </row>
    <row r="2171" spans="1:2" x14ac:dyDescent="0.25">
      <c r="A2171" s="30" t="s">
        <v>4065</v>
      </c>
      <c r="B2171" s="31" t="s">
        <v>4066</v>
      </c>
    </row>
    <row r="2172" spans="1:2" x14ac:dyDescent="0.25">
      <c r="A2172" s="32" t="s">
        <v>4067</v>
      </c>
      <c r="B2172" s="33" t="s">
        <v>4068</v>
      </c>
    </row>
    <row r="2173" spans="1:2" x14ac:dyDescent="0.25">
      <c r="A2173" s="30" t="s">
        <v>4069</v>
      </c>
      <c r="B2173" s="31" t="s">
        <v>4070</v>
      </c>
    </row>
    <row r="2174" spans="1:2" x14ac:dyDescent="0.25">
      <c r="A2174" s="32" t="s">
        <v>4071</v>
      </c>
      <c r="B2174" s="33" t="s">
        <v>4072</v>
      </c>
    </row>
    <row r="2175" spans="1:2" x14ac:dyDescent="0.25">
      <c r="A2175" s="30" t="s">
        <v>10381</v>
      </c>
      <c r="B2175" s="31" t="s">
        <v>10381</v>
      </c>
    </row>
    <row r="2176" spans="1:2" x14ac:dyDescent="0.25">
      <c r="A2176" s="32" t="s">
        <v>4073</v>
      </c>
      <c r="B2176" s="33" t="s">
        <v>4074</v>
      </c>
    </row>
    <row r="2177" spans="1:2" x14ac:dyDescent="0.25">
      <c r="A2177" s="30" t="s">
        <v>10382</v>
      </c>
      <c r="B2177" s="31" t="s">
        <v>10382</v>
      </c>
    </row>
    <row r="2178" spans="1:2" x14ac:dyDescent="0.25">
      <c r="A2178" s="32" t="s">
        <v>10383</v>
      </c>
      <c r="B2178" s="33" t="s">
        <v>10383</v>
      </c>
    </row>
    <row r="2179" spans="1:2" x14ac:dyDescent="0.25">
      <c r="A2179" s="30" t="s">
        <v>10384</v>
      </c>
      <c r="B2179" s="31" t="s">
        <v>10384</v>
      </c>
    </row>
    <row r="2180" spans="1:2" x14ac:dyDescent="0.25">
      <c r="A2180" s="32" t="s">
        <v>4075</v>
      </c>
      <c r="B2180" s="33" t="s">
        <v>4076</v>
      </c>
    </row>
    <row r="2181" spans="1:2" x14ac:dyDescent="0.25">
      <c r="A2181" s="30" t="s">
        <v>10385</v>
      </c>
      <c r="B2181" s="31" t="s">
        <v>10385</v>
      </c>
    </row>
    <row r="2182" spans="1:2" x14ac:dyDescent="0.25">
      <c r="A2182" s="32" t="s">
        <v>4077</v>
      </c>
      <c r="B2182" s="33" t="s">
        <v>4078</v>
      </c>
    </row>
    <row r="2183" spans="1:2" x14ac:dyDescent="0.25">
      <c r="A2183" s="30" t="s">
        <v>4079</v>
      </c>
      <c r="B2183" s="31" t="s">
        <v>4080</v>
      </c>
    </row>
    <row r="2184" spans="1:2" x14ac:dyDescent="0.25">
      <c r="A2184" s="32" t="s">
        <v>4081</v>
      </c>
      <c r="B2184" s="33" t="s">
        <v>4082</v>
      </c>
    </row>
    <row r="2185" spans="1:2" x14ac:dyDescent="0.25">
      <c r="A2185" s="30" t="s">
        <v>4083</v>
      </c>
      <c r="B2185" s="31" t="s">
        <v>4084</v>
      </c>
    </row>
    <row r="2186" spans="1:2" x14ac:dyDescent="0.25">
      <c r="A2186" s="32" t="s">
        <v>4085</v>
      </c>
      <c r="B2186" s="33" t="s">
        <v>4086</v>
      </c>
    </row>
    <row r="2187" spans="1:2" x14ac:dyDescent="0.25">
      <c r="A2187" s="30" t="s">
        <v>4087</v>
      </c>
      <c r="B2187" s="31" t="s">
        <v>4088</v>
      </c>
    </row>
    <row r="2188" spans="1:2" x14ac:dyDescent="0.25">
      <c r="A2188" s="32" t="s">
        <v>4089</v>
      </c>
      <c r="B2188" s="33" t="s">
        <v>4090</v>
      </c>
    </row>
    <row r="2189" spans="1:2" x14ac:dyDescent="0.25">
      <c r="A2189" s="30" t="s">
        <v>4091</v>
      </c>
      <c r="B2189" s="31" t="s">
        <v>4092</v>
      </c>
    </row>
    <row r="2190" spans="1:2" x14ac:dyDescent="0.25">
      <c r="A2190" s="32" t="s">
        <v>4093</v>
      </c>
      <c r="B2190" s="33" t="s">
        <v>4094</v>
      </c>
    </row>
    <row r="2191" spans="1:2" x14ac:dyDescent="0.25">
      <c r="A2191" s="30" t="s">
        <v>4095</v>
      </c>
      <c r="B2191" s="31" t="s">
        <v>4096</v>
      </c>
    </row>
    <row r="2192" spans="1:2" x14ac:dyDescent="0.25">
      <c r="A2192" s="32" t="s">
        <v>10386</v>
      </c>
      <c r="B2192" s="33" t="s">
        <v>10386</v>
      </c>
    </row>
    <row r="2193" spans="1:2" x14ac:dyDescent="0.25">
      <c r="A2193" s="30" t="s">
        <v>4097</v>
      </c>
      <c r="B2193" s="31" t="s">
        <v>4098</v>
      </c>
    </row>
    <row r="2194" spans="1:2" x14ac:dyDescent="0.25">
      <c r="A2194" s="32" t="s">
        <v>4099</v>
      </c>
      <c r="B2194" s="33" t="s">
        <v>4100</v>
      </c>
    </row>
    <row r="2195" spans="1:2" x14ac:dyDescent="0.25">
      <c r="A2195" s="30" t="s">
        <v>222</v>
      </c>
      <c r="B2195" s="31" t="s">
        <v>4101</v>
      </c>
    </row>
    <row r="2196" spans="1:2" x14ac:dyDescent="0.25">
      <c r="A2196" s="32" t="s">
        <v>4102</v>
      </c>
      <c r="B2196" s="33" t="s">
        <v>4103</v>
      </c>
    </row>
    <row r="2197" spans="1:2" x14ac:dyDescent="0.25">
      <c r="A2197" s="30" t="s">
        <v>4104</v>
      </c>
      <c r="B2197" s="31" t="s">
        <v>4105</v>
      </c>
    </row>
    <row r="2198" spans="1:2" x14ac:dyDescent="0.25">
      <c r="A2198" s="32" t="s">
        <v>10387</v>
      </c>
      <c r="B2198" s="33" t="s">
        <v>10387</v>
      </c>
    </row>
    <row r="2199" spans="1:2" x14ac:dyDescent="0.25">
      <c r="A2199" s="30" t="s">
        <v>4106</v>
      </c>
      <c r="B2199" s="31" t="s">
        <v>4107</v>
      </c>
    </row>
    <row r="2200" spans="1:2" x14ac:dyDescent="0.25">
      <c r="A2200" s="32" t="s">
        <v>4108</v>
      </c>
      <c r="B2200" s="33" t="s">
        <v>4109</v>
      </c>
    </row>
    <row r="2201" spans="1:2" x14ac:dyDescent="0.25">
      <c r="A2201" s="30" t="s">
        <v>10388</v>
      </c>
      <c r="B2201" s="31" t="s">
        <v>10388</v>
      </c>
    </row>
    <row r="2202" spans="1:2" x14ac:dyDescent="0.25">
      <c r="A2202" s="32" t="s">
        <v>4110</v>
      </c>
      <c r="B2202" s="33" t="s">
        <v>4111</v>
      </c>
    </row>
    <row r="2203" spans="1:2" x14ac:dyDescent="0.25">
      <c r="A2203" s="30" t="s">
        <v>4112</v>
      </c>
      <c r="B2203" s="31" t="s">
        <v>4113</v>
      </c>
    </row>
    <row r="2204" spans="1:2" x14ac:dyDescent="0.25">
      <c r="A2204" s="32" t="s">
        <v>4114</v>
      </c>
      <c r="B2204" s="33" t="s">
        <v>4115</v>
      </c>
    </row>
    <row r="2205" spans="1:2" x14ac:dyDescent="0.25">
      <c r="A2205" s="30" t="s">
        <v>223</v>
      </c>
      <c r="B2205" s="31" t="s">
        <v>4116</v>
      </c>
    </row>
    <row r="2206" spans="1:2" x14ac:dyDescent="0.25">
      <c r="A2206" s="32" t="s">
        <v>4117</v>
      </c>
      <c r="B2206" s="33" t="s">
        <v>4118</v>
      </c>
    </row>
    <row r="2207" spans="1:2" x14ac:dyDescent="0.25">
      <c r="A2207" s="30" t="s">
        <v>4119</v>
      </c>
      <c r="B2207" s="31" t="s">
        <v>4120</v>
      </c>
    </row>
    <row r="2208" spans="1:2" x14ac:dyDescent="0.25">
      <c r="A2208" s="32" t="s">
        <v>4121</v>
      </c>
      <c r="B2208" s="33" t="s">
        <v>4122</v>
      </c>
    </row>
    <row r="2209" spans="1:2" x14ac:dyDescent="0.25">
      <c r="A2209" s="30" t="s">
        <v>4123</v>
      </c>
      <c r="B2209" s="31" t="s">
        <v>4124</v>
      </c>
    </row>
    <row r="2210" spans="1:2" x14ac:dyDescent="0.25">
      <c r="A2210" s="32" t="s">
        <v>10389</v>
      </c>
      <c r="B2210" s="33" t="s">
        <v>10389</v>
      </c>
    </row>
    <row r="2211" spans="1:2" x14ac:dyDescent="0.25">
      <c r="A2211" s="30" t="s">
        <v>4125</v>
      </c>
      <c r="B2211" s="31" t="s">
        <v>4126</v>
      </c>
    </row>
    <row r="2212" spans="1:2" x14ac:dyDescent="0.25">
      <c r="A2212" s="32" t="s">
        <v>10390</v>
      </c>
      <c r="B2212" s="33" t="s">
        <v>10390</v>
      </c>
    </row>
    <row r="2213" spans="1:2" x14ac:dyDescent="0.25">
      <c r="A2213" s="30" t="s">
        <v>10391</v>
      </c>
      <c r="B2213" s="31" t="s">
        <v>10391</v>
      </c>
    </row>
    <row r="2214" spans="1:2" x14ac:dyDescent="0.25">
      <c r="A2214" s="32" t="s">
        <v>10392</v>
      </c>
      <c r="B2214" s="33" t="s">
        <v>10392</v>
      </c>
    </row>
    <row r="2215" spans="1:2" x14ac:dyDescent="0.25">
      <c r="A2215" s="30" t="s">
        <v>4127</v>
      </c>
      <c r="B2215" s="31" t="s">
        <v>4128</v>
      </c>
    </row>
    <row r="2216" spans="1:2" x14ac:dyDescent="0.25">
      <c r="A2216" s="32" t="s">
        <v>4129</v>
      </c>
      <c r="B2216" s="33" t="s">
        <v>4130</v>
      </c>
    </row>
    <row r="2217" spans="1:2" x14ac:dyDescent="0.25">
      <c r="A2217" s="30" t="s">
        <v>4131</v>
      </c>
      <c r="B2217" s="31" t="s">
        <v>4132</v>
      </c>
    </row>
    <row r="2218" spans="1:2" x14ac:dyDescent="0.25">
      <c r="A2218" s="32" t="s">
        <v>10393</v>
      </c>
      <c r="B2218" s="33" t="s">
        <v>10393</v>
      </c>
    </row>
    <row r="2219" spans="1:2" x14ac:dyDescent="0.25">
      <c r="A2219" s="30" t="s">
        <v>10394</v>
      </c>
      <c r="B2219" s="31" t="s">
        <v>10394</v>
      </c>
    </row>
    <row r="2220" spans="1:2" x14ac:dyDescent="0.25">
      <c r="A2220" s="32" t="s">
        <v>4133</v>
      </c>
      <c r="B2220" s="33" t="s">
        <v>4134</v>
      </c>
    </row>
    <row r="2221" spans="1:2" x14ac:dyDescent="0.25">
      <c r="A2221" s="30" t="s">
        <v>4135</v>
      </c>
      <c r="B2221" s="31" t="s">
        <v>4136</v>
      </c>
    </row>
    <row r="2222" spans="1:2" x14ac:dyDescent="0.25">
      <c r="A2222" s="32" t="s">
        <v>4137</v>
      </c>
      <c r="B2222" s="33" t="s">
        <v>4138</v>
      </c>
    </row>
    <row r="2223" spans="1:2" x14ac:dyDescent="0.25">
      <c r="A2223" s="30" t="s">
        <v>4139</v>
      </c>
      <c r="B2223" s="31" t="s">
        <v>4140</v>
      </c>
    </row>
    <row r="2224" spans="1:2" x14ac:dyDescent="0.25">
      <c r="A2224" s="32" t="s">
        <v>4141</v>
      </c>
      <c r="B2224" s="33" t="s">
        <v>4142</v>
      </c>
    </row>
    <row r="2225" spans="1:2" x14ac:dyDescent="0.25">
      <c r="A2225" s="30" t="s">
        <v>498</v>
      </c>
      <c r="B2225" s="31" t="s">
        <v>4143</v>
      </c>
    </row>
    <row r="2226" spans="1:2" x14ac:dyDescent="0.25">
      <c r="A2226" s="32" t="s">
        <v>10395</v>
      </c>
      <c r="B2226" s="33" t="s">
        <v>10395</v>
      </c>
    </row>
    <row r="2227" spans="1:2" x14ac:dyDescent="0.25">
      <c r="A2227" s="30" t="s">
        <v>10396</v>
      </c>
      <c r="B2227" s="31" t="s">
        <v>10396</v>
      </c>
    </row>
    <row r="2228" spans="1:2" x14ac:dyDescent="0.25">
      <c r="A2228" s="32" t="s">
        <v>4144</v>
      </c>
      <c r="B2228" s="33" t="s">
        <v>4145</v>
      </c>
    </row>
    <row r="2229" spans="1:2" x14ac:dyDescent="0.25">
      <c r="A2229" s="30" t="s">
        <v>4146</v>
      </c>
      <c r="B2229" s="31" t="s">
        <v>4147</v>
      </c>
    </row>
    <row r="2230" spans="1:2" x14ac:dyDescent="0.25">
      <c r="A2230" s="32" t="s">
        <v>4148</v>
      </c>
      <c r="B2230" s="33" t="s">
        <v>4149</v>
      </c>
    </row>
    <row r="2231" spans="1:2" x14ac:dyDescent="0.25">
      <c r="A2231" s="30" t="s">
        <v>4150</v>
      </c>
      <c r="B2231" s="31" t="s">
        <v>4151</v>
      </c>
    </row>
    <row r="2232" spans="1:2" x14ac:dyDescent="0.25">
      <c r="A2232" s="32" t="s">
        <v>10397</v>
      </c>
      <c r="B2232" s="33" t="s">
        <v>10397</v>
      </c>
    </row>
    <row r="2233" spans="1:2" x14ac:dyDescent="0.25">
      <c r="A2233" s="30" t="s">
        <v>4152</v>
      </c>
      <c r="B2233" s="31" t="s">
        <v>4153</v>
      </c>
    </row>
    <row r="2234" spans="1:2" x14ac:dyDescent="0.25">
      <c r="A2234" s="32" t="s">
        <v>4154</v>
      </c>
      <c r="B2234" s="33" t="s">
        <v>4155</v>
      </c>
    </row>
    <row r="2235" spans="1:2" x14ac:dyDescent="0.25">
      <c r="A2235" s="30" t="s">
        <v>4156</v>
      </c>
      <c r="B2235" s="31" t="s">
        <v>4157</v>
      </c>
    </row>
    <row r="2236" spans="1:2" x14ac:dyDescent="0.25">
      <c r="A2236" s="32" t="s">
        <v>10398</v>
      </c>
      <c r="B2236" s="33" t="s">
        <v>10398</v>
      </c>
    </row>
    <row r="2237" spans="1:2" x14ac:dyDescent="0.25">
      <c r="A2237" s="30" t="s">
        <v>4158</v>
      </c>
      <c r="B2237" s="31" t="s">
        <v>4159</v>
      </c>
    </row>
    <row r="2238" spans="1:2" x14ac:dyDescent="0.25">
      <c r="A2238" s="32" t="s">
        <v>4160</v>
      </c>
      <c r="B2238" s="33" t="s">
        <v>4161</v>
      </c>
    </row>
    <row r="2239" spans="1:2" x14ac:dyDescent="0.25">
      <c r="A2239" s="30" t="s">
        <v>4162</v>
      </c>
      <c r="B2239" s="31" t="s">
        <v>4163</v>
      </c>
    </row>
    <row r="2240" spans="1:2" x14ac:dyDescent="0.25">
      <c r="A2240" s="32" t="s">
        <v>10399</v>
      </c>
      <c r="B2240" s="33" t="s">
        <v>10399</v>
      </c>
    </row>
    <row r="2241" spans="1:2" x14ac:dyDescent="0.25">
      <c r="A2241" s="30" t="s">
        <v>4164</v>
      </c>
      <c r="B2241" s="31" t="s">
        <v>4165</v>
      </c>
    </row>
    <row r="2242" spans="1:2" x14ac:dyDescent="0.25">
      <c r="A2242" s="32" t="s">
        <v>10400</v>
      </c>
      <c r="B2242" s="33" t="s">
        <v>10400</v>
      </c>
    </row>
    <row r="2243" spans="1:2" x14ac:dyDescent="0.25">
      <c r="A2243" s="30" t="s">
        <v>4166</v>
      </c>
      <c r="B2243" s="31" t="s">
        <v>4167</v>
      </c>
    </row>
    <row r="2244" spans="1:2" x14ac:dyDescent="0.25">
      <c r="A2244" s="32" t="s">
        <v>499</v>
      </c>
      <c r="B2244" s="33" t="s">
        <v>499</v>
      </c>
    </row>
    <row r="2245" spans="1:2" x14ac:dyDescent="0.25">
      <c r="A2245" s="30" t="s">
        <v>10401</v>
      </c>
      <c r="B2245" s="31" t="s">
        <v>10401</v>
      </c>
    </row>
    <row r="2246" spans="1:2" x14ac:dyDescent="0.25">
      <c r="A2246" s="32" t="s">
        <v>10402</v>
      </c>
      <c r="B2246" s="33" t="s">
        <v>10402</v>
      </c>
    </row>
    <row r="2247" spans="1:2" x14ac:dyDescent="0.25">
      <c r="A2247" s="30" t="s">
        <v>10403</v>
      </c>
      <c r="B2247" s="31" t="s">
        <v>10403</v>
      </c>
    </row>
    <row r="2248" spans="1:2" x14ac:dyDescent="0.25">
      <c r="A2248" s="32" t="s">
        <v>4168</v>
      </c>
      <c r="B2248" s="33" t="s">
        <v>4169</v>
      </c>
    </row>
    <row r="2249" spans="1:2" x14ac:dyDescent="0.25">
      <c r="A2249" s="30" t="s">
        <v>500</v>
      </c>
      <c r="B2249" s="31" t="s">
        <v>4170</v>
      </c>
    </row>
    <row r="2250" spans="1:2" x14ac:dyDescent="0.25">
      <c r="A2250" s="32" t="s">
        <v>4171</v>
      </c>
      <c r="B2250" s="33" t="s">
        <v>4172</v>
      </c>
    </row>
    <row r="2251" spans="1:2" x14ac:dyDescent="0.25">
      <c r="A2251" s="30" t="s">
        <v>4173</v>
      </c>
      <c r="B2251" s="31" t="s">
        <v>4174</v>
      </c>
    </row>
    <row r="2252" spans="1:2" x14ac:dyDescent="0.25">
      <c r="A2252" s="32" t="s">
        <v>10404</v>
      </c>
      <c r="B2252" s="33" t="s">
        <v>10404</v>
      </c>
    </row>
    <row r="2253" spans="1:2" x14ac:dyDescent="0.25">
      <c r="A2253" s="30" t="s">
        <v>4175</v>
      </c>
      <c r="B2253" s="31" t="s">
        <v>4176</v>
      </c>
    </row>
    <row r="2254" spans="1:2" x14ac:dyDescent="0.25">
      <c r="A2254" s="32" t="s">
        <v>4177</v>
      </c>
      <c r="B2254" s="33" t="s">
        <v>4178</v>
      </c>
    </row>
    <row r="2255" spans="1:2" x14ac:dyDescent="0.25">
      <c r="A2255" s="30" t="s">
        <v>4179</v>
      </c>
      <c r="B2255" s="31" t="s">
        <v>4180</v>
      </c>
    </row>
    <row r="2256" spans="1:2" x14ac:dyDescent="0.25">
      <c r="A2256" s="32" t="s">
        <v>10405</v>
      </c>
      <c r="B2256" s="33" t="s">
        <v>10405</v>
      </c>
    </row>
    <row r="2257" spans="1:2" x14ac:dyDescent="0.25">
      <c r="A2257" s="30" t="s">
        <v>10406</v>
      </c>
      <c r="B2257" s="31" t="s">
        <v>10406</v>
      </c>
    </row>
    <row r="2258" spans="1:2" x14ac:dyDescent="0.25">
      <c r="A2258" s="32" t="s">
        <v>4181</v>
      </c>
      <c r="B2258" s="33" t="s">
        <v>4182</v>
      </c>
    </row>
    <row r="2259" spans="1:2" x14ac:dyDescent="0.25">
      <c r="A2259" s="30" t="s">
        <v>4183</v>
      </c>
      <c r="B2259" s="31" t="s">
        <v>4184</v>
      </c>
    </row>
    <row r="2260" spans="1:2" x14ac:dyDescent="0.25">
      <c r="A2260" s="32" t="s">
        <v>4185</v>
      </c>
      <c r="B2260" s="33" t="s">
        <v>4186</v>
      </c>
    </row>
    <row r="2261" spans="1:2" x14ac:dyDescent="0.25">
      <c r="A2261" s="30" t="s">
        <v>4187</v>
      </c>
      <c r="B2261" s="31" t="s">
        <v>4188</v>
      </c>
    </row>
    <row r="2262" spans="1:2" x14ac:dyDescent="0.25">
      <c r="A2262" s="32" t="s">
        <v>4189</v>
      </c>
      <c r="B2262" s="33" t="s">
        <v>4190</v>
      </c>
    </row>
    <row r="2263" spans="1:2" x14ac:dyDescent="0.25">
      <c r="A2263" s="30" t="s">
        <v>4191</v>
      </c>
      <c r="B2263" s="31" t="s">
        <v>4192</v>
      </c>
    </row>
    <row r="2264" spans="1:2" x14ac:dyDescent="0.25">
      <c r="A2264" s="32" t="s">
        <v>4193</v>
      </c>
      <c r="B2264" s="33" t="s">
        <v>4194</v>
      </c>
    </row>
    <row r="2265" spans="1:2" x14ac:dyDescent="0.25">
      <c r="A2265" s="30" t="s">
        <v>4195</v>
      </c>
      <c r="B2265" s="31" t="s">
        <v>4196</v>
      </c>
    </row>
    <row r="2266" spans="1:2" x14ac:dyDescent="0.25">
      <c r="A2266" s="32" t="s">
        <v>4197</v>
      </c>
      <c r="B2266" s="33" t="s">
        <v>4198</v>
      </c>
    </row>
    <row r="2267" spans="1:2" x14ac:dyDescent="0.25">
      <c r="A2267" s="30" t="s">
        <v>10407</v>
      </c>
      <c r="B2267" s="31" t="s">
        <v>10407</v>
      </c>
    </row>
    <row r="2268" spans="1:2" x14ac:dyDescent="0.25">
      <c r="A2268" s="32" t="s">
        <v>4199</v>
      </c>
      <c r="B2268" s="33" t="s">
        <v>4200</v>
      </c>
    </row>
    <row r="2269" spans="1:2" x14ac:dyDescent="0.25">
      <c r="A2269" s="30" t="s">
        <v>4201</v>
      </c>
      <c r="B2269" s="31" t="s">
        <v>4202</v>
      </c>
    </row>
    <row r="2270" spans="1:2" x14ac:dyDescent="0.25">
      <c r="A2270" s="32" t="s">
        <v>10408</v>
      </c>
      <c r="B2270" s="33" t="s">
        <v>10408</v>
      </c>
    </row>
    <row r="2271" spans="1:2" x14ac:dyDescent="0.25">
      <c r="A2271" s="30" t="s">
        <v>10409</v>
      </c>
      <c r="B2271" s="31" t="s">
        <v>10409</v>
      </c>
    </row>
    <row r="2272" spans="1:2" x14ac:dyDescent="0.25">
      <c r="A2272" s="32" t="s">
        <v>10410</v>
      </c>
      <c r="B2272" s="33" t="s">
        <v>10410</v>
      </c>
    </row>
    <row r="2273" spans="1:2" x14ac:dyDescent="0.25">
      <c r="A2273" s="30" t="s">
        <v>10411</v>
      </c>
      <c r="B2273" s="31" t="s">
        <v>10411</v>
      </c>
    </row>
    <row r="2274" spans="1:2" x14ac:dyDescent="0.25">
      <c r="A2274" s="32" t="s">
        <v>4203</v>
      </c>
      <c r="B2274" s="33" t="s">
        <v>4204</v>
      </c>
    </row>
    <row r="2275" spans="1:2" x14ac:dyDescent="0.25">
      <c r="A2275" s="30" t="s">
        <v>501</v>
      </c>
      <c r="B2275" s="31" t="s">
        <v>4205</v>
      </c>
    </row>
    <row r="2276" spans="1:2" x14ac:dyDescent="0.25">
      <c r="A2276" s="32" t="s">
        <v>10412</v>
      </c>
      <c r="B2276" s="33" t="s">
        <v>10412</v>
      </c>
    </row>
    <row r="2277" spans="1:2" x14ac:dyDescent="0.25">
      <c r="A2277" s="30" t="s">
        <v>10413</v>
      </c>
      <c r="B2277" s="31" t="s">
        <v>10413</v>
      </c>
    </row>
    <row r="2278" spans="1:2" x14ac:dyDescent="0.25">
      <c r="A2278" s="32" t="s">
        <v>4206</v>
      </c>
      <c r="B2278" s="33" t="s">
        <v>4207</v>
      </c>
    </row>
    <row r="2279" spans="1:2" x14ac:dyDescent="0.25">
      <c r="A2279" s="30" t="s">
        <v>10414</v>
      </c>
      <c r="B2279" s="31" t="s">
        <v>10414</v>
      </c>
    </row>
    <row r="2280" spans="1:2" x14ac:dyDescent="0.25">
      <c r="A2280" s="32" t="s">
        <v>502</v>
      </c>
      <c r="B2280" s="33" t="s">
        <v>4208</v>
      </c>
    </row>
    <row r="2281" spans="1:2" x14ac:dyDescent="0.25">
      <c r="A2281" s="30" t="s">
        <v>4209</v>
      </c>
      <c r="B2281" s="31" t="s">
        <v>4210</v>
      </c>
    </row>
    <row r="2282" spans="1:2" x14ac:dyDescent="0.25">
      <c r="A2282" s="32" t="s">
        <v>4211</v>
      </c>
      <c r="B2282" s="33" t="s">
        <v>4212</v>
      </c>
    </row>
    <row r="2283" spans="1:2" x14ac:dyDescent="0.25">
      <c r="A2283" s="30" t="s">
        <v>4213</v>
      </c>
      <c r="B2283" s="31" t="s">
        <v>4214</v>
      </c>
    </row>
    <row r="2284" spans="1:2" x14ac:dyDescent="0.25">
      <c r="A2284" s="32" t="s">
        <v>4215</v>
      </c>
      <c r="B2284" s="33" t="s">
        <v>4216</v>
      </c>
    </row>
    <row r="2285" spans="1:2" x14ac:dyDescent="0.25">
      <c r="A2285" s="30" t="s">
        <v>4217</v>
      </c>
      <c r="B2285" s="31" t="s">
        <v>4218</v>
      </c>
    </row>
    <row r="2286" spans="1:2" x14ac:dyDescent="0.25">
      <c r="A2286" s="32" t="s">
        <v>503</v>
      </c>
      <c r="B2286" s="33" t="s">
        <v>4219</v>
      </c>
    </row>
    <row r="2287" spans="1:2" x14ac:dyDescent="0.25">
      <c r="A2287" s="30" t="s">
        <v>10415</v>
      </c>
      <c r="B2287" s="31" t="s">
        <v>10415</v>
      </c>
    </row>
    <row r="2288" spans="1:2" x14ac:dyDescent="0.25">
      <c r="A2288" s="32" t="s">
        <v>504</v>
      </c>
      <c r="B2288" s="33" t="s">
        <v>4220</v>
      </c>
    </row>
    <row r="2289" spans="1:2" x14ac:dyDescent="0.25">
      <c r="A2289" s="30" t="s">
        <v>4221</v>
      </c>
      <c r="B2289" s="31" t="s">
        <v>4222</v>
      </c>
    </row>
    <row r="2290" spans="1:2" x14ac:dyDescent="0.25">
      <c r="A2290" s="32" t="s">
        <v>4223</v>
      </c>
      <c r="B2290" s="33" t="s">
        <v>4224</v>
      </c>
    </row>
    <row r="2291" spans="1:2" x14ac:dyDescent="0.25">
      <c r="A2291" s="30" t="s">
        <v>4225</v>
      </c>
      <c r="B2291" s="31" t="s">
        <v>4226</v>
      </c>
    </row>
    <row r="2292" spans="1:2" x14ac:dyDescent="0.25">
      <c r="A2292" s="32" t="s">
        <v>4227</v>
      </c>
      <c r="B2292" s="33" t="s">
        <v>4228</v>
      </c>
    </row>
    <row r="2293" spans="1:2" x14ac:dyDescent="0.25">
      <c r="A2293" s="30" t="s">
        <v>10416</v>
      </c>
      <c r="B2293" s="31" t="s">
        <v>10416</v>
      </c>
    </row>
    <row r="2294" spans="1:2" x14ac:dyDescent="0.25">
      <c r="A2294" s="32" t="s">
        <v>4229</v>
      </c>
      <c r="B2294" s="33" t="s">
        <v>4230</v>
      </c>
    </row>
    <row r="2295" spans="1:2" x14ac:dyDescent="0.25">
      <c r="A2295" s="30" t="s">
        <v>4231</v>
      </c>
      <c r="B2295" s="31" t="s">
        <v>4232</v>
      </c>
    </row>
    <row r="2296" spans="1:2" x14ac:dyDescent="0.25">
      <c r="A2296" s="32" t="s">
        <v>10417</v>
      </c>
      <c r="B2296" s="33" t="s">
        <v>10417</v>
      </c>
    </row>
    <row r="2297" spans="1:2" x14ac:dyDescent="0.25">
      <c r="A2297" s="30" t="s">
        <v>4233</v>
      </c>
      <c r="B2297" s="31" t="s">
        <v>4234</v>
      </c>
    </row>
    <row r="2298" spans="1:2" x14ac:dyDescent="0.25">
      <c r="A2298" s="32" t="s">
        <v>505</v>
      </c>
      <c r="B2298" s="33" t="s">
        <v>4235</v>
      </c>
    </row>
    <row r="2299" spans="1:2" x14ac:dyDescent="0.25">
      <c r="A2299" s="30" t="s">
        <v>506</v>
      </c>
      <c r="B2299" s="31" t="s">
        <v>4236</v>
      </c>
    </row>
    <row r="2300" spans="1:2" x14ac:dyDescent="0.25">
      <c r="A2300" s="32" t="s">
        <v>4237</v>
      </c>
      <c r="B2300" s="33" t="s">
        <v>4238</v>
      </c>
    </row>
    <row r="2301" spans="1:2" x14ac:dyDescent="0.25">
      <c r="A2301" s="30" t="s">
        <v>4239</v>
      </c>
      <c r="B2301" s="31" t="s">
        <v>4240</v>
      </c>
    </row>
    <row r="2302" spans="1:2" x14ac:dyDescent="0.25">
      <c r="A2302" s="32" t="s">
        <v>10418</v>
      </c>
      <c r="B2302" s="33" t="s">
        <v>10418</v>
      </c>
    </row>
    <row r="2303" spans="1:2" x14ac:dyDescent="0.25">
      <c r="A2303" s="30" t="s">
        <v>4241</v>
      </c>
      <c r="B2303" s="31" t="s">
        <v>4242</v>
      </c>
    </row>
    <row r="2304" spans="1:2" x14ac:dyDescent="0.25">
      <c r="A2304" s="32" t="s">
        <v>4243</v>
      </c>
      <c r="B2304" s="33" t="s">
        <v>4244</v>
      </c>
    </row>
    <row r="2305" spans="1:2" x14ac:dyDescent="0.25">
      <c r="A2305" s="30" t="s">
        <v>10419</v>
      </c>
      <c r="B2305" s="31" t="s">
        <v>10419</v>
      </c>
    </row>
    <row r="2306" spans="1:2" x14ac:dyDescent="0.25">
      <c r="A2306" s="32" t="s">
        <v>4245</v>
      </c>
      <c r="B2306" s="33" t="s">
        <v>4246</v>
      </c>
    </row>
    <row r="2307" spans="1:2" x14ac:dyDescent="0.25">
      <c r="A2307" s="30" t="s">
        <v>4247</v>
      </c>
      <c r="B2307" s="31" t="s">
        <v>4248</v>
      </c>
    </row>
    <row r="2308" spans="1:2" x14ac:dyDescent="0.25">
      <c r="A2308" s="32" t="s">
        <v>4249</v>
      </c>
      <c r="B2308" s="33" t="s">
        <v>4250</v>
      </c>
    </row>
    <row r="2309" spans="1:2" x14ac:dyDescent="0.25">
      <c r="A2309" s="30" t="s">
        <v>507</v>
      </c>
      <c r="B2309" s="31" t="s">
        <v>4251</v>
      </c>
    </row>
    <row r="2310" spans="1:2" x14ac:dyDescent="0.25">
      <c r="A2310" s="32" t="s">
        <v>4252</v>
      </c>
      <c r="B2310" s="33" t="s">
        <v>4253</v>
      </c>
    </row>
    <row r="2311" spans="1:2" x14ac:dyDescent="0.25">
      <c r="A2311" s="30" t="s">
        <v>4254</v>
      </c>
      <c r="B2311" s="31" t="s">
        <v>4255</v>
      </c>
    </row>
    <row r="2312" spans="1:2" x14ac:dyDescent="0.25">
      <c r="A2312" s="32" t="s">
        <v>10420</v>
      </c>
      <c r="B2312" s="33" t="s">
        <v>10420</v>
      </c>
    </row>
    <row r="2313" spans="1:2" x14ac:dyDescent="0.25">
      <c r="A2313" s="30" t="s">
        <v>4256</v>
      </c>
      <c r="B2313" s="31" t="s">
        <v>4257</v>
      </c>
    </row>
    <row r="2314" spans="1:2" x14ac:dyDescent="0.25">
      <c r="A2314" s="32" t="s">
        <v>4258</v>
      </c>
      <c r="B2314" s="33" t="s">
        <v>4259</v>
      </c>
    </row>
    <row r="2315" spans="1:2" x14ac:dyDescent="0.25">
      <c r="A2315" s="30" t="s">
        <v>10421</v>
      </c>
      <c r="B2315" s="31" t="s">
        <v>10421</v>
      </c>
    </row>
    <row r="2316" spans="1:2" x14ac:dyDescent="0.25">
      <c r="A2316" s="32" t="s">
        <v>4260</v>
      </c>
      <c r="B2316" s="33" t="s">
        <v>4261</v>
      </c>
    </row>
    <row r="2317" spans="1:2" x14ac:dyDescent="0.25">
      <c r="A2317" s="30" t="s">
        <v>4262</v>
      </c>
      <c r="B2317" s="31" t="s">
        <v>4263</v>
      </c>
    </row>
    <row r="2318" spans="1:2" x14ac:dyDescent="0.25">
      <c r="A2318" s="32" t="s">
        <v>4264</v>
      </c>
      <c r="B2318" s="33" t="s">
        <v>4265</v>
      </c>
    </row>
    <row r="2319" spans="1:2" x14ac:dyDescent="0.25">
      <c r="A2319" s="30" t="s">
        <v>4266</v>
      </c>
      <c r="B2319" s="31" t="s">
        <v>4267</v>
      </c>
    </row>
    <row r="2320" spans="1:2" x14ac:dyDescent="0.25">
      <c r="A2320" s="32" t="s">
        <v>4268</v>
      </c>
      <c r="B2320" s="33" t="s">
        <v>4269</v>
      </c>
    </row>
    <row r="2321" spans="1:2" x14ac:dyDescent="0.25">
      <c r="A2321" s="30" t="s">
        <v>4270</v>
      </c>
      <c r="B2321" s="31" t="s">
        <v>4271</v>
      </c>
    </row>
    <row r="2322" spans="1:2" x14ac:dyDescent="0.25">
      <c r="A2322" s="32" t="s">
        <v>4272</v>
      </c>
      <c r="B2322" s="33" t="s">
        <v>4273</v>
      </c>
    </row>
    <row r="2323" spans="1:2" x14ac:dyDescent="0.25">
      <c r="A2323" s="30" t="s">
        <v>4274</v>
      </c>
      <c r="B2323" s="31" t="s">
        <v>4275</v>
      </c>
    </row>
    <row r="2324" spans="1:2" x14ac:dyDescent="0.25">
      <c r="A2324" s="32" t="s">
        <v>508</v>
      </c>
      <c r="B2324" s="33" t="s">
        <v>4276</v>
      </c>
    </row>
    <row r="2325" spans="1:2" x14ac:dyDescent="0.25">
      <c r="A2325" s="30" t="s">
        <v>509</v>
      </c>
      <c r="B2325" s="31" t="s">
        <v>4277</v>
      </c>
    </row>
    <row r="2326" spans="1:2" x14ac:dyDescent="0.25">
      <c r="A2326" s="32" t="s">
        <v>510</v>
      </c>
      <c r="B2326" s="33" t="s">
        <v>4278</v>
      </c>
    </row>
    <row r="2327" spans="1:2" x14ac:dyDescent="0.25">
      <c r="A2327" s="30" t="s">
        <v>4279</v>
      </c>
      <c r="B2327" s="31" t="s">
        <v>4280</v>
      </c>
    </row>
    <row r="2328" spans="1:2" x14ac:dyDescent="0.25">
      <c r="A2328" s="32" t="s">
        <v>4281</v>
      </c>
      <c r="B2328" s="33" t="s">
        <v>4282</v>
      </c>
    </row>
    <row r="2329" spans="1:2" x14ac:dyDescent="0.25">
      <c r="A2329" s="30" t="s">
        <v>10422</v>
      </c>
      <c r="B2329" s="31" t="s">
        <v>10422</v>
      </c>
    </row>
    <row r="2330" spans="1:2" x14ac:dyDescent="0.25">
      <c r="A2330" s="32" t="s">
        <v>10423</v>
      </c>
      <c r="B2330" s="33" t="s">
        <v>10423</v>
      </c>
    </row>
    <row r="2331" spans="1:2" x14ac:dyDescent="0.25">
      <c r="A2331" s="30" t="s">
        <v>4283</v>
      </c>
      <c r="B2331" s="31" t="s">
        <v>4284</v>
      </c>
    </row>
    <row r="2332" spans="1:2" x14ac:dyDescent="0.25">
      <c r="A2332" s="32" t="s">
        <v>4285</v>
      </c>
      <c r="B2332" s="33" t="s">
        <v>4286</v>
      </c>
    </row>
    <row r="2333" spans="1:2" x14ac:dyDescent="0.25">
      <c r="A2333" s="30" t="s">
        <v>4287</v>
      </c>
      <c r="B2333" s="31" t="s">
        <v>4288</v>
      </c>
    </row>
    <row r="2334" spans="1:2" x14ac:dyDescent="0.25">
      <c r="A2334" s="32" t="s">
        <v>10424</v>
      </c>
      <c r="B2334" s="33" t="s">
        <v>10424</v>
      </c>
    </row>
    <row r="2335" spans="1:2" x14ac:dyDescent="0.25">
      <c r="A2335" s="30" t="s">
        <v>4289</v>
      </c>
      <c r="B2335" s="31" t="s">
        <v>4290</v>
      </c>
    </row>
    <row r="2336" spans="1:2" x14ac:dyDescent="0.25">
      <c r="A2336" s="32" t="s">
        <v>4291</v>
      </c>
      <c r="B2336" s="33" t="s">
        <v>4292</v>
      </c>
    </row>
    <row r="2337" spans="1:2" x14ac:dyDescent="0.25">
      <c r="A2337" s="30" t="s">
        <v>4293</v>
      </c>
      <c r="B2337" s="31" t="s">
        <v>4294</v>
      </c>
    </row>
    <row r="2338" spans="1:2" x14ac:dyDescent="0.25">
      <c r="A2338" s="32" t="s">
        <v>10425</v>
      </c>
      <c r="B2338" s="33" t="s">
        <v>10425</v>
      </c>
    </row>
    <row r="2339" spans="1:2" x14ac:dyDescent="0.25">
      <c r="A2339" s="30" t="s">
        <v>10426</v>
      </c>
      <c r="B2339" s="31" t="s">
        <v>10426</v>
      </c>
    </row>
    <row r="2340" spans="1:2" x14ac:dyDescent="0.25">
      <c r="A2340" s="32" t="s">
        <v>10427</v>
      </c>
      <c r="B2340" s="33" t="s">
        <v>10427</v>
      </c>
    </row>
    <row r="2341" spans="1:2" x14ac:dyDescent="0.25">
      <c r="A2341" s="30" t="s">
        <v>10428</v>
      </c>
      <c r="B2341" s="31" t="s">
        <v>10428</v>
      </c>
    </row>
    <row r="2342" spans="1:2" x14ac:dyDescent="0.25">
      <c r="A2342" s="32" t="s">
        <v>4295</v>
      </c>
      <c r="B2342" s="33" t="s">
        <v>4296</v>
      </c>
    </row>
    <row r="2343" spans="1:2" x14ac:dyDescent="0.25">
      <c r="A2343" s="30" t="s">
        <v>4297</v>
      </c>
      <c r="B2343" s="31" t="s">
        <v>4298</v>
      </c>
    </row>
    <row r="2344" spans="1:2" x14ac:dyDescent="0.25">
      <c r="A2344" s="32" t="s">
        <v>4299</v>
      </c>
      <c r="B2344" s="33" t="s">
        <v>4300</v>
      </c>
    </row>
    <row r="2345" spans="1:2" x14ac:dyDescent="0.25">
      <c r="A2345" s="30" t="s">
        <v>4301</v>
      </c>
      <c r="B2345" s="31" t="s">
        <v>4302</v>
      </c>
    </row>
    <row r="2346" spans="1:2" x14ac:dyDescent="0.25">
      <c r="A2346" s="32" t="s">
        <v>4303</v>
      </c>
      <c r="B2346" s="33" t="s">
        <v>4304</v>
      </c>
    </row>
    <row r="2347" spans="1:2" x14ac:dyDescent="0.25">
      <c r="A2347" s="30" t="s">
        <v>10429</v>
      </c>
      <c r="B2347" s="31" t="s">
        <v>10429</v>
      </c>
    </row>
    <row r="2348" spans="1:2" x14ac:dyDescent="0.25">
      <c r="A2348" s="32" t="s">
        <v>4305</v>
      </c>
      <c r="B2348" s="33" t="s">
        <v>4306</v>
      </c>
    </row>
    <row r="2349" spans="1:2" x14ac:dyDescent="0.25">
      <c r="A2349" s="30" t="s">
        <v>4307</v>
      </c>
      <c r="B2349" s="31" t="s">
        <v>4308</v>
      </c>
    </row>
    <row r="2350" spans="1:2" x14ac:dyDescent="0.25">
      <c r="A2350" s="32" t="s">
        <v>4309</v>
      </c>
      <c r="B2350" s="33" t="s">
        <v>4310</v>
      </c>
    </row>
    <row r="2351" spans="1:2" x14ac:dyDescent="0.25">
      <c r="A2351" s="30" t="s">
        <v>4311</v>
      </c>
      <c r="B2351" s="31" t="s">
        <v>4312</v>
      </c>
    </row>
    <row r="2352" spans="1:2" x14ac:dyDescent="0.25">
      <c r="A2352" s="32" t="s">
        <v>511</v>
      </c>
      <c r="B2352" s="33" t="s">
        <v>4313</v>
      </c>
    </row>
    <row r="2353" spans="1:2" x14ac:dyDescent="0.25">
      <c r="A2353" s="30" t="s">
        <v>512</v>
      </c>
      <c r="B2353" s="31" t="s">
        <v>4314</v>
      </c>
    </row>
    <row r="2354" spans="1:2" x14ac:dyDescent="0.25">
      <c r="A2354" s="32" t="s">
        <v>4315</v>
      </c>
      <c r="B2354" s="33" t="s">
        <v>4316</v>
      </c>
    </row>
    <row r="2355" spans="1:2" x14ac:dyDescent="0.25">
      <c r="A2355" s="30" t="s">
        <v>10430</v>
      </c>
      <c r="B2355" s="31" t="s">
        <v>10430</v>
      </c>
    </row>
    <row r="2356" spans="1:2" x14ac:dyDescent="0.25">
      <c r="A2356" s="32" t="s">
        <v>4317</v>
      </c>
      <c r="B2356" s="33" t="s">
        <v>4318</v>
      </c>
    </row>
    <row r="2357" spans="1:2" x14ac:dyDescent="0.25">
      <c r="A2357" s="30" t="s">
        <v>4319</v>
      </c>
      <c r="B2357" s="31" t="s">
        <v>4320</v>
      </c>
    </row>
    <row r="2358" spans="1:2" x14ac:dyDescent="0.25">
      <c r="A2358" s="32" t="s">
        <v>4321</v>
      </c>
      <c r="B2358" s="33" t="s">
        <v>4322</v>
      </c>
    </row>
    <row r="2359" spans="1:2" x14ac:dyDescent="0.25">
      <c r="A2359" s="30" t="s">
        <v>4323</v>
      </c>
      <c r="B2359" s="31" t="s">
        <v>4324</v>
      </c>
    </row>
    <row r="2360" spans="1:2" x14ac:dyDescent="0.25">
      <c r="A2360" s="32" t="s">
        <v>4325</v>
      </c>
      <c r="B2360" s="33" t="s">
        <v>4326</v>
      </c>
    </row>
    <row r="2361" spans="1:2" x14ac:dyDescent="0.25">
      <c r="A2361" s="30" t="s">
        <v>4327</v>
      </c>
      <c r="B2361" s="31" t="s">
        <v>4328</v>
      </c>
    </row>
    <row r="2362" spans="1:2" x14ac:dyDescent="0.25">
      <c r="A2362" s="32" t="s">
        <v>4329</v>
      </c>
      <c r="B2362" s="33" t="s">
        <v>4330</v>
      </c>
    </row>
    <row r="2363" spans="1:2" x14ac:dyDescent="0.25">
      <c r="A2363" s="30" t="s">
        <v>4331</v>
      </c>
      <c r="B2363" s="31" t="s">
        <v>4332</v>
      </c>
    </row>
    <row r="2364" spans="1:2" x14ac:dyDescent="0.25">
      <c r="A2364" s="32" t="s">
        <v>4333</v>
      </c>
      <c r="B2364" s="33" t="s">
        <v>4334</v>
      </c>
    </row>
    <row r="2365" spans="1:2" x14ac:dyDescent="0.25">
      <c r="A2365" s="30" t="s">
        <v>4335</v>
      </c>
      <c r="B2365" s="31" t="s">
        <v>4336</v>
      </c>
    </row>
    <row r="2366" spans="1:2" x14ac:dyDescent="0.25">
      <c r="A2366" s="32" t="s">
        <v>4337</v>
      </c>
      <c r="B2366" s="33" t="s">
        <v>4338</v>
      </c>
    </row>
    <row r="2367" spans="1:2" x14ac:dyDescent="0.25">
      <c r="A2367" s="30" t="s">
        <v>4339</v>
      </c>
      <c r="B2367" s="31" t="s">
        <v>4340</v>
      </c>
    </row>
    <row r="2368" spans="1:2" x14ac:dyDescent="0.25">
      <c r="A2368" s="32" t="s">
        <v>513</v>
      </c>
      <c r="B2368" s="33" t="s">
        <v>4341</v>
      </c>
    </row>
    <row r="2369" spans="1:2" x14ac:dyDescent="0.25">
      <c r="A2369" s="30" t="s">
        <v>514</v>
      </c>
      <c r="B2369" s="31" t="s">
        <v>4342</v>
      </c>
    </row>
    <row r="2370" spans="1:2" x14ac:dyDescent="0.25">
      <c r="A2370" s="32" t="s">
        <v>4343</v>
      </c>
      <c r="B2370" s="33" t="s">
        <v>4344</v>
      </c>
    </row>
    <row r="2371" spans="1:2" x14ac:dyDescent="0.25">
      <c r="A2371" s="30" t="s">
        <v>515</v>
      </c>
      <c r="B2371" s="31" t="s">
        <v>4345</v>
      </c>
    </row>
    <row r="2372" spans="1:2" x14ac:dyDescent="0.25">
      <c r="A2372" s="32" t="s">
        <v>4346</v>
      </c>
      <c r="B2372" s="33" t="s">
        <v>4347</v>
      </c>
    </row>
    <row r="2373" spans="1:2" x14ac:dyDescent="0.25">
      <c r="A2373" s="30" t="s">
        <v>260</v>
      </c>
      <c r="B2373" s="31" t="s">
        <v>4348</v>
      </c>
    </row>
    <row r="2374" spans="1:2" x14ac:dyDescent="0.25">
      <c r="A2374" s="32" t="s">
        <v>290</v>
      </c>
      <c r="B2374" s="33" t="s">
        <v>4349</v>
      </c>
    </row>
    <row r="2375" spans="1:2" x14ac:dyDescent="0.25">
      <c r="A2375" s="30" t="s">
        <v>4350</v>
      </c>
      <c r="B2375" s="31" t="s">
        <v>4351</v>
      </c>
    </row>
    <row r="2376" spans="1:2" x14ac:dyDescent="0.25">
      <c r="A2376" s="32" t="s">
        <v>516</v>
      </c>
      <c r="B2376" s="33" t="s">
        <v>4352</v>
      </c>
    </row>
    <row r="2377" spans="1:2" x14ac:dyDescent="0.25">
      <c r="A2377" s="30" t="s">
        <v>4353</v>
      </c>
      <c r="B2377" s="31" t="s">
        <v>4354</v>
      </c>
    </row>
    <row r="2378" spans="1:2" x14ac:dyDescent="0.25">
      <c r="A2378" s="32" t="s">
        <v>517</v>
      </c>
      <c r="B2378" s="33" t="s">
        <v>4355</v>
      </c>
    </row>
    <row r="2379" spans="1:2" x14ac:dyDescent="0.25">
      <c r="A2379" s="30" t="s">
        <v>10431</v>
      </c>
      <c r="B2379" s="31" t="s">
        <v>10431</v>
      </c>
    </row>
    <row r="2380" spans="1:2" x14ac:dyDescent="0.25">
      <c r="A2380" s="32" t="s">
        <v>4356</v>
      </c>
      <c r="B2380" s="33" t="s">
        <v>4357</v>
      </c>
    </row>
    <row r="2381" spans="1:2" x14ac:dyDescent="0.25">
      <c r="A2381" s="30" t="s">
        <v>10432</v>
      </c>
      <c r="B2381" s="31" t="s">
        <v>10432</v>
      </c>
    </row>
    <row r="2382" spans="1:2" x14ac:dyDescent="0.25">
      <c r="A2382" s="32" t="s">
        <v>4358</v>
      </c>
      <c r="B2382" s="33" t="s">
        <v>4359</v>
      </c>
    </row>
    <row r="2383" spans="1:2" x14ac:dyDescent="0.25">
      <c r="A2383" s="30" t="s">
        <v>4360</v>
      </c>
      <c r="B2383" s="31" t="s">
        <v>4361</v>
      </c>
    </row>
    <row r="2384" spans="1:2" x14ac:dyDescent="0.25">
      <c r="A2384" s="32" t="s">
        <v>4362</v>
      </c>
      <c r="B2384" s="33" t="s">
        <v>4363</v>
      </c>
    </row>
    <row r="2385" spans="1:2" x14ac:dyDescent="0.25">
      <c r="A2385" s="30" t="s">
        <v>4364</v>
      </c>
      <c r="B2385" s="31" t="s">
        <v>4365</v>
      </c>
    </row>
    <row r="2386" spans="1:2" x14ac:dyDescent="0.25">
      <c r="A2386" s="32" t="s">
        <v>4366</v>
      </c>
      <c r="B2386" s="33" t="s">
        <v>4367</v>
      </c>
    </row>
    <row r="2387" spans="1:2" x14ac:dyDescent="0.25">
      <c r="A2387" s="30" t="s">
        <v>4368</v>
      </c>
      <c r="B2387" s="31" t="s">
        <v>4369</v>
      </c>
    </row>
    <row r="2388" spans="1:2" x14ac:dyDescent="0.25">
      <c r="A2388" s="32" t="s">
        <v>4370</v>
      </c>
      <c r="B2388" s="33" t="s">
        <v>4371</v>
      </c>
    </row>
    <row r="2389" spans="1:2" x14ac:dyDescent="0.25">
      <c r="A2389" s="30" t="s">
        <v>518</v>
      </c>
      <c r="B2389" s="31" t="s">
        <v>4372</v>
      </c>
    </row>
    <row r="2390" spans="1:2" x14ac:dyDescent="0.25">
      <c r="A2390" s="32" t="s">
        <v>4373</v>
      </c>
      <c r="B2390" s="33" t="s">
        <v>4374</v>
      </c>
    </row>
    <row r="2391" spans="1:2" x14ac:dyDescent="0.25">
      <c r="A2391" s="30" t="s">
        <v>4375</v>
      </c>
      <c r="B2391" s="31" t="s">
        <v>4376</v>
      </c>
    </row>
    <row r="2392" spans="1:2" x14ac:dyDescent="0.25">
      <c r="A2392" s="32" t="s">
        <v>4377</v>
      </c>
      <c r="B2392" s="33" t="s">
        <v>4378</v>
      </c>
    </row>
    <row r="2393" spans="1:2" x14ac:dyDescent="0.25">
      <c r="A2393" s="30" t="s">
        <v>519</v>
      </c>
      <c r="B2393" s="31" t="s">
        <v>4379</v>
      </c>
    </row>
    <row r="2394" spans="1:2" x14ac:dyDescent="0.25">
      <c r="A2394" s="32" t="s">
        <v>520</v>
      </c>
      <c r="B2394" s="33" t="s">
        <v>4380</v>
      </c>
    </row>
    <row r="2395" spans="1:2" x14ac:dyDescent="0.25">
      <c r="A2395" s="30" t="s">
        <v>4381</v>
      </c>
      <c r="B2395" s="31" t="s">
        <v>4382</v>
      </c>
    </row>
    <row r="2396" spans="1:2" x14ac:dyDescent="0.25">
      <c r="A2396" s="32" t="s">
        <v>4383</v>
      </c>
      <c r="B2396" s="33" t="s">
        <v>4384</v>
      </c>
    </row>
    <row r="2397" spans="1:2" x14ac:dyDescent="0.25">
      <c r="A2397" s="30" t="s">
        <v>4385</v>
      </c>
      <c r="B2397" s="31" t="s">
        <v>4386</v>
      </c>
    </row>
    <row r="2398" spans="1:2" x14ac:dyDescent="0.25">
      <c r="A2398" s="32" t="s">
        <v>4387</v>
      </c>
      <c r="B2398" s="33" t="s">
        <v>4388</v>
      </c>
    </row>
    <row r="2399" spans="1:2" x14ac:dyDescent="0.25">
      <c r="A2399" s="30" t="s">
        <v>4389</v>
      </c>
      <c r="B2399" s="31" t="s">
        <v>4390</v>
      </c>
    </row>
    <row r="2400" spans="1:2" x14ac:dyDescent="0.25">
      <c r="A2400" s="32" t="s">
        <v>521</v>
      </c>
      <c r="B2400" s="33" t="s">
        <v>4391</v>
      </c>
    </row>
    <row r="2401" spans="1:2" x14ac:dyDescent="0.25">
      <c r="A2401" s="30" t="s">
        <v>4392</v>
      </c>
      <c r="B2401" s="31" t="s">
        <v>4393</v>
      </c>
    </row>
    <row r="2402" spans="1:2" x14ac:dyDescent="0.25">
      <c r="A2402" s="32" t="s">
        <v>10433</v>
      </c>
      <c r="B2402" s="33" t="s">
        <v>10433</v>
      </c>
    </row>
    <row r="2403" spans="1:2" x14ac:dyDescent="0.25">
      <c r="A2403" s="30" t="s">
        <v>522</v>
      </c>
      <c r="B2403" s="31" t="s">
        <v>4394</v>
      </c>
    </row>
    <row r="2404" spans="1:2" x14ac:dyDescent="0.25">
      <c r="A2404" s="32" t="s">
        <v>4395</v>
      </c>
      <c r="B2404" s="33" t="s">
        <v>4396</v>
      </c>
    </row>
    <row r="2405" spans="1:2" x14ac:dyDescent="0.25">
      <c r="A2405" s="30" t="s">
        <v>4397</v>
      </c>
      <c r="B2405" s="31" t="s">
        <v>4398</v>
      </c>
    </row>
    <row r="2406" spans="1:2" x14ac:dyDescent="0.25">
      <c r="A2406" s="32" t="s">
        <v>523</v>
      </c>
      <c r="B2406" s="33" t="s">
        <v>4399</v>
      </c>
    </row>
    <row r="2407" spans="1:2" x14ac:dyDescent="0.25">
      <c r="A2407" s="30" t="s">
        <v>4400</v>
      </c>
      <c r="B2407" s="31" t="s">
        <v>4401</v>
      </c>
    </row>
    <row r="2408" spans="1:2" x14ac:dyDescent="0.25">
      <c r="A2408" s="32" t="s">
        <v>4402</v>
      </c>
      <c r="B2408" s="33" t="s">
        <v>4403</v>
      </c>
    </row>
    <row r="2409" spans="1:2" x14ac:dyDescent="0.25">
      <c r="A2409" s="30" t="s">
        <v>4404</v>
      </c>
      <c r="B2409" s="31" t="s">
        <v>4405</v>
      </c>
    </row>
    <row r="2410" spans="1:2" x14ac:dyDescent="0.25">
      <c r="A2410" s="32" t="s">
        <v>4406</v>
      </c>
      <c r="B2410" s="33" t="s">
        <v>4407</v>
      </c>
    </row>
    <row r="2411" spans="1:2" x14ac:dyDescent="0.25">
      <c r="A2411" s="30" t="s">
        <v>4408</v>
      </c>
      <c r="B2411" s="31" t="s">
        <v>4409</v>
      </c>
    </row>
    <row r="2412" spans="1:2" x14ac:dyDescent="0.25">
      <c r="A2412" s="32" t="s">
        <v>4410</v>
      </c>
      <c r="B2412" s="33" t="s">
        <v>4411</v>
      </c>
    </row>
    <row r="2413" spans="1:2" x14ac:dyDescent="0.25">
      <c r="A2413" s="30" t="s">
        <v>10434</v>
      </c>
      <c r="B2413" s="31" t="s">
        <v>10434</v>
      </c>
    </row>
    <row r="2414" spans="1:2" x14ac:dyDescent="0.25">
      <c r="A2414" s="32" t="s">
        <v>10435</v>
      </c>
      <c r="B2414" s="33" t="s">
        <v>10435</v>
      </c>
    </row>
    <row r="2415" spans="1:2" x14ac:dyDescent="0.25">
      <c r="A2415" s="30" t="s">
        <v>10436</v>
      </c>
      <c r="B2415" s="31" t="s">
        <v>10436</v>
      </c>
    </row>
    <row r="2416" spans="1:2" x14ac:dyDescent="0.25">
      <c r="A2416" s="32" t="s">
        <v>10437</v>
      </c>
      <c r="B2416" s="33" t="s">
        <v>10437</v>
      </c>
    </row>
    <row r="2417" spans="1:2" x14ac:dyDescent="0.25">
      <c r="A2417" s="30" t="s">
        <v>10438</v>
      </c>
      <c r="B2417" s="31" t="s">
        <v>10438</v>
      </c>
    </row>
    <row r="2418" spans="1:2" x14ac:dyDescent="0.25">
      <c r="A2418" s="32" t="s">
        <v>4412</v>
      </c>
      <c r="B2418" s="33" t="s">
        <v>4413</v>
      </c>
    </row>
    <row r="2419" spans="1:2" x14ac:dyDescent="0.25">
      <c r="A2419" s="30" t="s">
        <v>4414</v>
      </c>
      <c r="B2419" s="31" t="s">
        <v>4415</v>
      </c>
    </row>
    <row r="2420" spans="1:2" x14ac:dyDescent="0.25">
      <c r="A2420" s="32" t="s">
        <v>4416</v>
      </c>
      <c r="B2420" s="33" t="s">
        <v>4417</v>
      </c>
    </row>
    <row r="2421" spans="1:2" x14ac:dyDescent="0.25">
      <c r="A2421" s="30" t="s">
        <v>10439</v>
      </c>
      <c r="B2421" s="31" t="s">
        <v>10439</v>
      </c>
    </row>
    <row r="2422" spans="1:2" x14ac:dyDescent="0.25">
      <c r="A2422" s="32" t="s">
        <v>4418</v>
      </c>
      <c r="B2422" s="33" t="s">
        <v>4419</v>
      </c>
    </row>
    <row r="2423" spans="1:2" x14ac:dyDescent="0.25">
      <c r="A2423" s="30" t="s">
        <v>4420</v>
      </c>
      <c r="B2423" s="31" t="s">
        <v>4421</v>
      </c>
    </row>
    <row r="2424" spans="1:2" x14ac:dyDescent="0.25">
      <c r="A2424" s="32" t="s">
        <v>4422</v>
      </c>
      <c r="B2424" s="33" t="s">
        <v>4423</v>
      </c>
    </row>
    <row r="2425" spans="1:2" x14ac:dyDescent="0.25">
      <c r="A2425" s="30" t="s">
        <v>4424</v>
      </c>
      <c r="B2425" s="31" t="s">
        <v>4425</v>
      </c>
    </row>
    <row r="2426" spans="1:2" x14ac:dyDescent="0.25">
      <c r="A2426" s="32" t="s">
        <v>4426</v>
      </c>
      <c r="B2426" s="33" t="s">
        <v>4427</v>
      </c>
    </row>
    <row r="2427" spans="1:2" x14ac:dyDescent="0.25">
      <c r="A2427" s="30" t="s">
        <v>4428</v>
      </c>
      <c r="B2427" s="31" t="s">
        <v>4429</v>
      </c>
    </row>
    <row r="2428" spans="1:2" x14ac:dyDescent="0.25">
      <c r="A2428" s="32" t="s">
        <v>4430</v>
      </c>
      <c r="B2428" s="33" t="s">
        <v>4431</v>
      </c>
    </row>
    <row r="2429" spans="1:2" x14ac:dyDescent="0.25">
      <c r="A2429" s="30" t="s">
        <v>4432</v>
      </c>
      <c r="B2429" s="31" t="s">
        <v>4433</v>
      </c>
    </row>
    <row r="2430" spans="1:2" x14ac:dyDescent="0.25">
      <c r="A2430" s="32" t="s">
        <v>10440</v>
      </c>
      <c r="B2430" s="33" t="s">
        <v>10440</v>
      </c>
    </row>
    <row r="2431" spans="1:2" x14ac:dyDescent="0.25">
      <c r="A2431" s="30" t="s">
        <v>10441</v>
      </c>
      <c r="B2431" s="31" t="s">
        <v>10441</v>
      </c>
    </row>
    <row r="2432" spans="1:2" x14ac:dyDescent="0.25">
      <c r="A2432" s="32" t="s">
        <v>4434</v>
      </c>
      <c r="B2432" s="33" t="s">
        <v>4435</v>
      </c>
    </row>
    <row r="2433" spans="1:2" x14ac:dyDescent="0.25">
      <c r="A2433" s="30" t="s">
        <v>4436</v>
      </c>
      <c r="B2433" s="31" t="s">
        <v>4437</v>
      </c>
    </row>
    <row r="2434" spans="1:2" x14ac:dyDescent="0.25">
      <c r="A2434" s="32" t="s">
        <v>4438</v>
      </c>
      <c r="B2434" s="33" t="s">
        <v>4439</v>
      </c>
    </row>
    <row r="2435" spans="1:2" x14ac:dyDescent="0.25">
      <c r="A2435" s="30" t="s">
        <v>4440</v>
      </c>
      <c r="B2435" s="31" t="s">
        <v>4441</v>
      </c>
    </row>
    <row r="2436" spans="1:2" x14ac:dyDescent="0.25">
      <c r="A2436" s="32" t="s">
        <v>10442</v>
      </c>
      <c r="B2436" s="33" t="s">
        <v>10442</v>
      </c>
    </row>
    <row r="2437" spans="1:2" x14ac:dyDescent="0.25">
      <c r="A2437" s="30" t="s">
        <v>4442</v>
      </c>
      <c r="B2437" s="31" t="s">
        <v>4443</v>
      </c>
    </row>
    <row r="2438" spans="1:2" x14ac:dyDescent="0.25">
      <c r="A2438" s="32" t="s">
        <v>4444</v>
      </c>
      <c r="B2438" s="33" t="s">
        <v>4445</v>
      </c>
    </row>
    <row r="2439" spans="1:2" x14ac:dyDescent="0.25">
      <c r="A2439" s="30" t="s">
        <v>4446</v>
      </c>
      <c r="B2439" s="31" t="s">
        <v>4447</v>
      </c>
    </row>
    <row r="2440" spans="1:2" x14ac:dyDescent="0.25">
      <c r="A2440" s="32" t="s">
        <v>4448</v>
      </c>
      <c r="B2440" s="33" t="s">
        <v>4449</v>
      </c>
    </row>
    <row r="2441" spans="1:2" x14ac:dyDescent="0.25">
      <c r="A2441" s="30" t="s">
        <v>4450</v>
      </c>
      <c r="B2441" s="31" t="s">
        <v>4451</v>
      </c>
    </row>
    <row r="2442" spans="1:2" x14ac:dyDescent="0.25">
      <c r="A2442" s="32" t="s">
        <v>4452</v>
      </c>
      <c r="B2442" s="33" t="s">
        <v>4453</v>
      </c>
    </row>
    <row r="2443" spans="1:2" x14ac:dyDescent="0.25">
      <c r="A2443" s="30" t="s">
        <v>4454</v>
      </c>
      <c r="B2443" s="31" t="s">
        <v>4455</v>
      </c>
    </row>
    <row r="2444" spans="1:2" x14ac:dyDescent="0.25">
      <c r="A2444" s="32" t="s">
        <v>4456</v>
      </c>
      <c r="B2444" s="33" t="s">
        <v>4457</v>
      </c>
    </row>
    <row r="2445" spans="1:2" x14ac:dyDescent="0.25">
      <c r="A2445" s="30" t="s">
        <v>4458</v>
      </c>
      <c r="B2445" s="31" t="s">
        <v>4459</v>
      </c>
    </row>
    <row r="2446" spans="1:2" x14ac:dyDescent="0.25">
      <c r="A2446" s="32" t="s">
        <v>524</v>
      </c>
      <c r="B2446" s="33" t="s">
        <v>4460</v>
      </c>
    </row>
    <row r="2447" spans="1:2" x14ac:dyDescent="0.25">
      <c r="A2447" s="30" t="s">
        <v>4461</v>
      </c>
      <c r="B2447" s="31" t="s">
        <v>4462</v>
      </c>
    </row>
    <row r="2448" spans="1:2" x14ac:dyDescent="0.25">
      <c r="A2448" s="32" t="s">
        <v>4463</v>
      </c>
      <c r="B2448" s="33" t="s">
        <v>4464</v>
      </c>
    </row>
    <row r="2449" spans="1:2" x14ac:dyDescent="0.25">
      <c r="A2449" s="30" t="s">
        <v>4465</v>
      </c>
      <c r="B2449" s="31" t="s">
        <v>4466</v>
      </c>
    </row>
    <row r="2450" spans="1:2" x14ac:dyDescent="0.25">
      <c r="A2450" s="32" t="s">
        <v>525</v>
      </c>
      <c r="B2450" s="33" t="s">
        <v>4467</v>
      </c>
    </row>
    <row r="2451" spans="1:2" x14ac:dyDescent="0.25">
      <c r="A2451" s="30" t="s">
        <v>10443</v>
      </c>
      <c r="B2451" s="31" t="s">
        <v>10443</v>
      </c>
    </row>
    <row r="2452" spans="1:2" x14ac:dyDescent="0.25">
      <c r="A2452" s="32" t="s">
        <v>4468</v>
      </c>
      <c r="B2452" s="33" t="s">
        <v>4469</v>
      </c>
    </row>
    <row r="2453" spans="1:2" x14ac:dyDescent="0.25">
      <c r="A2453" s="30" t="s">
        <v>4470</v>
      </c>
      <c r="B2453" s="31" t="s">
        <v>4471</v>
      </c>
    </row>
    <row r="2454" spans="1:2" x14ac:dyDescent="0.25">
      <c r="A2454" s="32" t="s">
        <v>4472</v>
      </c>
      <c r="B2454" s="33" t="s">
        <v>4473</v>
      </c>
    </row>
    <row r="2455" spans="1:2" x14ac:dyDescent="0.25">
      <c r="A2455" s="30" t="s">
        <v>10444</v>
      </c>
      <c r="B2455" s="31" t="s">
        <v>10444</v>
      </c>
    </row>
    <row r="2456" spans="1:2" x14ac:dyDescent="0.25">
      <c r="A2456" s="32" t="s">
        <v>4474</v>
      </c>
      <c r="B2456" s="33" t="s">
        <v>4475</v>
      </c>
    </row>
    <row r="2457" spans="1:2" x14ac:dyDescent="0.25">
      <c r="A2457" s="30" t="s">
        <v>4476</v>
      </c>
      <c r="B2457" s="31" t="s">
        <v>4477</v>
      </c>
    </row>
    <row r="2458" spans="1:2" x14ac:dyDescent="0.25">
      <c r="A2458" s="32" t="s">
        <v>4478</v>
      </c>
      <c r="B2458" s="33" t="s">
        <v>4479</v>
      </c>
    </row>
    <row r="2459" spans="1:2" x14ac:dyDescent="0.25">
      <c r="A2459" s="30" t="s">
        <v>4480</v>
      </c>
      <c r="B2459" s="31" t="s">
        <v>4481</v>
      </c>
    </row>
    <row r="2460" spans="1:2" x14ac:dyDescent="0.25">
      <c r="A2460" s="32" t="s">
        <v>526</v>
      </c>
      <c r="B2460" s="33" t="s">
        <v>4482</v>
      </c>
    </row>
    <row r="2461" spans="1:2" x14ac:dyDescent="0.25">
      <c r="A2461" s="30" t="s">
        <v>527</v>
      </c>
      <c r="B2461" s="31" t="s">
        <v>4483</v>
      </c>
    </row>
    <row r="2462" spans="1:2" x14ac:dyDescent="0.25">
      <c r="A2462" s="32" t="s">
        <v>4484</v>
      </c>
      <c r="B2462" s="33" t="s">
        <v>4485</v>
      </c>
    </row>
    <row r="2463" spans="1:2" x14ac:dyDescent="0.25">
      <c r="A2463" s="30" t="s">
        <v>4486</v>
      </c>
      <c r="B2463" s="31" t="s">
        <v>4487</v>
      </c>
    </row>
    <row r="2464" spans="1:2" x14ac:dyDescent="0.25">
      <c r="A2464" s="32" t="s">
        <v>257</v>
      </c>
      <c r="B2464" s="33" t="s">
        <v>4488</v>
      </c>
    </row>
    <row r="2465" spans="1:2" x14ac:dyDescent="0.25">
      <c r="A2465" s="30" t="s">
        <v>4489</v>
      </c>
      <c r="B2465" s="31" t="s">
        <v>4490</v>
      </c>
    </row>
    <row r="2466" spans="1:2" x14ac:dyDescent="0.25">
      <c r="A2466" s="32" t="s">
        <v>4491</v>
      </c>
      <c r="B2466" s="33" t="s">
        <v>4492</v>
      </c>
    </row>
    <row r="2467" spans="1:2" x14ac:dyDescent="0.25">
      <c r="A2467" s="30" t="s">
        <v>4493</v>
      </c>
      <c r="B2467" s="31" t="s">
        <v>4494</v>
      </c>
    </row>
    <row r="2468" spans="1:2" x14ac:dyDescent="0.25">
      <c r="A2468" s="32" t="s">
        <v>4495</v>
      </c>
      <c r="B2468" s="33" t="s">
        <v>4496</v>
      </c>
    </row>
    <row r="2469" spans="1:2" x14ac:dyDescent="0.25">
      <c r="A2469" s="30" t="s">
        <v>4497</v>
      </c>
      <c r="B2469" s="31" t="s">
        <v>4498</v>
      </c>
    </row>
    <row r="2470" spans="1:2" x14ac:dyDescent="0.25">
      <c r="A2470" s="32" t="s">
        <v>4499</v>
      </c>
      <c r="B2470" s="33" t="s">
        <v>4500</v>
      </c>
    </row>
    <row r="2471" spans="1:2" x14ac:dyDescent="0.25">
      <c r="A2471" s="30" t="s">
        <v>4501</v>
      </c>
      <c r="B2471" s="31" t="s">
        <v>4502</v>
      </c>
    </row>
    <row r="2472" spans="1:2" x14ac:dyDescent="0.25">
      <c r="A2472" s="32" t="s">
        <v>4503</v>
      </c>
      <c r="B2472" s="33" t="s">
        <v>4504</v>
      </c>
    </row>
    <row r="2473" spans="1:2" x14ac:dyDescent="0.25">
      <c r="A2473" s="30" t="s">
        <v>10445</v>
      </c>
      <c r="B2473" s="31" t="s">
        <v>10445</v>
      </c>
    </row>
    <row r="2474" spans="1:2" x14ac:dyDescent="0.25">
      <c r="A2474" s="32" t="s">
        <v>4505</v>
      </c>
      <c r="B2474" s="33" t="s">
        <v>4506</v>
      </c>
    </row>
    <row r="2475" spans="1:2" x14ac:dyDescent="0.25">
      <c r="A2475" s="30" t="s">
        <v>4507</v>
      </c>
      <c r="B2475" s="31" t="s">
        <v>4508</v>
      </c>
    </row>
    <row r="2476" spans="1:2" x14ac:dyDescent="0.25">
      <c r="A2476" s="32" t="s">
        <v>4509</v>
      </c>
      <c r="B2476" s="33" t="s">
        <v>4510</v>
      </c>
    </row>
    <row r="2477" spans="1:2" x14ac:dyDescent="0.25">
      <c r="A2477" s="30" t="s">
        <v>4511</v>
      </c>
      <c r="B2477" s="31" t="s">
        <v>4512</v>
      </c>
    </row>
    <row r="2478" spans="1:2" x14ac:dyDescent="0.25">
      <c r="A2478" s="32" t="s">
        <v>4513</v>
      </c>
      <c r="B2478" s="33" t="s">
        <v>4514</v>
      </c>
    </row>
    <row r="2479" spans="1:2" x14ac:dyDescent="0.25">
      <c r="A2479" s="30" t="s">
        <v>4515</v>
      </c>
      <c r="B2479" s="31" t="s">
        <v>4516</v>
      </c>
    </row>
    <row r="2480" spans="1:2" x14ac:dyDescent="0.25">
      <c r="A2480" s="32" t="s">
        <v>10446</v>
      </c>
      <c r="B2480" s="33" t="s">
        <v>10446</v>
      </c>
    </row>
    <row r="2481" spans="1:2" x14ac:dyDescent="0.25">
      <c r="A2481" s="30" t="s">
        <v>10447</v>
      </c>
      <c r="B2481" s="31" t="s">
        <v>10447</v>
      </c>
    </row>
    <row r="2482" spans="1:2" x14ac:dyDescent="0.25">
      <c r="A2482" s="32" t="s">
        <v>10448</v>
      </c>
      <c r="B2482" s="33" t="s">
        <v>10448</v>
      </c>
    </row>
    <row r="2483" spans="1:2" x14ac:dyDescent="0.25">
      <c r="A2483" s="30" t="s">
        <v>10449</v>
      </c>
      <c r="B2483" s="31" t="s">
        <v>10449</v>
      </c>
    </row>
    <row r="2484" spans="1:2" x14ac:dyDescent="0.25">
      <c r="A2484" s="32" t="s">
        <v>10450</v>
      </c>
      <c r="B2484" s="33" t="s">
        <v>10450</v>
      </c>
    </row>
    <row r="2485" spans="1:2" x14ac:dyDescent="0.25">
      <c r="A2485" s="30" t="s">
        <v>10451</v>
      </c>
      <c r="B2485" s="31" t="s">
        <v>10451</v>
      </c>
    </row>
    <row r="2486" spans="1:2" x14ac:dyDescent="0.25">
      <c r="A2486" s="32" t="s">
        <v>4517</v>
      </c>
      <c r="B2486" s="33" t="s">
        <v>4518</v>
      </c>
    </row>
    <row r="2487" spans="1:2" x14ac:dyDescent="0.25">
      <c r="A2487" s="30" t="s">
        <v>4519</v>
      </c>
      <c r="B2487" s="31" t="s">
        <v>4520</v>
      </c>
    </row>
    <row r="2488" spans="1:2" x14ac:dyDescent="0.25">
      <c r="A2488" s="32" t="s">
        <v>10452</v>
      </c>
      <c r="B2488" s="33" t="s">
        <v>10452</v>
      </c>
    </row>
    <row r="2489" spans="1:2" x14ac:dyDescent="0.25">
      <c r="A2489" s="30" t="s">
        <v>4521</v>
      </c>
      <c r="B2489" s="31" t="s">
        <v>4522</v>
      </c>
    </row>
    <row r="2490" spans="1:2" x14ac:dyDescent="0.25">
      <c r="A2490" s="32" t="s">
        <v>4523</v>
      </c>
      <c r="B2490" s="33" t="s">
        <v>4524</v>
      </c>
    </row>
    <row r="2491" spans="1:2" x14ac:dyDescent="0.25">
      <c r="A2491" s="30" t="s">
        <v>4525</v>
      </c>
      <c r="B2491" s="31" t="s">
        <v>4526</v>
      </c>
    </row>
    <row r="2492" spans="1:2" x14ac:dyDescent="0.25">
      <c r="A2492" s="32" t="s">
        <v>4527</v>
      </c>
      <c r="B2492" s="33" t="s">
        <v>4528</v>
      </c>
    </row>
    <row r="2493" spans="1:2" x14ac:dyDescent="0.25">
      <c r="A2493" s="30" t="s">
        <v>10453</v>
      </c>
      <c r="B2493" s="31" t="s">
        <v>10453</v>
      </c>
    </row>
    <row r="2494" spans="1:2" x14ac:dyDescent="0.25">
      <c r="A2494" s="32" t="s">
        <v>4529</v>
      </c>
      <c r="B2494" s="33" t="s">
        <v>4530</v>
      </c>
    </row>
    <row r="2495" spans="1:2" x14ac:dyDescent="0.25">
      <c r="A2495" s="30" t="s">
        <v>4531</v>
      </c>
      <c r="B2495" s="31" t="s">
        <v>4532</v>
      </c>
    </row>
    <row r="2496" spans="1:2" x14ac:dyDescent="0.25">
      <c r="A2496" s="32" t="s">
        <v>4533</v>
      </c>
      <c r="B2496" s="33" t="s">
        <v>4534</v>
      </c>
    </row>
    <row r="2497" spans="1:2" x14ac:dyDescent="0.25">
      <c r="A2497" s="30" t="s">
        <v>4535</v>
      </c>
      <c r="B2497" s="31" t="s">
        <v>4536</v>
      </c>
    </row>
    <row r="2498" spans="1:2" x14ac:dyDescent="0.25">
      <c r="A2498" s="32" t="s">
        <v>4537</v>
      </c>
      <c r="B2498" s="33" t="s">
        <v>4538</v>
      </c>
    </row>
    <row r="2499" spans="1:2" x14ac:dyDescent="0.25">
      <c r="A2499" s="30" t="s">
        <v>4539</v>
      </c>
      <c r="B2499" s="31" t="s">
        <v>4540</v>
      </c>
    </row>
    <row r="2500" spans="1:2" x14ac:dyDescent="0.25">
      <c r="A2500" s="32" t="s">
        <v>4541</v>
      </c>
      <c r="B2500" s="33" t="s">
        <v>4542</v>
      </c>
    </row>
    <row r="2501" spans="1:2" x14ac:dyDescent="0.25">
      <c r="A2501" s="30" t="s">
        <v>4543</v>
      </c>
      <c r="B2501" s="31" t="s">
        <v>4544</v>
      </c>
    </row>
    <row r="2502" spans="1:2" x14ac:dyDescent="0.25">
      <c r="A2502" s="32" t="s">
        <v>10454</v>
      </c>
      <c r="B2502" s="33" t="s">
        <v>10454</v>
      </c>
    </row>
    <row r="2503" spans="1:2" x14ac:dyDescent="0.25">
      <c r="A2503" s="30" t="s">
        <v>10455</v>
      </c>
      <c r="B2503" s="31" t="s">
        <v>10455</v>
      </c>
    </row>
    <row r="2504" spans="1:2" x14ac:dyDescent="0.25">
      <c r="A2504" s="32" t="s">
        <v>4545</v>
      </c>
      <c r="B2504" s="33" t="s">
        <v>4546</v>
      </c>
    </row>
    <row r="2505" spans="1:2" x14ac:dyDescent="0.25">
      <c r="A2505" s="30" t="s">
        <v>4547</v>
      </c>
      <c r="B2505" s="31" t="s">
        <v>4548</v>
      </c>
    </row>
    <row r="2506" spans="1:2" x14ac:dyDescent="0.25">
      <c r="A2506" s="32" t="s">
        <v>10456</v>
      </c>
      <c r="B2506" s="33" t="s">
        <v>10456</v>
      </c>
    </row>
    <row r="2507" spans="1:2" x14ac:dyDescent="0.25">
      <c r="A2507" s="30" t="s">
        <v>4549</v>
      </c>
      <c r="B2507" s="31" t="s">
        <v>4550</v>
      </c>
    </row>
    <row r="2508" spans="1:2" x14ac:dyDescent="0.25">
      <c r="A2508" s="32" t="s">
        <v>528</v>
      </c>
      <c r="B2508" s="33" t="s">
        <v>4551</v>
      </c>
    </row>
    <row r="2509" spans="1:2" x14ac:dyDescent="0.25">
      <c r="A2509" s="30" t="s">
        <v>4552</v>
      </c>
      <c r="B2509" s="31" t="s">
        <v>4553</v>
      </c>
    </row>
    <row r="2510" spans="1:2" x14ac:dyDescent="0.25">
      <c r="A2510" s="32" t="s">
        <v>4554</v>
      </c>
      <c r="B2510" s="33" t="s">
        <v>4555</v>
      </c>
    </row>
    <row r="2511" spans="1:2" x14ac:dyDescent="0.25">
      <c r="A2511" s="30" t="s">
        <v>4556</v>
      </c>
      <c r="B2511" s="31" t="s">
        <v>4557</v>
      </c>
    </row>
    <row r="2512" spans="1:2" x14ac:dyDescent="0.25">
      <c r="A2512" s="32" t="s">
        <v>4558</v>
      </c>
      <c r="B2512" s="33" t="s">
        <v>4559</v>
      </c>
    </row>
    <row r="2513" spans="1:2" x14ac:dyDescent="0.25">
      <c r="A2513" s="30" t="s">
        <v>4560</v>
      </c>
      <c r="B2513" s="31" t="s">
        <v>4561</v>
      </c>
    </row>
    <row r="2514" spans="1:2" x14ac:dyDescent="0.25">
      <c r="A2514" s="32" t="s">
        <v>4562</v>
      </c>
      <c r="B2514" s="33" t="s">
        <v>4563</v>
      </c>
    </row>
    <row r="2515" spans="1:2" x14ac:dyDescent="0.25">
      <c r="A2515" s="30" t="s">
        <v>10457</v>
      </c>
      <c r="B2515" s="31" t="s">
        <v>10457</v>
      </c>
    </row>
    <row r="2516" spans="1:2" x14ac:dyDescent="0.25">
      <c r="A2516" s="32" t="s">
        <v>4564</v>
      </c>
      <c r="B2516" s="33" t="s">
        <v>4565</v>
      </c>
    </row>
    <row r="2517" spans="1:2" x14ac:dyDescent="0.25">
      <c r="A2517" s="30" t="s">
        <v>4566</v>
      </c>
      <c r="B2517" s="31" t="s">
        <v>4567</v>
      </c>
    </row>
    <row r="2518" spans="1:2" x14ac:dyDescent="0.25">
      <c r="A2518" s="32" t="s">
        <v>4568</v>
      </c>
      <c r="B2518" s="33" t="s">
        <v>4569</v>
      </c>
    </row>
    <row r="2519" spans="1:2" x14ac:dyDescent="0.25">
      <c r="A2519" s="30" t="s">
        <v>4570</v>
      </c>
      <c r="B2519" s="31" t="s">
        <v>4571</v>
      </c>
    </row>
    <row r="2520" spans="1:2" x14ac:dyDescent="0.25">
      <c r="A2520" s="32" t="s">
        <v>4572</v>
      </c>
      <c r="B2520" s="33" t="s">
        <v>4573</v>
      </c>
    </row>
    <row r="2521" spans="1:2" x14ac:dyDescent="0.25">
      <c r="A2521" s="30" t="s">
        <v>4574</v>
      </c>
      <c r="B2521" s="31" t="s">
        <v>4575</v>
      </c>
    </row>
    <row r="2522" spans="1:2" x14ac:dyDescent="0.25">
      <c r="A2522" s="32" t="s">
        <v>10458</v>
      </c>
      <c r="B2522" s="33" t="s">
        <v>10458</v>
      </c>
    </row>
    <row r="2523" spans="1:2" x14ac:dyDescent="0.25">
      <c r="A2523" s="30" t="s">
        <v>4576</v>
      </c>
      <c r="B2523" s="31" t="s">
        <v>4577</v>
      </c>
    </row>
    <row r="2524" spans="1:2" x14ac:dyDescent="0.25">
      <c r="A2524" s="32" t="s">
        <v>4578</v>
      </c>
      <c r="B2524" s="33" t="s">
        <v>4579</v>
      </c>
    </row>
    <row r="2525" spans="1:2" x14ac:dyDescent="0.25">
      <c r="A2525" s="30" t="s">
        <v>4580</v>
      </c>
      <c r="B2525" s="31" t="s">
        <v>4581</v>
      </c>
    </row>
    <row r="2526" spans="1:2" x14ac:dyDescent="0.25">
      <c r="A2526" s="32" t="s">
        <v>4582</v>
      </c>
      <c r="B2526" s="33" t="s">
        <v>4583</v>
      </c>
    </row>
    <row r="2527" spans="1:2" x14ac:dyDescent="0.25">
      <c r="A2527" s="30" t="s">
        <v>4584</v>
      </c>
      <c r="B2527" s="31" t="s">
        <v>4585</v>
      </c>
    </row>
    <row r="2528" spans="1:2" x14ac:dyDescent="0.25">
      <c r="A2528" s="32" t="s">
        <v>4586</v>
      </c>
      <c r="B2528" s="33" t="s">
        <v>4587</v>
      </c>
    </row>
    <row r="2529" spans="1:2" x14ac:dyDescent="0.25">
      <c r="A2529" s="30" t="s">
        <v>4588</v>
      </c>
      <c r="B2529" s="31" t="s">
        <v>4589</v>
      </c>
    </row>
    <row r="2530" spans="1:2" x14ac:dyDescent="0.25">
      <c r="A2530" s="32" t="s">
        <v>4590</v>
      </c>
      <c r="B2530" s="33" t="s">
        <v>4591</v>
      </c>
    </row>
    <row r="2531" spans="1:2" x14ac:dyDescent="0.25">
      <c r="A2531" s="30" t="s">
        <v>4592</v>
      </c>
      <c r="B2531" s="31" t="s">
        <v>4593</v>
      </c>
    </row>
    <row r="2532" spans="1:2" x14ac:dyDescent="0.25">
      <c r="A2532" s="32" t="s">
        <v>4594</v>
      </c>
      <c r="B2532" s="33" t="s">
        <v>4595</v>
      </c>
    </row>
    <row r="2533" spans="1:2" x14ac:dyDescent="0.25">
      <c r="A2533" s="30" t="s">
        <v>4596</v>
      </c>
      <c r="B2533" s="31" t="s">
        <v>4597</v>
      </c>
    </row>
    <row r="2534" spans="1:2" x14ac:dyDescent="0.25">
      <c r="A2534" s="32" t="s">
        <v>4598</v>
      </c>
      <c r="B2534" s="33" t="s">
        <v>4599</v>
      </c>
    </row>
    <row r="2535" spans="1:2" x14ac:dyDescent="0.25">
      <c r="A2535" s="30" t="s">
        <v>4600</v>
      </c>
      <c r="B2535" s="31" t="s">
        <v>4601</v>
      </c>
    </row>
    <row r="2536" spans="1:2" x14ac:dyDescent="0.25">
      <c r="A2536" s="32" t="s">
        <v>4602</v>
      </c>
      <c r="B2536" s="33" t="s">
        <v>4603</v>
      </c>
    </row>
    <row r="2537" spans="1:2" x14ac:dyDescent="0.25">
      <c r="A2537" s="30" t="s">
        <v>4604</v>
      </c>
      <c r="B2537" s="31" t="s">
        <v>4605</v>
      </c>
    </row>
    <row r="2538" spans="1:2" x14ac:dyDescent="0.25">
      <c r="A2538" s="32" t="s">
        <v>4606</v>
      </c>
      <c r="B2538" s="33" t="s">
        <v>4607</v>
      </c>
    </row>
    <row r="2539" spans="1:2" x14ac:dyDescent="0.25">
      <c r="A2539" s="30" t="s">
        <v>4608</v>
      </c>
      <c r="B2539" s="31" t="s">
        <v>4609</v>
      </c>
    </row>
    <row r="2540" spans="1:2" x14ac:dyDescent="0.25">
      <c r="A2540" s="32" t="s">
        <v>4610</v>
      </c>
      <c r="B2540" s="33" t="s">
        <v>4611</v>
      </c>
    </row>
    <row r="2541" spans="1:2" x14ac:dyDescent="0.25">
      <c r="A2541" s="30" t="s">
        <v>4612</v>
      </c>
      <c r="B2541" s="31" t="s">
        <v>4613</v>
      </c>
    </row>
    <row r="2542" spans="1:2" x14ac:dyDescent="0.25">
      <c r="A2542" s="32" t="s">
        <v>4614</v>
      </c>
      <c r="B2542" s="33" t="s">
        <v>4615</v>
      </c>
    </row>
    <row r="2543" spans="1:2" x14ac:dyDescent="0.25">
      <c r="A2543" s="30" t="s">
        <v>4616</v>
      </c>
      <c r="B2543" s="31" t="s">
        <v>4617</v>
      </c>
    </row>
    <row r="2544" spans="1:2" x14ac:dyDescent="0.25">
      <c r="A2544" s="32" t="s">
        <v>4618</v>
      </c>
      <c r="B2544" s="33" t="s">
        <v>4619</v>
      </c>
    </row>
    <row r="2545" spans="1:2" x14ac:dyDescent="0.25">
      <c r="A2545" s="30" t="s">
        <v>4620</v>
      </c>
      <c r="B2545" s="31" t="s">
        <v>4621</v>
      </c>
    </row>
    <row r="2546" spans="1:2" x14ac:dyDescent="0.25">
      <c r="A2546" s="32" t="s">
        <v>4622</v>
      </c>
      <c r="B2546" s="33" t="s">
        <v>4623</v>
      </c>
    </row>
    <row r="2547" spans="1:2" x14ac:dyDescent="0.25">
      <c r="A2547" s="30" t="s">
        <v>4624</v>
      </c>
      <c r="B2547" s="31" t="s">
        <v>4625</v>
      </c>
    </row>
    <row r="2548" spans="1:2" x14ac:dyDescent="0.25">
      <c r="A2548" s="32" t="s">
        <v>4626</v>
      </c>
      <c r="B2548" s="33" t="s">
        <v>4627</v>
      </c>
    </row>
    <row r="2549" spans="1:2" x14ac:dyDescent="0.25">
      <c r="A2549" s="30" t="s">
        <v>4628</v>
      </c>
      <c r="B2549" s="31" t="s">
        <v>4629</v>
      </c>
    </row>
    <row r="2550" spans="1:2" x14ac:dyDescent="0.25">
      <c r="A2550" s="32" t="s">
        <v>4630</v>
      </c>
      <c r="B2550" s="33" t="s">
        <v>4631</v>
      </c>
    </row>
    <row r="2551" spans="1:2" x14ac:dyDescent="0.25">
      <c r="A2551" s="30" t="s">
        <v>4632</v>
      </c>
      <c r="B2551" s="31" t="s">
        <v>4633</v>
      </c>
    </row>
    <row r="2552" spans="1:2" x14ac:dyDescent="0.25">
      <c r="A2552" s="32" t="s">
        <v>4634</v>
      </c>
      <c r="B2552" s="33" t="s">
        <v>4635</v>
      </c>
    </row>
    <row r="2553" spans="1:2" x14ac:dyDescent="0.25">
      <c r="A2553" s="30" t="s">
        <v>4636</v>
      </c>
      <c r="B2553" s="31" t="s">
        <v>4637</v>
      </c>
    </row>
    <row r="2554" spans="1:2" x14ac:dyDescent="0.25">
      <c r="A2554" s="32" t="s">
        <v>4638</v>
      </c>
      <c r="B2554" s="33" t="s">
        <v>4639</v>
      </c>
    </row>
    <row r="2555" spans="1:2" x14ac:dyDescent="0.25">
      <c r="A2555" s="30" t="s">
        <v>4640</v>
      </c>
      <c r="B2555" s="31" t="s">
        <v>4641</v>
      </c>
    </row>
    <row r="2556" spans="1:2" x14ac:dyDescent="0.25">
      <c r="A2556" s="32" t="s">
        <v>10459</v>
      </c>
      <c r="B2556" s="33" t="s">
        <v>10459</v>
      </c>
    </row>
    <row r="2557" spans="1:2" x14ac:dyDescent="0.25">
      <c r="A2557" s="30" t="s">
        <v>4642</v>
      </c>
      <c r="B2557" s="31" t="s">
        <v>4643</v>
      </c>
    </row>
    <row r="2558" spans="1:2" x14ac:dyDescent="0.25">
      <c r="A2558" s="32" t="s">
        <v>4644</v>
      </c>
      <c r="B2558" s="33" t="s">
        <v>4645</v>
      </c>
    </row>
    <row r="2559" spans="1:2" x14ac:dyDescent="0.25">
      <c r="A2559" s="30" t="s">
        <v>4646</v>
      </c>
      <c r="B2559" s="31" t="s">
        <v>4647</v>
      </c>
    </row>
    <row r="2560" spans="1:2" x14ac:dyDescent="0.25">
      <c r="A2560" s="32" t="s">
        <v>4648</v>
      </c>
      <c r="B2560" s="33" t="s">
        <v>4649</v>
      </c>
    </row>
    <row r="2561" spans="1:2" x14ac:dyDescent="0.25">
      <c r="A2561" s="30" t="s">
        <v>4650</v>
      </c>
      <c r="B2561" s="31" t="s">
        <v>4651</v>
      </c>
    </row>
    <row r="2562" spans="1:2" x14ac:dyDescent="0.25">
      <c r="A2562" s="32" t="s">
        <v>4652</v>
      </c>
      <c r="B2562" s="33" t="s">
        <v>4653</v>
      </c>
    </row>
    <row r="2563" spans="1:2" x14ac:dyDescent="0.25">
      <c r="A2563" s="30" t="s">
        <v>4654</v>
      </c>
      <c r="B2563" s="31" t="s">
        <v>4655</v>
      </c>
    </row>
    <row r="2564" spans="1:2" x14ac:dyDescent="0.25">
      <c r="A2564" s="32" t="s">
        <v>4656</v>
      </c>
      <c r="B2564" s="33" t="s">
        <v>4657</v>
      </c>
    </row>
    <row r="2565" spans="1:2" x14ac:dyDescent="0.25">
      <c r="A2565" s="30" t="s">
        <v>4658</v>
      </c>
      <c r="B2565" s="31" t="s">
        <v>4659</v>
      </c>
    </row>
    <row r="2566" spans="1:2" x14ac:dyDescent="0.25">
      <c r="A2566" s="32" t="s">
        <v>4660</v>
      </c>
      <c r="B2566" s="33" t="s">
        <v>4661</v>
      </c>
    </row>
    <row r="2567" spans="1:2" x14ac:dyDescent="0.25">
      <c r="A2567" s="30" t="s">
        <v>529</v>
      </c>
      <c r="B2567" s="31" t="s">
        <v>4662</v>
      </c>
    </row>
    <row r="2568" spans="1:2" x14ac:dyDescent="0.25">
      <c r="A2568" s="32" t="s">
        <v>4663</v>
      </c>
      <c r="B2568" s="33" t="s">
        <v>4664</v>
      </c>
    </row>
    <row r="2569" spans="1:2" x14ac:dyDescent="0.25">
      <c r="A2569" s="30" t="s">
        <v>10460</v>
      </c>
      <c r="B2569" s="31" t="s">
        <v>10460</v>
      </c>
    </row>
    <row r="2570" spans="1:2" x14ac:dyDescent="0.25">
      <c r="A2570" s="32" t="s">
        <v>10461</v>
      </c>
      <c r="B2570" s="33" t="s">
        <v>10461</v>
      </c>
    </row>
    <row r="2571" spans="1:2" x14ac:dyDescent="0.25">
      <c r="A2571" s="30" t="s">
        <v>10462</v>
      </c>
      <c r="B2571" s="31" t="s">
        <v>10462</v>
      </c>
    </row>
    <row r="2572" spans="1:2" x14ac:dyDescent="0.25">
      <c r="A2572" s="32" t="s">
        <v>10463</v>
      </c>
      <c r="B2572" s="33" t="s">
        <v>10463</v>
      </c>
    </row>
    <row r="2573" spans="1:2" x14ac:dyDescent="0.25">
      <c r="A2573" s="30" t="s">
        <v>4665</v>
      </c>
      <c r="B2573" s="31" t="s">
        <v>4666</v>
      </c>
    </row>
    <row r="2574" spans="1:2" x14ac:dyDescent="0.25">
      <c r="A2574" s="32" t="s">
        <v>4667</v>
      </c>
      <c r="B2574" s="33" t="s">
        <v>4668</v>
      </c>
    </row>
    <row r="2575" spans="1:2" x14ac:dyDescent="0.25">
      <c r="A2575" s="30" t="s">
        <v>4669</v>
      </c>
      <c r="B2575" s="31" t="s">
        <v>4670</v>
      </c>
    </row>
    <row r="2576" spans="1:2" x14ac:dyDescent="0.25">
      <c r="A2576" s="32" t="s">
        <v>10464</v>
      </c>
      <c r="B2576" s="33" t="s">
        <v>10464</v>
      </c>
    </row>
    <row r="2577" spans="1:2" x14ac:dyDescent="0.25">
      <c r="A2577" s="30" t="s">
        <v>10465</v>
      </c>
      <c r="B2577" s="31" t="s">
        <v>10465</v>
      </c>
    </row>
    <row r="2578" spans="1:2" x14ac:dyDescent="0.25">
      <c r="A2578" s="32" t="s">
        <v>10466</v>
      </c>
      <c r="B2578" s="33" t="s">
        <v>10466</v>
      </c>
    </row>
    <row r="2579" spans="1:2" x14ac:dyDescent="0.25">
      <c r="A2579" s="30" t="s">
        <v>4671</v>
      </c>
      <c r="B2579" s="31" t="s">
        <v>4672</v>
      </c>
    </row>
    <row r="2580" spans="1:2" x14ac:dyDescent="0.25">
      <c r="A2580" s="32" t="s">
        <v>4673</v>
      </c>
      <c r="B2580" s="33" t="s">
        <v>4674</v>
      </c>
    </row>
    <row r="2581" spans="1:2" x14ac:dyDescent="0.25">
      <c r="A2581" s="30" t="s">
        <v>10467</v>
      </c>
      <c r="B2581" s="31" t="s">
        <v>10467</v>
      </c>
    </row>
    <row r="2582" spans="1:2" x14ac:dyDescent="0.25">
      <c r="A2582" s="32" t="s">
        <v>4675</v>
      </c>
      <c r="B2582" s="33" t="s">
        <v>4676</v>
      </c>
    </row>
    <row r="2583" spans="1:2" x14ac:dyDescent="0.25">
      <c r="A2583" s="30" t="s">
        <v>4677</v>
      </c>
      <c r="B2583" s="31" t="s">
        <v>4678</v>
      </c>
    </row>
    <row r="2584" spans="1:2" x14ac:dyDescent="0.25">
      <c r="A2584" s="32" t="s">
        <v>4679</v>
      </c>
      <c r="B2584" s="33" t="s">
        <v>4680</v>
      </c>
    </row>
    <row r="2585" spans="1:2" x14ac:dyDescent="0.25">
      <c r="A2585" s="30" t="s">
        <v>187</v>
      </c>
      <c r="B2585" s="31" t="s">
        <v>4681</v>
      </c>
    </row>
    <row r="2586" spans="1:2" x14ac:dyDescent="0.25">
      <c r="A2586" s="32" t="s">
        <v>4682</v>
      </c>
      <c r="B2586" s="33" t="s">
        <v>4683</v>
      </c>
    </row>
    <row r="2587" spans="1:2" x14ac:dyDescent="0.25">
      <c r="A2587" s="30" t="s">
        <v>4684</v>
      </c>
      <c r="B2587" s="31" t="s">
        <v>4685</v>
      </c>
    </row>
    <row r="2588" spans="1:2" x14ac:dyDescent="0.25">
      <c r="A2588" s="32" t="s">
        <v>4686</v>
      </c>
      <c r="B2588" s="33" t="s">
        <v>4687</v>
      </c>
    </row>
    <row r="2589" spans="1:2" x14ac:dyDescent="0.25">
      <c r="A2589" s="30" t="s">
        <v>4688</v>
      </c>
      <c r="B2589" s="31" t="s">
        <v>4689</v>
      </c>
    </row>
    <row r="2590" spans="1:2" x14ac:dyDescent="0.25">
      <c r="A2590" s="32" t="s">
        <v>10468</v>
      </c>
      <c r="B2590" s="33" t="s">
        <v>10468</v>
      </c>
    </row>
    <row r="2591" spans="1:2" x14ac:dyDescent="0.25">
      <c r="A2591" s="30" t="s">
        <v>10469</v>
      </c>
      <c r="B2591" s="31" t="s">
        <v>10469</v>
      </c>
    </row>
    <row r="2592" spans="1:2" x14ac:dyDescent="0.25">
      <c r="A2592" s="32" t="s">
        <v>4690</v>
      </c>
      <c r="B2592" s="33" t="s">
        <v>4691</v>
      </c>
    </row>
    <row r="2593" spans="1:2" x14ac:dyDescent="0.25">
      <c r="A2593" s="30" t="s">
        <v>4692</v>
      </c>
      <c r="B2593" s="31" t="s">
        <v>4693</v>
      </c>
    </row>
    <row r="2594" spans="1:2" x14ac:dyDescent="0.25">
      <c r="A2594" s="32" t="s">
        <v>530</v>
      </c>
      <c r="B2594" s="33" t="s">
        <v>530</v>
      </c>
    </row>
    <row r="2595" spans="1:2" x14ac:dyDescent="0.25">
      <c r="A2595" s="30" t="s">
        <v>531</v>
      </c>
      <c r="B2595" s="31" t="s">
        <v>4694</v>
      </c>
    </row>
    <row r="2596" spans="1:2" x14ac:dyDescent="0.25">
      <c r="A2596" s="32" t="s">
        <v>4695</v>
      </c>
      <c r="B2596" s="33" t="s">
        <v>4696</v>
      </c>
    </row>
    <row r="2597" spans="1:2" x14ac:dyDescent="0.25">
      <c r="A2597" s="30" t="s">
        <v>4697</v>
      </c>
      <c r="B2597" s="31" t="s">
        <v>4698</v>
      </c>
    </row>
    <row r="2598" spans="1:2" x14ac:dyDescent="0.25">
      <c r="A2598" s="32" t="s">
        <v>4699</v>
      </c>
      <c r="B2598" s="33" t="s">
        <v>4700</v>
      </c>
    </row>
    <row r="2599" spans="1:2" x14ac:dyDescent="0.25">
      <c r="A2599" s="30" t="s">
        <v>532</v>
      </c>
      <c r="B2599" s="31" t="s">
        <v>4701</v>
      </c>
    </row>
    <row r="2600" spans="1:2" x14ac:dyDescent="0.25">
      <c r="A2600" s="32" t="s">
        <v>4702</v>
      </c>
      <c r="B2600" s="33" t="s">
        <v>4703</v>
      </c>
    </row>
    <row r="2601" spans="1:2" x14ac:dyDescent="0.25">
      <c r="A2601" s="30" t="s">
        <v>533</v>
      </c>
      <c r="B2601" s="31" t="s">
        <v>4704</v>
      </c>
    </row>
    <row r="2602" spans="1:2" x14ac:dyDescent="0.25">
      <c r="A2602" s="32" t="s">
        <v>4705</v>
      </c>
      <c r="B2602" s="33" t="s">
        <v>4706</v>
      </c>
    </row>
    <row r="2603" spans="1:2" x14ac:dyDescent="0.25">
      <c r="A2603" s="30" t="s">
        <v>4707</v>
      </c>
      <c r="B2603" s="31" t="s">
        <v>4708</v>
      </c>
    </row>
    <row r="2604" spans="1:2" x14ac:dyDescent="0.25">
      <c r="A2604" s="32" t="s">
        <v>10470</v>
      </c>
      <c r="B2604" s="33" t="s">
        <v>10470</v>
      </c>
    </row>
    <row r="2605" spans="1:2" x14ac:dyDescent="0.25">
      <c r="A2605" s="30" t="s">
        <v>4709</v>
      </c>
      <c r="B2605" s="31" t="s">
        <v>4710</v>
      </c>
    </row>
    <row r="2606" spans="1:2" x14ac:dyDescent="0.25">
      <c r="A2606" s="32" t="s">
        <v>534</v>
      </c>
      <c r="B2606" s="33" t="s">
        <v>4711</v>
      </c>
    </row>
    <row r="2607" spans="1:2" x14ac:dyDescent="0.25">
      <c r="A2607" s="30" t="s">
        <v>10471</v>
      </c>
      <c r="B2607" s="31" t="s">
        <v>10471</v>
      </c>
    </row>
    <row r="2608" spans="1:2" x14ac:dyDescent="0.25">
      <c r="A2608" s="32" t="s">
        <v>4712</v>
      </c>
      <c r="B2608" s="33" t="s">
        <v>4713</v>
      </c>
    </row>
    <row r="2609" spans="1:2" x14ac:dyDescent="0.25">
      <c r="A2609" s="30" t="s">
        <v>535</v>
      </c>
      <c r="B2609" s="31" t="s">
        <v>4714</v>
      </c>
    </row>
    <row r="2610" spans="1:2" x14ac:dyDescent="0.25">
      <c r="A2610" s="32" t="s">
        <v>4715</v>
      </c>
      <c r="B2610" s="33" t="s">
        <v>4716</v>
      </c>
    </row>
    <row r="2611" spans="1:2" x14ac:dyDescent="0.25">
      <c r="A2611" s="30" t="s">
        <v>4717</v>
      </c>
      <c r="B2611" s="31" t="s">
        <v>4718</v>
      </c>
    </row>
    <row r="2612" spans="1:2" x14ac:dyDescent="0.25">
      <c r="A2612" s="32" t="s">
        <v>10472</v>
      </c>
      <c r="B2612" s="33" t="s">
        <v>10472</v>
      </c>
    </row>
    <row r="2613" spans="1:2" x14ac:dyDescent="0.25">
      <c r="A2613" s="30" t="s">
        <v>4719</v>
      </c>
      <c r="B2613" s="31" t="s">
        <v>4720</v>
      </c>
    </row>
    <row r="2614" spans="1:2" x14ac:dyDescent="0.25">
      <c r="A2614" s="32" t="s">
        <v>4721</v>
      </c>
      <c r="B2614" s="33" t="s">
        <v>4722</v>
      </c>
    </row>
    <row r="2615" spans="1:2" x14ac:dyDescent="0.25">
      <c r="A2615" s="30" t="s">
        <v>10473</v>
      </c>
      <c r="B2615" s="31" t="s">
        <v>10473</v>
      </c>
    </row>
    <row r="2616" spans="1:2" x14ac:dyDescent="0.25">
      <c r="A2616" s="32" t="s">
        <v>4723</v>
      </c>
      <c r="B2616" s="33" t="s">
        <v>4724</v>
      </c>
    </row>
    <row r="2617" spans="1:2" x14ac:dyDescent="0.25">
      <c r="A2617" s="30" t="s">
        <v>4725</v>
      </c>
      <c r="B2617" s="31" t="s">
        <v>4726</v>
      </c>
    </row>
    <row r="2618" spans="1:2" x14ac:dyDescent="0.25">
      <c r="A2618" s="32" t="s">
        <v>4727</v>
      </c>
      <c r="B2618" s="33" t="s">
        <v>4728</v>
      </c>
    </row>
    <row r="2619" spans="1:2" x14ac:dyDescent="0.25">
      <c r="A2619" s="30" t="s">
        <v>536</v>
      </c>
      <c r="B2619" s="31" t="s">
        <v>4729</v>
      </c>
    </row>
    <row r="2620" spans="1:2" x14ac:dyDescent="0.25">
      <c r="A2620" s="32" t="s">
        <v>10474</v>
      </c>
      <c r="B2620" s="33" t="s">
        <v>10474</v>
      </c>
    </row>
    <row r="2621" spans="1:2" x14ac:dyDescent="0.25">
      <c r="A2621" s="30" t="s">
        <v>68</v>
      </c>
      <c r="B2621" s="31" t="s">
        <v>4730</v>
      </c>
    </row>
    <row r="2622" spans="1:2" x14ac:dyDescent="0.25">
      <c r="A2622" s="32" t="s">
        <v>10475</v>
      </c>
      <c r="B2622" s="33" t="s">
        <v>10475</v>
      </c>
    </row>
    <row r="2623" spans="1:2" x14ac:dyDescent="0.25">
      <c r="A2623" s="30" t="s">
        <v>537</v>
      </c>
      <c r="B2623" s="31" t="s">
        <v>4731</v>
      </c>
    </row>
    <row r="2624" spans="1:2" x14ac:dyDescent="0.25">
      <c r="A2624" s="32" t="s">
        <v>538</v>
      </c>
      <c r="B2624" s="33" t="s">
        <v>4732</v>
      </c>
    </row>
    <row r="2625" spans="1:2" x14ac:dyDescent="0.25">
      <c r="A2625" s="30" t="s">
        <v>539</v>
      </c>
      <c r="B2625" s="31" t="s">
        <v>4733</v>
      </c>
    </row>
    <row r="2626" spans="1:2" x14ac:dyDescent="0.25">
      <c r="A2626" s="32" t="s">
        <v>4734</v>
      </c>
      <c r="B2626" s="33" t="s">
        <v>4735</v>
      </c>
    </row>
    <row r="2627" spans="1:2" x14ac:dyDescent="0.25">
      <c r="A2627" s="30" t="s">
        <v>540</v>
      </c>
      <c r="B2627" s="31" t="s">
        <v>4736</v>
      </c>
    </row>
    <row r="2628" spans="1:2" x14ac:dyDescent="0.25">
      <c r="A2628" s="32" t="s">
        <v>541</v>
      </c>
      <c r="B2628" s="33" t="s">
        <v>4737</v>
      </c>
    </row>
    <row r="2629" spans="1:2" x14ac:dyDescent="0.25">
      <c r="A2629" s="30" t="s">
        <v>542</v>
      </c>
      <c r="B2629" s="31" t="s">
        <v>4738</v>
      </c>
    </row>
    <row r="2630" spans="1:2" x14ac:dyDescent="0.25">
      <c r="A2630" s="32" t="s">
        <v>4739</v>
      </c>
      <c r="B2630" s="33" t="s">
        <v>4740</v>
      </c>
    </row>
    <row r="2631" spans="1:2" x14ac:dyDescent="0.25">
      <c r="A2631" s="30" t="s">
        <v>4741</v>
      </c>
      <c r="B2631" s="31" t="s">
        <v>4742</v>
      </c>
    </row>
    <row r="2632" spans="1:2" x14ac:dyDescent="0.25">
      <c r="A2632" s="32" t="s">
        <v>4743</v>
      </c>
      <c r="B2632" s="33" t="s">
        <v>4744</v>
      </c>
    </row>
    <row r="2633" spans="1:2" x14ac:dyDescent="0.25">
      <c r="A2633" s="30" t="s">
        <v>4745</v>
      </c>
      <c r="B2633" s="31" t="s">
        <v>4746</v>
      </c>
    </row>
    <row r="2634" spans="1:2" x14ac:dyDescent="0.25">
      <c r="A2634" s="32" t="s">
        <v>4747</v>
      </c>
      <c r="B2634" s="33" t="s">
        <v>4748</v>
      </c>
    </row>
    <row r="2635" spans="1:2" x14ac:dyDescent="0.25">
      <c r="A2635" s="30" t="s">
        <v>10476</v>
      </c>
      <c r="B2635" s="31" t="s">
        <v>10476</v>
      </c>
    </row>
    <row r="2636" spans="1:2" x14ac:dyDescent="0.25">
      <c r="A2636" s="32" t="s">
        <v>4749</v>
      </c>
      <c r="B2636" s="33" t="s">
        <v>4750</v>
      </c>
    </row>
    <row r="2637" spans="1:2" x14ac:dyDescent="0.25">
      <c r="A2637" s="30" t="s">
        <v>4751</v>
      </c>
      <c r="B2637" s="31" t="s">
        <v>4752</v>
      </c>
    </row>
    <row r="2638" spans="1:2" x14ac:dyDescent="0.25">
      <c r="A2638" s="32" t="s">
        <v>4753</v>
      </c>
      <c r="B2638" s="33" t="s">
        <v>4754</v>
      </c>
    </row>
    <row r="2639" spans="1:2" x14ac:dyDescent="0.25">
      <c r="A2639" s="30" t="s">
        <v>4755</v>
      </c>
      <c r="B2639" s="31" t="s">
        <v>4756</v>
      </c>
    </row>
    <row r="2640" spans="1:2" x14ac:dyDescent="0.25">
      <c r="A2640" s="32" t="s">
        <v>4757</v>
      </c>
      <c r="B2640" s="33" t="s">
        <v>4758</v>
      </c>
    </row>
    <row r="2641" spans="1:2" x14ac:dyDescent="0.25">
      <c r="A2641" s="30" t="s">
        <v>4759</v>
      </c>
      <c r="B2641" s="31" t="s">
        <v>4760</v>
      </c>
    </row>
    <row r="2642" spans="1:2" x14ac:dyDescent="0.25">
      <c r="A2642" s="32" t="s">
        <v>4761</v>
      </c>
      <c r="B2642" s="33" t="s">
        <v>4762</v>
      </c>
    </row>
    <row r="2643" spans="1:2" x14ac:dyDescent="0.25">
      <c r="A2643" s="30" t="s">
        <v>4763</v>
      </c>
      <c r="B2643" s="31" t="s">
        <v>4764</v>
      </c>
    </row>
    <row r="2644" spans="1:2" x14ac:dyDescent="0.25">
      <c r="A2644" s="32" t="s">
        <v>4765</v>
      </c>
      <c r="B2644" s="33" t="s">
        <v>4766</v>
      </c>
    </row>
    <row r="2645" spans="1:2" x14ac:dyDescent="0.25">
      <c r="A2645" s="30" t="s">
        <v>10477</v>
      </c>
      <c r="B2645" s="31" t="s">
        <v>10477</v>
      </c>
    </row>
    <row r="2646" spans="1:2" x14ac:dyDescent="0.25">
      <c r="A2646" s="32" t="s">
        <v>10478</v>
      </c>
      <c r="B2646" s="33" t="s">
        <v>10478</v>
      </c>
    </row>
    <row r="2647" spans="1:2" x14ac:dyDescent="0.25">
      <c r="A2647" s="30" t="s">
        <v>10479</v>
      </c>
      <c r="B2647" s="31" t="s">
        <v>10479</v>
      </c>
    </row>
    <row r="2648" spans="1:2" x14ac:dyDescent="0.25">
      <c r="A2648" s="32" t="s">
        <v>4767</v>
      </c>
      <c r="B2648" s="33" t="s">
        <v>4768</v>
      </c>
    </row>
    <row r="2649" spans="1:2" x14ac:dyDescent="0.25">
      <c r="A2649" s="30" t="s">
        <v>4769</v>
      </c>
      <c r="B2649" s="31" t="s">
        <v>4770</v>
      </c>
    </row>
    <row r="2650" spans="1:2" x14ac:dyDescent="0.25">
      <c r="A2650" s="32" t="s">
        <v>4771</v>
      </c>
      <c r="B2650" s="33" t="s">
        <v>4772</v>
      </c>
    </row>
    <row r="2651" spans="1:2" x14ac:dyDescent="0.25">
      <c r="A2651" s="30" t="s">
        <v>10480</v>
      </c>
      <c r="B2651" s="31" t="s">
        <v>10480</v>
      </c>
    </row>
    <row r="2652" spans="1:2" x14ac:dyDescent="0.25">
      <c r="A2652" s="32" t="s">
        <v>543</v>
      </c>
      <c r="B2652" s="33" t="s">
        <v>4773</v>
      </c>
    </row>
    <row r="2653" spans="1:2" x14ac:dyDescent="0.25">
      <c r="A2653" s="30" t="s">
        <v>544</v>
      </c>
      <c r="B2653" s="31" t="s">
        <v>4774</v>
      </c>
    </row>
    <row r="2654" spans="1:2" x14ac:dyDescent="0.25">
      <c r="A2654" s="32" t="s">
        <v>545</v>
      </c>
      <c r="B2654" s="33" t="s">
        <v>4775</v>
      </c>
    </row>
    <row r="2655" spans="1:2" x14ac:dyDescent="0.25">
      <c r="A2655" s="30" t="s">
        <v>4776</v>
      </c>
      <c r="B2655" s="31" t="s">
        <v>4777</v>
      </c>
    </row>
    <row r="2656" spans="1:2" x14ac:dyDescent="0.25">
      <c r="A2656" s="32" t="s">
        <v>4778</v>
      </c>
      <c r="B2656" s="33" t="s">
        <v>4779</v>
      </c>
    </row>
    <row r="2657" spans="1:2" x14ac:dyDescent="0.25">
      <c r="A2657" s="30" t="s">
        <v>546</v>
      </c>
      <c r="B2657" s="31" t="s">
        <v>4780</v>
      </c>
    </row>
    <row r="2658" spans="1:2" x14ac:dyDescent="0.25">
      <c r="A2658" s="32" t="s">
        <v>4781</v>
      </c>
      <c r="B2658" s="33" t="s">
        <v>4782</v>
      </c>
    </row>
    <row r="2659" spans="1:2" x14ac:dyDescent="0.25">
      <c r="A2659" s="30" t="s">
        <v>4783</v>
      </c>
      <c r="B2659" s="31" t="s">
        <v>4784</v>
      </c>
    </row>
    <row r="2660" spans="1:2" x14ac:dyDescent="0.25">
      <c r="A2660" s="32" t="s">
        <v>4785</v>
      </c>
      <c r="B2660" s="33" t="s">
        <v>4786</v>
      </c>
    </row>
    <row r="2661" spans="1:2" x14ac:dyDescent="0.25">
      <c r="A2661" s="30" t="s">
        <v>4787</v>
      </c>
      <c r="B2661" s="31" t="s">
        <v>4788</v>
      </c>
    </row>
    <row r="2662" spans="1:2" x14ac:dyDescent="0.25">
      <c r="A2662" s="32" t="s">
        <v>4789</v>
      </c>
      <c r="B2662" s="33" t="s">
        <v>4790</v>
      </c>
    </row>
    <row r="2663" spans="1:2" x14ac:dyDescent="0.25">
      <c r="A2663" s="30" t="s">
        <v>4791</v>
      </c>
      <c r="B2663" s="31" t="s">
        <v>4792</v>
      </c>
    </row>
    <row r="2664" spans="1:2" x14ac:dyDescent="0.25">
      <c r="A2664" s="32" t="s">
        <v>547</v>
      </c>
      <c r="B2664" s="33" t="s">
        <v>4793</v>
      </c>
    </row>
    <row r="2665" spans="1:2" x14ac:dyDescent="0.25">
      <c r="A2665" s="30" t="s">
        <v>4794</v>
      </c>
      <c r="B2665" s="31" t="s">
        <v>4795</v>
      </c>
    </row>
    <row r="2666" spans="1:2" x14ac:dyDescent="0.25">
      <c r="A2666" s="32" t="s">
        <v>4796</v>
      </c>
      <c r="B2666" s="33" t="s">
        <v>4797</v>
      </c>
    </row>
    <row r="2667" spans="1:2" x14ac:dyDescent="0.25">
      <c r="A2667" s="30" t="s">
        <v>548</v>
      </c>
      <c r="B2667" s="31" t="s">
        <v>4798</v>
      </c>
    </row>
    <row r="2668" spans="1:2" x14ac:dyDescent="0.25">
      <c r="A2668" s="32" t="s">
        <v>4799</v>
      </c>
      <c r="B2668" s="33" t="s">
        <v>4800</v>
      </c>
    </row>
    <row r="2669" spans="1:2" x14ac:dyDescent="0.25">
      <c r="A2669" s="30" t="s">
        <v>4801</v>
      </c>
      <c r="B2669" s="31" t="s">
        <v>4802</v>
      </c>
    </row>
    <row r="2670" spans="1:2" x14ac:dyDescent="0.25">
      <c r="A2670" s="32" t="s">
        <v>549</v>
      </c>
      <c r="B2670" s="33" t="s">
        <v>4803</v>
      </c>
    </row>
    <row r="2671" spans="1:2" x14ac:dyDescent="0.25">
      <c r="A2671" s="30" t="s">
        <v>4804</v>
      </c>
      <c r="B2671" s="31" t="s">
        <v>4805</v>
      </c>
    </row>
    <row r="2672" spans="1:2" x14ac:dyDescent="0.25">
      <c r="A2672" s="32" t="s">
        <v>4806</v>
      </c>
      <c r="B2672" s="33" t="s">
        <v>4807</v>
      </c>
    </row>
    <row r="2673" spans="1:2" x14ac:dyDescent="0.25">
      <c r="A2673" s="30" t="s">
        <v>4808</v>
      </c>
      <c r="B2673" s="31" t="s">
        <v>4809</v>
      </c>
    </row>
    <row r="2674" spans="1:2" x14ac:dyDescent="0.25">
      <c r="A2674" s="32" t="s">
        <v>4810</v>
      </c>
      <c r="B2674" s="33" t="s">
        <v>4811</v>
      </c>
    </row>
    <row r="2675" spans="1:2" x14ac:dyDescent="0.25">
      <c r="A2675" s="30" t="s">
        <v>4812</v>
      </c>
      <c r="B2675" s="31" t="s">
        <v>4813</v>
      </c>
    </row>
    <row r="2676" spans="1:2" x14ac:dyDescent="0.25">
      <c r="A2676" s="32" t="s">
        <v>4814</v>
      </c>
      <c r="B2676" s="33" t="s">
        <v>4815</v>
      </c>
    </row>
    <row r="2677" spans="1:2" x14ac:dyDescent="0.25">
      <c r="A2677" s="30" t="s">
        <v>550</v>
      </c>
      <c r="B2677" s="31" t="s">
        <v>4816</v>
      </c>
    </row>
    <row r="2678" spans="1:2" x14ac:dyDescent="0.25">
      <c r="A2678" s="32" t="s">
        <v>4817</v>
      </c>
      <c r="B2678" s="33" t="s">
        <v>4818</v>
      </c>
    </row>
    <row r="2679" spans="1:2" x14ac:dyDescent="0.25">
      <c r="A2679" s="30" t="s">
        <v>4819</v>
      </c>
      <c r="B2679" s="31" t="s">
        <v>4820</v>
      </c>
    </row>
    <row r="2680" spans="1:2" x14ac:dyDescent="0.25">
      <c r="A2680" s="32" t="s">
        <v>4821</v>
      </c>
      <c r="B2680" s="33" t="s">
        <v>4822</v>
      </c>
    </row>
    <row r="2681" spans="1:2" x14ac:dyDescent="0.25">
      <c r="A2681" s="30" t="s">
        <v>10481</v>
      </c>
      <c r="B2681" s="31" t="s">
        <v>10481</v>
      </c>
    </row>
    <row r="2682" spans="1:2" x14ac:dyDescent="0.25">
      <c r="A2682" s="32" t="s">
        <v>4823</v>
      </c>
      <c r="B2682" s="33" t="s">
        <v>4824</v>
      </c>
    </row>
    <row r="2683" spans="1:2" x14ac:dyDescent="0.25">
      <c r="A2683" s="30" t="s">
        <v>4825</v>
      </c>
      <c r="B2683" s="31" t="s">
        <v>4826</v>
      </c>
    </row>
    <row r="2684" spans="1:2" x14ac:dyDescent="0.25">
      <c r="A2684" s="32" t="s">
        <v>4827</v>
      </c>
      <c r="B2684" s="33" t="s">
        <v>4828</v>
      </c>
    </row>
    <row r="2685" spans="1:2" x14ac:dyDescent="0.25">
      <c r="A2685" s="30" t="s">
        <v>10482</v>
      </c>
      <c r="B2685" s="31" t="s">
        <v>10482</v>
      </c>
    </row>
    <row r="2686" spans="1:2" x14ac:dyDescent="0.25">
      <c r="A2686" s="32" t="s">
        <v>10483</v>
      </c>
      <c r="B2686" s="33" t="s">
        <v>10483</v>
      </c>
    </row>
    <row r="2687" spans="1:2" x14ac:dyDescent="0.25">
      <c r="A2687" s="30" t="s">
        <v>10484</v>
      </c>
      <c r="B2687" s="31" t="s">
        <v>10484</v>
      </c>
    </row>
    <row r="2688" spans="1:2" x14ac:dyDescent="0.25">
      <c r="A2688" s="32" t="s">
        <v>4829</v>
      </c>
      <c r="B2688" s="33" t="s">
        <v>4830</v>
      </c>
    </row>
    <row r="2689" spans="1:2" x14ac:dyDescent="0.25">
      <c r="A2689" s="30" t="s">
        <v>10485</v>
      </c>
      <c r="B2689" s="31" t="s">
        <v>10485</v>
      </c>
    </row>
    <row r="2690" spans="1:2" x14ac:dyDescent="0.25">
      <c r="A2690" s="32" t="s">
        <v>4831</v>
      </c>
      <c r="B2690" s="33" t="s">
        <v>4832</v>
      </c>
    </row>
    <row r="2691" spans="1:2" x14ac:dyDescent="0.25">
      <c r="A2691" s="30" t="s">
        <v>10486</v>
      </c>
      <c r="B2691" s="31" t="s">
        <v>10486</v>
      </c>
    </row>
    <row r="2692" spans="1:2" x14ac:dyDescent="0.25">
      <c r="A2692" s="32" t="s">
        <v>10487</v>
      </c>
      <c r="B2692" s="33" t="s">
        <v>10487</v>
      </c>
    </row>
    <row r="2693" spans="1:2" x14ac:dyDescent="0.25">
      <c r="A2693" s="30" t="s">
        <v>10488</v>
      </c>
      <c r="B2693" s="31" t="s">
        <v>10488</v>
      </c>
    </row>
    <row r="2694" spans="1:2" x14ac:dyDescent="0.25">
      <c r="A2694" s="32" t="s">
        <v>10489</v>
      </c>
      <c r="B2694" s="33" t="s">
        <v>10489</v>
      </c>
    </row>
    <row r="2695" spans="1:2" x14ac:dyDescent="0.25">
      <c r="A2695" s="30" t="s">
        <v>10490</v>
      </c>
      <c r="B2695" s="31" t="s">
        <v>10490</v>
      </c>
    </row>
    <row r="2696" spans="1:2" x14ac:dyDescent="0.25">
      <c r="A2696" s="32" t="s">
        <v>10491</v>
      </c>
      <c r="B2696" s="33" t="s">
        <v>10491</v>
      </c>
    </row>
    <row r="2697" spans="1:2" x14ac:dyDescent="0.25">
      <c r="A2697" s="30" t="s">
        <v>4833</v>
      </c>
      <c r="B2697" s="31" t="s">
        <v>4834</v>
      </c>
    </row>
    <row r="2698" spans="1:2" x14ac:dyDescent="0.25">
      <c r="A2698" s="32" t="s">
        <v>10492</v>
      </c>
      <c r="B2698" s="33" t="s">
        <v>10492</v>
      </c>
    </row>
    <row r="2699" spans="1:2" x14ac:dyDescent="0.25">
      <c r="A2699" s="30" t="s">
        <v>254</v>
      </c>
      <c r="B2699" s="31" t="s">
        <v>4835</v>
      </c>
    </row>
    <row r="2700" spans="1:2" x14ac:dyDescent="0.25">
      <c r="A2700" s="32" t="s">
        <v>4836</v>
      </c>
      <c r="B2700" s="33" t="s">
        <v>4837</v>
      </c>
    </row>
    <row r="2701" spans="1:2" x14ac:dyDescent="0.25">
      <c r="A2701" s="30" t="s">
        <v>10493</v>
      </c>
      <c r="B2701" s="31" t="s">
        <v>10493</v>
      </c>
    </row>
    <row r="2702" spans="1:2" x14ac:dyDescent="0.25">
      <c r="A2702" s="32" t="s">
        <v>4838</v>
      </c>
      <c r="B2702" s="33" t="s">
        <v>4839</v>
      </c>
    </row>
    <row r="2703" spans="1:2" x14ac:dyDescent="0.25">
      <c r="A2703" s="30" t="s">
        <v>10494</v>
      </c>
      <c r="B2703" s="31" t="s">
        <v>10494</v>
      </c>
    </row>
    <row r="2704" spans="1:2" x14ac:dyDescent="0.25">
      <c r="A2704" s="32" t="s">
        <v>4840</v>
      </c>
      <c r="B2704" s="33" t="s">
        <v>4841</v>
      </c>
    </row>
    <row r="2705" spans="1:2" x14ac:dyDescent="0.25">
      <c r="A2705" s="30" t="s">
        <v>551</v>
      </c>
      <c r="B2705" s="31" t="s">
        <v>4842</v>
      </c>
    </row>
    <row r="2706" spans="1:2" x14ac:dyDescent="0.25">
      <c r="A2706" s="32" t="s">
        <v>552</v>
      </c>
      <c r="B2706" s="33" t="s">
        <v>4843</v>
      </c>
    </row>
    <row r="2707" spans="1:2" x14ac:dyDescent="0.25">
      <c r="A2707" s="30" t="s">
        <v>4844</v>
      </c>
      <c r="B2707" s="31" t="s">
        <v>4845</v>
      </c>
    </row>
    <row r="2708" spans="1:2" x14ac:dyDescent="0.25">
      <c r="A2708" s="32" t="s">
        <v>553</v>
      </c>
      <c r="B2708" s="33" t="s">
        <v>4846</v>
      </c>
    </row>
    <row r="2709" spans="1:2" x14ac:dyDescent="0.25">
      <c r="A2709" s="30" t="s">
        <v>4847</v>
      </c>
      <c r="B2709" s="31" t="s">
        <v>4848</v>
      </c>
    </row>
    <row r="2710" spans="1:2" x14ac:dyDescent="0.25">
      <c r="A2710" s="32" t="s">
        <v>10495</v>
      </c>
      <c r="B2710" s="33" t="s">
        <v>10495</v>
      </c>
    </row>
    <row r="2711" spans="1:2" x14ac:dyDescent="0.25">
      <c r="A2711" s="30" t="s">
        <v>4849</v>
      </c>
      <c r="B2711" s="31" t="s">
        <v>4850</v>
      </c>
    </row>
    <row r="2712" spans="1:2" x14ac:dyDescent="0.25">
      <c r="A2712" s="32" t="s">
        <v>4851</v>
      </c>
      <c r="B2712" s="33" t="s">
        <v>4852</v>
      </c>
    </row>
    <row r="2713" spans="1:2" x14ac:dyDescent="0.25">
      <c r="A2713" s="30" t="s">
        <v>10496</v>
      </c>
      <c r="B2713" s="31" t="s">
        <v>10496</v>
      </c>
    </row>
    <row r="2714" spans="1:2" x14ac:dyDescent="0.25">
      <c r="A2714" s="32" t="s">
        <v>10497</v>
      </c>
      <c r="B2714" s="33" t="s">
        <v>10497</v>
      </c>
    </row>
    <row r="2715" spans="1:2" x14ac:dyDescent="0.25">
      <c r="A2715" s="30" t="s">
        <v>4853</v>
      </c>
      <c r="B2715" s="31" t="s">
        <v>4854</v>
      </c>
    </row>
    <row r="2716" spans="1:2" x14ac:dyDescent="0.25">
      <c r="A2716" s="32" t="s">
        <v>4855</v>
      </c>
      <c r="B2716" s="33" t="s">
        <v>4856</v>
      </c>
    </row>
    <row r="2717" spans="1:2" x14ac:dyDescent="0.25">
      <c r="A2717" s="30" t="s">
        <v>4857</v>
      </c>
      <c r="B2717" s="31" t="s">
        <v>4858</v>
      </c>
    </row>
    <row r="2718" spans="1:2" x14ac:dyDescent="0.25">
      <c r="A2718" s="32" t="s">
        <v>4859</v>
      </c>
      <c r="B2718" s="33" t="s">
        <v>4860</v>
      </c>
    </row>
    <row r="2719" spans="1:2" x14ac:dyDescent="0.25">
      <c r="A2719" s="30" t="s">
        <v>554</v>
      </c>
      <c r="B2719" s="31" t="s">
        <v>4861</v>
      </c>
    </row>
    <row r="2720" spans="1:2" x14ac:dyDescent="0.25">
      <c r="A2720" s="32" t="s">
        <v>4862</v>
      </c>
      <c r="B2720" s="33" t="s">
        <v>4863</v>
      </c>
    </row>
    <row r="2721" spans="1:2" x14ac:dyDescent="0.25">
      <c r="A2721" s="30" t="s">
        <v>4864</v>
      </c>
      <c r="B2721" s="31" t="s">
        <v>4865</v>
      </c>
    </row>
    <row r="2722" spans="1:2" x14ac:dyDescent="0.25">
      <c r="A2722" s="32" t="s">
        <v>4866</v>
      </c>
      <c r="B2722" s="33" t="s">
        <v>4867</v>
      </c>
    </row>
    <row r="2723" spans="1:2" x14ac:dyDescent="0.25">
      <c r="A2723" s="30" t="s">
        <v>4868</v>
      </c>
      <c r="B2723" s="31" t="s">
        <v>4869</v>
      </c>
    </row>
    <row r="2724" spans="1:2" x14ac:dyDescent="0.25">
      <c r="A2724" s="32" t="s">
        <v>4870</v>
      </c>
      <c r="B2724" s="33" t="s">
        <v>4871</v>
      </c>
    </row>
    <row r="2725" spans="1:2" x14ac:dyDescent="0.25">
      <c r="A2725" s="30" t="s">
        <v>4872</v>
      </c>
      <c r="B2725" s="31" t="s">
        <v>4873</v>
      </c>
    </row>
    <row r="2726" spans="1:2" x14ac:dyDescent="0.25">
      <c r="A2726" s="32" t="s">
        <v>4874</v>
      </c>
      <c r="B2726" s="33" t="s">
        <v>4875</v>
      </c>
    </row>
    <row r="2727" spans="1:2" x14ac:dyDescent="0.25">
      <c r="A2727" s="30" t="s">
        <v>4876</v>
      </c>
      <c r="B2727" s="31" t="s">
        <v>4877</v>
      </c>
    </row>
    <row r="2728" spans="1:2" x14ac:dyDescent="0.25">
      <c r="A2728" s="32" t="s">
        <v>10498</v>
      </c>
      <c r="B2728" s="33" t="s">
        <v>10498</v>
      </c>
    </row>
    <row r="2729" spans="1:2" x14ac:dyDescent="0.25">
      <c r="A2729" s="30" t="s">
        <v>4878</v>
      </c>
      <c r="B2729" s="31" t="s">
        <v>4879</v>
      </c>
    </row>
    <row r="2730" spans="1:2" x14ac:dyDescent="0.25">
      <c r="A2730" s="32" t="s">
        <v>4880</v>
      </c>
      <c r="B2730" s="33" t="s">
        <v>4881</v>
      </c>
    </row>
    <row r="2731" spans="1:2" x14ac:dyDescent="0.25">
      <c r="A2731" s="30" t="s">
        <v>4882</v>
      </c>
      <c r="B2731" s="31" t="s">
        <v>4883</v>
      </c>
    </row>
    <row r="2732" spans="1:2" x14ac:dyDescent="0.25">
      <c r="A2732" s="32" t="s">
        <v>4884</v>
      </c>
      <c r="B2732" s="33" t="s">
        <v>4885</v>
      </c>
    </row>
    <row r="2733" spans="1:2" x14ac:dyDescent="0.25">
      <c r="A2733" s="30" t="s">
        <v>4886</v>
      </c>
      <c r="B2733" s="31" t="s">
        <v>4887</v>
      </c>
    </row>
    <row r="2734" spans="1:2" x14ac:dyDescent="0.25">
      <c r="A2734" s="32" t="s">
        <v>4888</v>
      </c>
      <c r="B2734" s="33" t="s">
        <v>4889</v>
      </c>
    </row>
    <row r="2735" spans="1:2" x14ac:dyDescent="0.25">
      <c r="A2735" s="30" t="s">
        <v>4890</v>
      </c>
      <c r="B2735" s="31" t="s">
        <v>4891</v>
      </c>
    </row>
    <row r="2736" spans="1:2" x14ac:dyDescent="0.25">
      <c r="A2736" s="32" t="s">
        <v>4892</v>
      </c>
      <c r="B2736" s="33" t="s">
        <v>4893</v>
      </c>
    </row>
    <row r="2737" spans="1:2" x14ac:dyDescent="0.25">
      <c r="A2737" s="30" t="s">
        <v>4894</v>
      </c>
      <c r="B2737" s="31" t="s">
        <v>4895</v>
      </c>
    </row>
    <row r="2738" spans="1:2" x14ac:dyDescent="0.25">
      <c r="A2738" s="32" t="s">
        <v>4896</v>
      </c>
      <c r="B2738" s="33" t="s">
        <v>4897</v>
      </c>
    </row>
    <row r="2739" spans="1:2" x14ac:dyDescent="0.25">
      <c r="A2739" s="30" t="s">
        <v>4898</v>
      </c>
      <c r="B2739" s="31" t="s">
        <v>4899</v>
      </c>
    </row>
    <row r="2740" spans="1:2" x14ac:dyDescent="0.25">
      <c r="A2740" s="32" t="s">
        <v>4900</v>
      </c>
      <c r="B2740" s="33" t="s">
        <v>4901</v>
      </c>
    </row>
    <row r="2741" spans="1:2" x14ac:dyDescent="0.25">
      <c r="A2741" s="30" t="s">
        <v>4902</v>
      </c>
      <c r="B2741" s="31" t="s">
        <v>4903</v>
      </c>
    </row>
    <row r="2742" spans="1:2" x14ac:dyDescent="0.25">
      <c r="A2742" s="32" t="s">
        <v>4904</v>
      </c>
      <c r="B2742" s="33" t="s">
        <v>4905</v>
      </c>
    </row>
    <row r="2743" spans="1:2" x14ac:dyDescent="0.25">
      <c r="A2743" s="30" t="s">
        <v>206</v>
      </c>
      <c r="B2743" s="31" t="s">
        <v>4906</v>
      </c>
    </row>
    <row r="2744" spans="1:2" x14ac:dyDescent="0.25">
      <c r="A2744" s="32" t="s">
        <v>4907</v>
      </c>
      <c r="B2744" s="33" t="s">
        <v>4908</v>
      </c>
    </row>
    <row r="2745" spans="1:2" x14ac:dyDescent="0.25">
      <c r="A2745" s="30" t="s">
        <v>555</v>
      </c>
      <c r="B2745" s="31" t="s">
        <v>4909</v>
      </c>
    </row>
    <row r="2746" spans="1:2" x14ac:dyDescent="0.25">
      <c r="A2746" s="32" t="s">
        <v>556</v>
      </c>
      <c r="B2746" s="33" t="s">
        <v>4910</v>
      </c>
    </row>
    <row r="2747" spans="1:2" x14ac:dyDescent="0.25">
      <c r="A2747" s="30" t="s">
        <v>4911</v>
      </c>
      <c r="B2747" s="31" t="s">
        <v>4912</v>
      </c>
    </row>
    <row r="2748" spans="1:2" x14ac:dyDescent="0.25">
      <c r="A2748" s="32" t="s">
        <v>4913</v>
      </c>
      <c r="B2748" s="33" t="s">
        <v>4914</v>
      </c>
    </row>
    <row r="2749" spans="1:2" x14ac:dyDescent="0.25">
      <c r="A2749" s="30" t="s">
        <v>4915</v>
      </c>
      <c r="B2749" s="31" t="s">
        <v>4916</v>
      </c>
    </row>
    <row r="2750" spans="1:2" x14ac:dyDescent="0.25">
      <c r="A2750" s="32" t="s">
        <v>4917</v>
      </c>
      <c r="B2750" s="33" t="s">
        <v>4918</v>
      </c>
    </row>
    <row r="2751" spans="1:2" x14ac:dyDescent="0.25">
      <c r="A2751" s="30" t="s">
        <v>4919</v>
      </c>
      <c r="B2751" s="31" t="s">
        <v>4920</v>
      </c>
    </row>
    <row r="2752" spans="1:2" x14ac:dyDescent="0.25">
      <c r="A2752" s="32" t="s">
        <v>4921</v>
      </c>
      <c r="B2752" s="33" t="s">
        <v>4922</v>
      </c>
    </row>
    <row r="2753" spans="1:2" x14ac:dyDescent="0.25">
      <c r="A2753" s="30" t="s">
        <v>4923</v>
      </c>
      <c r="B2753" s="31" t="s">
        <v>4924</v>
      </c>
    </row>
    <row r="2754" spans="1:2" x14ac:dyDescent="0.25">
      <c r="A2754" s="32" t="s">
        <v>4925</v>
      </c>
      <c r="B2754" s="33" t="s">
        <v>4926</v>
      </c>
    </row>
    <row r="2755" spans="1:2" x14ac:dyDescent="0.25">
      <c r="A2755" s="30" t="s">
        <v>4927</v>
      </c>
      <c r="B2755" s="31" t="s">
        <v>4928</v>
      </c>
    </row>
    <row r="2756" spans="1:2" x14ac:dyDescent="0.25">
      <c r="A2756" s="32" t="s">
        <v>4929</v>
      </c>
      <c r="B2756" s="33" t="s">
        <v>4930</v>
      </c>
    </row>
    <row r="2757" spans="1:2" x14ac:dyDescent="0.25">
      <c r="A2757" s="30" t="s">
        <v>4931</v>
      </c>
      <c r="B2757" s="31" t="s">
        <v>4932</v>
      </c>
    </row>
    <row r="2758" spans="1:2" x14ac:dyDescent="0.25">
      <c r="A2758" s="32" t="s">
        <v>4933</v>
      </c>
      <c r="B2758" s="33" t="s">
        <v>4934</v>
      </c>
    </row>
    <row r="2759" spans="1:2" x14ac:dyDescent="0.25">
      <c r="A2759" s="30" t="s">
        <v>4935</v>
      </c>
      <c r="B2759" s="31" t="s">
        <v>4936</v>
      </c>
    </row>
    <row r="2760" spans="1:2" x14ac:dyDescent="0.25">
      <c r="A2760" s="32" t="s">
        <v>4937</v>
      </c>
      <c r="B2760" s="33" t="s">
        <v>4938</v>
      </c>
    </row>
    <row r="2761" spans="1:2" x14ac:dyDescent="0.25">
      <c r="A2761" s="30" t="s">
        <v>4939</v>
      </c>
      <c r="B2761" s="31" t="s">
        <v>4940</v>
      </c>
    </row>
    <row r="2762" spans="1:2" x14ac:dyDescent="0.25">
      <c r="A2762" s="32" t="s">
        <v>557</v>
      </c>
      <c r="B2762" s="33" t="s">
        <v>4941</v>
      </c>
    </row>
    <row r="2763" spans="1:2" x14ac:dyDescent="0.25">
      <c r="A2763" s="30" t="s">
        <v>4942</v>
      </c>
      <c r="B2763" s="31" t="s">
        <v>4943</v>
      </c>
    </row>
    <row r="2764" spans="1:2" x14ac:dyDescent="0.25">
      <c r="A2764" s="32" t="s">
        <v>4944</v>
      </c>
      <c r="B2764" s="33" t="s">
        <v>4945</v>
      </c>
    </row>
    <row r="2765" spans="1:2" x14ac:dyDescent="0.25">
      <c r="A2765" s="30" t="s">
        <v>4946</v>
      </c>
      <c r="B2765" s="31" t="s">
        <v>4947</v>
      </c>
    </row>
    <row r="2766" spans="1:2" x14ac:dyDescent="0.25">
      <c r="A2766" s="32" t="s">
        <v>4948</v>
      </c>
      <c r="B2766" s="33" t="s">
        <v>4949</v>
      </c>
    </row>
    <row r="2767" spans="1:2" x14ac:dyDescent="0.25">
      <c r="A2767" s="30" t="s">
        <v>4950</v>
      </c>
      <c r="B2767" s="31" t="s">
        <v>4951</v>
      </c>
    </row>
    <row r="2768" spans="1:2" x14ac:dyDescent="0.25">
      <c r="A2768" s="32" t="s">
        <v>4952</v>
      </c>
      <c r="B2768" s="33" t="s">
        <v>4953</v>
      </c>
    </row>
    <row r="2769" spans="1:2" x14ac:dyDescent="0.25">
      <c r="A2769" s="30" t="s">
        <v>4954</v>
      </c>
      <c r="B2769" s="31" t="s">
        <v>4955</v>
      </c>
    </row>
    <row r="2770" spans="1:2" x14ac:dyDescent="0.25">
      <c r="A2770" s="32" t="s">
        <v>4956</v>
      </c>
      <c r="B2770" s="33" t="s">
        <v>4957</v>
      </c>
    </row>
    <row r="2771" spans="1:2" x14ac:dyDescent="0.25">
      <c r="A2771" s="30" t="s">
        <v>10499</v>
      </c>
      <c r="B2771" s="31" t="s">
        <v>10499</v>
      </c>
    </row>
    <row r="2772" spans="1:2" x14ac:dyDescent="0.25">
      <c r="A2772" s="32" t="s">
        <v>4958</v>
      </c>
      <c r="B2772" s="33" t="s">
        <v>4959</v>
      </c>
    </row>
    <row r="2773" spans="1:2" x14ac:dyDescent="0.25">
      <c r="A2773" s="30" t="s">
        <v>10500</v>
      </c>
      <c r="B2773" s="31" t="s">
        <v>10500</v>
      </c>
    </row>
    <row r="2774" spans="1:2" x14ac:dyDescent="0.25">
      <c r="A2774" s="32" t="s">
        <v>4960</v>
      </c>
      <c r="B2774" s="33" t="s">
        <v>4961</v>
      </c>
    </row>
    <row r="2775" spans="1:2" x14ac:dyDescent="0.25">
      <c r="A2775" s="30" t="s">
        <v>10501</v>
      </c>
      <c r="B2775" s="31" t="s">
        <v>10501</v>
      </c>
    </row>
    <row r="2776" spans="1:2" x14ac:dyDescent="0.25">
      <c r="A2776" s="32" t="s">
        <v>10502</v>
      </c>
      <c r="B2776" s="33" t="s">
        <v>10502</v>
      </c>
    </row>
    <row r="2777" spans="1:2" x14ac:dyDescent="0.25">
      <c r="A2777" s="30" t="s">
        <v>10503</v>
      </c>
      <c r="B2777" s="31" t="s">
        <v>10503</v>
      </c>
    </row>
    <row r="2778" spans="1:2" x14ac:dyDescent="0.25">
      <c r="A2778" s="32" t="s">
        <v>4962</v>
      </c>
      <c r="B2778" s="33" t="s">
        <v>4963</v>
      </c>
    </row>
    <row r="2779" spans="1:2" x14ac:dyDescent="0.25">
      <c r="A2779" s="30" t="s">
        <v>4964</v>
      </c>
      <c r="B2779" s="31" t="s">
        <v>4965</v>
      </c>
    </row>
    <row r="2780" spans="1:2" x14ac:dyDescent="0.25">
      <c r="A2780" s="32" t="s">
        <v>4966</v>
      </c>
      <c r="B2780" s="33" t="s">
        <v>4967</v>
      </c>
    </row>
    <row r="2781" spans="1:2" x14ac:dyDescent="0.25">
      <c r="A2781" s="30" t="s">
        <v>4968</v>
      </c>
      <c r="B2781" s="31" t="s">
        <v>4969</v>
      </c>
    </row>
    <row r="2782" spans="1:2" x14ac:dyDescent="0.25">
      <c r="A2782" s="32" t="s">
        <v>4970</v>
      </c>
      <c r="B2782" s="33" t="s">
        <v>4971</v>
      </c>
    </row>
    <row r="2783" spans="1:2" x14ac:dyDescent="0.25">
      <c r="A2783" s="30" t="s">
        <v>558</v>
      </c>
      <c r="B2783" s="31" t="s">
        <v>4972</v>
      </c>
    </row>
    <row r="2784" spans="1:2" x14ac:dyDescent="0.25">
      <c r="A2784" s="32" t="s">
        <v>10504</v>
      </c>
      <c r="B2784" s="33" t="s">
        <v>10504</v>
      </c>
    </row>
    <row r="2785" spans="1:2" x14ac:dyDescent="0.25">
      <c r="A2785" s="30" t="s">
        <v>4973</v>
      </c>
      <c r="B2785" s="31" t="s">
        <v>4974</v>
      </c>
    </row>
    <row r="2786" spans="1:2" x14ac:dyDescent="0.25">
      <c r="A2786" s="32" t="s">
        <v>559</v>
      </c>
      <c r="B2786" s="33" t="s">
        <v>4975</v>
      </c>
    </row>
    <row r="2787" spans="1:2" x14ac:dyDescent="0.25">
      <c r="A2787" s="30" t="s">
        <v>4976</v>
      </c>
      <c r="B2787" s="31" t="s">
        <v>4977</v>
      </c>
    </row>
    <row r="2788" spans="1:2" x14ac:dyDescent="0.25">
      <c r="A2788" s="32" t="s">
        <v>4978</v>
      </c>
      <c r="B2788" s="33" t="s">
        <v>4979</v>
      </c>
    </row>
    <row r="2789" spans="1:2" x14ac:dyDescent="0.25">
      <c r="A2789" s="30" t="s">
        <v>4980</v>
      </c>
      <c r="B2789" s="31" t="s">
        <v>4981</v>
      </c>
    </row>
    <row r="2790" spans="1:2" x14ac:dyDescent="0.25">
      <c r="A2790" s="32" t="s">
        <v>4982</v>
      </c>
      <c r="B2790" s="33" t="s">
        <v>4983</v>
      </c>
    </row>
    <row r="2791" spans="1:2" x14ac:dyDescent="0.25">
      <c r="A2791" s="30" t="s">
        <v>10505</v>
      </c>
      <c r="B2791" s="31" t="s">
        <v>10505</v>
      </c>
    </row>
    <row r="2792" spans="1:2" x14ac:dyDescent="0.25">
      <c r="A2792" s="32" t="s">
        <v>4984</v>
      </c>
      <c r="B2792" s="33" t="s">
        <v>4985</v>
      </c>
    </row>
    <row r="2793" spans="1:2" x14ac:dyDescent="0.25">
      <c r="A2793" s="30" t="s">
        <v>4986</v>
      </c>
      <c r="B2793" s="31" t="s">
        <v>4987</v>
      </c>
    </row>
    <row r="2794" spans="1:2" x14ac:dyDescent="0.25">
      <c r="A2794" s="32" t="s">
        <v>10506</v>
      </c>
      <c r="B2794" s="33" t="s">
        <v>10506</v>
      </c>
    </row>
    <row r="2795" spans="1:2" x14ac:dyDescent="0.25">
      <c r="A2795" s="30" t="s">
        <v>4988</v>
      </c>
      <c r="B2795" s="31" t="s">
        <v>4989</v>
      </c>
    </row>
    <row r="2796" spans="1:2" x14ac:dyDescent="0.25">
      <c r="A2796" s="32" t="s">
        <v>4990</v>
      </c>
      <c r="B2796" s="33" t="s">
        <v>4991</v>
      </c>
    </row>
    <row r="2797" spans="1:2" x14ac:dyDescent="0.25">
      <c r="A2797" s="30" t="s">
        <v>10507</v>
      </c>
      <c r="B2797" s="31" t="s">
        <v>10507</v>
      </c>
    </row>
    <row r="2798" spans="1:2" x14ac:dyDescent="0.25">
      <c r="A2798" s="32" t="s">
        <v>4992</v>
      </c>
      <c r="B2798" s="33" t="s">
        <v>4993</v>
      </c>
    </row>
    <row r="2799" spans="1:2" x14ac:dyDescent="0.25">
      <c r="A2799" s="30" t="s">
        <v>4994</v>
      </c>
      <c r="B2799" s="31" t="s">
        <v>4995</v>
      </c>
    </row>
    <row r="2800" spans="1:2" x14ac:dyDescent="0.25">
      <c r="A2800" s="32" t="s">
        <v>4996</v>
      </c>
      <c r="B2800" s="33" t="s">
        <v>4997</v>
      </c>
    </row>
    <row r="2801" spans="1:2" x14ac:dyDescent="0.25">
      <c r="A2801" s="30" t="s">
        <v>4998</v>
      </c>
      <c r="B2801" s="31" t="s">
        <v>4999</v>
      </c>
    </row>
    <row r="2802" spans="1:2" x14ac:dyDescent="0.25">
      <c r="A2802" s="32" t="s">
        <v>5000</v>
      </c>
      <c r="B2802" s="33" t="s">
        <v>5001</v>
      </c>
    </row>
    <row r="2803" spans="1:2" x14ac:dyDescent="0.25">
      <c r="A2803" s="30" t="s">
        <v>5002</v>
      </c>
      <c r="B2803" s="31" t="s">
        <v>5003</v>
      </c>
    </row>
    <row r="2804" spans="1:2" x14ac:dyDescent="0.25">
      <c r="A2804" s="32" t="s">
        <v>5004</v>
      </c>
      <c r="B2804" s="33" t="s">
        <v>5005</v>
      </c>
    </row>
    <row r="2805" spans="1:2" x14ac:dyDescent="0.25">
      <c r="A2805" s="30" t="s">
        <v>5006</v>
      </c>
      <c r="B2805" s="31" t="s">
        <v>5007</v>
      </c>
    </row>
    <row r="2806" spans="1:2" x14ac:dyDescent="0.25">
      <c r="A2806" s="32" t="s">
        <v>5008</v>
      </c>
      <c r="B2806" s="33" t="s">
        <v>5009</v>
      </c>
    </row>
    <row r="2807" spans="1:2" x14ac:dyDescent="0.25">
      <c r="A2807" s="30" t="s">
        <v>561</v>
      </c>
      <c r="B2807" s="31" t="s">
        <v>5010</v>
      </c>
    </row>
    <row r="2808" spans="1:2" x14ac:dyDescent="0.25">
      <c r="A2808" s="32" t="s">
        <v>5011</v>
      </c>
      <c r="B2808" s="33" t="s">
        <v>5012</v>
      </c>
    </row>
    <row r="2809" spans="1:2" x14ac:dyDescent="0.25">
      <c r="A2809" s="30" t="s">
        <v>5013</v>
      </c>
      <c r="B2809" s="31" t="s">
        <v>5014</v>
      </c>
    </row>
    <row r="2810" spans="1:2" x14ac:dyDescent="0.25">
      <c r="A2810" s="32" t="s">
        <v>5015</v>
      </c>
      <c r="B2810" s="33" t="s">
        <v>5016</v>
      </c>
    </row>
    <row r="2811" spans="1:2" x14ac:dyDescent="0.25">
      <c r="A2811" s="30" t="s">
        <v>562</v>
      </c>
      <c r="B2811" s="31" t="s">
        <v>5017</v>
      </c>
    </row>
    <row r="2812" spans="1:2" x14ac:dyDescent="0.25">
      <c r="A2812" s="32" t="s">
        <v>563</v>
      </c>
      <c r="B2812" s="33" t="s">
        <v>5018</v>
      </c>
    </row>
    <row r="2813" spans="1:2" x14ac:dyDescent="0.25">
      <c r="A2813" s="30" t="s">
        <v>564</v>
      </c>
      <c r="B2813" s="31" t="s">
        <v>5019</v>
      </c>
    </row>
    <row r="2814" spans="1:2" x14ac:dyDescent="0.25">
      <c r="A2814" s="32" t="s">
        <v>5020</v>
      </c>
      <c r="B2814" s="33" t="s">
        <v>5021</v>
      </c>
    </row>
    <row r="2815" spans="1:2" x14ac:dyDescent="0.25">
      <c r="A2815" s="30" t="s">
        <v>10508</v>
      </c>
      <c r="B2815" s="31" t="s">
        <v>10508</v>
      </c>
    </row>
    <row r="2816" spans="1:2" x14ac:dyDescent="0.25">
      <c r="A2816" s="32" t="s">
        <v>5022</v>
      </c>
      <c r="B2816" s="33" t="s">
        <v>5023</v>
      </c>
    </row>
    <row r="2817" spans="1:2" x14ac:dyDescent="0.25">
      <c r="A2817" s="30" t="s">
        <v>565</v>
      </c>
      <c r="B2817" s="31" t="s">
        <v>5024</v>
      </c>
    </row>
    <row r="2818" spans="1:2" x14ac:dyDescent="0.25">
      <c r="A2818" s="32" t="s">
        <v>566</v>
      </c>
      <c r="B2818" s="33" t="s">
        <v>5025</v>
      </c>
    </row>
    <row r="2819" spans="1:2" x14ac:dyDescent="0.25">
      <c r="A2819" s="30" t="s">
        <v>5026</v>
      </c>
      <c r="B2819" s="31" t="s">
        <v>5027</v>
      </c>
    </row>
    <row r="2820" spans="1:2" x14ac:dyDescent="0.25">
      <c r="A2820" s="32" t="s">
        <v>5028</v>
      </c>
      <c r="B2820" s="33" t="s">
        <v>5029</v>
      </c>
    </row>
    <row r="2821" spans="1:2" x14ac:dyDescent="0.25">
      <c r="A2821" s="30" t="s">
        <v>567</v>
      </c>
      <c r="B2821" s="31" t="s">
        <v>5030</v>
      </c>
    </row>
    <row r="2822" spans="1:2" x14ac:dyDescent="0.25">
      <c r="A2822" s="32" t="s">
        <v>5031</v>
      </c>
      <c r="B2822" s="33" t="s">
        <v>5032</v>
      </c>
    </row>
    <row r="2823" spans="1:2" x14ac:dyDescent="0.25">
      <c r="A2823" s="30" t="s">
        <v>5033</v>
      </c>
      <c r="B2823" s="31" t="s">
        <v>5034</v>
      </c>
    </row>
    <row r="2824" spans="1:2" x14ac:dyDescent="0.25">
      <c r="A2824" s="32" t="s">
        <v>5035</v>
      </c>
      <c r="B2824" s="33" t="s">
        <v>5036</v>
      </c>
    </row>
    <row r="2825" spans="1:2" x14ac:dyDescent="0.25">
      <c r="A2825" s="30" t="s">
        <v>568</v>
      </c>
      <c r="B2825" s="31" t="s">
        <v>5037</v>
      </c>
    </row>
    <row r="2826" spans="1:2" x14ac:dyDescent="0.25">
      <c r="A2826" s="32" t="s">
        <v>569</v>
      </c>
      <c r="B2826" s="33" t="s">
        <v>5038</v>
      </c>
    </row>
    <row r="2827" spans="1:2" x14ac:dyDescent="0.25">
      <c r="A2827" s="30" t="s">
        <v>5039</v>
      </c>
      <c r="B2827" s="31" t="s">
        <v>5040</v>
      </c>
    </row>
    <row r="2828" spans="1:2" x14ac:dyDescent="0.25">
      <c r="A2828" s="32" t="s">
        <v>5041</v>
      </c>
      <c r="B2828" s="33" t="s">
        <v>5042</v>
      </c>
    </row>
    <row r="2829" spans="1:2" x14ac:dyDescent="0.25">
      <c r="A2829" s="30" t="s">
        <v>5043</v>
      </c>
      <c r="B2829" s="31" t="s">
        <v>5044</v>
      </c>
    </row>
    <row r="2830" spans="1:2" x14ac:dyDescent="0.25">
      <c r="A2830" s="32" t="s">
        <v>5045</v>
      </c>
      <c r="B2830" s="33" t="s">
        <v>5046</v>
      </c>
    </row>
    <row r="2831" spans="1:2" x14ac:dyDescent="0.25">
      <c r="A2831" s="30" t="s">
        <v>5047</v>
      </c>
      <c r="B2831" s="31" t="s">
        <v>5048</v>
      </c>
    </row>
    <row r="2832" spans="1:2" x14ac:dyDescent="0.25">
      <c r="A2832" s="32" t="s">
        <v>5049</v>
      </c>
      <c r="B2832" s="33" t="s">
        <v>5050</v>
      </c>
    </row>
    <row r="2833" spans="1:2" x14ac:dyDescent="0.25">
      <c r="A2833" s="30" t="s">
        <v>570</v>
      </c>
      <c r="B2833" s="31" t="s">
        <v>5051</v>
      </c>
    </row>
    <row r="2834" spans="1:2" x14ac:dyDescent="0.25">
      <c r="A2834" s="32" t="s">
        <v>5052</v>
      </c>
      <c r="B2834" s="33" t="s">
        <v>5053</v>
      </c>
    </row>
    <row r="2835" spans="1:2" x14ac:dyDescent="0.25">
      <c r="A2835" s="30" t="s">
        <v>5054</v>
      </c>
      <c r="B2835" s="31" t="s">
        <v>5055</v>
      </c>
    </row>
    <row r="2836" spans="1:2" x14ac:dyDescent="0.25">
      <c r="A2836" s="32" t="s">
        <v>10509</v>
      </c>
      <c r="B2836" s="33" t="s">
        <v>10509</v>
      </c>
    </row>
    <row r="2837" spans="1:2" x14ac:dyDescent="0.25">
      <c r="A2837" s="30" t="s">
        <v>5056</v>
      </c>
      <c r="B2837" s="31" t="s">
        <v>5057</v>
      </c>
    </row>
    <row r="2838" spans="1:2" x14ac:dyDescent="0.25">
      <c r="A2838" s="32" t="s">
        <v>5058</v>
      </c>
      <c r="B2838" s="33" t="s">
        <v>5059</v>
      </c>
    </row>
    <row r="2839" spans="1:2" x14ac:dyDescent="0.25">
      <c r="A2839" s="30" t="s">
        <v>5060</v>
      </c>
      <c r="B2839" s="31" t="s">
        <v>5061</v>
      </c>
    </row>
    <row r="2840" spans="1:2" x14ac:dyDescent="0.25">
      <c r="A2840" s="32" t="s">
        <v>5062</v>
      </c>
      <c r="B2840" s="33" t="s">
        <v>5063</v>
      </c>
    </row>
    <row r="2841" spans="1:2" x14ac:dyDescent="0.25">
      <c r="A2841" s="30" t="s">
        <v>5064</v>
      </c>
      <c r="B2841" s="31" t="s">
        <v>5065</v>
      </c>
    </row>
    <row r="2842" spans="1:2" x14ac:dyDescent="0.25">
      <c r="A2842" s="32" t="s">
        <v>10510</v>
      </c>
      <c r="B2842" s="33" t="s">
        <v>10510</v>
      </c>
    </row>
    <row r="2843" spans="1:2" x14ac:dyDescent="0.25">
      <c r="A2843" s="30" t="s">
        <v>5066</v>
      </c>
      <c r="B2843" s="31" t="s">
        <v>5067</v>
      </c>
    </row>
    <row r="2844" spans="1:2" x14ac:dyDescent="0.25">
      <c r="A2844" s="32" t="s">
        <v>43</v>
      </c>
      <c r="B2844" s="33" t="s">
        <v>5068</v>
      </c>
    </row>
    <row r="2845" spans="1:2" x14ac:dyDescent="0.25">
      <c r="A2845" s="30" t="s">
        <v>5069</v>
      </c>
      <c r="B2845" s="31" t="s">
        <v>5070</v>
      </c>
    </row>
    <row r="2846" spans="1:2" x14ac:dyDescent="0.25">
      <c r="A2846" s="32" t="s">
        <v>5071</v>
      </c>
      <c r="B2846" s="33" t="s">
        <v>5072</v>
      </c>
    </row>
    <row r="2847" spans="1:2" x14ac:dyDescent="0.25">
      <c r="A2847" s="30" t="s">
        <v>5073</v>
      </c>
      <c r="B2847" s="31" t="s">
        <v>5074</v>
      </c>
    </row>
    <row r="2848" spans="1:2" x14ac:dyDescent="0.25">
      <c r="A2848" s="32" t="s">
        <v>5075</v>
      </c>
      <c r="B2848" s="33" t="s">
        <v>5076</v>
      </c>
    </row>
    <row r="2849" spans="1:2" x14ac:dyDescent="0.25">
      <c r="A2849" s="30" t="s">
        <v>5077</v>
      </c>
      <c r="B2849" s="31" t="s">
        <v>5078</v>
      </c>
    </row>
    <row r="2850" spans="1:2" x14ac:dyDescent="0.25">
      <c r="A2850" s="32" t="s">
        <v>5079</v>
      </c>
      <c r="B2850" s="33" t="s">
        <v>5080</v>
      </c>
    </row>
    <row r="2851" spans="1:2" x14ac:dyDescent="0.25">
      <c r="A2851" s="30" t="s">
        <v>5081</v>
      </c>
      <c r="B2851" s="31" t="s">
        <v>5082</v>
      </c>
    </row>
    <row r="2852" spans="1:2" x14ac:dyDescent="0.25">
      <c r="A2852" s="32" t="s">
        <v>5083</v>
      </c>
      <c r="B2852" s="33" t="s">
        <v>5084</v>
      </c>
    </row>
    <row r="2853" spans="1:2" x14ac:dyDescent="0.25">
      <c r="A2853" s="30" t="s">
        <v>5085</v>
      </c>
      <c r="B2853" s="31" t="s">
        <v>5086</v>
      </c>
    </row>
    <row r="2854" spans="1:2" x14ac:dyDescent="0.25">
      <c r="A2854" s="32" t="s">
        <v>5087</v>
      </c>
      <c r="B2854" s="33" t="s">
        <v>5088</v>
      </c>
    </row>
    <row r="2855" spans="1:2" x14ac:dyDescent="0.25">
      <c r="A2855" s="30" t="s">
        <v>571</v>
      </c>
      <c r="B2855" s="31" t="s">
        <v>5089</v>
      </c>
    </row>
    <row r="2856" spans="1:2" x14ac:dyDescent="0.25">
      <c r="A2856" s="32" t="s">
        <v>5090</v>
      </c>
      <c r="B2856" s="33" t="s">
        <v>5091</v>
      </c>
    </row>
    <row r="2857" spans="1:2" x14ac:dyDescent="0.25">
      <c r="A2857" s="30" t="s">
        <v>572</v>
      </c>
      <c r="B2857" s="31" t="s">
        <v>5092</v>
      </c>
    </row>
    <row r="2858" spans="1:2" x14ac:dyDescent="0.25">
      <c r="A2858" s="32" t="s">
        <v>573</v>
      </c>
      <c r="B2858" s="33" t="s">
        <v>5093</v>
      </c>
    </row>
    <row r="2859" spans="1:2" x14ac:dyDescent="0.25">
      <c r="A2859" s="30" t="s">
        <v>5094</v>
      </c>
      <c r="B2859" s="31" t="s">
        <v>5095</v>
      </c>
    </row>
    <row r="2860" spans="1:2" x14ac:dyDescent="0.25">
      <c r="A2860" s="32" t="s">
        <v>5096</v>
      </c>
      <c r="B2860" s="33" t="s">
        <v>5097</v>
      </c>
    </row>
    <row r="2861" spans="1:2" x14ac:dyDescent="0.25">
      <c r="A2861" s="30" t="s">
        <v>5098</v>
      </c>
      <c r="B2861" s="31" t="s">
        <v>5099</v>
      </c>
    </row>
    <row r="2862" spans="1:2" x14ac:dyDescent="0.25">
      <c r="A2862" s="32" t="s">
        <v>5100</v>
      </c>
      <c r="B2862" s="33" t="s">
        <v>5101</v>
      </c>
    </row>
    <row r="2863" spans="1:2" x14ac:dyDescent="0.25">
      <c r="A2863" s="30" t="s">
        <v>5102</v>
      </c>
      <c r="B2863" s="31" t="s">
        <v>5103</v>
      </c>
    </row>
    <row r="2864" spans="1:2" x14ac:dyDescent="0.25">
      <c r="A2864" s="32" t="s">
        <v>5104</v>
      </c>
      <c r="B2864" s="33" t="s">
        <v>5105</v>
      </c>
    </row>
    <row r="2865" spans="1:2" x14ac:dyDescent="0.25">
      <c r="A2865" s="30" t="s">
        <v>5106</v>
      </c>
      <c r="B2865" s="31" t="s">
        <v>5107</v>
      </c>
    </row>
    <row r="2866" spans="1:2" x14ac:dyDescent="0.25">
      <c r="A2866" s="32" t="s">
        <v>272</v>
      </c>
      <c r="B2866" s="33" t="s">
        <v>5108</v>
      </c>
    </row>
    <row r="2867" spans="1:2" x14ac:dyDescent="0.25">
      <c r="A2867" s="30" t="s">
        <v>5109</v>
      </c>
      <c r="B2867" s="31" t="s">
        <v>5110</v>
      </c>
    </row>
    <row r="2868" spans="1:2" x14ac:dyDescent="0.25">
      <c r="A2868" s="32" t="s">
        <v>5111</v>
      </c>
      <c r="B2868" s="33" t="s">
        <v>5112</v>
      </c>
    </row>
    <row r="2869" spans="1:2" x14ac:dyDescent="0.25">
      <c r="A2869" s="30" t="s">
        <v>5113</v>
      </c>
      <c r="B2869" s="31" t="s">
        <v>5114</v>
      </c>
    </row>
    <row r="2870" spans="1:2" x14ac:dyDescent="0.25">
      <c r="A2870" s="32" t="s">
        <v>10511</v>
      </c>
      <c r="B2870" s="33" t="s">
        <v>10511</v>
      </c>
    </row>
    <row r="2871" spans="1:2" x14ac:dyDescent="0.25">
      <c r="A2871" s="30" t="s">
        <v>5115</v>
      </c>
      <c r="B2871" s="31" t="s">
        <v>5116</v>
      </c>
    </row>
    <row r="2872" spans="1:2" x14ac:dyDescent="0.25">
      <c r="A2872" s="32" t="s">
        <v>5117</v>
      </c>
      <c r="B2872" s="33" t="s">
        <v>5118</v>
      </c>
    </row>
    <row r="2873" spans="1:2" x14ac:dyDescent="0.25">
      <c r="A2873" s="30" t="s">
        <v>5119</v>
      </c>
      <c r="B2873" s="31" t="s">
        <v>5120</v>
      </c>
    </row>
    <row r="2874" spans="1:2" x14ac:dyDescent="0.25">
      <c r="A2874" s="32" t="s">
        <v>10512</v>
      </c>
      <c r="B2874" s="33" t="s">
        <v>10512</v>
      </c>
    </row>
    <row r="2875" spans="1:2" x14ac:dyDescent="0.25">
      <c r="A2875" s="30" t="s">
        <v>5121</v>
      </c>
      <c r="B2875" s="31" t="s">
        <v>5122</v>
      </c>
    </row>
    <row r="2876" spans="1:2" x14ac:dyDescent="0.25">
      <c r="A2876" s="32" t="s">
        <v>5123</v>
      </c>
      <c r="B2876" s="33" t="s">
        <v>5124</v>
      </c>
    </row>
    <row r="2877" spans="1:2" x14ac:dyDescent="0.25">
      <c r="A2877" s="30" t="s">
        <v>5125</v>
      </c>
      <c r="B2877" s="31" t="s">
        <v>5126</v>
      </c>
    </row>
    <row r="2878" spans="1:2" x14ac:dyDescent="0.25">
      <c r="A2878" s="32" t="s">
        <v>5127</v>
      </c>
      <c r="B2878" s="33" t="s">
        <v>5128</v>
      </c>
    </row>
    <row r="2879" spans="1:2" x14ac:dyDescent="0.25">
      <c r="A2879" s="30" t="s">
        <v>574</v>
      </c>
      <c r="B2879" s="31" t="s">
        <v>5129</v>
      </c>
    </row>
    <row r="2880" spans="1:2" x14ac:dyDescent="0.25">
      <c r="A2880" s="32" t="s">
        <v>575</v>
      </c>
      <c r="B2880" s="33" t="s">
        <v>5130</v>
      </c>
    </row>
    <row r="2881" spans="1:2" x14ac:dyDescent="0.25">
      <c r="A2881" s="30" t="s">
        <v>5131</v>
      </c>
      <c r="B2881" s="31" t="s">
        <v>5132</v>
      </c>
    </row>
    <row r="2882" spans="1:2" x14ac:dyDescent="0.25">
      <c r="A2882" s="32" t="s">
        <v>576</v>
      </c>
      <c r="B2882" s="33" t="s">
        <v>5133</v>
      </c>
    </row>
    <row r="2883" spans="1:2" x14ac:dyDescent="0.25">
      <c r="A2883" s="30" t="s">
        <v>5134</v>
      </c>
      <c r="B2883" s="31" t="s">
        <v>5135</v>
      </c>
    </row>
    <row r="2884" spans="1:2" x14ac:dyDescent="0.25">
      <c r="A2884" s="32" t="s">
        <v>10513</v>
      </c>
      <c r="B2884" s="33" t="s">
        <v>10513</v>
      </c>
    </row>
    <row r="2885" spans="1:2" x14ac:dyDescent="0.25">
      <c r="A2885" s="30" t="s">
        <v>10514</v>
      </c>
      <c r="B2885" s="31" t="s">
        <v>10514</v>
      </c>
    </row>
    <row r="2886" spans="1:2" x14ac:dyDescent="0.25">
      <c r="A2886" s="32" t="s">
        <v>10515</v>
      </c>
      <c r="B2886" s="33" t="s">
        <v>10515</v>
      </c>
    </row>
    <row r="2887" spans="1:2" x14ac:dyDescent="0.25">
      <c r="A2887" s="30" t="s">
        <v>5136</v>
      </c>
      <c r="B2887" s="31" t="s">
        <v>5137</v>
      </c>
    </row>
    <row r="2888" spans="1:2" x14ac:dyDescent="0.25">
      <c r="A2888" s="32" t="s">
        <v>5138</v>
      </c>
      <c r="B2888" s="33" t="s">
        <v>5139</v>
      </c>
    </row>
    <row r="2889" spans="1:2" x14ac:dyDescent="0.25">
      <c r="A2889" s="30" t="s">
        <v>577</v>
      </c>
      <c r="B2889" s="31" t="s">
        <v>5140</v>
      </c>
    </row>
    <row r="2890" spans="1:2" x14ac:dyDescent="0.25">
      <c r="A2890" s="32" t="s">
        <v>5141</v>
      </c>
      <c r="B2890" s="33" t="s">
        <v>5142</v>
      </c>
    </row>
    <row r="2891" spans="1:2" x14ac:dyDescent="0.25">
      <c r="A2891" s="30" t="s">
        <v>578</v>
      </c>
      <c r="B2891" s="31" t="s">
        <v>5143</v>
      </c>
    </row>
    <row r="2892" spans="1:2" x14ac:dyDescent="0.25">
      <c r="A2892" s="32" t="s">
        <v>5144</v>
      </c>
      <c r="B2892" s="33" t="s">
        <v>5145</v>
      </c>
    </row>
    <row r="2893" spans="1:2" x14ac:dyDescent="0.25">
      <c r="A2893" s="30" t="s">
        <v>5146</v>
      </c>
      <c r="B2893" s="31" t="s">
        <v>5147</v>
      </c>
    </row>
    <row r="2894" spans="1:2" x14ac:dyDescent="0.25">
      <c r="A2894" s="32" t="s">
        <v>5148</v>
      </c>
      <c r="B2894" s="33" t="s">
        <v>5149</v>
      </c>
    </row>
    <row r="2895" spans="1:2" x14ac:dyDescent="0.25">
      <c r="A2895" s="30" t="s">
        <v>5150</v>
      </c>
      <c r="B2895" s="31" t="s">
        <v>5151</v>
      </c>
    </row>
    <row r="2896" spans="1:2" x14ac:dyDescent="0.25">
      <c r="A2896" s="32" t="s">
        <v>10516</v>
      </c>
      <c r="B2896" s="33" t="s">
        <v>10516</v>
      </c>
    </row>
    <row r="2897" spans="1:2" x14ac:dyDescent="0.25">
      <c r="A2897" s="30" t="s">
        <v>5152</v>
      </c>
      <c r="B2897" s="31" t="s">
        <v>5153</v>
      </c>
    </row>
    <row r="2898" spans="1:2" x14ac:dyDescent="0.25">
      <c r="A2898" s="32" t="s">
        <v>5154</v>
      </c>
      <c r="B2898" s="33" t="s">
        <v>5155</v>
      </c>
    </row>
    <row r="2899" spans="1:2" x14ac:dyDescent="0.25">
      <c r="A2899" s="30" t="s">
        <v>5156</v>
      </c>
      <c r="B2899" s="31" t="s">
        <v>5157</v>
      </c>
    </row>
    <row r="2900" spans="1:2" x14ac:dyDescent="0.25">
      <c r="A2900" s="32" t="s">
        <v>5158</v>
      </c>
      <c r="B2900" s="33" t="s">
        <v>5159</v>
      </c>
    </row>
    <row r="2901" spans="1:2" x14ac:dyDescent="0.25">
      <c r="A2901" s="30" t="s">
        <v>5160</v>
      </c>
      <c r="B2901" s="31" t="s">
        <v>5161</v>
      </c>
    </row>
    <row r="2902" spans="1:2" x14ac:dyDescent="0.25">
      <c r="A2902" s="32" t="s">
        <v>10517</v>
      </c>
      <c r="B2902" s="33" t="s">
        <v>10517</v>
      </c>
    </row>
    <row r="2903" spans="1:2" x14ac:dyDescent="0.25">
      <c r="A2903" s="30" t="s">
        <v>5162</v>
      </c>
      <c r="B2903" s="31" t="s">
        <v>5163</v>
      </c>
    </row>
    <row r="2904" spans="1:2" x14ac:dyDescent="0.25">
      <c r="A2904" s="32" t="s">
        <v>5164</v>
      </c>
      <c r="B2904" s="33" t="s">
        <v>5165</v>
      </c>
    </row>
    <row r="2905" spans="1:2" x14ac:dyDescent="0.25">
      <c r="A2905" s="30" t="s">
        <v>5166</v>
      </c>
      <c r="B2905" s="31" t="s">
        <v>5167</v>
      </c>
    </row>
    <row r="2906" spans="1:2" x14ac:dyDescent="0.25">
      <c r="A2906" s="32" t="s">
        <v>5168</v>
      </c>
      <c r="B2906" s="33" t="s">
        <v>5169</v>
      </c>
    </row>
    <row r="2907" spans="1:2" x14ac:dyDescent="0.25">
      <c r="A2907" s="30" t="s">
        <v>5170</v>
      </c>
      <c r="B2907" s="31" t="s">
        <v>5171</v>
      </c>
    </row>
    <row r="2908" spans="1:2" x14ac:dyDescent="0.25">
      <c r="A2908" s="32" t="s">
        <v>5172</v>
      </c>
      <c r="B2908" s="33" t="s">
        <v>5173</v>
      </c>
    </row>
    <row r="2909" spans="1:2" x14ac:dyDescent="0.25">
      <c r="A2909" s="30" t="s">
        <v>5174</v>
      </c>
      <c r="B2909" s="31" t="s">
        <v>5175</v>
      </c>
    </row>
    <row r="2910" spans="1:2" x14ac:dyDescent="0.25">
      <c r="A2910" s="32" t="s">
        <v>5176</v>
      </c>
      <c r="B2910" s="33" t="s">
        <v>5177</v>
      </c>
    </row>
    <row r="2911" spans="1:2" x14ac:dyDescent="0.25">
      <c r="A2911" s="30" t="s">
        <v>5178</v>
      </c>
      <c r="B2911" s="31" t="s">
        <v>5179</v>
      </c>
    </row>
    <row r="2912" spans="1:2" x14ac:dyDescent="0.25">
      <c r="A2912" s="32" t="s">
        <v>5180</v>
      </c>
      <c r="B2912" s="33" t="s">
        <v>5181</v>
      </c>
    </row>
    <row r="2913" spans="1:2" x14ac:dyDescent="0.25">
      <c r="A2913" s="30" t="s">
        <v>5182</v>
      </c>
      <c r="B2913" s="31" t="s">
        <v>5183</v>
      </c>
    </row>
    <row r="2914" spans="1:2" x14ac:dyDescent="0.25">
      <c r="A2914" s="32" t="s">
        <v>10518</v>
      </c>
      <c r="B2914" s="33" t="s">
        <v>10518</v>
      </c>
    </row>
    <row r="2915" spans="1:2" x14ac:dyDescent="0.25">
      <c r="A2915" s="30" t="s">
        <v>5184</v>
      </c>
      <c r="B2915" s="31" t="s">
        <v>5185</v>
      </c>
    </row>
    <row r="2916" spans="1:2" x14ac:dyDescent="0.25">
      <c r="A2916" s="32" t="s">
        <v>579</v>
      </c>
      <c r="B2916" s="33" t="s">
        <v>5186</v>
      </c>
    </row>
    <row r="2917" spans="1:2" x14ac:dyDescent="0.25">
      <c r="A2917" s="30" t="s">
        <v>5187</v>
      </c>
      <c r="B2917" s="31" t="s">
        <v>5188</v>
      </c>
    </row>
    <row r="2918" spans="1:2" x14ac:dyDescent="0.25">
      <c r="A2918" s="32" t="s">
        <v>5189</v>
      </c>
      <c r="B2918" s="33" t="s">
        <v>5190</v>
      </c>
    </row>
    <row r="2919" spans="1:2" x14ac:dyDescent="0.25">
      <c r="A2919" s="30" t="s">
        <v>5191</v>
      </c>
      <c r="B2919" s="31" t="s">
        <v>5192</v>
      </c>
    </row>
    <row r="2920" spans="1:2" x14ac:dyDescent="0.25">
      <c r="A2920" s="32" t="s">
        <v>5193</v>
      </c>
      <c r="B2920" s="33" t="s">
        <v>5194</v>
      </c>
    </row>
    <row r="2921" spans="1:2" x14ac:dyDescent="0.25">
      <c r="A2921" s="30" t="s">
        <v>580</v>
      </c>
      <c r="B2921" s="31" t="s">
        <v>5195</v>
      </c>
    </row>
    <row r="2922" spans="1:2" x14ac:dyDescent="0.25">
      <c r="A2922" s="32" t="s">
        <v>5196</v>
      </c>
      <c r="B2922" s="33" t="s">
        <v>5197</v>
      </c>
    </row>
    <row r="2923" spans="1:2" x14ac:dyDescent="0.25">
      <c r="A2923" s="30" t="s">
        <v>581</v>
      </c>
      <c r="B2923" s="31" t="s">
        <v>5198</v>
      </c>
    </row>
    <row r="2924" spans="1:2" x14ac:dyDescent="0.25">
      <c r="A2924" s="32" t="s">
        <v>5199</v>
      </c>
      <c r="B2924" s="33" t="s">
        <v>5200</v>
      </c>
    </row>
    <row r="2925" spans="1:2" x14ac:dyDescent="0.25">
      <c r="A2925" s="30" t="s">
        <v>10519</v>
      </c>
      <c r="B2925" s="31" t="s">
        <v>10519</v>
      </c>
    </row>
    <row r="2926" spans="1:2" x14ac:dyDescent="0.25">
      <c r="A2926" s="32" t="s">
        <v>10520</v>
      </c>
      <c r="B2926" s="33" t="s">
        <v>10520</v>
      </c>
    </row>
    <row r="2927" spans="1:2" x14ac:dyDescent="0.25">
      <c r="A2927" s="30" t="s">
        <v>582</v>
      </c>
      <c r="B2927" s="31" t="s">
        <v>5201</v>
      </c>
    </row>
    <row r="2928" spans="1:2" x14ac:dyDescent="0.25">
      <c r="A2928" s="32" t="s">
        <v>5202</v>
      </c>
      <c r="B2928" s="33" t="s">
        <v>5203</v>
      </c>
    </row>
    <row r="2929" spans="1:2" x14ac:dyDescent="0.25">
      <c r="A2929" s="30" t="s">
        <v>5204</v>
      </c>
      <c r="B2929" s="31" t="s">
        <v>5205</v>
      </c>
    </row>
    <row r="2930" spans="1:2" x14ac:dyDescent="0.25">
      <c r="A2930" s="32" t="s">
        <v>5206</v>
      </c>
      <c r="B2930" s="33" t="s">
        <v>5207</v>
      </c>
    </row>
    <row r="2931" spans="1:2" x14ac:dyDescent="0.25">
      <c r="A2931" s="30" t="s">
        <v>5208</v>
      </c>
      <c r="B2931" s="31" t="s">
        <v>5209</v>
      </c>
    </row>
    <row r="2932" spans="1:2" x14ac:dyDescent="0.25">
      <c r="A2932" s="32" t="s">
        <v>5210</v>
      </c>
      <c r="B2932" s="33" t="s">
        <v>5211</v>
      </c>
    </row>
    <row r="2933" spans="1:2" x14ac:dyDescent="0.25">
      <c r="A2933" s="30" t="s">
        <v>583</v>
      </c>
      <c r="B2933" s="31" t="s">
        <v>5212</v>
      </c>
    </row>
    <row r="2934" spans="1:2" x14ac:dyDescent="0.25">
      <c r="A2934" s="32" t="s">
        <v>5213</v>
      </c>
      <c r="B2934" s="33" t="s">
        <v>5214</v>
      </c>
    </row>
    <row r="2935" spans="1:2" x14ac:dyDescent="0.25">
      <c r="A2935" s="30" t="s">
        <v>5215</v>
      </c>
      <c r="B2935" s="31" t="s">
        <v>5216</v>
      </c>
    </row>
    <row r="2936" spans="1:2" x14ac:dyDescent="0.25">
      <c r="A2936" s="32" t="s">
        <v>10521</v>
      </c>
      <c r="B2936" s="33" t="s">
        <v>10521</v>
      </c>
    </row>
    <row r="2937" spans="1:2" x14ac:dyDescent="0.25">
      <c r="A2937" s="30" t="s">
        <v>5217</v>
      </c>
      <c r="B2937" s="31" t="s">
        <v>5218</v>
      </c>
    </row>
    <row r="2938" spans="1:2" x14ac:dyDescent="0.25">
      <c r="A2938" s="32" t="s">
        <v>5219</v>
      </c>
      <c r="B2938" s="33" t="s">
        <v>5220</v>
      </c>
    </row>
    <row r="2939" spans="1:2" x14ac:dyDescent="0.25">
      <c r="A2939" s="30" t="s">
        <v>5221</v>
      </c>
      <c r="B2939" s="31" t="s">
        <v>5222</v>
      </c>
    </row>
    <row r="2940" spans="1:2" x14ac:dyDescent="0.25">
      <c r="A2940" s="32" t="s">
        <v>5223</v>
      </c>
      <c r="B2940" s="33" t="s">
        <v>5224</v>
      </c>
    </row>
    <row r="2941" spans="1:2" x14ac:dyDescent="0.25">
      <c r="A2941" s="30" t="s">
        <v>5225</v>
      </c>
      <c r="B2941" s="31" t="s">
        <v>5226</v>
      </c>
    </row>
    <row r="2942" spans="1:2" x14ac:dyDescent="0.25">
      <c r="A2942" s="32" t="s">
        <v>10522</v>
      </c>
      <c r="B2942" s="33" t="s">
        <v>10522</v>
      </c>
    </row>
    <row r="2943" spans="1:2" x14ac:dyDescent="0.25">
      <c r="A2943" s="30" t="s">
        <v>5227</v>
      </c>
      <c r="B2943" s="31" t="s">
        <v>5228</v>
      </c>
    </row>
    <row r="2944" spans="1:2" x14ac:dyDescent="0.25">
      <c r="A2944" s="32" t="s">
        <v>584</v>
      </c>
      <c r="B2944" s="33" t="s">
        <v>5229</v>
      </c>
    </row>
    <row r="2945" spans="1:2" x14ac:dyDescent="0.25">
      <c r="A2945" s="30" t="s">
        <v>5230</v>
      </c>
      <c r="B2945" s="31" t="s">
        <v>5231</v>
      </c>
    </row>
    <row r="2946" spans="1:2" x14ac:dyDescent="0.25">
      <c r="A2946" s="32" t="s">
        <v>585</v>
      </c>
      <c r="B2946" s="33" t="s">
        <v>5232</v>
      </c>
    </row>
    <row r="2947" spans="1:2" x14ac:dyDescent="0.25">
      <c r="A2947" s="30" t="s">
        <v>10523</v>
      </c>
      <c r="B2947" s="31" t="s">
        <v>10523</v>
      </c>
    </row>
    <row r="2948" spans="1:2" x14ac:dyDescent="0.25">
      <c r="A2948" s="32" t="s">
        <v>5233</v>
      </c>
      <c r="B2948" s="33" t="s">
        <v>5234</v>
      </c>
    </row>
    <row r="2949" spans="1:2" x14ac:dyDescent="0.25">
      <c r="A2949" s="30" t="s">
        <v>5235</v>
      </c>
      <c r="B2949" s="31" t="s">
        <v>5236</v>
      </c>
    </row>
    <row r="2950" spans="1:2" x14ac:dyDescent="0.25">
      <c r="A2950" s="32" t="s">
        <v>5237</v>
      </c>
      <c r="B2950" s="33" t="s">
        <v>5238</v>
      </c>
    </row>
    <row r="2951" spans="1:2" x14ac:dyDescent="0.25">
      <c r="A2951" s="30" t="s">
        <v>5239</v>
      </c>
      <c r="B2951" s="31" t="s">
        <v>5240</v>
      </c>
    </row>
    <row r="2952" spans="1:2" x14ac:dyDescent="0.25">
      <c r="A2952" s="32" t="s">
        <v>5241</v>
      </c>
      <c r="B2952" s="33" t="s">
        <v>5242</v>
      </c>
    </row>
    <row r="2953" spans="1:2" x14ac:dyDescent="0.25">
      <c r="A2953" s="30" t="s">
        <v>266</v>
      </c>
      <c r="B2953" s="31" t="s">
        <v>5243</v>
      </c>
    </row>
    <row r="2954" spans="1:2" x14ac:dyDescent="0.25">
      <c r="A2954" s="32" t="s">
        <v>5244</v>
      </c>
      <c r="B2954" s="33" t="s">
        <v>5245</v>
      </c>
    </row>
    <row r="2955" spans="1:2" x14ac:dyDescent="0.25">
      <c r="A2955" s="30" t="s">
        <v>5246</v>
      </c>
      <c r="B2955" s="31" t="s">
        <v>5247</v>
      </c>
    </row>
    <row r="2956" spans="1:2" x14ac:dyDescent="0.25">
      <c r="A2956" s="32" t="s">
        <v>586</v>
      </c>
      <c r="B2956" s="33" t="s">
        <v>5248</v>
      </c>
    </row>
    <row r="2957" spans="1:2" x14ac:dyDescent="0.25">
      <c r="A2957" s="30" t="s">
        <v>5249</v>
      </c>
      <c r="B2957" s="31" t="s">
        <v>5250</v>
      </c>
    </row>
    <row r="2958" spans="1:2" x14ac:dyDescent="0.25">
      <c r="A2958" s="32" t="s">
        <v>5251</v>
      </c>
      <c r="B2958" s="33" t="s">
        <v>5252</v>
      </c>
    </row>
    <row r="2959" spans="1:2" x14ac:dyDescent="0.25">
      <c r="A2959" s="30" t="s">
        <v>5253</v>
      </c>
      <c r="B2959" s="31" t="s">
        <v>5254</v>
      </c>
    </row>
    <row r="2960" spans="1:2" x14ac:dyDescent="0.25">
      <c r="A2960" s="32" t="s">
        <v>587</v>
      </c>
      <c r="B2960" s="33" t="s">
        <v>5255</v>
      </c>
    </row>
    <row r="2961" spans="1:2" x14ac:dyDescent="0.25">
      <c r="A2961" s="30" t="s">
        <v>5256</v>
      </c>
      <c r="B2961" s="31" t="s">
        <v>5257</v>
      </c>
    </row>
    <row r="2962" spans="1:2" x14ac:dyDescent="0.25">
      <c r="A2962" s="32" t="s">
        <v>5258</v>
      </c>
      <c r="B2962" s="33" t="s">
        <v>5259</v>
      </c>
    </row>
    <row r="2963" spans="1:2" x14ac:dyDescent="0.25">
      <c r="A2963" s="30" t="s">
        <v>5260</v>
      </c>
      <c r="B2963" s="31" t="s">
        <v>5261</v>
      </c>
    </row>
    <row r="2964" spans="1:2" x14ac:dyDescent="0.25">
      <c r="A2964" s="32" t="s">
        <v>5262</v>
      </c>
      <c r="B2964" s="33" t="s">
        <v>5263</v>
      </c>
    </row>
    <row r="2965" spans="1:2" x14ac:dyDescent="0.25">
      <c r="A2965" s="30" t="s">
        <v>10524</v>
      </c>
      <c r="B2965" s="31" t="s">
        <v>10524</v>
      </c>
    </row>
    <row r="2966" spans="1:2" x14ac:dyDescent="0.25">
      <c r="A2966" s="32" t="s">
        <v>588</v>
      </c>
      <c r="B2966" s="33" t="s">
        <v>5264</v>
      </c>
    </row>
    <row r="2967" spans="1:2" x14ac:dyDescent="0.25">
      <c r="A2967" s="30" t="s">
        <v>5265</v>
      </c>
      <c r="B2967" s="31" t="s">
        <v>5266</v>
      </c>
    </row>
    <row r="2968" spans="1:2" x14ac:dyDescent="0.25">
      <c r="A2968" s="32" t="s">
        <v>589</v>
      </c>
      <c r="B2968" s="33" t="s">
        <v>5267</v>
      </c>
    </row>
    <row r="2969" spans="1:2" x14ac:dyDescent="0.25">
      <c r="A2969" s="30" t="s">
        <v>5268</v>
      </c>
      <c r="B2969" s="31" t="s">
        <v>5269</v>
      </c>
    </row>
    <row r="2970" spans="1:2" x14ac:dyDescent="0.25">
      <c r="A2970" s="32" t="s">
        <v>5270</v>
      </c>
      <c r="B2970" s="33" t="s">
        <v>5271</v>
      </c>
    </row>
    <row r="2971" spans="1:2" x14ac:dyDescent="0.25">
      <c r="A2971" s="30" t="s">
        <v>5272</v>
      </c>
      <c r="B2971" s="31" t="s">
        <v>5273</v>
      </c>
    </row>
    <row r="2972" spans="1:2" x14ac:dyDescent="0.25">
      <c r="A2972" s="32" t="s">
        <v>5274</v>
      </c>
      <c r="B2972" s="33" t="s">
        <v>5275</v>
      </c>
    </row>
    <row r="2973" spans="1:2" x14ac:dyDescent="0.25">
      <c r="A2973" s="30" t="s">
        <v>590</v>
      </c>
      <c r="B2973" s="31" t="s">
        <v>5276</v>
      </c>
    </row>
    <row r="2974" spans="1:2" x14ac:dyDescent="0.25">
      <c r="A2974" s="32" t="s">
        <v>591</v>
      </c>
      <c r="B2974" s="33" t="s">
        <v>5277</v>
      </c>
    </row>
    <row r="2975" spans="1:2" x14ac:dyDescent="0.25">
      <c r="A2975" s="30" t="s">
        <v>5278</v>
      </c>
      <c r="B2975" s="31" t="s">
        <v>5279</v>
      </c>
    </row>
    <row r="2976" spans="1:2" x14ac:dyDescent="0.25">
      <c r="A2976" s="32" t="s">
        <v>5280</v>
      </c>
      <c r="B2976" s="33" t="s">
        <v>5281</v>
      </c>
    </row>
    <row r="2977" spans="1:2" x14ac:dyDescent="0.25">
      <c r="A2977" s="30" t="s">
        <v>592</v>
      </c>
      <c r="B2977" s="31" t="s">
        <v>5282</v>
      </c>
    </row>
    <row r="2978" spans="1:2" x14ac:dyDescent="0.25">
      <c r="A2978" s="32" t="s">
        <v>593</v>
      </c>
      <c r="B2978" s="33" t="s">
        <v>5283</v>
      </c>
    </row>
    <row r="2979" spans="1:2" x14ac:dyDescent="0.25">
      <c r="A2979" s="30" t="s">
        <v>5284</v>
      </c>
      <c r="B2979" s="31" t="s">
        <v>5285</v>
      </c>
    </row>
    <row r="2980" spans="1:2" x14ac:dyDescent="0.25">
      <c r="A2980" s="32" t="s">
        <v>5286</v>
      </c>
      <c r="B2980" s="33" t="s">
        <v>5287</v>
      </c>
    </row>
    <row r="2981" spans="1:2" x14ac:dyDescent="0.25">
      <c r="A2981" s="30" t="s">
        <v>5288</v>
      </c>
      <c r="B2981" s="31" t="s">
        <v>5289</v>
      </c>
    </row>
    <row r="2982" spans="1:2" x14ac:dyDescent="0.25">
      <c r="A2982" s="32" t="s">
        <v>10525</v>
      </c>
      <c r="B2982" s="33" t="s">
        <v>10525</v>
      </c>
    </row>
    <row r="2983" spans="1:2" x14ac:dyDescent="0.25">
      <c r="A2983" s="30" t="s">
        <v>5290</v>
      </c>
      <c r="B2983" s="31" t="s">
        <v>5291</v>
      </c>
    </row>
    <row r="2984" spans="1:2" x14ac:dyDescent="0.25">
      <c r="A2984" s="32" t="s">
        <v>594</v>
      </c>
      <c r="B2984" s="33" t="s">
        <v>5292</v>
      </c>
    </row>
    <row r="2985" spans="1:2" x14ac:dyDescent="0.25">
      <c r="A2985" s="30" t="s">
        <v>5293</v>
      </c>
      <c r="B2985" s="31" t="s">
        <v>5294</v>
      </c>
    </row>
    <row r="2986" spans="1:2" x14ac:dyDescent="0.25">
      <c r="A2986" s="32" t="s">
        <v>5295</v>
      </c>
      <c r="B2986" s="33" t="s">
        <v>5296</v>
      </c>
    </row>
    <row r="2987" spans="1:2" x14ac:dyDescent="0.25">
      <c r="A2987" s="30" t="s">
        <v>5297</v>
      </c>
      <c r="B2987" s="31" t="s">
        <v>5298</v>
      </c>
    </row>
    <row r="2988" spans="1:2" x14ac:dyDescent="0.25">
      <c r="A2988" s="32" t="s">
        <v>5299</v>
      </c>
      <c r="B2988" s="33" t="s">
        <v>5300</v>
      </c>
    </row>
    <row r="2989" spans="1:2" x14ac:dyDescent="0.25">
      <c r="A2989" s="30" t="s">
        <v>595</v>
      </c>
      <c r="B2989" s="31" t="s">
        <v>5301</v>
      </c>
    </row>
    <row r="2990" spans="1:2" x14ac:dyDescent="0.25">
      <c r="A2990" s="32" t="s">
        <v>5302</v>
      </c>
      <c r="B2990" s="33" t="s">
        <v>5303</v>
      </c>
    </row>
    <row r="2991" spans="1:2" x14ac:dyDescent="0.25">
      <c r="A2991" s="30" t="s">
        <v>5304</v>
      </c>
      <c r="B2991" s="31" t="s">
        <v>5305</v>
      </c>
    </row>
    <row r="2992" spans="1:2" x14ac:dyDescent="0.25">
      <c r="A2992" s="32" t="s">
        <v>5306</v>
      </c>
      <c r="B2992" s="33" t="s">
        <v>5307</v>
      </c>
    </row>
    <row r="2993" spans="1:2" x14ac:dyDescent="0.25">
      <c r="A2993" s="30" t="s">
        <v>596</v>
      </c>
      <c r="B2993" s="31" t="s">
        <v>5308</v>
      </c>
    </row>
    <row r="2994" spans="1:2" x14ac:dyDescent="0.25">
      <c r="A2994" s="32" t="s">
        <v>5309</v>
      </c>
      <c r="B2994" s="33" t="s">
        <v>5310</v>
      </c>
    </row>
    <row r="2995" spans="1:2" x14ac:dyDescent="0.25">
      <c r="A2995" s="30" t="s">
        <v>5311</v>
      </c>
      <c r="B2995" s="31" t="s">
        <v>5312</v>
      </c>
    </row>
    <row r="2996" spans="1:2" x14ac:dyDescent="0.25">
      <c r="A2996" s="32" t="s">
        <v>5313</v>
      </c>
      <c r="B2996" s="33" t="s">
        <v>5314</v>
      </c>
    </row>
    <row r="2997" spans="1:2" x14ac:dyDescent="0.25">
      <c r="A2997" s="30" t="s">
        <v>5315</v>
      </c>
      <c r="B2997" s="31" t="s">
        <v>5316</v>
      </c>
    </row>
    <row r="2998" spans="1:2" x14ac:dyDescent="0.25">
      <c r="A2998" s="32" t="s">
        <v>5317</v>
      </c>
      <c r="B2998" s="33" t="s">
        <v>5318</v>
      </c>
    </row>
    <row r="2999" spans="1:2" x14ac:dyDescent="0.25">
      <c r="A2999" s="30" t="s">
        <v>5319</v>
      </c>
      <c r="B2999" s="31" t="s">
        <v>5320</v>
      </c>
    </row>
    <row r="3000" spans="1:2" x14ac:dyDescent="0.25">
      <c r="A3000" s="32" t="s">
        <v>5321</v>
      </c>
      <c r="B3000" s="33" t="s">
        <v>5322</v>
      </c>
    </row>
    <row r="3001" spans="1:2" x14ac:dyDescent="0.25">
      <c r="A3001" s="30" t="s">
        <v>5323</v>
      </c>
      <c r="B3001" s="31" t="s">
        <v>5324</v>
      </c>
    </row>
    <row r="3002" spans="1:2" x14ac:dyDescent="0.25">
      <c r="A3002" s="32" t="s">
        <v>597</v>
      </c>
      <c r="B3002" s="33" t="s">
        <v>5325</v>
      </c>
    </row>
    <row r="3003" spans="1:2" x14ac:dyDescent="0.25">
      <c r="A3003" s="30" t="s">
        <v>5326</v>
      </c>
      <c r="B3003" s="31" t="s">
        <v>5327</v>
      </c>
    </row>
    <row r="3004" spans="1:2" x14ac:dyDescent="0.25">
      <c r="A3004" s="32" t="s">
        <v>598</v>
      </c>
      <c r="B3004" s="33" t="s">
        <v>5328</v>
      </c>
    </row>
    <row r="3005" spans="1:2" x14ac:dyDescent="0.25">
      <c r="A3005" s="30" t="s">
        <v>599</v>
      </c>
      <c r="B3005" s="31" t="s">
        <v>5329</v>
      </c>
    </row>
    <row r="3006" spans="1:2" x14ac:dyDescent="0.25">
      <c r="A3006" s="32" t="s">
        <v>5330</v>
      </c>
      <c r="B3006" s="33" t="s">
        <v>5331</v>
      </c>
    </row>
    <row r="3007" spans="1:2" x14ac:dyDescent="0.25">
      <c r="A3007" s="30" t="s">
        <v>5332</v>
      </c>
      <c r="B3007" s="31" t="s">
        <v>5333</v>
      </c>
    </row>
    <row r="3008" spans="1:2" x14ac:dyDescent="0.25">
      <c r="A3008" s="32" t="s">
        <v>5334</v>
      </c>
      <c r="B3008" s="33" t="s">
        <v>5335</v>
      </c>
    </row>
    <row r="3009" spans="1:2" x14ac:dyDescent="0.25">
      <c r="A3009" s="30" t="s">
        <v>600</v>
      </c>
      <c r="B3009" s="31" t="s">
        <v>600</v>
      </c>
    </row>
    <row r="3010" spans="1:2" x14ac:dyDescent="0.25">
      <c r="A3010" s="32" t="s">
        <v>10526</v>
      </c>
      <c r="B3010" s="33" t="s">
        <v>10526</v>
      </c>
    </row>
    <row r="3011" spans="1:2" x14ac:dyDescent="0.25">
      <c r="A3011" s="30" t="s">
        <v>5336</v>
      </c>
      <c r="B3011" s="31" t="s">
        <v>5337</v>
      </c>
    </row>
    <row r="3012" spans="1:2" x14ac:dyDescent="0.25">
      <c r="A3012" s="32" t="s">
        <v>5338</v>
      </c>
      <c r="B3012" s="33" t="s">
        <v>5339</v>
      </c>
    </row>
    <row r="3013" spans="1:2" x14ac:dyDescent="0.25">
      <c r="A3013" s="30" t="s">
        <v>5340</v>
      </c>
      <c r="B3013" s="31" t="s">
        <v>5341</v>
      </c>
    </row>
    <row r="3014" spans="1:2" x14ac:dyDescent="0.25">
      <c r="A3014" s="32" t="s">
        <v>5342</v>
      </c>
      <c r="B3014" s="33" t="s">
        <v>5343</v>
      </c>
    </row>
    <row r="3015" spans="1:2" x14ac:dyDescent="0.25">
      <c r="A3015" s="30" t="s">
        <v>601</v>
      </c>
      <c r="B3015" s="31" t="s">
        <v>5344</v>
      </c>
    </row>
    <row r="3016" spans="1:2" x14ac:dyDescent="0.25">
      <c r="A3016" s="32" t="s">
        <v>5345</v>
      </c>
      <c r="B3016" s="33" t="s">
        <v>5346</v>
      </c>
    </row>
    <row r="3017" spans="1:2" x14ac:dyDescent="0.25">
      <c r="A3017" s="30" t="s">
        <v>10527</v>
      </c>
      <c r="B3017" s="31" t="s">
        <v>10527</v>
      </c>
    </row>
    <row r="3018" spans="1:2" x14ac:dyDescent="0.25">
      <c r="A3018" s="32" t="s">
        <v>5347</v>
      </c>
      <c r="B3018" s="33" t="s">
        <v>5348</v>
      </c>
    </row>
    <row r="3019" spans="1:2" x14ac:dyDescent="0.25">
      <c r="A3019" s="30" t="s">
        <v>5349</v>
      </c>
      <c r="B3019" s="31" t="s">
        <v>5350</v>
      </c>
    </row>
    <row r="3020" spans="1:2" x14ac:dyDescent="0.25">
      <c r="A3020" s="32" t="s">
        <v>5351</v>
      </c>
      <c r="B3020" s="33" t="s">
        <v>5352</v>
      </c>
    </row>
    <row r="3021" spans="1:2" x14ac:dyDescent="0.25">
      <c r="A3021" s="30" t="s">
        <v>5353</v>
      </c>
      <c r="B3021" s="31" t="s">
        <v>5354</v>
      </c>
    </row>
    <row r="3022" spans="1:2" x14ac:dyDescent="0.25">
      <c r="A3022" s="32" t="s">
        <v>5355</v>
      </c>
      <c r="B3022" s="33" t="s">
        <v>5356</v>
      </c>
    </row>
    <row r="3023" spans="1:2" x14ac:dyDescent="0.25">
      <c r="A3023" s="30" t="s">
        <v>5357</v>
      </c>
      <c r="B3023" s="31" t="s">
        <v>5358</v>
      </c>
    </row>
    <row r="3024" spans="1:2" x14ac:dyDescent="0.25">
      <c r="A3024" s="32" t="s">
        <v>5359</v>
      </c>
      <c r="B3024" s="33" t="s">
        <v>5360</v>
      </c>
    </row>
    <row r="3025" spans="1:2" x14ac:dyDescent="0.25">
      <c r="A3025" s="30" t="s">
        <v>602</v>
      </c>
      <c r="B3025" s="31" t="s">
        <v>5361</v>
      </c>
    </row>
    <row r="3026" spans="1:2" x14ac:dyDescent="0.25">
      <c r="A3026" s="32" t="s">
        <v>5362</v>
      </c>
      <c r="B3026" s="33" t="s">
        <v>5363</v>
      </c>
    </row>
    <row r="3027" spans="1:2" x14ac:dyDescent="0.25">
      <c r="A3027" s="30" t="s">
        <v>5364</v>
      </c>
      <c r="B3027" s="31" t="s">
        <v>5365</v>
      </c>
    </row>
    <row r="3028" spans="1:2" x14ac:dyDescent="0.25">
      <c r="A3028" s="32" t="s">
        <v>5366</v>
      </c>
      <c r="B3028" s="33" t="s">
        <v>5367</v>
      </c>
    </row>
    <row r="3029" spans="1:2" x14ac:dyDescent="0.25">
      <c r="A3029" s="30" t="s">
        <v>603</v>
      </c>
      <c r="B3029" s="31" t="s">
        <v>5368</v>
      </c>
    </row>
    <row r="3030" spans="1:2" x14ac:dyDescent="0.25">
      <c r="A3030" s="32" t="s">
        <v>5369</v>
      </c>
      <c r="B3030" s="33" t="s">
        <v>5370</v>
      </c>
    </row>
    <row r="3031" spans="1:2" x14ac:dyDescent="0.25">
      <c r="A3031" s="30" t="s">
        <v>5371</v>
      </c>
      <c r="B3031" s="31" t="s">
        <v>5372</v>
      </c>
    </row>
    <row r="3032" spans="1:2" x14ac:dyDescent="0.25">
      <c r="A3032" s="32" t="s">
        <v>10528</v>
      </c>
      <c r="B3032" s="33" t="s">
        <v>10528</v>
      </c>
    </row>
    <row r="3033" spans="1:2" x14ac:dyDescent="0.25">
      <c r="A3033" s="30" t="s">
        <v>5373</v>
      </c>
      <c r="B3033" s="31" t="s">
        <v>5374</v>
      </c>
    </row>
    <row r="3034" spans="1:2" x14ac:dyDescent="0.25">
      <c r="A3034" s="32" t="s">
        <v>5375</v>
      </c>
      <c r="B3034" s="33" t="s">
        <v>5376</v>
      </c>
    </row>
    <row r="3035" spans="1:2" x14ac:dyDescent="0.25">
      <c r="A3035" s="30" t="s">
        <v>5377</v>
      </c>
      <c r="B3035" s="31" t="s">
        <v>5378</v>
      </c>
    </row>
    <row r="3036" spans="1:2" x14ac:dyDescent="0.25">
      <c r="A3036" s="32" t="s">
        <v>5379</v>
      </c>
      <c r="B3036" s="33" t="s">
        <v>5380</v>
      </c>
    </row>
    <row r="3037" spans="1:2" x14ac:dyDescent="0.25">
      <c r="A3037" s="30" t="s">
        <v>5381</v>
      </c>
      <c r="B3037" s="31" t="s">
        <v>5382</v>
      </c>
    </row>
    <row r="3038" spans="1:2" x14ac:dyDescent="0.25">
      <c r="A3038" s="32" t="s">
        <v>5383</v>
      </c>
      <c r="B3038" s="33" t="s">
        <v>5384</v>
      </c>
    </row>
    <row r="3039" spans="1:2" x14ac:dyDescent="0.25">
      <c r="A3039" s="30" t="s">
        <v>5385</v>
      </c>
      <c r="B3039" s="31" t="s">
        <v>5386</v>
      </c>
    </row>
    <row r="3040" spans="1:2" x14ac:dyDescent="0.25">
      <c r="A3040" s="32" t="s">
        <v>604</v>
      </c>
      <c r="B3040" s="33" t="s">
        <v>5387</v>
      </c>
    </row>
    <row r="3041" spans="1:2" x14ac:dyDescent="0.25">
      <c r="A3041" s="30" t="s">
        <v>605</v>
      </c>
      <c r="B3041" s="31" t="s">
        <v>5388</v>
      </c>
    </row>
    <row r="3042" spans="1:2" x14ac:dyDescent="0.25">
      <c r="A3042" s="32" t="s">
        <v>5389</v>
      </c>
      <c r="B3042" s="33" t="s">
        <v>5390</v>
      </c>
    </row>
    <row r="3043" spans="1:2" x14ac:dyDescent="0.25">
      <c r="A3043" s="30" t="s">
        <v>5391</v>
      </c>
      <c r="B3043" s="31" t="s">
        <v>5392</v>
      </c>
    </row>
    <row r="3044" spans="1:2" x14ac:dyDescent="0.25">
      <c r="A3044" s="32" t="s">
        <v>606</v>
      </c>
      <c r="B3044" s="33" t="s">
        <v>5393</v>
      </c>
    </row>
    <row r="3045" spans="1:2" x14ac:dyDescent="0.25">
      <c r="A3045" s="30" t="s">
        <v>5394</v>
      </c>
      <c r="B3045" s="31" t="s">
        <v>5395</v>
      </c>
    </row>
    <row r="3046" spans="1:2" x14ac:dyDescent="0.25">
      <c r="A3046" s="32" t="s">
        <v>607</v>
      </c>
      <c r="B3046" s="33" t="s">
        <v>5396</v>
      </c>
    </row>
    <row r="3047" spans="1:2" x14ac:dyDescent="0.25">
      <c r="A3047" s="30" t="s">
        <v>5397</v>
      </c>
      <c r="B3047" s="31" t="s">
        <v>5398</v>
      </c>
    </row>
    <row r="3048" spans="1:2" x14ac:dyDescent="0.25">
      <c r="A3048" s="32" t="s">
        <v>5399</v>
      </c>
      <c r="B3048" s="33" t="s">
        <v>5400</v>
      </c>
    </row>
    <row r="3049" spans="1:2" x14ac:dyDescent="0.25">
      <c r="A3049" s="30" t="s">
        <v>5401</v>
      </c>
      <c r="B3049" s="31" t="s">
        <v>5402</v>
      </c>
    </row>
    <row r="3050" spans="1:2" x14ac:dyDescent="0.25">
      <c r="A3050" s="32" t="s">
        <v>5403</v>
      </c>
      <c r="B3050" s="33" t="s">
        <v>5404</v>
      </c>
    </row>
    <row r="3051" spans="1:2" x14ac:dyDescent="0.25">
      <c r="A3051" s="30" t="s">
        <v>5405</v>
      </c>
      <c r="B3051" s="31" t="s">
        <v>5406</v>
      </c>
    </row>
    <row r="3052" spans="1:2" x14ac:dyDescent="0.25">
      <c r="A3052" s="32" t="s">
        <v>10529</v>
      </c>
      <c r="B3052" s="33" t="s">
        <v>10529</v>
      </c>
    </row>
    <row r="3053" spans="1:2" x14ac:dyDescent="0.25">
      <c r="A3053" s="30" t="s">
        <v>5407</v>
      </c>
      <c r="B3053" s="31" t="s">
        <v>5408</v>
      </c>
    </row>
    <row r="3054" spans="1:2" x14ac:dyDescent="0.25">
      <c r="A3054" s="32" t="s">
        <v>10530</v>
      </c>
      <c r="B3054" s="33" t="s">
        <v>10530</v>
      </c>
    </row>
    <row r="3055" spans="1:2" x14ac:dyDescent="0.25">
      <c r="A3055" s="30" t="s">
        <v>608</v>
      </c>
      <c r="B3055" s="31" t="s">
        <v>5409</v>
      </c>
    </row>
    <row r="3056" spans="1:2" x14ac:dyDescent="0.25">
      <c r="A3056" s="32" t="s">
        <v>10531</v>
      </c>
      <c r="B3056" s="33" t="s">
        <v>10531</v>
      </c>
    </row>
    <row r="3057" spans="1:2" x14ac:dyDescent="0.25">
      <c r="A3057" s="30" t="s">
        <v>10532</v>
      </c>
      <c r="B3057" s="31" t="s">
        <v>10532</v>
      </c>
    </row>
    <row r="3058" spans="1:2" x14ac:dyDescent="0.25">
      <c r="A3058" s="32" t="s">
        <v>10533</v>
      </c>
      <c r="B3058" s="33" t="s">
        <v>10533</v>
      </c>
    </row>
    <row r="3059" spans="1:2" x14ac:dyDescent="0.25">
      <c r="A3059" s="30" t="s">
        <v>10534</v>
      </c>
      <c r="B3059" s="31" t="s">
        <v>10534</v>
      </c>
    </row>
    <row r="3060" spans="1:2" x14ac:dyDescent="0.25">
      <c r="A3060" s="32" t="s">
        <v>10535</v>
      </c>
      <c r="B3060" s="33" t="s">
        <v>10535</v>
      </c>
    </row>
    <row r="3061" spans="1:2" x14ac:dyDescent="0.25">
      <c r="A3061" s="30" t="s">
        <v>10536</v>
      </c>
      <c r="B3061" s="31" t="s">
        <v>10536</v>
      </c>
    </row>
    <row r="3062" spans="1:2" x14ac:dyDescent="0.25">
      <c r="A3062" s="32" t="s">
        <v>5410</v>
      </c>
      <c r="B3062" s="33" t="s">
        <v>5411</v>
      </c>
    </row>
    <row r="3063" spans="1:2" x14ac:dyDescent="0.25">
      <c r="A3063" s="30" t="s">
        <v>5412</v>
      </c>
      <c r="B3063" s="31" t="s">
        <v>5413</v>
      </c>
    </row>
    <row r="3064" spans="1:2" x14ac:dyDescent="0.25">
      <c r="A3064" s="32" t="s">
        <v>5414</v>
      </c>
      <c r="B3064" s="33" t="s">
        <v>5415</v>
      </c>
    </row>
    <row r="3065" spans="1:2" x14ac:dyDescent="0.25">
      <c r="A3065" s="30" t="s">
        <v>5416</v>
      </c>
      <c r="B3065" s="31" t="s">
        <v>5417</v>
      </c>
    </row>
    <row r="3066" spans="1:2" x14ac:dyDescent="0.25">
      <c r="A3066" s="32" t="s">
        <v>5418</v>
      </c>
      <c r="B3066" s="33" t="s">
        <v>5419</v>
      </c>
    </row>
    <row r="3067" spans="1:2" x14ac:dyDescent="0.25">
      <c r="A3067" s="30" t="s">
        <v>5420</v>
      </c>
      <c r="B3067" s="31" t="s">
        <v>5421</v>
      </c>
    </row>
    <row r="3068" spans="1:2" x14ac:dyDescent="0.25">
      <c r="A3068" s="32" t="s">
        <v>10537</v>
      </c>
      <c r="B3068" s="33" t="s">
        <v>10537</v>
      </c>
    </row>
    <row r="3069" spans="1:2" x14ac:dyDescent="0.25">
      <c r="A3069" s="30" t="s">
        <v>10538</v>
      </c>
      <c r="B3069" s="31" t="s">
        <v>10538</v>
      </c>
    </row>
    <row r="3070" spans="1:2" x14ac:dyDescent="0.25">
      <c r="A3070" s="32" t="s">
        <v>5422</v>
      </c>
      <c r="B3070" s="33" t="s">
        <v>5423</v>
      </c>
    </row>
    <row r="3071" spans="1:2" x14ac:dyDescent="0.25">
      <c r="A3071" s="30" t="s">
        <v>5424</v>
      </c>
      <c r="B3071" s="31" t="s">
        <v>5425</v>
      </c>
    </row>
    <row r="3072" spans="1:2" x14ac:dyDescent="0.25">
      <c r="A3072" s="32" t="s">
        <v>609</v>
      </c>
      <c r="B3072" s="33" t="s">
        <v>5426</v>
      </c>
    </row>
    <row r="3073" spans="1:2" x14ac:dyDescent="0.25">
      <c r="A3073" s="30" t="s">
        <v>5427</v>
      </c>
      <c r="B3073" s="31" t="s">
        <v>5428</v>
      </c>
    </row>
    <row r="3074" spans="1:2" x14ac:dyDescent="0.25">
      <c r="A3074" s="32" t="s">
        <v>5429</v>
      </c>
      <c r="B3074" s="33" t="s">
        <v>5430</v>
      </c>
    </row>
    <row r="3075" spans="1:2" x14ac:dyDescent="0.25">
      <c r="A3075" s="30" t="s">
        <v>5431</v>
      </c>
      <c r="B3075" s="31" t="s">
        <v>5432</v>
      </c>
    </row>
    <row r="3076" spans="1:2" x14ac:dyDescent="0.25">
      <c r="A3076" s="32" t="s">
        <v>10539</v>
      </c>
      <c r="B3076" s="33" t="s">
        <v>10539</v>
      </c>
    </row>
    <row r="3077" spans="1:2" x14ac:dyDescent="0.25">
      <c r="A3077" s="30" t="s">
        <v>610</v>
      </c>
      <c r="B3077" s="31" t="s">
        <v>5433</v>
      </c>
    </row>
    <row r="3078" spans="1:2" x14ac:dyDescent="0.25">
      <c r="A3078" s="32" t="s">
        <v>5434</v>
      </c>
      <c r="B3078" s="33" t="s">
        <v>5435</v>
      </c>
    </row>
    <row r="3079" spans="1:2" x14ac:dyDescent="0.25">
      <c r="A3079" s="30" t="s">
        <v>10540</v>
      </c>
      <c r="B3079" s="31" t="s">
        <v>10540</v>
      </c>
    </row>
    <row r="3080" spans="1:2" x14ac:dyDescent="0.25">
      <c r="A3080" s="32" t="s">
        <v>5436</v>
      </c>
      <c r="B3080" s="33" t="s">
        <v>5437</v>
      </c>
    </row>
    <row r="3081" spans="1:2" x14ac:dyDescent="0.25">
      <c r="A3081" s="30" t="s">
        <v>5438</v>
      </c>
      <c r="B3081" s="31" t="s">
        <v>5439</v>
      </c>
    </row>
    <row r="3082" spans="1:2" x14ac:dyDescent="0.25">
      <c r="A3082" s="32" t="s">
        <v>5440</v>
      </c>
      <c r="B3082" s="33" t="s">
        <v>5441</v>
      </c>
    </row>
    <row r="3083" spans="1:2" x14ac:dyDescent="0.25">
      <c r="A3083" s="30" t="s">
        <v>5442</v>
      </c>
      <c r="B3083" s="31" t="s">
        <v>5443</v>
      </c>
    </row>
    <row r="3084" spans="1:2" x14ac:dyDescent="0.25">
      <c r="A3084" s="32" t="s">
        <v>5444</v>
      </c>
      <c r="B3084" s="33" t="s">
        <v>5445</v>
      </c>
    </row>
    <row r="3085" spans="1:2" x14ac:dyDescent="0.25">
      <c r="A3085" s="30" t="s">
        <v>5446</v>
      </c>
      <c r="B3085" s="31" t="s">
        <v>5447</v>
      </c>
    </row>
    <row r="3086" spans="1:2" x14ac:dyDescent="0.25">
      <c r="A3086" s="32" t="s">
        <v>5448</v>
      </c>
      <c r="B3086" s="33" t="s">
        <v>5449</v>
      </c>
    </row>
    <row r="3087" spans="1:2" x14ac:dyDescent="0.25">
      <c r="A3087" s="30" t="s">
        <v>611</v>
      </c>
      <c r="B3087" s="31" t="s">
        <v>5450</v>
      </c>
    </row>
    <row r="3088" spans="1:2" x14ac:dyDescent="0.25">
      <c r="A3088" s="32" t="s">
        <v>10541</v>
      </c>
      <c r="B3088" s="33" t="s">
        <v>10541</v>
      </c>
    </row>
    <row r="3089" spans="1:2" x14ac:dyDescent="0.25">
      <c r="A3089" s="30" t="s">
        <v>5451</v>
      </c>
      <c r="B3089" s="31" t="s">
        <v>5452</v>
      </c>
    </row>
    <row r="3090" spans="1:2" x14ac:dyDescent="0.25">
      <c r="A3090" s="32" t="s">
        <v>5453</v>
      </c>
      <c r="B3090" s="33" t="s">
        <v>5454</v>
      </c>
    </row>
    <row r="3091" spans="1:2" x14ac:dyDescent="0.25">
      <c r="A3091" s="30" t="s">
        <v>612</v>
      </c>
      <c r="B3091" s="31" t="s">
        <v>5455</v>
      </c>
    </row>
    <row r="3092" spans="1:2" x14ac:dyDescent="0.25">
      <c r="A3092" s="32" t="s">
        <v>5456</v>
      </c>
      <c r="B3092" s="33" t="s">
        <v>5457</v>
      </c>
    </row>
    <row r="3093" spans="1:2" x14ac:dyDescent="0.25">
      <c r="A3093" s="30" t="s">
        <v>5458</v>
      </c>
      <c r="B3093" s="31" t="s">
        <v>5459</v>
      </c>
    </row>
    <row r="3094" spans="1:2" x14ac:dyDescent="0.25">
      <c r="A3094" s="32" t="s">
        <v>5460</v>
      </c>
      <c r="B3094" s="33" t="s">
        <v>5461</v>
      </c>
    </row>
    <row r="3095" spans="1:2" x14ac:dyDescent="0.25">
      <c r="A3095" s="30" t="s">
        <v>10542</v>
      </c>
      <c r="B3095" s="31" t="s">
        <v>10542</v>
      </c>
    </row>
    <row r="3096" spans="1:2" x14ac:dyDescent="0.25">
      <c r="A3096" s="32" t="s">
        <v>5462</v>
      </c>
      <c r="B3096" s="33" t="s">
        <v>5463</v>
      </c>
    </row>
    <row r="3097" spans="1:2" x14ac:dyDescent="0.25">
      <c r="A3097" s="30" t="s">
        <v>5464</v>
      </c>
      <c r="B3097" s="31" t="s">
        <v>5465</v>
      </c>
    </row>
    <row r="3098" spans="1:2" x14ac:dyDescent="0.25">
      <c r="A3098" s="32" t="s">
        <v>5466</v>
      </c>
      <c r="B3098" s="33" t="s">
        <v>5467</v>
      </c>
    </row>
    <row r="3099" spans="1:2" x14ac:dyDescent="0.25">
      <c r="A3099" s="30" t="s">
        <v>5468</v>
      </c>
      <c r="B3099" s="31" t="s">
        <v>5469</v>
      </c>
    </row>
    <row r="3100" spans="1:2" x14ac:dyDescent="0.25">
      <c r="A3100" s="32" t="s">
        <v>5470</v>
      </c>
      <c r="B3100" s="33" t="s">
        <v>5471</v>
      </c>
    </row>
    <row r="3101" spans="1:2" x14ac:dyDescent="0.25">
      <c r="A3101" s="30" t="s">
        <v>5472</v>
      </c>
      <c r="B3101" s="31" t="s">
        <v>5473</v>
      </c>
    </row>
    <row r="3102" spans="1:2" x14ac:dyDescent="0.25">
      <c r="A3102" s="32" t="s">
        <v>5474</v>
      </c>
      <c r="B3102" s="33" t="s">
        <v>5475</v>
      </c>
    </row>
    <row r="3103" spans="1:2" x14ac:dyDescent="0.25">
      <c r="A3103" s="30" t="s">
        <v>5476</v>
      </c>
      <c r="B3103" s="31" t="s">
        <v>5477</v>
      </c>
    </row>
    <row r="3104" spans="1:2" x14ac:dyDescent="0.25">
      <c r="A3104" s="32" t="s">
        <v>5478</v>
      </c>
      <c r="B3104" s="33" t="s">
        <v>5479</v>
      </c>
    </row>
    <row r="3105" spans="1:2" x14ac:dyDescent="0.25">
      <c r="A3105" s="30" t="s">
        <v>5480</v>
      </c>
      <c r="B3105" s="31" t="s">
        <v>5481</v>
      </c>
    </row>
    <row r="3106" spans="1:2" x14ac:dyDescent="0.25">
      <c r="A3106" s="32" t="s">
        <v>5482</v>
      </c>
      <c r="B3106" s="33" t="s">
        <v>5483</v>
      </c>
    </row>
    <row r="3107" spans="1:2" x14ac:dyDescent="0.25">
      <c r="A3107" s="30" t="s">
        <v>5484</v>
      </c>
      <c r="B3107" s="31" t="s">
        <v>5485</v>
      </c>
    </row>
    <row r="3108" spans="1:2" x14ac:dyDescent="0.25">
      <c r="A3108" s="32" t="s">
        <v>613</v>
      </c>
      <c r="B3108" s="33" t="s">
        <v>5486</v>
      </c>
    </row>
    <row r="3109" spans="1:2" x14ac:dyDescent="0.25">
      <c r="A3109" s="30" t="s">
        <v>5487</v>
      </c>
      <c r="B3109" s="31" t="s">
        <v>5488</v>
      </c>
    </row>
    <row r="3110" spans="1:2" x14ac:dyDescent="0.25">
      <c r="A3110" s="32" t="s">
        <v>5489</v>
      </c>
      <c r="B3110" s="33" t="s">
        <v>5490</v>
      </c>
    </row>
    <row r="3111" spans="1:2" x14ac:dyDescent="0.25">
      <c r="A3111" s="30" t="s">
        <v>5491</v>
      </c>
      <c r="B3111" s="31" t="s">
        <v>5492</v>
      </c>
    </row>
    <row r="3112" spans="1:2" x14ac:dyDescent="0.25">
      <c r="A3112" s="32" t="s">
        <v>5493</v>
      </c>
      <c r="B3112" s="33" t="s">
        <v>5494</v>
      </c>
    </row>
    <row r="3113" spans="1:2" x14ac:dyDescent="0.25">
      <c r="A3113" s="30" t="s">
        <v>5495</v>
      </c>
      <c r="B3113" s="31" t="s">
        <v>5496</v>
      </c>
    </row>
    <row r="3114" spans="1:2" x14ac:dyDescent="0.25">
      <c r="A3114" s="32" t="s">
        <v>5497</v>
      </c>
      <c r="B3114" s="33" t="s">
        <v>5498</v>
      </c>
    </row>
    <row r="3115" spans="1:2" x14ac:dyDescent="0.25">
      <c r="A3115" s="30" t="s">
        <v>5499</v>
      </c>
      <c r="B3115" s="31" t="s">
        <v>5500</v>
      </c>
    </row>
    <row r="3116" spans="1:2" x14ac:dyDescent="0.25">
      <c r="A3116" s="32" t="s">
        <v>71</v>
      </c>
      <c r="B3116" s="33" t="s">
        <v>5501</v>
      </c>
    </row>
    <row r="3117" spans="1:2" x14ac:dyDescent="0.25">
      <c r="A3117" s="30" t="s">
        <v>5502</v>
      </c>
      <c r="B3117" s="31" t="s">
        <v>5503</v>
      </c>
    </row>
    <row r="3118" spans="1:2" x14ac:dyDescent="0.25">
      <c r="A3118" s="32" t="s">
        <v>5504</v>
      </c>
      <c r="B3118" s="33" t="s">
        <v>5505</v>
      </c>
    </row>
    <row r="3119" spans="1:2" x14ac:dyDescent="0.25">
      <c r="A3119" s="30" t="s">
        <v>10543</v>
      </c>
      <c r="B3119" s="31" t="s">
        <v>10543</v>
      </c>
    </row>
    <row r="3120" spans="1:2" x14ac:dyDescent="0.25">
      <c r="A3120" s="32" t="s">
        <v>10544</v>
      </c>
      <c r="B3120" s="33" t="s">
        <v>10544</v>
      </c>
    </row>
    <row r="3121" spans="1:2" x14ac:dyDescent="0.25">
      <c r="A3121" s="30" t="s">
        <v>10545</v>
      </c>
      <c r="B3121" s="31" t="s">
        <v>10545</v>
      </c>
    </row>
    <row r="3122" spans="1:2" x14ac:dyDescent="0.25">
      <c r="A3122" s="32" t="s">
        <v>614</v>
      </c>
      <c r="B3122" s="33" t="s">
        <v>5506</v>
      </c>
    </row>
    <row r="3123" spans="1:2" x14ac:dyDescent="0.25">
      <c r="A3123" s="30" t="s">
        <v>5507</v>
      </c>
      <c r="B3123" s="31" t="s">
        <v>5508</v>
      </c>
    </row>
    <row r="3124" spans="1:2" x14ac:dyDescent="0.25">
      <c r="A3124" s="32" t="s">
        <v>615</v>
      </c>
      <c r="B3124" s="33" t="s">
        <v>5509</v>
      </c>
    </row>
    <row r="3125" spans="1:2" x14ac:dyDescent="0.25">
      <c r="A3125" s="30" t="s">
        <v>5510</v>
      </c>
      <c r="B3125" s="31" t="s">
        <v>5511</v>
      </c>
    </row>
    <row r="3126" spans="1:2" x14ac:dyDescent="0.25">
      <c r="A3126" s="32" t="s">
        <v>5512</v>
      </c>
      <c r="B3126" s="33" t="s">
        <v>5513</v>
      </c>
    </row>
    <row r="3127" spans="1:2" x14ac:dyDescent="0.25">
      <c r="A3127" s="30" t="s">
        <v>5514</v>
      </c>
      <c r="B3127" s="31" t="s">
        <v>5515</v>
      </c>
    </row>
    <row r="3128" spans="1:2" x14ac:dyDescent="0.25">
      <c r="A3128" s="32" t="s">
        <v>5516</v>
      </c>
      <c r="B3128" s="33" t="s">
        <v>5517</v>
      </c>
    </row>
    <row r="3129" spans="1:2" x14ac:dyDescent="0.25">
      <c r="A3129" s="30" t="s">
        <v>5518</v>
      </c>
      <c r="B3129" s="31" t="s">
        <v>5519</v>
      </c>
    </row>
    <row r="3130" spans="1:2" x14ac:dyDescent="0.25">
      <c r="A3130" s="32" t="s">
        <v>5520</v>
      </c>
      <c r="B3130" s="33" t="s">
        <v>5521</v>
      </c>
    </row>
    <row r="3131" spans="1:2" x14ac:dyDescent="0.25">
      <c r="A3131" s="30" t="s">
        <v>616</v>
      </c>
      <c r="B3131" s="31" t="s">
        <v>5522</v>
      </c>
    </row>
    <row r="3132" spans="1:2" x14ac:dyDescent="0.25">
      <c r="A3132" s="32" t="s">
        <v>5523</v>
      </c>
      <c r="B3132" s="33" t="s">
        <v>5524</v>
      </c>
    </row>
    <row r="3133" spans="1:2" x14ac:dyDescent="0.25">
      <c r="A3133" s="30" t="s">
        <v>10546</v>
      </c>
      <c r="B3133" s="31" t="s">
        <v>10546</v>
      </c>
    </row>
    <row r="3134" spans="1:2" x14ac:dyDescent="0.25">
      <c r="A3134" s="32" t="s">
        <v>5525</v>
      </c>
      <c r="B3134" s="33" t="s">
        <v>5526</v>
      </c>
    </row>
    <row r="3135" spans="1:2" x14ac:dyDescent="0.25">
      <c r="A3135" s="30" t="s">
        <v>5527</v>
      </c>
      <c r="B3135" s="31" t="s">
        <v>5528</v>
      </c>
    </row>
    <row r="3136" spans="1:2" x14ac:dyDescent="0.25">
      <c r="A3136" s="32" t="s">
        <v>5529</v>
      </c>
      <c r="B3136" s="33" t="s">
        <v>5530</v>
      </c>
    </row>
    <row r="3137" spans="1:2" x14ac:dyDescent="0.25">
      <c r="A3137" s="30" t="s">
        <v>5531</v>
      </c>
      <c r="B3137" s="31" t="s">
        <v>5532</v>
      </c>
    </row>
    <row r="3138" spans="1:2" x14ac:dyDescent="0.25">
      <c r="A3138" s="32" t="s">
        <v>5533</v>
      </c>
      <c r="B3138" s="33" t="s">
        <v>5534</v>
      </c>
    </row>
    <row r="3139" spans="1:2" x14ac:dyDescent="0.25">
      <c r="A3139" s="30" t="s">
        <v>5535</v>
      </c>
      <c r="B3139" s="31" t="s">
        <v>5536</v>
      </c>
    </row>
    <row r="3140" spans="1:2" x14ac:dyDescent="0.25">
      <c r="A3140" s="32" t="s">
        <v>5537</v>
      </c>
      <c r="B3140" s="33" t="s">
        <v>5538</v>
      </c>
    </row>
    <row r="3141" spans="1:2" x14ac:dyDescent="0.25">
      <c r="A3141" s="30" t="s">
        <v>5539</v>
      </c>
      <c r="B3141" s="31" t="s">
        <v>5540</v>
      </c>
    </row>
    <row r="3142" spans="1:2" x14ac:dyDescent="0.25">
      <c r="A3142" s="32" t="s">
        <v>5541</v>
      </c>
      <c r="B3142" s="33" t="s">
        <v>5542</v>
      </c>
    </row>
    <row r="3143" spans="1:2" x14ac:dyDescent="0.25">
      <c r="A3143" s="30" t="s">
        <v>5543</v>
      </c>
      <c r="B3143" s="31" t="s">
        <v>5544</v>
      </c>
    </row>
    <row r="3144" spans="1:2" x14ac:dyDescent="0.25">
      <c r="A3144" s="32" t="s">
        <v>617</v>
      </c>
      <c r="B3144" s="33" t="s">
        <v>5545</v>
      </c>
    </row>
    <row r="3145" spans="1:2" x14ac:dyDescent="0.25">
      <c r="A3145" s="30" t="s">
        <v>10547</v>
      </c>
      <c r="B3145" s="31" t="s">
        <v>10547</v>
      </c>
    </row>
    <row r="3146" spans="1:2" x14ac:dyDescent="0.25">
      <c r="A3146" s="32" t="s">
        <v>10548</v>
      </c>
      <c r="B3146" s="33" t="s">
        <v>10548</v>
      </c>
    </row>
    <row r="3147" spans="1:2" x14ac:dyDescent="0.25">
      <c r="A3147" s="30" t="s">
        <v>5546</v>
      </c>
      <c r="B3147" s="31" t="s">
        <v>5547</v>
      </c>
    </row>
    <row r="3148" spans="1:2" x14ac:dyDescent="0.25">
      <c r="A3148" s="32" t="s">
        <v>10549</v>
      </c>
      <c r="B3148" s="33" t="s">
        <v>10549</v>
      </c>
    </row>
    <row r="3149" spans="1:2" x14ac:dyDescent="0.25">
      <c r="A3149" s="30" t="s">
        <v>5548</v>
      </c>
      <c r="B3149" s="31" t="s">
        <v>5549</v>
      </c>
    </row>
    <row r="3150" spans="1:2" x14ac:dyDescent="0.25">
      <c r="A3150" s="32" t="s">
        <v>10550</v>
      </c>
      <c r="B3150" s="33" t="s">
        <v>10550</v>
      </c>
    </row>
    <row r="3151" spans="1:2" x14ac:dyDescent="0.25">
      <c r="A3151" s="30" t="s">
        <v>5550</v>
      </c>
      <c r="B3151" s="31" t="s">
        <v>5551</v>
      </c>
    </row>
    <row r="3152" spans="1:2" x14ac:dyDescent="0.25">
      <c r="A3152" s="32" t="s">
        <v>5552</v>
      </c>
      <c r="B3152" s="33" t="s">
        <v>5553</v>
      </c>
    </row>
    <row r="3153" spans="1:2" x14ac:dyDescent="0.25">
      <c r="A3153" s="30" t="s">
        <v>618</v>
      </c>
      <c r="B3153" s="31" t="s">
        <v>5554</v>
      </c>
    </row>
    <row r="3154" spans="1:2" x14ac:dyDescent="0.25">
      <c r="A3154" s="32" t="s">
        <v>5555</v>
      </c>
      <c r="B3154" s="33" t="s">
        <v>5556</v>
      </c>
    </row>
    <row r="3155" spans="1:2" x14ac:dyDescent="0.25">
      <c r="A3155" s="30" t="s">
        <v>5557</v>
      </c>
      <c r="B3155" s="31" t="s">
        <v>5558</v>
      </c>
    </row>
    <row r="3156" spans="1:2" x14ac:dyDescent="0.25">
      <c r="A3156" s="32" t="s">
        <v>5559</v>
      </c>
      <c r="B3156" s="33" t="s">
        <v>5560</v>
      </c>
    </row>
    <row r="3157" spans="1:2" x14ac:dyDescent="0.25">
      <c r="A3157" s="30" t="s">
        <v>5561</v>
      </c>
      <c r="B3157" s="31" t="s">
        <v>5562</v>
      </c>
    </row>
    <row r="3158" spans="1:2" x14ac:dyDescent="0.25">
      <c r="A3158" s="32" t="s">
        <v>5563</v>
      </c>
      <c r="B3158" s="33" t="s">
        <v>5564</v>
      </c>
    </row>
    <row r="3159" spans="1:2" x14ac:dyDescent="0.25">
      <c r="A3159" s="30" t="s">
        <v>5565</v>
      </c>
      <c r="B3159" s="31" t="s">
        <v>5566</v>
      </c>
    </row>
    <row r="3160" spans="1:2" x14ac:dyDescent="0.25">
      <c r="A3160" s="32" t="s">
        <v>5567</v>
      </c>
      <c r="B3160" s="33" t="s">
        <v>5568</v>
      </c>
    </row>
    <row r="3161" spans="1:2" x14ac:dyDescent="0.25">
      <c r="A3161" s="30" t="s">
        <v>5569</v>
      </c>
      <c r="B3161" s="31" t="s">
        <v>5570</v>
      </c>
    </row>
    <row r="3162" spans="1:2" x14ac:dyDescent="0.25">
      <c r="A3162" s="32" t="s">
        <v>5571</v>
      </c>
      <c r="B3162" s="33" t="s">
        <v>5572</v>
      </c>
    </row>
    <row r="3163" spans="1:2" x14ac:dyDescent="0.25">
      <c r="A3163" s="30" t="s">
        <v>10551</v>
      </c>
      <c r="B3163" s="31" t="s">
        <v>10551</v>
      </c>
    </row>
    <row r="3164" spans="1:2" x14ac:dyDescent="0.25">
      <c r="A3164" s="32" t="s">
        <v>5573</v>
      </c>
      <c r="B3164" s="33" t="s">
        <v>5574</v>
      </c>
    </row>
    <row r="3165" spans="1:2" x14ac:dyDescent="0.25">
      <c r="A3165" s="30" t="s">
        <v>5575</v>
      </c>
      <c r="B3165" s="31" t="s">
        <v>5576</v>
      </c>
    </row>
    <row r="3166" spans="1:2" x14ac:dyDescent="0.25">
      <c r="A3166" s="32" t="s">
        <v>10552</v>
      </c>
      <c r="B3166" s="33" t="s">
        <v>10552</v>
      </c>
    </row>
    <row r="3167" spans="1:2" x14ac:dyDescent="0.25">
      <c r="A3167" s="30" t="s">
        <v>5577</v>
      </c>
      <c r="B3167" s="31" t="s">
        <v>5578</v>
      </c>
    </row>
    <row r="3168" spans="1:2" x14ac:dyDescent="0.25">
      <c r="A3168" s="32" t="s">
        <v>5579</v>
      </c>
      <c r="B3168" s="33" t="s">
        <v>5580</v>
      </c>
    </row>
    <row r="3169" spans="1:2" x14ac:dyDescent="0.25">
      <c r="A3169" s="30" t="s">
        <v>10553</v>
      </c>
      <c r="B3169" s="31" t="s">
        <v>10553</v>
      </c>
    </row>
    <row r="3170" spans="1:2" x14ac:dyDescent="0.25">
      <c r="A3170" s="32" t="s">
        <v>10554</v>
      </c>
      <c r="B3170" s="33" t="s">
        <v>10554</v>
      </c>
    </row>
    <row r="3171" spans="1:2" x14ac:dyDescent="0.25">
      <c r="A3171" s="30" t="s">
        <v>10555</v>
      </c>
      <c r="B3171" s="31" t="s">
        <v>10555</v>
      </c>
    </row>
    <row r="3172" spans="1:2" x14ac:dyDescent="0.25">
      <c r="A3172" s="32" t="s">
        <v>10556</v>
      </c>
      <c r="B3172" s="33" t="s">
        <v>10556</v>
      </c>
    </row>
    <row r="3173" spans="1:2" x14ac:dyDescent="0.25">
      <c r="A3173" s="30" t="s">
        <v>5581</v>
      </c>
      <c r="B3173" s="31" t="s">
        <v>5582</v>
      </c>
    </row>
    <row r="3174" spans="1:2" x14ac:dyDescent="0.25">
      <c r="A3174" s="32" t="s">
        <v>10557</v>
      </c>
      <c r="B3174" s="33" t="s">
        <v>10557</v>
      </c>
    </row>
    <row r="3175" spans="1:2" x14ac:dyDescent="0.25">
      <c r="A3175" s="30" t="s">
        <v>10558</v>
      </c>
      <c r="B3175" s="31" t="s">
        <v>10558</v>
      </c>
    </row>
    <row r="3176" spans="1:2" x14ac:dyDescent="0.25">
      <c r="A3176" s="32" t="s">
        <v>5583</v>
      </c>
      <c r="B3176" s="33" t="s">
        <v>5584</v>
      </c>
    </row>
    <row r="3177" spans="1:2" x14ac:dyDescent="0.25">
      <c r="A3177" s="30" t="s">
        <v>10559</v>
      </c>
      <c r="B3177" s="31" t="s">
        <v>10559</v>
      </c>
    </row>
    <row r="3178" spans="1:2" x14ac:dyDescent="0.25">
      <c r="A3178" s="32" t="s">
        <v>10560</v>
      </c>
      <c r="B3178" s="33" t="s">
        <v>10560</v>
      </c>
    </row>
    <row r="3179" spans="1:2" x14ac:dyDescent="0.25">
      <c r="A3179" s="30" t="s">
        <v>5585</v>
      </c>
      <c r="B3179" s="31" t="s">
        <v>5586</v>
      </c>
    </row>
    <row r="3180" spans="1:2" x14ac:dyDescent="0.25">
      <c r="A3180" s="32" t="s">
        <v>5587</v>
      </c>
      <c r="B3180" s="33" t="s">
        <v>5588</v>
      </c>
    </row>
    <row r="3181" spans="1:2" x14ac:dyDescent="0.25">
      <c r="A3181" s="30" t="s">
        <v>5589</v>
      </c>
      <c r="B3181" s="31" t="s">
        <v>5590</v>
      </c>
    </row>
    <row r="3182" spans="1:2" x14ac:dyDescent="0.25">
      <c r="A3182" s="32" t="s">
        <v>5591</v>
      </c>
      <c r="B3182" s="33" t="s">
        <v>5592</v>
      </c>
    </row>
    <row r="3183" spans="1:2" x14ac:dyDescent="0.25">
      <c r="A3183" s="30" t="s">
        <v>10561</v>
      </c>
      <c r="B3183" s="31" t="s">
        <v>10561</v>
      </c>
    </row>
    <row r="3184" spans="1:2" x14ac:dyDescent="0.25">
      <c r="A3184" s="32" t="s">
        <v>10562</v>
      </c>
      <c r="B3184" s="33" t="s">
        <v>10562</v>
      </c>
    </row>
    <row r="3185" spans="1:2" x14ac:dyDescent="0.25">
      <c r="A3185" s="30" t="s">
        <v>5593</v>
      </c>
      <c r="B3185" s="31" t="s">
        <v>5594</v>
      </c>
    </row>
    <row r="3186" spans="1:2" x14ac:dyDescent="0.25">
      <c r="A3186" s="32" t="s">
        <v>10563</v>
      </c>
      <c r="B3186" s="33" t="s">
        <v>10563</v>
      </c>
    </row>
    <row r="3187" spans="1:2" x14ac:dyDescent="0.25">
      <c r="A3187" s="30" t="s">
        <v>5595</v>
      </c>
      <c r="B3187" s="31" t="s">
        <v>5596</v>
      </c>
    </row>
    <row r="3188" spans="1:2" x14ac:dyDescent="0.25">
      <c r="A3188" s="32" t="s">
        <v>5597</v>
      </c>
      <c r="B3188" s="33" t="s">
        <v>5598</v>
      </c>
    </row>
    <row r="3189" spans="1:2" x14ac:dyDescent="0.25">
      <c r="A3189" s="30" t="s">
        <v>5599</v>
      </c>
      <c r="B3189" s="31" t="s">
        <v>5600</v>
      </c>
    </row>
    <row r="3190" spans="1:2" x14ac:dyDescent="0.25">
      <c r="A3190" s="32" t="s">
        <v>10564</v>
      </c>
      <c r="B3190" s="33" t="s">
        <v>10564</v>
      </c>
    </row>
    <row r="3191" spans="1:2" x14ac:dyDescent="0.25">
      <c r="A3191" s="30" t="s">
        <v>5601</v>
      </c>
      <c r="B3191" s="31" t="s">
        <v>5602</v>
      </c>
    </row>
    <row r="3192" spans="1:2" x14ac:dyDescent="0.25">
      <c r="A3192" s="32" t="s">
        <v>10565</v>
      </c>
      <c r="B3192" s="33" t="s">
        <v>10565</v>
      </c>
    </row>
    <row r="3193" spans="1:2" x14ac:dyDescent="0.25">
      <c r="A3193" s="30" t="s">
        <v>10566</v>
      </c>
      <c r="B3193" s="31" t="s">
        <v>10566</v>
      </c>
    </row>
    <row r="3194" spans="1:2" x14ac:dyDescent="0.25">
      <c r="A3194" s="32" t="s">
        <v>5603</v>
      </c>
      <c r="B3194" s="33" t="s">
        <v>5604</v>
      </c>
    </row>
    <row r="3195" spans="1:2" x14ac:dyDescent="0.25">
      <c r="A3195" s="30" t="s">
        <v>5605</v>
      </c>
      <c r="B3195" s="31" t="s">
        <v>5606</v>
      </c>
    </row>
    <row r="3196" spans="1:2" x14ac:dyDescent="0.25">
      <c r="A3196" s="32" t="s">
        <v>10567</v>
      </c>
      <c r="B3196" s="33" t="s">
        <v>10567</v>
      </c>
    </row>
    <row r="3197" spans="1:2" x14ac:dyDescent="0.25">
      <c r="A3197" s="30" t="s">
        <v>619</v>
      </c>
      <c r="B3197" s="31" t="s">
        <v>5607</v>
      </c>
    </row>
    <row r="3198" spans="1:2" x14ac:dyDescent="0.25">
      <c r="A3198" s="32" t="s">
        <v>5608</v>
      </c>
      <c r="B3198" s="33" t="s">
        <v>5609</v>
      </c>
    </row>
    <row r="3199" spans="1:2" x14ac:dyDescent="0.25">
      <c r="A3199" s="30" t="s">
        <v>5610</v>
      </c>
      <c r="B3199" s="31" t="s">
        <v>5611</v>
      </c>
    </row>
    <row r="3200" spans="1:2" x14ac:dyDescent="0.25">
      <c r="A3200" s="32" t="s">
        <v>5612</v>
      </c>
      <c r="B3200" s="33" t="s">
        <v>5613</v>
      </c>
    </row>
    <row r="3201" spans="1:2" x14ac:dyDescent="0.25">
      <c r="A3201" s="30" t="s">
        <v>5614</v>
      </c>
      <c r="B3201" s="31" t="s">
        <v>5615</v>
      </c>
    </row>
    <row r="3202" spans="1:2" x14ac:dyDescent="0.25">
      <c r="A3202" s="32" t="s">
        <v>620</v>
      </c>
      <c r="B3202" s="33" t="s">
        <v>5616</v>
      </c>
    </row>
    <row r="3203" spans="1:2" x14ac:dyDescent="0.25">
      <c r="A3203" s="30" t="s">
        <v>5617</v>
      </c>
      <c r="B3203" s="31" t="s">
        <v>5618</v>
      </c>
    </row>
    <row r="3204" spans="1:2" x14ac:dyDescent="0.25">
      <c r="A3204" s="32" t="s">
        <v>5619</v>
      </c>
      <c r="B3204" s="33" t="s">
        <v>5620</v>
      </c>
    </row>
    <row r="3205" spans="1:2" x14ac:dyDescent="0.25">
      <c r="A3205" s="30" t="s">
        <v>5621</v>
      </c>
      <c r="B3205" s="31" t="s">
        <v>5622</v>
      </c>
    </row>
    <row r="3206" spans="1:2" x14ac:dyDescent="0.25">
      <c r="A3206" s="32" t="s">
        <v>5623</v>
      </c>
      <c r="B3206" s="33" t="s">
        <v>5624</v>
      </c>
    </row>
    <row r="3207" spans="1:2" x14ac:dyDescent="0.25">
      <c r="A3207" s="30" t="s">
        <v>10568</v>
      </c>
      <c r="B3207" s="31" t="s">
        <v>10568</v>
      </c>
    </row>
    <row r="3208" spans="1:2" x14ac:dyDescent="0.25">
      <c r="A3208" s="32" t="s">
        <v>61</v>
      </c>
      <c r="B3208" s="33" t="s">
        <v>5625</v>
      </c>
    </row>
    <row r="3209" spans="1:2" x14ac:dyDescent="0.25">
      <c r="A3209" s="30" t="s">
        <v>10569</v>
      </c>
      <c r="B3209" s="31" t="s">
        <v>10569</v>
      </c>
    </row>
    <row r="3210" spans="1:2" x14ac:dyDescent="0.25">
      <c r="A3210" s="32" t="s">
        <v>10570</v>
      </c>
      <c r="B3210" s="33" t="s">
        <v>10570</v>
      </c>
    </row>
    <row r="3211" spans="1:2" x14ac:dyDescent="0.25">
      <c r="A3211" s="30" t="s">
        <v>10571</v>
      </c>
      <c r="B3211" s="31" t="s">
        <v>10571</v>
      </c>
    </row>
    <row r="3212" spans="1:2" x14ac:dyDescent="0.25">
      <c r="A3212" s="32" t="s">
        <v>10572</v>
      </c>
      <c r="B3212" s="33" t="s">
        <v>10572</v>
      </c>
    </row>
    <row r="3213" spans="1:2" x14ac:dyDescent="0.25">
      <c r="A3213" s="30" t="s">
        <v>10573</v>
      </c>
      <c r="B3213" s="31" t="s">
        <v>10573</v>
      </c>
    </row>
    <row r="3214" spans="1:2" x14ac:dyDescent="0.25">
      <c r="A3214" s="32" t="s">
        <v>5626</v>
      </c>
      <c r="B3214" s="33" t="s">
        <v>5627</v>
      </c>
    </row>
    <row r="3215" spans="1:2" x14ac:dyDescent="0.25">
      <c r="A3215" s="30" t="s">
        <v>10574</v>
      </c>
      <c r="B3215" s="31" t="s">
        <v>10574</v>
      </c>
    </row>
    <row r="3216" spans="1:2" x14ac:dyDescent="0.25">
      <c r="A3216" s="32" t="s">
        <v>5628</v>
      </c>
      <c r="B3216" s="33" t="s">
        <v>5629</v>
      </c>
    </row>
    <row r="3217" spans="1:2" x14ac:dyDescent="0.25">
      <c r="A3217" s="30" t="s">
        <v>5630</v>
      </c>
      <c r="B3217" s="31" t="s">
        <v>5631</v>
      </c>
    </row>
    <row r="3218" spans="1:2" x14ac:dyDescent="0.25">
      <c r="A3218" s="32" t="s">
        <v>5632</v>
      </c>
      <c r="B3218" s="33" t="s">
        <v>5633</v>
      </c>
    </row>
    <row r="3219" spans="1:2" x14ac:dyDescent="0.25">
      <c r="A3219" s="30" t="s">
        <v>5634</v>
      </c>
      <c r="B3219" s="31" t="s">
        <v>5635</v>
      </c>
    </row>
    <row r="3220" spans="1:2" x14ac:dyDescent="0.25">
      <c r="A3220" s="32" t="s">
        <v>10575</v>
      </c>
      <c r="B3220" s="33" t="s">
        <v>10575</v>
      </c>
    </row>
    <row r="3221" spans="1:2" x14ac:dyDescent="0.25">
      <c r="A3221" s="30" t="s">
        <v>10576</v>
      </c>
      <c r="B3221" s="31" t="s">
        <v>10576</v>
      </c>
    </row>
    <row r="3222" spans="1:2" x14ac:dyDescent="0.25">
      <c r="A3222" s="32" t="s">
        <v>621</v>
      </c>
      <c r="B3222" s="33" t="s">
        <v>5636</v>
      </c>
    </row>
    <row r="3223" spans="1:2" x14ac:dyDescent="0.25">
      <c r="A3223" s="30" t="s">
        <v>10577</v>
      </c>
      <c r="B3223" s="31" t="s">
        <v>10577</v>
      </c>
    </row>
    <row r="3224" spans="1:2" x14ac:dyDescent="0.25">
      <c r="A3224" s="32" t="s">
        <v>5637</v>
      </c>
      <c r="B3224" s="33" t="s">
        <v>5638</v>
      </c>
    </row>
    <row r="3225" spans="1:2" x14ac:dyDescent="0.25">
      <c r="A3225" s="30" t="s">
        <v>5639</v>
      </c>
      <c r="B3225" s="31" t="s">
        <v>5640</v>
      </c>
    </row>
    <row r="3226" spans="1:2" x14ac:dyDescent="0.25">
      <c r="A3226" s="32" t="s">
        <v>10578</v>
      </c>
      <c r="B3226" s="33" t="s">
        <v>10578</v>
      </c>
    </row>
    <row r="3227" spans="1:2" x14ac:dyDescent="0.25">
      <c r="A3227" s="30" t="s">
        <v>10579</v>
      </c>
      <c r="B3227" s="31" t="s">
        <v>10579</v>
      </c>
    </row>
    <row r="3228" spans="1:2" x14ac:dyDescent="0.25">
      <c r="A3228" s="32" t="s">
        <v>10580</v>
      </c>
      <c r="B3228" s="33" t="s">
        <v>10580</v>
      </c>
    </row>
    <row r="3229" spans="1:2" x14ac:dyDescent="0.25">
      <c r="A3229" s="30" t="s">
        <v>10581</v>
      </c>
      <c r="B3229" s="31" t="s">
        <v>10581</v>
      </c>
    </row>
    <row r="3230" spans="1:2" x14ac:dyDescent="0.25">
      <c r="A3230" s="32" t="s">
        <v>10582</v>
      </c>
      <c r="B3230" s="33" t="s">
        <v>10582</v>
      </c>
    </row>
    <row r="3231" spans="1:2" x14ac:dyDescent="0.25">
      <c r="A3231" s="30" t="s">
        <v>10583</v>
      </c>
      <c r="B3231" s="31" t="s">
        <v>10583</v>
      </c>
    </row>
    <row r="3232" spans="1:2" x14ac:dyDescent="0.25">
      <c r="A3232" s="32" t="s">
        <v>10584</v>
      </c>
      <c r="B3232" s="33" t="s">
        <v>10584</v>
      </c>
    </row>
    <row r="3233" spans="1:2" x14ac:dyDescent="0.25">
      <c r="A3233" s="30" t="s">
        <v>10585</v>
      </c>
      <c r="B3233" s="31" t="s">
        <v>10585</v>
      </c>
    </row>
    <row r="3234" spans="1:2" x14ac:dyDescent="0.25">
      <c r="A3234" s="32" t="s">
        <v>10586</v>
      </c>
      <c r="B3234" s="33" t="s">
        <v>10586</v>
      </c>
    </row>
    <row r="3235" spans="1:2" x14ac:dyDescent="0.25">
      <c r="A3235" s="30" t="s">
        <v>10587</v>
      </c>
      <c r="B3235" s="31" t="s">
        <v>10587</v>
      </c>
    </row>
    <row r="3236" spans="1:2" x14ac:dyDescent="0.25">
      <c r="A3236" s="32" t="s">
        <v>10588</v>
      </c>
      <c r="B3236" s="33" t="s">
        <v>10588</v>
      </c>
    </row>
    <row r="3237" spans="1:2" x14ac:dyDescent="0.25">
      <c r="A3237" s="30" t="s">
        <v>10589</v>
      </c>
      <c r="B3237" s="31" t="s">
        <v>10589</v>
      </c>
    </row>
    <row r="3238" spans="1:2" x14ac:dyDescent="0.25">
      <c r="A3238" s="32" t="s">
        <v>10590</v>
      </c>
      <c r="B3238" s="33" t="s">
        <v>10590</v>
      </c>
    </row>
    <row r="3239" spans="1:2" x14ac:dyDescent="0.25">
      <c r="A3239" s="30" t="s">
        <v>10591</v>
      </c>
      <c r="B3239" s="31" t="s">
        <v>10591</v>
      </c>
    </row>
    <row r="3240" spans="1:2" x14ac:dyDescent="0.25">
      <c r="A3240" s="32" t="s">
        <v>5641</v>
      </c>
      <c r="B3240" s="33" t="s">
        <v>5642</v>
      </c>
    </row>
    <row r="3241" spans="1:2" x14ac:dyDescent="0.25">
      <c r="A3241" s="30" t="s">
        <v>10592</v>
      </c>
      <c r="B3241" s="31" t="s">
        <v>10592</v>
      </c>
    </row>
    <row r="3242" spans="1:2" x14ac:dyDescent="0.25">
      <c r="A3242" s="32" t="s">
        <v>5643</v>
      </c>
      <c r="B3242" s="33" t="s">
        <v>5644</v>
      </c>
    </row>
    <row r="3243" spans="1:2" x14ac:dyDescent="0.25">
      <c r="A3243" s="30" t="s">
        <v>10593</v>
      </c>
      <c r="B3243" s="31" t="s">
        <v>10593</v>
      </c>
    </row>
    <row r="3244" spans="1:2" x14ac:dyDescent="0.25">
      <c r="A3244" s="32" t="s">
        <v>10594</v>
      </c>
      <c r="B3244" s="33" t="s">
        <v>10594</v>
      </c>
    </row>
    <row r="3245" spans="1:2" x14ac:dyDescent="0.25">
      <c r="A3245" s="30" t="s">
        <v>10595</v>
      </c>
      <c r="B3245" s="31" t="s">
        <v>10595</v>
      </c>
    </row>
    <row r="3246" spans="1:2" x14ac:dyDescent="0.25">
      <c r="A3246" s="32" t="s">
        <v>10596</v>
      </c>
      <c r="B3246" s="33" t="s">
        <v>10596</v>
      </c>
    </row>
    <row r="3247" spans="1:2" x14ac:dyDescent="0.25">
      <c r="A3247" s="30" t="s">
        <v>10597</v>
      </c>
      <c r="B3247" s="31" t="s">
        <v>10597</v>
      </c>
    </row>
    <row r="3248" spans="1:2" x14ac:dyDescent="0.25">
      <c r="A3248" s="32" t="s">
        <v>10598</v>
      </c>
      <c r="B3248" s="33" t="s">
        <v>10598</v>
      </c>
    </row>
    <row r="3249" spans="1:2" x14ac:dyDescent="0.25">
      <c r="A3249" s="30" t="s">
        <v>10599</v>
      </c>
      <c r="B3249" s="31" t="s">
        <v>10599</v>
      </c>
    </row>
    <row r="3250" spans="1:2" x14ac:dyDescent="0.25">
      <c r="A3250" s="32" t="s">
        <v>10600</v>
      </c>
      <c r="B3250" s="33" t="s">
        <v>10600</v>
      </c>
    </row>
    <row r="3251" spans="1:2" x14ac:dyDescent="0.25">
      <c r="A3251" s="30" t="s">
        <v>10601</v>
      </c>
      <c r="B3251" s="31" t="s">
        <v>10601</v>
      </c>
    </row>
    <row r="3252" spans="1:2" x14ac:dyDescent="0.25">
      <c r="A3252" s="32" t="s">
        <v>10602</v>
      </c>
      <c r="B3252" s="33" t="s">
        <v>10602</v>
      </c>
    </row>
    <row r="3253" spans="1:2" x14ac:dyDescent="0.25">
      <c r="A3253" s="30" t="s">
        <v>10603</v>
      </c>
      <c r="B3253" s="31" t="s">
        <v>10603</v>
      </c>
    </row>
    <row r="3254" spans="1:2" x14ac:dyDescent="0.25">
      <c r="A3254" s="32" t="s">
        <v>10604</v>
      </c>
      <c r="B3254" s="33" t="s">
        <v>10604</v>
      </c>
    </row>
    <row r="3255" spans="1:2" x14ac:dyDescent="0.25">
      <c r="A3255" s="30" t="s">
        <v>10605</v>
      </c>
      <c r="B3255" s="31" t="s">
        <v>10605</v>
      </c>
    </row>
    <row r="3256" spans="1:2" x14ac:dyDescent="0.25">
      <c r="A3256" s="32" t="s">
        <v>10606</v>
      </c>
      <c r="B3256" s="33" t="s">
        <v>10606</v>
      </c>
    </row>
    <row r="3257" spans="1:2" x14ac:dyDescent="0.25">
      <c r="A3257" s="30" t="s">
        <v>10607</v>
      </c>
      <c r="B3257" s="31" t="s">
        <v>10607</v>
      </c>
    </row>
    <row r="3258" spans="1:2" x14ac:dyDescent="0.25">
      <c r="A3258" s="32" t="s">
        <v>10608</v>
      </c>
      <c r="B3258" s="33" t="s">
        <v>10608</v>
      </c>
    </row>
    <row r="3259" spans="1:2" x14ac:dyDescent="0.25">
      <c r="A3259" s="30" t="s">
        <v>10609</v>
      </c>
      <c r="B3259" s="31" t="s">
        <v>10609</v>
      </c>
    </row>
    <row r="3260" spans="1:2" x14ac:dyDescent="0.25">
      <c r="A3260" s="32" t="s">
        <v>622</v>
      </c>
      <c r="B3260" s="33" t="s">
        <v>5645</v>
      </c>
    </row>
    <row r="3261" spans="1:2" x14ac:dyDescent="0.25">
      <c r="A3261" s="30" t="s">
        <v>5646</v>
      </c>
      <c r="B3261" s="31" t="s">
        <v>5647</v>
      </c>
    </row>
    <row r="3262" spans="1:2" x14ac:dyDescent="0.25">
      <c r="A3262" s="32" t="s">
        <v>5648</v>
      </c>
      <c r="B3262" s="33" t="s">
        <v>5649</v>
      </c>
    </row>
    <row r="3263" spans="1:2" x14ac:dyDescent="0.25">
      <c r="A3263" s="30" t="s">
        <v>5650</v>
      </c>
      <c r="B3263" s="31" t="s">
        <v>5651</v>
      </c>
    </row>
    <row r="3264" spans="1:2" x14ac:dyDescent="0.25">
      <c r="A3264" s="32" t="s">
        <v>5652</v>
      </c>
      <c r="B3264" s="33" t="s">
        <v>5653</v>
      </c>
    </row>
    <row r="3265" spans="1:2" x14ac:dyDescent="0.25">
      <c r="A3265" s="30" t="s">
        <v>5654</v>
      </c>
      <c r="B3265" s="31" t="s">
        <v>5655</v>
      </c>
    </row>
    <row r="3266" spans="1:2" x14ac:dyDescent="0.25">
      <c r="A3266" s="32" t="s">
        <v>5656</v>
      </c>
      <c r="B3266" s="33" t="s">
        <v>5657</v>
      </c>
    </row>
    <row r="3267" spans="1:2" x14ac:dyDescent="0.25">
      <c r="A3267" s="30" t="s">
        <v>623</v>
      </c>
      <c r="B3267" s="31" t="s">
        <v>5658</v>
      </c>
    </row>
    <row r="3268" spans="1:2" x14ac:dyDescent="0.25">
      <c r="A3268" s="32" t="s">
        <v>5659</v>
      </c>
      <c r="B3268" s="33" t="s">
        <v>5660</v>
      </c>
    </row>
    <row r="3269" spans="1:2" x14ac:dyDescent="0.25">
      <c r="A3269" s="30" t="s">
        <v>5661</v>
      </c>
      <c r="B3269" s="31" t="s">
        <v>5662</v>
      </c>
    </row>
    <row r="3270" spans="1:2" x14ac:dyDescent="0.25">
      <c r="A3270" s="32" t="s">
        <v>5663</v>
      </c>
      <c r="B3270" s="33" t="s">
        <v>5664</v>
      </c>
    </row>
    <row r="3271" spans="1:2" x14ac:dyDescent="0.25">
      <c r="A3271" s="30" t="s">
        <v>624</v>
      </c>
      <c r="B3271" s="31" t="s">
        <v>5665</v>
      </c>
    </row>
    <row r="3272" spans="1:2" x14ac:dyDescent="0.25">
      <c r="A3272" s="32" t="s">
        <v>10610</v>
      </c>
      <c r="B3272" s="33" t="s">
        <v>10610</v>
      </c>
    </row>
    <row r="3273" spans="1:2" x14ac:dyDescent="0.25">
      <c r="A3273" s="30" t="s">
        <v>10611</v>
      </c>
      <c r="B3273" s="31" t="s">
        <v>10611</v>
      </c>
    </row>
    <row r="3274" spans="1:2" x14ac:dyDescent="0.25">
      <c r="A3274" s="32" t="s">
        <v>10612</v>
      </c>
      <c r="B3274" s="33" t="s">
        <v>10612</v>
      </c>
    </row>
    <row r="3275" spans="1:2" x14ac:dyDescent="0.25">
      <c r="A3275" s="30" t="s">
        <v>10613</v>
      </c>
      <c r="B3275" s="31" t="s">
        <v>10613</v>
      </c>
    </row>
    <row r="3276" spans="1:2" x14ac:dyDescent="0.25">
      <c r="A3276" s="32" t="s">
        <v>10614</v>
      </c>
      <c r="B3276" s="33" t="s">
        <v>10614</v>
      </c>
    </row>
    <row r="3277" spans="1:2" x14ac:dyDescent="0.25">
      <c r="A3277" s="30" t="s">
        <v>10615</v>
      </c>
      <c r="B3277" s="31" t="s">
        <v>10615</v>
      </c>
    </row>
    <row r="3278" spans="1:2" x14ac:dyDescent="0.25">
      <c r="A3278" s="32" t="s">
        <v>10616</v>
      </c>
      <c r="B3278" s="33" t="s">
        <v>10616</v>
      </c>
    </row>
    <row r="3279" spans="1:2" x14ac:dyDescent="0.25">
      <c r="A3279" s="30" t="s">
        <v>10617</v>
      </c>
      <c r="B3279" s="31" t="s">
        <v>10617</v>
      </c>
    </row>
    <row r="3280" spans="1:2" x14ac:dyDescent="0.25">
      <c r="A3280" s="32" t="s">
        <v>10618</v>
      </c>
      <c r="B3280" s="33" t="s">
        <v>10618</v>
      </c>
    </row>
    <row r="3281" spans="1:2" x14ac:dyDescent="0.25">
      <c r="A3281" s="30" t="s">
        <v>10619</v>
      </c>
      <c r="B3281" s="31" t="s">
        <v>10619</v>
      </c>
    </row>
    <row r="3282" spans="1:2" x14ac:dyDescent="0.25">
      <c r="A3282" s="32" t="s">
        <v>10620</v>
      </c>
      <c r="B3282" s="33" t="s">
        <v>10620</v>
      </c>
    </row>
    <row r="3283" spans="1:2" x14ac:dyDescent="0.25">
      <c r="A3283" s="30" t="s">
        <v>5666</v>
      </c>
      <c r="B3283" s="31" t="s">
        <v>5667</v>
      </c>
    </row>
    <row r="3284" spans="1:2" x14ac:dyDescent="0.25">
      <c r="A3284" s="32" t="s">
        <v>5668</v>
      </c>
      <c r="B3284" s="33" t="s">
        <v>5669</v>
      </c>
    </row>
    <row r="3285" spans="1:2" x14ac:dyDescent="0.25">
      <c r="A3285" s="30" t="s">
        <v>10621</v>
      </c>
      <c r="B3285" s="31" t="s">
        <v>10621</v>
      </c>
    </row>
    <row r="3286" spans="1:2" x14ac:dyDescent="0.25">
      <c r="A3286" s="32" t="s">
        <v>5670</v>
      </c>
      <c r="B3286" s="33" t="s">
        <v>5671</v>
      </c>
    </row>
    <row r="3287" spans="1:2" x14ac:dyDescent="0.25">
      <c r="A3287" s="30" t="s">
        <v>5672</v>
      </c>
      <c r="B3287" s="31" t="s">
        <v>5673</v>
      </c>
    </row>
    <row r="3288" spans="1:2" x14ac:dyDescent="0.25">
      <c r="A3288" s="32" t="s">
        <v>625</v>
      </c>
      <c r="B3288" s="33" t="s">
        <v>5674</v>
      </c>
    </row>
    <row r="3289" spans="1:2" x14ac:dyDescent="0.25">
      <c r="A3289" s="30" t="s">
        <v>5675</v>
      </c>
      <c r="B3289" s="31" t="s">
        <v>5676</v>
      </c>
    </row>
    <row r="3290" spans="1:2" x14ac:dyDescent="0.25">
      <c r="A3290" s="32" t="s">
        <v>5677</v>
      </c>
      <c r="B3290" s="33" t="s">
        <v>5678</v>
      </c>
    </row>
    <row r="3291" spans="1:2" x14ac:dyDescent="0.25">
      <c r="A3291" s="30" t="s">
        <v>5679</v>
      </c>
      <c r="B3291" s="31" t="s">
        <v>5680</v>
      </c>
    </row>
    <row r="3292" spans="1:2" x14ac:dyDescent="0.25">
      <c r="A3292" s="32" t="s">
        <v>5681</v>
      </c>
      <c r="B3292" s="33" t="s">
        <v>5682</v>
      </c>
    </row>
    <row r="3293" spans="1:2" x14ac:dyDescent="0.25">
      <c r="A3293" s="30" t="s">
        <v>10622</v>
      </c>
      <c r="B3293" s="31" t="s">
        <v>10622</v>
      </c>
    </row>
    <row r="3294" spans="1:2" x14ac:dyDescent="0.25">
      <c r="A3294" s="32" t="s">
        <v>5683</v>
      </c>
      <c r="B3294" s="33" t="s">
        <v>5684</v>
      </c>
    </row>
    <row r="3295" spans="1:2" x14ac:dyDescent="0.25">
      <c r="A3295" s="30" t="s">
        <v>10623</v>
      </c>
      <c r="B3295" s="31" t="s">
        <v>10623</v>
      </c>
    </row>
    <row r="3296" spans="1:2" x14ac:dyDescent="0.25">
      <c r="A3296" s="32" t="s">
        <v>263</v>
      </c>
      <c r="B3296" s="33" t="s">
        <v>5685</v>
      </c>
    </row>
    <row r="3297" spans="1:2" x14ac:dyDescent="0.25">
      <c r="A3297" s="30" t="s">
        <v>5686</v>
      </c>
      <c r="B3297" s="31" t="s">
        <v>5687</v>
      </c>
    </row>
    <row r="3298" spans="1:2" x14ac:dyDescent="0.25">
      <c r="A3298" s="32" t="s">
        <v>5688</v>
      </c>
      <c r="B3298" s="33" t="s">
        <v>5689</v>
      </c>
    </row>
    <row r="3299" spans="1:2" x14ac:dyDescent="0.25">
      <c r="A3299" s="30" t="s">
        <v>5690</v>
      </c>
      <c r="B3299" s="31" t="s">
        <v>5691</v>
      </c>
    </row>
    <row r="3300" spans="1:2" x14ac:dyDescent="0.25">
      <c r="A3300" s="32" t="s">
        <v>10624</v>
      </c>
      <c r="B3300" s="33" t="s">
        <v>10624</v>
      </c>
    </row>
    <row r="3301" spans="1:2" x14ac:dyDescent="0.25">
      <c r="A3301" s="30" t="s">
        <v>5692</v>
      </c>
      <c r="B3301" s="31" t="s">
        <v>5693</v>
      </c>
    </row>
    <row r="3302" spans="1:2" x14ac:dyDescent="0.25">
      <c r="A3302" s="32" t="s">
        <v>10625</v>
      </c>
      <c r="B3302" s="33" t="s">
        <v>10625</v>
      </c>
    </row>
    <row r="3303" spans="1:2" x14ac:dyDescent="0.25">
      <c r="A3303" s="30" t="s">
        <v>5694</v>
      </c>
      <c r="B3303" s="31" t="s">
        <v>5695</v>
      </c>
    </row>
    <row r="3304" spans="1:2" x14ac:dyDescent="0.25">
      <c r="A3304" s="32" t="s">
        <v>5696</v>
      </c>
      <c r="B3304" s="33" t="s">
        <v>5697</v>
      </c>
    </row>
    <row r="3305" spans="1:2" x14ac:dyDescent="0.25">
      <c r="A3305" s="30" t="s">
        <v>5698</v>
      </c>
      <c r="B3305" s="31" t="s">
        <v>5699</v>
      </c>
    </row>
    <row r="3306" spans="1:2" x14ac:dyDescent="0.25">
      <c r="A3306" s="32" t="s">
        <v>5700</v>
      </c>
      <c r="B3306" s="33" t="s">
        <v>5701</v>
      </c>
    </row>
    <row r="3307" spans="1:2" x14ac:dyDescent="0.25">
      <c r="A3307" s="30" t="s">
        <v>626</v>
      </c>
      <c r="B3307" s="31" t="s">
        <v>5702</v>
      </c>
    </row>
    <row r="3308" spans="1:2" x14ac:dyDescent="0.25">
      <c r="A3308" s="32" t="s">
        <v>5703</v>
      </c>
      <c r="B3308" s="33" t="s">
        <v>5704</v>
      </c>
    </row>
    <row r="3309" spans="1:2" x14ac:dyDescent="0.25">
      <c r="A3309" s="30" t="s">
        <v>10626</v>
      </c>
      <c r="B3309" s="31" t="s">
        <v>10626</v>
      </c>
    </row>
    <row r="3310" spans="1:2" x14ac:dyDescent="0.25">
      <c r="A3310" s="32" t="s">
        <v>5705</v>
      </c>
      <c r="B3310" s="33" t="s">
        <v>5706</v>
      </c>
    </row>
    <row r="3311" spans="1:2" x14ac:dyDescent="0.25">
      <c r="A3311" s="30" t="s">
        <v>5707</v>
      </c>
      <c r="B3311" s="31" t="s">
        <v>5708</v>
      </c>
    </row>
    <row r="3312" spans="1:2" x14ac:dyDescent="0.25">
      <c r="A3312" s="32" t="s">
        <v>5709</v>
      </c>
      <c r="B3312" s="33" t="s">
        <v>5710</v>
      </c>
    </row>
    <row r="3313" spans="1:2" x14ac:dyDescent="0.25">
      <c r="A3313" s="30" t="s">
        <v>5711</v>
      </c>
      <c r="B3313" s="31" t="s">
        <v>5712</v>
      </c>
    </row>
    <row r="3314" spans="1:2" x14ac:dyDescent="0.25">
      <c r="A3314" s="32" t="s">
        <v>5713</v>
      </c>
      <c r="B3314" s="33" t="s">
        <v>5714</v>
      </c>
    </row>
    <row r="3315" spans="1:2" x14ac:dyDescent="0.25">
      <c r="A3315" s="30" t="s">
        <v>5715</v>
      </c>
      <c r="B3315" s="31" t="s">
        <v>5716</v>
      </c>
    </row>
    <row r="3316" spans="1:2" x14ac:dyDescent="0.25">
      <c r="A3316" s="32" t="s">
        <v>5717</v>
      </c>
      <c r="B3316" s="33" t="s">
        <v>5718</v>
      </c>
    </row>
    <row r="3317" spans="1:2" x14ac:dyDescent="0.25">
      <c r="A3317" s="30" t="s">
        <v>5719</v>
      </c>
      <c r="B3317" s="31" t="s">
        <v>5720</v>
      </c>
    </row>
    <row r="3318" spans="1:2" x14ac:dyDescent="0.25">
      <c r="A3318" s="32" t="s">
        <v>5721</v>
      </c>
      <c r="B3318" s="33" t="s">
        <v>5722</v>
      </c>
    </row>
    <row r="3319" spans="1:2" x14ac:dyDescent="0.25">
      <c r="A3319" s="30" t="s">
        <v>5723</v>
      </c>
      <c r="B3319" s="31" t="s">
        <v>5724</v>
      </c>
    </row>
    <row r="3320" spans="1:2" x14ac:dyDescent="0.25">
      <c r="A3320" s="32" t="s">
        <v>5725</v>
      </c>
      <c r="B3320" s="33" t="s">
        <v>5726</v>
      </c>
    </row>
    <row r="3321" spans="1:2" x14ac:dyDescent="0.25">
      <c r="A3321" s="30" t="s">
        <v>627</v>
      </c>
      <c r="B3321" s="31" t="s">
        <v>5727</v>
      </c>
    </row>
    <row r="3322" spans="1:2" x14ac:dyDescent="0.25">
      <c r="A3322" s="32" t="s">
        <v>5728</v>
      </c>
      <c r="B3322" s="33" t="s">
        <v>5729</v>
      </c>
    </row>
    <row r="3323" spans="1:2" x14ac:dyDescent="0.25">
      <c r="A3323" s="30" t="s">
        <v>628</v>
      </c>
      <c r="B3323" s="31" t="s">
        <v>5730</v>
      </c>
    </row>
    <row r="3324" spans="1:2" x14ac:dyDescent="0.25">
      <c r="A3324" s="32" t="s">
        <v>5731</v>
      </c>
      <c r="B3324" s="33" t="s">
        <v>5732</v>
      </c>
    </row>
    <row r="3325" spans="1:2" x14ac:dyDescent="0.25">
      <c r="A3325" s="30" t="s">
        <v>629</v>
      </c>
      <c r="B3325" s="31" t="s">
        <v>5733</v>
      </c>
    </row>
    <row r="3326" spans="1:2" x14ac:dyDescent="0.25">
      <c r="A3326" s="32" t="s">
        <v>5734</v>
      </c>
      <c r="B3326" s="33" t="s">
        <v>5735</v>
      </c>
    </row>
    <row r="3327" spans="1:2" x14ac:dyDescent="0.25">
      <c r="A3327" s="30" t="s">
        <v>5736</v>
      </c>
      <c r="B3327" s="31" t="s">
        <v>5737</v>
      </c>
    </row>
    <row r="3328" spans="1:2" x14ac:dyDescent="0.25">
      <c r="A3328" s="32" t="s">
        <v>5738</v>
      </c>
      <c r="B3328" s="33" t="s">
        <v>5739</v>
      </c>
    </row>
    <row r="3329" spans="1:2" x14ac:dyDescent="0.25">
      <c r="A3329" s="30" t="s">
        <v>10627</v>
      </c>
      <c r="B3329" s="31" t="s">
        <v>10627</v>
      </c>
    </row>
    <row r="3330" spans="1:2" x14ac:dyDescent="0.25">
      <c r="A3330" s="32" t="s">
        <v>5740</v>
      </c>
      <c r="B3330" s="33" t="s">
        <v>5741</v>
      </c>
    </row>
    <row r="3331" spans="1:2" x14ac:dyDescent="0.25">
      <c r="A3331" s="30" t="s">
        <v>10628</v>
      </c>
      <c r="B3331" s="31" t="s">
        <v>10628</v>
      </c>
    </row>
    <row r="3332" spans="1:2" x14ac:dyDescent="0.25">
      <c r="A3332" s="32" t="s">
        <v>10629</v>
      </c>
      <c r="B3332" s="33" t="s">
        <v>10629</v>
      </c>
    </row>
    <row r="3333" spans="1:2" x14ac:dyDescent="0.25">
      <c r="A3333" s="30" t="s">
        <v>5742</v>
      </c>
      <c r="B3333" s="31" t="s">
        <v>5743</v>
      </c>
    </row>
    <row r="3334" spans="1:2" x14ac:dyDescent="0.25">
      <c r="A3334" s="32" t="s">
        <v>10630</v>
      </c>
      <c r="B3334" s="33" t="s">
        <v>10630</v>
      </c>
    </row>
    <row r="3335" spans="1:2" x14ac:dyDescent="0.25">
      <c r="A3335" s="30" t="s">
        <v>10631</v>
      </c>
      <c r="B3335" s="31" t="s">
        <v>10631</v>
      </c>
    </row>
    <row r="3336" spans="1:2" x14ac:dyDescent="0.25">
      <c r="A3336" s="32" t="s">
        <v>5744</v>
      </c>
      <c r="B3336" s="33" t="s">
        <v>5745</v>
      </c>
    </row>
    <row r="3337" spans="1:2" x14ac:dyDescent="0.25">
      <c r="A3337" s="30" t="s">
        <v>630</v>
      </c>
      <c r="B3337" s="31" t="s">
        <v>5746</v>
      </c>
    </row>
    <row r="3338" spans="1:2" x14ac:dyDescent="0.25">
      <c r="A3338" s="32" t="s">
        <v>5747</v>
      </c>
      <c r="B3338" s="33" t="s">
        <v>5748</v>
      </c>
    </row>
    <row r="3339" spans="1:2" x14ac:dyDescent="0.25">
      <c r="A3339" s="30" t="s">
        <v>5749</v>
      </c>
      <c r="B3339" s="31" t="s">
        <v>5750</v>
      </c>
    </row>
    <row r="3340" spans="1:2" x14ac:dyDescent="0.25">
      <c r="A3340" s="32" t="s">
        <v>5751</v>
      </c>
      <c r="B3340" s="33" t="s">
        <v>5752</v>
      </c>
    </row>
    <row r="3341" spans="1:2" x14ac:dyDescent="0.25">
      <c r="A3341" s="30" t="s">
        <v>5753</v>
      </c>
      <c r="B3341" s="31" t="s">
        <v>5754</v>
      </c>
    </row>
    <row r="3342" spans="1:2" x14ac:dyDescent="0.25">
      <c r="A3342" s="32" t="s">
        <v>5755</v>
      </c>
      <c r="B3342" s="33" t="s">
        <v>5756</v>
      </c>
    </row>
    <row r="3343" spans="1:2" x14ac:dyDescent="0.25">
      <c r="A3343" s="30" t="s">
        <v>5757</v>
      </c>
      <c r="B3343" s="31" t="s">
        <v>5758</v>
      </c>
    </row>
    <row r="3344" spans="1:2" x14ac:dyDescent="0.25">
      <c r="A3344" s="32" t="s">
        <v>5759</v>
      </c>
      <c r="B3344" s="33" t="s">
        <v>5760</v>
      </c>
    </row>
    <row r="3345" spans="1:2" x14ac:dyDescent="0.25">
      <c r="A3345" s="30" t="s">
        <v>5761</v>
      </c>
      <c r="B3345" s="31" t="s">
        <v>5762</v>
      </c>
    </row>
    <row r="3346" spans="1:2" x14ac:dyDescent="0.25">
      <c r="A3346" s="32" t="s">
        <v>5763</v>
      </c>
      <c r="B3346" s="33" t="s">
        <v>5764</v>
      </c>
    </row>
    <row r="3347" spans="1:2" x14ac:dyDescent="0.25">
      <c r="A3347" s="30" t="s">
        <v>5765</v>
      </c>
      <c r="B3347" s="31" t="s">
        <v>5766</v>
      </c>
    </row>
    <row r="3348" spans="1:2" x14ac:dyDescent="0.25">
      <c r="A3348" s="32" t="s">
        <v>631</v>
      </c>
      <c r="B3348" s="33" t="s">
        <v>5767</v>
      </c>
    </row>
    <row r="3349" spans="1:2" x14ac:dyDescent="0.25">
      <c r="A3349" s="30" t="s">
        <v>5768</v>
      </c>
      <c r="B3349" s="31" t="s">
        <v>5769</v>
      </c>
    </row>
    <row r="3350" spans="1:2" x14ac:dyDescent="0.25">
      <c r="A3350" s="32" t="s">
        <v>632</v>
      </c>
      <c r="B3350" s="33" t="s">
        <v>5770</v>
      </c>
    </row>
    <row r="3351" spans="1:2" x14ac:dyDescent="0.25">
      <c r="A3351" s="30" t="s">
        <v>5771</v>
      </c>
      <c r="B3351" s="31" t="s">
        <v>5772</v>
      </c>
    </row>
    <row r="3352" spans="1:2" x14ac:dyDescent="0.25">
      <c r="A3352" s="32" t="s">
        <v>5773</v>
      </c>
      <c r="B3352" s="33" t="s">
        <v>5774</v>
      </c>
    </row>
    <row r="3353" spans="1:2" x14ac:dyDescent="0.25">
      <c r="A3353" s="30" t="s">
        <v>5775</v>
      </c>
      <c r="B3353" s="31" t="s">
        <v>5776</v>
      </c>
    </row>
    <row r="3354" spans="1:2" x14ac:dyDescent="0.25">
      <c r="A3354" s="32" t="s">
        <v>5777</v>
      </c>
      <c r="B3354" s="33" t="s">
        <v>5778</v>
      </c>
    </row>
    <row r="3355" spans="1:2" x14ac:dyDescent="0.25">
      <c r="A3355" s="30" t="s">
        <v>5779</v>
      </c>
      <c r="B3355" s="31" t="s">
        <v>5780</v>
      </c>
    </row>
    <row r="3356" spans="1:2" x14ac:dyDescent="0.25">
      <c r="A3356" s="32" t="s">
        <v>5781</v>
      </c>
      <c r="B3356" s="33" t="s">
        <v>5782</v>
      </c>
    </row>
    <row r="3357" spans="1:2" x14ac:dyDescent="0.25">
      <c r="A3357" s="30" t="s">
        <v>5783</v>
      </c>
      <c r="B3357" s="31" t="s">
        <v>5784</v>
      </c>
    </row>
    <row r="3358" spans="1:2" x14ac:dyDescent="0.25">
      <c r="A3358" s="32" t="s">
        <v>5785</v>
      </c>
      <c r="B3358" s="33" t="s">
        <v>5786</v>
      </c>
    </row>
    <row r="3359" spans="1:2" x14ac:dyDescent="0.25">
      <c r="A3359" s="30" t="s">
        <v>5787</v>
      </c>
      <c r="B3359" s="31" t="s">
        <v>5788</v>
      </c>
    </row>
    <row r="3360" spans="1:2" x14ac:dyDescent="0.25">
      <c r="A3360" s="32" t="s">
        <v>5789</v>
      </c>
      <c r="B3360" s="33" t="s">
        <v>5790</v>
      </c>
    </row>
    <row r="3361" spans="1:2" x14ac:dyDescent="0.25">
      <c r="A3361" s="30" t="s">
        <v>293</v>
      </c>
      <c r="B3361" s="31" t="s">
        <v>5791</v>
      </c>
    </row>
    <row r="3362" spans="1:2" x14ac:dyDescent="0.25">
      <c r="A3362" s="32" t="s">
        <v>5792</v>
      </c>
      <c r="B3362" s="33" t="s">
        <v>5793</v>
      </c>
    </row>
    <row r="3363" spans="1:2" x14ac:dyDescent="0.25">
      <c r="A3363" s="30" t="s">
        <v>5794</v>
      </c>
      <c r="B3363" s="31" t="s">
        <v>5795</v>
      </c>
    </row>
    <row r="3364" spans="1:2" x14ac:dyDescent="0.25">
      <c r="A3364" s="32" t="s">
        <v>5796</v>
      </c>
      <c r="B3364" s="33" t="s">
        <v>5797</v>
      </c>
    </row>
    <row r="3365" spans="1:2" x14ac:dyDescent="0.25">
      <c r="A3365" s="30" t="s">
        <v>10632</v>
      </c>
      <c r="B3365" s="31" t="s">
        <v>10632</v>
      </c>
    </row>
    <row r="3366" spans="1:2" x14ac:dyDescent="0.25">
      <c r="A3366" s="32" t="s">
        <v>5798</v>
      </c>
      <c r="B3366" s="33" t="s">
        <v>5799</v>
      </c>
    </row>
    <row r="3367" spans="1:2" x14ac:dyDescent="0.25">
      <c r="A3367" s="30" t="s">
        <v>10633</v>
      </c>
      <c r="B3367" s="31" t="s">
        <v>10633</v>
      </c>
    </row>
    <row r="3368" spans="1:2" x14ac:dyDescent="0.25">
      <c r="A3368" s="32" t="s">
        <v>5800</v>
      </c>
      <c r="B3368" s="33" t="s">
        <v>5801</v>
      </c>
    </row>
    <row r="3369" spans="1:2" x14ac:dyDescent="0.25">
      <c r="A3369" s="30" t="s">
        <v>10634</v>
      </c>
      <c r="B3369" s="31" t="s">
        <v>10634</v>
      </c>
    </row>
    <row r="3370" spans="1:2" x14ac:dyDescent="0.25">
      <c r="A3370" s="32" t="s">
        <v>5802</v>
      </c>
      <c r="B3370" s="33" t="s">
        <v>5803</v>
      </c>
    </row>
    <row r="3371" spans="1:2" x14ac:dyDescent="0.25">
      <c r="A3371" s="30" t="s">
        <v>5804</v>
      </c>
      <c r="B3371" s="31" t="s">
        <v>5805</v>
      </c>
    </row>
    <row r="3372" spans="1:2" x14ac:dyDescent="0.25">
      <c r="A3372" s="32" t="s">
        <v>10635</v>
      </c>
      <c r="B3372" s="33" t="s">
        <v>10635</v>
      </c>
    </row>
    <row r="3373" spans="1:2" x14ac:dyDescent="0.25">
      <c r="A3373" s="30" t="s">
        <v>5806</v>
      </c>
      <c r="B3373" s="31" t="s">
        <v>5807</v>
      </c>
    </row>
    <row r="3374" spans="1:2" x14ac:dyDescent="0.25">
      <c r="A3374" s="32" t="s">
        <v>5808</v>
      </c>
      <c r="B3374" s="33" t="s">
        <v>5809</v>
      </c>
    </row>
    <row r="3375" spans="1:2" x14ac:dyDescent="0.25">
      <c r="A3375" s="30" t="s">
        <v>76</v>
      </c>
      <c r="B3375" s="31" t="s">
        <v>5810</v>
      </c>
    </row>
    <row r="3376" spans="1:2" x14ac:dyDescent="0.25">
      <c r="A3376" s="32" t="s">
        <v>5811</v>
      </c>
      <c r="B3376" s="33" t="s">
        <v>5812</v>
      </c>
    </row>
    <row r="3377" spans="1:2" x14ac:dyDescent="0.25">
      <c r="A3377" s="30" t="s">
        <v>5813</v>
      </c>
      <c r="B3377" s="31" t="s">
        <v>5814</v>
      </c>
    </row>
    <row r="3378" spans="1:2" x14ac:dyDescent="0.25">
      <c r="A3378" s="32" t="s">
        <v>10636</v>
      </c>
      <c r="B3378" s="33" t="s">
        <v>10636</v>
      </c>
    </row>
    <row r="3379" spans="1:2" x14ac:dyDescent="0.25">
      <c r="A3379" s="30" t="s">
        <v>5815</v>
      </c>
      <c r="B3379" s="31" t="s">
        <v>5816</v>
      </c>
    </row>
    <row r="3380" spans="1:2" x14ac:dyDescent="0.25">
      <c r="A3380" s="32" t="s">
        <v>10637</v>
      </c>
      <c r="B3380" s="33" t="s">
        <v>10637</v>
      </c>
    </row>
    <row r="3381" spans="1:2" x14ac:dyDescent="0.25">
      <c r="A3381" s="30" t="s">
        <v>633</v>
      </c>
      <c r="B3381" s="31" t="s">
        <v>5817</v>
      </c>
    </row>
    <row r="3382" spans="1:2" x14ac:dyDescent="0.25">
      <c r="A3382" s="32" t="s">
        <v>5818</v>
      </c>
      <c r="B3382" s="33" t="s">
        <v>5819</v>
      </c>
    </row>
    <row r="3383" spans="1:2" x14ac:dyDescent="0.25">
      <c r="A3383" s="30" t="s">
        <v>10638</v>
      </c>
      <c r="B3383" s="31" t="s">
        <v>10638</v>
      </c>
    </row>
    <row r="3384" spans="1:2" x14ac:dyDescent="0.25">
      <c r="A3384" s="32" t="s">
        <v>10639</v>
      </c>
      <c r="B3384" s="33" t="s">
        <v>10639</v>
      </c>
    </row>
    <row r="3385" spans="1:2" x14ac:dyDescent="0.25">
      <c r="A3385" s="30" t="s">
        <v>5820</v>
      </c>
      <c r="B3385" s="31" t="s">
        <v>5821</v>
      </c>
    </row>
    <row r="3386" spans="1:2" x14ac:dyDescent="0.25">
      <c r="A3386" s="32" t="s">
        <v>5822</v>
      </c>
      <c r="B3386" s="33" t="s">
        <v>5823</v>
      </c>
    </row>
    <row r="3387" spans="1:2" x14ac:dyDescent="0.25">
      <c r="A3387" s="30" t="s">
        <v>5824</v>
      </c>
      <c r="B3387" s="31" t="s">
        <v>5825</v>
      </c>
    </row>
    <row r="3388" spans="1:2" x14ac:dyDescent="0.25">
      <c r="A3388" s="32" t="s">
        <v>5826</v>
      </c>
      <c r="B3388" s="33" t="s">
        <v>5827</v>
      </c>
    </row>
    <row r="3389" spans="1:2" x14ac:dyDescent="0.25">
      <c r="A3389" s="30" t="s">
        <v>5828</v>
      </c>
      <c r="B3389" s="31" t="s">
        <v>5829</v>
      </c>
    </row>
    <row r="3390" spans="1:2" x14ac:dyDescent="0.25">
      <c r="A3390" s="32" t="s">
        <v>5830</v>
      </c>
      <c r="B3390" s="33" t="s">
        <v>5831</v>
      </c>
    </row>
    <row r="3391" spans="1:2" x14ac:dyDescent="0.25">
      <c r="A3391" s="30" t="s">
        <v>5832</v>
      </c>
      <c r="B3391" s="31" t="s">
        <v>5833</v>
      </c>
    </row>
    <row r="3392" spans="1:2" x14ac:dyDescent="0.25">
      <c r="A3392" s="32" t="s">
        <v>5834</v>
      </c>
      <c r="B3392" s="33" t="s">
        <v>5835</v>
      </c>
    </row>
    <row r="3393" spans="1:2" x14ac:dyDescent="0.25">
      <c r="A3393" s="30" t="s">
        <v>268</v>
      </c>
      <c r="B3393" s="31" t="s">
        <v>5836</v>
      </c>
    </row>
    <row r="3394" spans="1:2" x14ac:dyDescent="0.25">
      <c r="A3394" s="32" t="s">
        <v>5837</v>
      </c>
      <c r="B3394" s="33" t="s">
        <v>5838</v>
      </c>
    </row>
    <row r="3395" spans="1:2" x14ac:dyDescent="0.25">
      <c r="A3395" s="30" t="s">
        <v>10640</v>
      </c>
      <c r="B3395" s="31" t="s">
        <v>10640</v>
      </c>
    </row>
    <row r="3396" spans="1:2" x14ac:dyDescent="0.25">
      <c r="A3396" s="32" t="s">
        <v>5839</v>
      </c>
      <c r="B3396" s="33" t="s">
        <v>5840</v>
      </c>
    </row>
    <row r="3397" spans="1:2" x14ac:dyDescent="0.25">
      <c r="A3397" s="30" t="s">
        <v>10641</v>
      </c>
      <c r="B3397" s="31" t="s">
        <v>10641</v>
      </c>
    </row>
    <row r="3398" spans="1:2" x14ac:dyDescent="0.25">
      <c r="A3398" s="32" t="s">
        <v>5841</v>
      </c>
      <c r="B3398" s="33" t="s">
        <v>5842</v>
      </c>
    </row>
    <row r="3399" spans="1:2" x14ac:dyDescent="0.25">
      <c r="A3399" s="30" t="s">
        <v>5843</v>
      </c>
      <c r="B3399" s="31" t="s">
        <v>5844</v>
      </c>
    </row>
    <row r="3400" spans="1:2" x14ac:dyDescent="0.25">
      <c r="A3400" s="32" t="s">
        <v>634</v>
      </c>
      <c r="B3400" s="33" t="s">
        <v>5845</v>
      </c>
    </row>
    <row r="3401" spans="1:2" x14ac:dyDescent="0.25">
      <c r="A3401" s="30" t="s">
        <v>5846</v>
      </c>
      <c r="B3401" s="31" t="s">
        <v>5847</v>
      </c>
    </row>
    <row r="3402" spans="1:2" x14ac:dyDescent="0.25">
      <c r="A3402" s="32" t="s">
        <v>5848</v>
      </c>
      <c r="B3402" s="33" t="s">
        <v>5849</v>
      </c>
    </row>
    <row r="3403" spans="1:2" x14ac:dyDescent="0.25">
      <c r="A3403" s="30" t="s">
        <v>5850</v>
      </c>
      <c r="B3403" s="31" t="s">
        <v>5851</v>
      </c>
    </row>
    <row r="3404" spans="1:2" x14ac:dyDescent="0.25">
      <c r="A3404" s="32" t="s">
        <v>5852</v>
      </c>
      <c r="B3404" s="33" t="s">
        <v>5853</v>
      </c>
    </row>
    <row r="3405" spans="1:2" x14ac:dyDescent="0.25">
      <c r="A3405" s="30" t="s">
        <v>5854</v>
      </c>
      <c r="B3405" s="31" t="s">
        <v>5855</v>
      </c>
    </row>
    <row r="3406" spans="1:2" x14ac:dyDescent="0.25">
      <c r="A3406" s="32" t="s">
        <v>5856</v>
      </c>
      <c r="B3406" s="33" t="s">
        <v>5857</v>
      </c>
    </row>
    <row r="3407" spans="1:2" x14ac:dyDescent="0.25">
      <c r="A3407" s="30" t="s">
        <v>5858</v>
      </c>
      <c r="B3407" s="31" t="s">
        <v>5859</v>
      </c>
    </row>
    <row r="3408" spans="1:2" x14ac:dyDescent="0.25">
      <c r="A3408" s="32" t="s">
        <v>5860</v>
      </c>
      <c r="B3408" s="33" t="s">
        <v>5861</v>
      </c>
    </row>
    <row r="3409" spans="1:2" x14ac:dyDescent="0.25">
      <c r="A3409" s="30" t="s">
        <v>5862</v>
      </c>
      <c r="B3409" s="31" t="s">
        <v>5863</v>
      </c>
    </row>
    <row r="3410" spans="1:2" x14ac:dyDescent="0.25">
      <c r="A3410" s="32" t="s">
        <v>5864</v>
      </c>
      <c r="B3410" s="33" t="s">
        <v>5865</v>
      </c>
    </row>
    <row r="3411" spans="1:2" x14ac:dyDescent="0.25">
      <c r="A3411" s="30" t="s">
        <v>635</v>
      </c>
      <c r="B3411" s="31" t="s">
        <v>5866</v>
      </c>
    </row>
    <row r="3412" spans="1:2" x14ac:dyDescent="0.25">
      <c r="A3412" s="32" t="s">
        <v>5867</v>
      </c>
      <c r="B3412" s="33" t="s">
        <v>5868</v>
      </c>
    </row>
    <row r="3413" spans="1:2" x14ac:dyDescent="0.25">
      <c r="A3413" s="30" t="s">
        <v>5869</v>
      </c>
      <c r="B3413" s="31" t="s">
        <v>5870</v>
      </c>
    </row>
    <row r="3414" spans="1:2" x14ac:dyDescent="0.25">
      <c r="A3414" s="32" t="s">
        <v>10642</v>
      </c>
      <c r="B3414" s="33" t="s">
        <v>10642</v>
      </c>
    </row>
    <row r="3415" spans="1:2" x14ac:dyDescent="0.25">
      <c r="A3415" s="30" t="s">
        <v>10643</v>
      </c>
      <c r="B3415" s="31" t="s">
        <v>10643</v>
      </c>
    </row>
    <row r="3416" spans="1:2" x14ac:dyDescent="0.25">
      <c r="A3416" s="32" t="s">
        <v>10644</v>
      </c>
      <c r="B3416" s="33" t="s">
        <v>10644</v>
      </c>
    </row>
    <row r="3417" spans="1:2" x14ac:dyDescent="0.25">
      <c r="A3417" s="30" t="s">
        <v>5871</v>
      </c>
      <c r="B3417" s="31" t="s">
        <v>5872</v>
      </c>
    </row>
    <row r="3418" spans="1:2" x14ac:dyDescent="0.25">
      <c r="A3418" s="32" t="s">
        <v>5873</v>
      </c>
      <c r="B3418" s="33" t="s">
        <v>5874</v>
      </c>
    </row>
    <row r="3419" spans="1:2" x14ac:dyDescent="0.25">
      <c r="A3419" s="30" t="s">
        <v>636</v>
      </c>
      <c r="B3419" s="31" t="s">
        <v>5875</v>
      </c>
    </row>
    <row r="3420" spans="1:2" x14ac:dyDescent="0.25">
      <c r="A3420" s="32" t="s">
        <v>10645</v>
      </c>
      <c r="B3420" s="33" t="s">
        <v>10645</v>
      </c>
    </row>
    <row r="3421" spans="1:2" x14ac:dyDescent="0.25">
      <c r="A3421" s="30" t="s">
        <v>5876</v>
      </c>
      <c r="B3421" s="31" t="s">
        <v>5877</v>
      </c>
    </row>
    <row r="3422" spans="1:2" x14ac:dyDescent="0.25">
      <c r="A3422" s="32" t="s">
        <v>5878</v>
      </c>
      <c r="B3422" s="33" t="s">
        <v>5879</v>
      </c>
    </row>
    <row r="3423" spans="1:2" x14ac:dyDescent="0.25">
      <c r="A3423" s="30" t="s">
        <v>5880</v>
      </c>
      <c r="B3423" s="31" t="s">
        <v>5881</v>
      </c>
    </row>
    <row r="3424" spans="1:2" x14ac:dyDescent="0.25">
      <c r="A3424" s="32" t="s">
        <v>5882</v>
      </c>
      <c r="B3424" s="33" t="s">
        <v>5883</v>
      </c>
    </row>
    <row r="3425" spans="1:2" x14ac:dyDescent="0.25">
      <c r="A3425" s="30" t="s">
        <v>10646</v>
      </c>
      <c r="B3425" s="31" t="s">
        <v>10646</v>
      </c>
    </row>
    <row r="3426" spans="1:2" x14ac:dyDescent="0.25">
      <c r="A3426" s="32" t="s">
        <v>637</v>
      </c>
      <c r="B3426" s="33" t="s">
        <v>5884</v>
      </c>
    </row>
    <row r="3427" spans="1:2" x14ac:dyDescent="0.25">
      <c r="A3427" s="30" t="s">
        <v>5885</v>
      </c>
      <c r="B3427" s="31" t="s">
        <v>5886</v>
      </c>
    </row>
    <row r="3428" spans="1:2" x14ac:dyDescent="0.25">
      <c r="A3428" s="32" t="s">
        <v>10647</v>
      </c>
      <c r="B3428" s="33" t="s">
        <v>10647</v>
      </c>
    </row>
    <row r="3429" spans="1:2" x14ac:dyDescent="0.25">
      <c r="A3429" s="30" t="s">
        <v>10648</v>
      </c>
      <c r="B3429" s="31" t="s">
        <v>10648</v>
      </c>
    </row>
    <row r="3430" spans="1:2" x14ac:dyDescent="0.25">
      <c r="A3430" s="32" t="s">
        <v>5887</v>
      </c>
      <c r="B3430" s="33" t="s">
        <v>5888</v>
      </c>
    </row>
    <row r="3431" spans="1:2" x14ac:dyDescent="0.25">
      <c r="A3431" s="30" t="s">
        <v>5889</v>
      </c>
      <c r="B3431" s="31" t="s">
        <v>5890</v>
      </c>
    </row>
    <row r="3432" spans="1:2" x14ac:dyDescent="0.25">
      <c r="A3432" s="32" t="s">
        <v>5891</v>
      </c>
      <c r="B3432" s="33" t="s">
        <v>5892</v>
      </c>
    </row>
    <row r="3433" spans="1:2" x14ac:dyDescent="0.25">
      <c r="A3433" s="30" t="s">
        <v>5893</v>
      </c>
      <c r="B3433" s="31" t="s">
        <v>5894</v>
      </c>
    </row>
    <row r="3434" spans="1:2" x14ac:dyDescent="0.25">
      <c r="A3434" s="32" t="s">
        <v>5895</v>
      </c>
      <c r="B3434" s="33" t="s">
        <v>5896</v>
      </c>
    </row>
    <row r="3435" spans="1:2" x14ac:dyDescent="0.25">
      <c r="A3435" s="30" t="s">
        <v>638</v>
      </c>
      <c r="B3435" s="31" t="s">
        <v>5897</v>
      </c>
    </row>
    <row r="3436" spans="1:2" x14ac:dyDescent="0.25">
      <c r="A3436" s="32" t="s">
        <v>5898</v>
      </c>
      <c r="B3436" s="33" t="s">
        <v>5899</v>
      </c>
    </row>
    <row r="3437" spans="1:2" x14ac:dyDescent="0.25">
      <c r="A3437" s="30" t="s">
        <v>10649</v>
      </c>
      <c r="B3437" s="31" t="s">
        <v>10649</v>
      </c>
    </row>
    <row r="3438" spans="1:2" x14ac:dyDescent="0.25">
      <c r="A3438" s="32" t="s">
        <v>5900</v>
      </c>
      <c r="B3438" s="33" t="s">
        <v>5901</v>
      </c>
    </row>
    <row r="3439" spans="1:2" x14ac:dyDescent="0.25">
      <c r="A3439" s="30" t="s">
        <v>639</v>
      </c>
      <c r="B3439" s="31" t="s">
        <v>5902</v>
      </c>
    </row>
    <row r="3440" spans="1:2" x14ac:dyDescent="0.25">
      <c r="A3440" s="32" t="s">
        <v>640</v>
      </c>
      <c r="B3440" s="33" t="s">
        <v>5903</v>
      </c>
    </row>
    <row r="3441" spans="1:2" x14ac:dyDescent="0.25">
      <c r="A3441" s="30" t="s">
        <v>641</v>
      </c>
      <c r="B3441" s="31" t="s">
        <v>641</v>
      </c>
    </row>
    <row r="3442" spans="1:2" x14ac:dyDescent="0.25">
      <c r="A3442" s="32" t="s">
        <v>10650</v>
      </c>
      <c r="B3442" s="33" t="s">
        <v>10650</v>
      </c>
    </row>
    <row r="3443" spans="1:2" x14ac:dyDescent="0.25">
      <c r="A3443" s="30" t="s">
        <v>642</v>
      </c>
      <c r="B3443" s="31" t="s">
        <v>5904</v>
      </c>
    </row>
    <row r="3444" spans="1:2" x14ac:dyDescent="0.25">
      <c r="A3444" s="32" t="s">
        <v>5905</v>
      </c>
      <c r="B3444" s="33" t="s">
        <v>5906</v>
      </c>
    </row>
    <row r="3445" spans="1:2" x14ac:dyDescent="0.25">
      <c r="A3445" s="30" t="s">
        <v>643</v>
      </c>
      <c r="B3445" s="31" t="s">
        <v>5907</v>
      </c>
    </row>
    <row r="3446" spans="1:2" x14ac:dyDescent="0.25">
      <c r="A3446" s="32" t="s">
        <v>10651</v>
      </c>
      <c r="B3446" s="33" t="s">
        <v>10651</v>
      </c>
    </row>
    <row r="3447" spans="1:2" x14ac:dyDescent="0.25">
      <c r="A3447" s="30" t="s">
        <v>10652</v>
      </c>
      <c r="B3447" s="31" t="s">
        <v>10652</v>
      </c>
    </row>
    <row r="3448" spans="1:2" x14ac:dyDescent="0.25">
      <c r="A3448" s="32" t="s">
        <v>10653</v>
      </c>
      <c r="B3448" s="33" t="s">
        <v>10653</v>
      </c>
    </row>
    <row r="3449" spans="1:2" x14ac:dyDescent="0.25">
      <c r="A3449" s="30" t="s">
        <v>10654</v>
      </c>
      <c r="B3449" s="31" t="s">
        <v>10654</v>
      </c>
    </row>
    <row r="3450" spans="1:2" x14ac:dyDescent="0.25">
      <c r="A3450" s="32" t="s">
        <v>644</v>
      </c>
      <c r="B3450" s="33" t="s">
        <v>5908</v>
      </c>
    </row>
    <row r="3451" spans="1:2" x14ac:dyDescent="0.25">
      <c r="A3451" s="30" t="s">
        <v>645</v>
      </c>
      <c r="B3451" s="31" t="s">
        <v>5909</v>
      </c>
    </row>
    <row r="3452" spans="1:2" x14ac:dyDescent="0.25">
      <c r="A3452" s="32" t="s">
        <v>5910</v>
      </c>
      <c r="B3452" s="33" t="s">
        <v>5911</v>
      </c>
    </row>
    <row r="3453" spans="1:2" x14ac:dyDescent="0.25">
      <c r="A3453" s="30" t="s">
        <v>5912</v>
      </c>
      <c r="B3453" s="31" t="s">
        <v>5913</v>
      </c>
    </row>
    <row r="3454" spans="1:2" x14ac:dyDescent="0.25">
      <c r="A3454" s="32" t="s">
        <v>5914</v>
      </c>
      <c r="B3454" s="33" t="s">
        <v>5915</v>
      </c>
    </row>
    <row r="3455" spans="1:2" x14ac:dyDescent="0.25">
      <c r="A3455" s="30" t="s">
        <v>647</v>
      </c>
      <c r="B3455" s="31" t="s">
        <v>5916</v>
      </c>
    </row>
    <row r="3456" spans="1:2" x14ac:dyDescent="0.25">
      <c r="A3456" s="32" t="s">
        <v>10655</v>
      </c>
      <c r="B3456" s="33" t="s">
        <v>10655</v>
      </c>
    </row>
    <row r="3457" spans="1:2" x14ac:dyDescent="0.25">
      <c r="A3457" s="30" t="s">
        <v>5917</v>
      </c>
      <c r="B3457" s="31" t="s">
        <v>5918</v>
      </c>
    </row>
    <row r="3458" spans="1:2" x14ac:dyDescent="0.25">
      <c r="A3458" s="32" t="s">
        <v>10656</v>
      </c>
      <c r="B3458" s="33" t="s">
        <v>10656</v>
      </c>
    </row>
    <row r="3459" spans="1:2" x14ac:dyDescent="0.25">
      <c r="A3459" s="30" t="s">
        <v>5919</v>
      </c>
      <c r="B3459" s="31" t="s">
        <v>5920</v>
      </c>
    </row>
    <row r="3460" spans="1:2" x14ac:dyDescent="0.25">
      <c r="A3460" s="32" t="s">
        <v>5921</v>
      </c>
      <c r="B3460" s="33" t="s">
        <v>5922</v>
      </c>
    </row>
    <row r="3461" spans="1:2" x14ac:dyDescent="0.25">
      <c r="A3461" s="30" t="s">
        <v>10657</v>
      </c>
      <c r="B3461" s="31" t="s">
        <v>10657</v>
      </c>
    </row>
    <row r="3462" spans="1:2" x14ac:dyDescent="0.25">
      <c r="A3462" s="32" t="s">
        <v>5923</v>
      </c>
      <c r="B3462" s="33" t="s">
        <v>5924</v>
      </c>
    </row>
    <row r="3463" spans="1:2" x14ac:dyDescent="0.25">
      <c r="A3463" s="30" t="s">
        <v>5925</v>
      </c>
      <c r="B3463" s="31" t="s">
        <v>5926</v>
      </c>
    </row>
    <row r="3464" spans="1:2" x14ac:dyDescent="0.25">
      <c r="A3464" s="32" t="s">
        <v>5927</v>
      </c>
      <c r="B3464" s="33" t="s">
        <v>5928</v>
      </c>
    </row>
    <row r="3465" spans="1:2" x14ac:dyDescent="0.25">
      <c r="A3465" s="30" t="s">
        <v>5929</v>
      </c>
      <c r="B3465" s="31" t="s">
        <v>5930</v>
      </c>
    </row>
    <row r="3466" spans="1:2" x14ac:dyDescent="0.25">
      <c r="A3466" s="32" t="s">
        <v>5931</v>
      </c>
      <c r="B3466" s="33" t="s">
        <v>5932</v>
      </c>
    </row>
    <row r="3467" spans="1:2" x14ac:dyDescent="0.25">
      <c r="A3467" s="30" t="s">
        <v>78</v>
      </c>
      <c r="B3467" s="31" t="s">
        <v>5933</v>
      </c>
    </row>
    <row r="3468" spans="1:2" x14ac:dyDescent="0.25">
      <c r="A3468" s="32" t="s">
        <v>5934</v>
      </c>
      <c r="B3468" s="33" t="s">
        <v>5935</v>
      </c>
    </row>
    <row r="3469" spans="1:2" x14ac:dyDescent="0.25">
      <c r="A3469" s="30" t="s">
        <v>10658</v>
      </c>
      <c r="B3469" s="31" t="s">
        <v>10658</v>
      </c>
    </row>
    <row r="3470" spans="1:2" x14ac:dyDescent="0.25">
      <c r="A3470" s="32" t="s">
        <v>5936</v>
      </c>
      <c r="B3470" s="33" t="s">
        <v>5937</v>
      </c>
    </row>
    <row r="3471" spans="1:2" x14ac:dyDescent="0.25">
      <c r="A3471" s="30" t="s">
        <v>5938</v>
      </c>
      <c r="B3471" s="31" t="s">
        <v>5939</v>
      </c>
    </row>
    <row r="3472" spans="1:2" x14ac:dyDescent="0.25">
      <c r="A3472" s="32" t="s">
        <v>10659</v>
      </c>
      <c r="B3472" s="33" t="s">
        <v>10659</v>
      </c>
    </row>
    <row r="3473" spans="1:2" x14ac:dyDescent="0.25">
      <c r="A3473" s="30" t="s">
        <v>10660</v>
      </c>
      <c r="B3473" s="31" t="s">
        <v>10660</v>
      </c>
    </row>
    <row r="3474" spans="1:2" x14ac:dyDescent="0.25">
      <c r="A3474" s="32" t="s">
        <v>10661</v>
      </c>
      <c r="B3474" s="33" t="s">
        <v>10661</v>
      </c>
    </row>
    <row r="3475" spans="1:2" x14ac:dyDescent="0.25">
      <c r="A3475" s="30" t="s">
        <v>10662</v>
      </c>
      <c r="B3475" s="31" t="s">
        <v>10662</v>
      </c>
    </row>
    <row r="3476" spans="1:2" x14ac:dyDescent="0.25">
      <c r="A3476" s="32" t="s">
        <v>10663</v>
      </c>
      <c r="B3476" s="33" t="s">
        <v>10663</v>
      </c>
    </row>
    <row r="3477" spans="1:2" x14ac:dyDescent="0.25">
      <c r="A3477" s="30" t="s">
        <v>5940</v>
      </c>
      <c r="B3477" s="31" t="s">
        <v>5941</v>
      </c>
    </row>
    <row r="3478" spans="1:2" x14ac:dyDescent="0.25">
      <c r="A3478" s="32" t="s">
        <v>5942</v>
      </c>
      <c r="B3478" s="33" t="s">
        <v>5943</v>
      </c>
    </row>
    <row r="3479" spans="1:2" x14ac:dyDescent="0.25">
      <c r="A3479" s="30" t="s">
        <v>648</v>
      </c>
      <c r="B3479" s="31" t="s">
        <v>5944</v>
      </c>
    </row>
    <row r="3480" spans="1:2" x14ac:dyDescent="0.25">
      <c r="A3480" s="32" t="s">
        <v>5945</v>
      </c>
      <c r="B3480" s="33" t="s">
        <v>5946</v>
      </c>
    </row>
    <row r="3481" spans="1:2" x14ac:dyDescent="0.25">
      <c r="A3481" s="30" t="s">
        <v>5947</v>
      </c>
      <c r="B3481" s="31" t="s">
        <v>5948</v>
      </c>
    </row>
    <row r="3482" spans="1:2" x14ac:dyDescent="0.25">
      <c r="A3482" s="32" t="s">
        <v>5949</v>
      </c>
      <c r="B3482" s="33" t="s">
        <v>5950</v>
      </c>
    </row>
    <row r="3483" spans="1:2" x14ac:dyDescent="0.25">
      <c r="A3483" s="30" t="s">
        <v>10664</v>
      </c>
      <c r="B3483" s="31" t="s">
        <v>10664</v>
      </c>
    </row>
    <row r="3484" spans="1:2" x14ac:dyDescent="0.25">
      <c r="A3484" s="32" t="s">
        <v>5951</v>
      </c>
      <c r="B3484" s="33" t="s">
        <v>5952</v>
      </c>
    </row>
    <row r="3485" spans="1:2" x14ac:dyDescent="0.25">
      <c r="A3485" s="30" t="s">
        <v>5953</v>
      </c>
      <c r="B3485" s="31" t="s">
        <v>5954</v>
      </c>
    </row>
    <row r="3486" spans="1:2" x14ac:dyDescent="0.25">
      <c r="A3486" s="32" t="s">
        <v>270</v>
      </c>
      <c r="B3486" s="33" t="s">
        <v>5955</v>
      </c>
    </row>
    <row r="3487" spans="1:2" x14ac:dyDescent="0.25">
      <c r="A3487" s="30" t="s">
        <v>649</v>
      </c>
      <c r="B3487" s="31" t="s">
        <v>5956</v>
      </c>
    </row>
    <row r="3488" spans="1:2" x14ac:dyDescent="0.25">
      <c r="A3488" s="32" t="s">
        <v>650</v>
      </c>
      <c r="B3488" s="33" t="s">
        <v>5957</v>
      </c>
    </row>
    <row r="3489" spans="1:2" x14ac:dyDescent="0.25">
      <c r="A3489" s="30" t="s">
        <v>5958</v>
      </c>
      <c r="B3489" s="31" t="s">
        <v>5959</v>
      </c>
    </row>
    <row r="3490" spans="1:2" x14ac:dyDescent="0.25">
      <c r="A3490" s="32" t="s">
        <v>5960</v>
      </c>
      <c r="B3490" s="33" t="s">
        <v>5961</v>
      </c>
    </row>
    <row r="3491" spans="1:2" x14ac:dyDescent="0.25">
      <c r="A3491" s="30" t="s">
        <v>5962</v>
      </c>
      <c r="B3491" s="31" t="s">
        <v>5963</v>
      </c>
    </row>
    <row r="3492" spans="1:2" x14ac:dyDescent="0.25">
      <c r="A3492" s="32" t="s">
        <v>5964</v>
      </c>
      <c r="B3492" s="33" t="s">
        <v>5965</v>
      </c>
    </row>
    <row r="3493" spans="1:2" x14ac:dyDescent="0.25">
      <c r="A3493" s="30" t="s">
        <v>10665</v>
      </c>
      <c r="B3493" s="31" t="s">
        <v>10665</v>
      </c>
    </row>
    <row r="3494" spans="1:2" x14ac:dyDescent="0.25">
      <c r="A3494" s="32" t="s">
        <v>651</v>
      </c>
      <c r="B3494" s="33" t="s">
        <v>5966</v>
      </c>
    </row>
    <row r="3495" spans="1:2" x14ac:dyDescent="0.25">
      <c r="A3495" s="30" t="s">
        <v>5967</v>
      </c>
      <c r="B3495" s="31" t="s">
        <v>5968</v>
      </c>
    </row>
    <row r="3496" spans="1:2" x14ac:dyDescent="0.25">
      <c r="A3496" s="32" t="s">
        <v>652</v>
      </c>
      <c r="B3496" s="33" t="s">
        <v>5969</v>
      </c>
    </row>
    <row r="3497" spans="1:2" x14ac:dyDescent="0.25">
      <c r="A3497" s="30" t="s">
        <v>5970</v>
      </c>
      <c r="B3497" s="31" t="s">
        <v>5971</v>
      </c>
    </row>
    <row r="3498" spans="1:2" x14ac:dyDescent="0.25">
      <c r="A3498" s="32" t="s">
        <v>5972</v>
      </c>
      <c r="B3498" s="33" t="s">
        <v>5973</v>
      </c>
    </row>
    <row r="3499" spans="1:2" x14ac:dyDescent="0.25">
      <c r="A3499" s="30" t="s">
        <v>5974</v>
      </c>
      <c r="B3499" s="31" t="s">
        <v>5975</v>
      </c>
    </row>
    <row r="3500" spans="1:2" x14ac:dyDescent="0.25">
      <c r="A3500" s="32" t="s">
        <v>653</v>
      </c>
      <c r="B3500" s="33" t="s">
        <v>5976</v>
      </c>
    </row>
    <row r="3501" spans="1:2" x14ac:dyDescent="0.25">
      <c r="A3501" s="30" t="s">
        <v>5977</v>
      </c>
      <c r="B3501" s="31" t="s">
        <v>5978</v>
      </c>
    </row>
    <row r="3502" spans="1:2" x14ac:dyDescent="0.25">
      <c r="A3502" s="32" t="s">
        <v>654</v>
      </c>
      <c r="B3502" s="33" t="s">
        <v>5979</v>
      </c>
    </row>
    <row r="3503" spans="1:2" x14ac:dyDescent="0.25">
      <c r="A3503" s="30" t="s">
        <v>1253</v>
      </c>
      <c r="B3503" s="31" t="s">
        <v>5980</v>
      </c>
    </row>
    <row r="3504" spans="1:2" x14ac:dyDescent="0.25">
      <c r="A3504" s="32" t="s">
        <v>655</v>
      </c>
      <c r="B3504" s="33" t="s">
        <v>5981</v>
      </c>
    </row>
    <row r="3505" spans="1:2" x14ac:dyDescent="0.25">
      <c r="A3505" s="30" t="s">
        <v>5982</v>
      </c>
      <c r="B3505" s="31" t="s">
        <v>5983</v>
      </c>
    </row>
    <row r="3506" spans="1:2" x14ac:dyDescent="0.25">
      <c r="A3506" s="32" t="s">
        <v>5984</v>
      </c>
      <c r="B3506" s="33" t="s">
        <v>5985</v>
      </c>
    </row>
    <row r="3507" spans="1:2" x14ac:dyDescent="0.25">
      <c r="A3507" s="30" t="s">
        <v>5986</v>
      </c>
      <c r="B3507" s="31" t="s">
        <v>5987</v>
      </c>
    </row>
    <row r="3508" spans="1:2" x14ac:dyDescent="0.25">
      <c r="A3508" s="32" t="s">
        <v>10666</v>
      </c>
      <c r="B3508" s="33" t="s">
        <v>10666</v>
      </c>
    </row>
    <row r="3509" spans="1:2" x14ac:dyDescent="0.25">
      <c r="A3509" s="30" t="s">
        <v>10667</v>
      </c>
      <c r="B3509" s="31" t="s">
        <v>10667</v>
      </c>
    </row>
    <row r="3510" spans="1:2" x14ac:dyDescent="0.25">
      <c r="A3510" s="32" t="s">
        <v>656</v>
      </c>
      <c r="B3510" s="33" t="s">
        <v>5988</v>
      </c>
    </row>
    <row r="3511" spans="1:2" x14ac:dyDescent="0.25">
      <c r="A3511" s="30" t="s">
        <v>5989</v>
      </c>
      <c r="B3511" s="31" t="s">
        <v>5990</v>
      </c>
    </row>
    <row r="3512" spans="1:2" x14ac:dyDescent="0.25">
      <c r="A3512" s="32" t="s">
        <v>5991</v>
      </c>
      <c r="B3512" s="33" t="s">
        <v>5992</v>
      </c>
    </row>
    <row r="3513" spans="1:2" x14ac:dyDescent="0.25">
      <c r="A3513" s="30" t="s">
        <v>5993</v>
      </c>
      <c r="B3513" s="31" t="s">
        <v>5994</v>
      </c>
    </row>
    <row r="3514" spans="1:2" x14ac:dyDescent="0.25">
      <c r="A3514" s="32" t="s">
        <v>5995</v>
      </c>
      <c r="B3514" s="33" t="s">
        <v>5996</v>
      </c>
    </row>
    <row r="3515" spans="1:2" x14ac:dyDescent="0.25">
      <c r="A3515" s="30" t="s">
        <v>5997</v>
      </c>
      <c r="B3515" s="31" t="s">
        <v>5998</v>
      </c>
    </row>
    <row r="3516" spans="1:2" x14ac:dyDescent="0.25">
      <c r="A3516" s="32" t="s">
        <v>657</v>
      </c>
      <c r="B3516" s="33" t="s">
        <v>5999</v>
      </c>
    </row>
    <row r="3517" spans="1:2" x14ac:dyDescent="0.25">
      <c r="A3517" s="30" t="s">
        <v>6000</v>
      </c>
      <c r="B3517" s="31" t="s">
        <v>6001</v>
      </c>
    </row>
    <row r="3518" spans="1:2" x14ac:dyDescent="0.25">
      <c r="A3518" s="32" t="s">
        <v>6002</v>
      </c>
      <c r="B3518" s="33" t="s">
        <v>6003</v>
      </c>
    </row>
    <row r="3519" spans="1:2" x14ac:dyDescent="0.25">
      <c r="A3519" s="30" t="s">
        <v>658</v>
      </c>
      <c r="B3519" s="31" t="s">
        <v>6004</v>
      </c>
    </row>
    <row r="3520" spans="1:2" x14ac:dyDescent="0.25">
      <c r="A3520" s="32" t="s">
        <v>6005</v>
      </c>
      <c r="B3520" s="33" t="s">
        <v>6006</v>
      </c>
    </row>
    <row r="3521" spans="1:2" x14ac:dyDescent="0.25">
      <c r="A3521" s="30" t="s">
        <v>10668</v>
      </c>
      <c r="B3521" s="31" t="s">
        <v>10668</v>
      </c>
    </row>
    <row r="3522" spans="1:2" x14ac:dyDescent="0.25">
      <c r="A3522" s="32" t="s">
        <v>10669</v>
      </c>
      <c r="B3522" s="33" t="s">
        <v>10669</v>
      </c>
    </row>
    <row r="3523" spans="1:2" x14ac:dyDescent="0.25">
      <c r="A3523" s="30" t="s">
        <v>659</v>
      </c>
      <c r="B3523" s="31" t="s">
        <v>6007</v>
      </c>
    </row>
    <row r="3524" spans="1:2" x14ac:dyDescent="0.25">
      <c r="A3524" s="32" t="s">
        <v>10670</v>
      </c>
      <c r="B3524" s="33" t="s">
        <v>10670</v>
      </c>
    </row>
    <row r="3525" spans="1:2" x14ac:dyDescent="0.25">
      <c r="A3525" s="30" t="s">
        <v>6008</v>
      </c>
      <c r="B3525" s="31" t="s">
        <v>6009</v>
      </c>
    </row>
    <row r="3526" spans="1:2" x14ac:dyDescent="0.25">
      <c r="A3526" s="32" t="s">
        <v>6010</v>
      </c>
      <c r="B3526" s="33" t="s">
        <v>6011</v>
      </c>
    </row>
    <row r="3527" spans="1:2" x14ac:dyDescent="0.25">
      <c r="A3527" s="30" t="s">
        <v>6012</v>
      </c>
      <c r="B3527" s="31" t="s">
        <v>6013</v>
      </c>
    </row>
    <row r="3528" spans="1:2" x14ac:dyDescent="0.25">
      <c r="A3528" s="32" t="s">
        <v>6014</v>
      </c>
      <c r="B3528" s="33" t="s">
        <v>6015</v>
      </c>
    </row>
    <row r="3529" spans="1:2" x14ac:dyDescent="0.25">
      <c r="A3529" s="30" t="s">
        <v>6016</v>
      </c>
      <c r="B3529" s="31" t="s">
        <v>6017</v>
      </c>
    </row>
    <row r="3530" spans="1:2" x14ac:dyDescent="0.25">
      <c r="A3530" s="32" t="s">
        <v>6018</v>
      </c>
      <c r="B3530" s="33" t="s">
        <v>6019</v>
      </c>
    </row>
    <row r="3531" spans="1:2" x14ac:dyDescent="0.25">
      <c r="A3531" s="30" t="s">
        <v>6020</v>
      </c>
      <c r="B3531" s="31" t="s">
        <v>6021</v>
      </c>
    </row>
    <row r="3532" spans="1:2" x14ac:dyDescent="0.25">
      <c r="A3532" s="32" t="s">
        <v>6022</v>
      </c>
      <c r="B3532" s="33" t="s">
        <v>6023</v>
      </c>
    </row>
    <row r="3533" spans="1:2" x14ac:dyDescent="0.25">
      <c r="A3533" s="30" t="s">
        <v>6024</v>
      </c>
      <c r="B3533" s="31" t="s">
        <v>6025</v>
      </c>
    </row>
    <row r="3534" spans="1:2" x14ac:dyDescent="0.25">
      <c r="A3534" s="32" t="s">
        <v>6026</v>
      </c>
      <c r="B3534" s="33" t="s">
        <v>6027</v>
      </c>
    </row>
    <row r="3535" spans="1:2" x14ac:dyDescent="0.25">
      <c r="A3535" s="30" t="s">
        <v>6028</v>
      </c>
      <c r="B3535" s="31" t="s">
        <v>6029</v>
      </c>
    </row>
    <row r="3536" spans="1:2" x14ac:dyDescent="0.25">
      <c r="A3536" s="32" t="s">
        <v>6030</v>
      </c>
      <c r="B3536" s="33" t="s">
        <v>6031</v>
      </c>
    </row>
    <row r="3537" spans="1:2" x14ac:dyDescent="0.25">
      <c r="A3537" s="30" t="s">
        <v>6032</v>
      </c>
      <c r="B3537" s="31" t="s">
        <v>6033</v>
      </c>
    </row>
    <row r="3538" spans="1:2" x14ac:dyDescent="0.25">
      <c r="A3538" s="32" t="s">
        <v>6034</v>
      </c>
      <c r="B3538" s="33" t="s">
        <v>6035</v>
      </c>
    </row>
    <row r="3539" spans="1:2" x14ac:dyDescent="0.25">
      <c r="A3539" s="30" t="s">
        <v>10671</v>
      </c>
      <c r="B3539" s="31" t="s">
        <v>10671</v>
      </c>
    </row>
    <row r="3540" spans="1:2" x14ac:dyDescent="0.25">
      <c r="A3540" s="32" t="s">
        <v>6036</v>
      </c>
      <c r="B3540" s="33" t="s">
        <v>6037</v>
      </c>
    </row>
    <row r="3541" spans="1:2" x14ac:dyDescent="0.25">
      <c r="A3541" s="30" t="s">
        <v>660</v>
      </c>
      <c r="B3541" s="31" t="s">
        <v>6038</v>
      </c>
    </row>
    <row r="3542" spans="1:2" x14ac:dyDescent="0.25">
      <c r="A3542" s="32" t="s">
        <v>10672</v>
      </c>
      <c r="B3542" s="33" t="s">
        <v>10672</v>
      </c>
    </row>
    <row r="3543" spans="1:2" x14ac:dyDescent="0.25">
      <c r="A3543" s="30" t="s">
        <v>10673</v>
      </c>
      <c r="B3543" s="31" t="s">
        <v>10673</v>
      </c>
    </row>
    <row r="3544" spans="1:2" x14ac:dyDescent="0.25">
      <c r="A3544" s="32" t="s">
        <v>661</v>
      </c>
      <c r="B3544" s="33" t="s">
        <v>6039</v>
      </c>
    </row>
    <row r="3545" spans="1:2" x14ac:dyDescent="0.25">
      <c r="A3545" s="30" t="s">
        <v>662</v>
      </c>
      <c r="B3545" s="31" t="s">
        <v>6040</v>
      </c>
    </row>
    <row r="3546" spans="1:2" x14ac:dyDescent="0.25">
      <c r="A3546" s="32" t="s">
        <v>10674</v>
      </c>
      <c r="B3546" s="33" t="s">
        <v>10674</v>
      </c>
    </row>
    <row r="3547" spans="1:2" x14ac:dyDescent="0.25">
      <c r="A3547" s="30" t="s">
        <v>10675</v>
      </c>
      <c r="B3547" s="31" t="s">
        <v>10675</v>
      </c>
    </row>
    <row r="3548" spans="1:2" x14ac:dyDescent="0.25">
      <c r="A3548" s="32" t="s">
        <v>6041</v>
      </c>
      <c r="B3548" s="33" t="s">
        <v>6042</v>
      </c>
    </row>
    <row r="3549" spans="1:2" x14ac:dyDescent="0.25">
      <c r="A3549" s="30" t="s">
        <v>10676</v>
      </c>
      <c r="B3549" s="31" t="s">
        <v>10676</v>
      </c>
    </row>
    <row r="3550" spans="1:2" x14ac:dyDescent="0.25">
      <c r="A3550" s="32" t="s">
        <v>6043</v>
      </c>
      <c r="B3550" s="33" t="s">
        <v>6044</v>
      </c>
    </row>
    <row r="3551" spans="1:2" x14ac:dyDescent="0.25">
      <c r="A3551" s="30" t="s">
        <v>6045</v>
      </c>
      <c r="B3551" s="31" t="s">
        <v>6046</v>
      </c>
    </row>
    <row r="3552" spans="1:2" x14ac:dyDescent="0.25">
      <c r="A3552" s="32" t="s">
        <v>663</v>
      </c>
      <c r="B3552" s="33" t="s">
        <v>6047</v>
      </c>
    </row>
    <row r="3553" spans="1:2" x14ac:dyDescent="0.25">
      <c r="A3553" s="30" t="s">
        <v>6048</v>
      </c>
      <c r="B3553" s="31" t="s">
        <v>6049</v>
      </c>
    </row>
    <row r="3554" spans="1:2" x14ac:dyDescent="0.25">
      <c r="A3554" s="32" t="s">
        <v>6050</v>
      </c>
      <c r="B3554" s="33" t="s">
        <v>6051</v>
      </c>
    </row>
    <row r="3555" spans="1:2" x14ac:dyDescent="0.25">
      <c r="A3555" s="30" t="s">
        <v>1234</v>
      </c>
      <c r="B3555" s="31" t="s">
        <v>6052</v>
      </c>
    </row>
    <row r="3556" spans="1:2" x14ac:dyDescent="0.25">
      <c r="A3556" s="32" t="s">
        <v>10677</v>
      </c>
      <c r="B3556" s="33" t="s">
        <v>10677</v>
      </c>
    </row>
    <row r="3557" spans="1:2" x14ac:dyDescent="0.25">
      <c r="A3557" s="30" t="s">
        <v>6053</v>
      </c>
      <c r="B3557" s="31" t="s">
        <v>6054</v>
      </c>
    </row>
    <row r="3558" spans="1:2" x14ac:dyDescent="0.25">
      <c r="A3558" s="32" t="s">
        <v>664</v>
      </c>
      <c r="B3558" s="33" t="s">
        <v>6055</v>
      </c>
    </row>
    <row r="3559" spans="1:2" x14ac:dyDescent="0.25">
      <c r="A3559" s="30" t="s">
        <v>10678</v>
      </c>
      <c r="B3559" s="31" t="s">
        <v>10678</v>
      </c>
    </row>
    <row r="3560" spans="1:2" x14ac:dyDescent="0.25">
      <c r="A3560" s="32" t="s">
        <v>6056</v>
      </c>
      <c r="B3560" s="33" t="s">
        <v>6057</v>
      </c>
    </row>
    <row r="3561" spans="1:2" x14ac:dyDescent="0.25">
      <c r="A3561" s="30" t="s">
        <v>6058</v>
      </c>
      <c r="B3561" s="31" t="s">
        <v>6059</v>
      </c>
    </row>
    <row r="3562" spans="1:2" x14ac:dyDescent="0.25">
      <c r="A3562" s="32" t="s">
        <v>6060</v>
      </c>
      <c r="B3562" s="33" t="s">
        <v>6061</v>
      </c>
    </row>
    <row r="3563" spans="1:2" x14ac:dyDescent="0.25">
      <c r="A3563" s="30" t="s">
        <v>6062</v>
      </c>
      <c r="B3563" s="31" t="s">
        <v>6063</v>
      </c>
    </row>
    <row r="3564" spans="1:2" x14ac:dyDescent="0.25">
      <c r="A3564" s="32" t="s">
        <v>10679</v>
      </c>
      <c r="B3564" s="33" t="s">
        <v>10679</v>
      </c>
    </row>
    <row r="3565" spans="1:2" x14ac:dyDescent="0.25">
      <c r="A3565" s="30" t="s">
        <v>665</v>
      </c>
      <c r="B3565" s="31" t="s">
        <v>6064</v>
      </c>
    </row>
    <row r="3566" spans="1:2" x14ac:dyDescent="0.25">
      <c r="A3566" s="32" t="s">
        <v>666</v>
      </c>
      <c r="B3566" s="33" t="s">
        <v>6065</v>
      </c>
    </row>
    <row r="3567" spans="1:2" x14ac:dyDescent="0.25">
      <c r="A3567" s="30" t="s">
        <v>667</v>
      </c>
      <c r="B3567" s="31" t="s">
        <v>6066</v>
      </c>
    </row>
    <row r="3568" spans="1:2" x14ac:dyDescent="0.25">
      <c r="A3568" s="32" t="s">
        <v>10680</v>
      </c>
      <c r="B3568" s="33" t="s">
        <v>10680</v>
      </c>
    </row>
    <row r="3569" spans="1:2" x14ac:dyDescent="0.25">
      <c r="A3569" s="30" t="s">
        <v>6067</v>
      </c>
      <c r="B3569" s="31" t="s">
        <v>6068</v>
      </c>
    </row>
    <row r="3570" spans="1:2" x14ac:dyDescent="0.25">
      <c r="A3570" s="32" t="s">
        <v>6069</v>
      </c>
      <c r="B3570" s="33" t="s">
        <v>6070</v>
      </c>
    </row>
    <row r="3571" spans="1:2" x14ac:dyDescent="0.25">
      <c r="A3571" s="30" t="s">
        <v>6071</v>
      </c>
      <c r="B3571" s="31" t="s">
        <v>6072</v>
      </c>
    </row>
    <row r="3572" spans="1:2" x14ac:dyDescent="0.25">
      <c r="A3572" s="32" t="s">
        <v>10681</v>
      </c>
      <c r="B3572" s="33" t="s">
        <v>10681</v>
      </c>
    </row>
    <row r="3573" spans="1:2" x14ac:dyDescent="0.25">
      <c r="A3573" s="30" t="s">
        <v>10682</v>
      </c>
      <c r="B3573" s="31" t="s">
        <v>10682</v>
      </c>
    </row>
    <row r="3574" spans="1:2" x14ac:dyDescent="0.25">
      <c r="A3574" s="32" t="s">
        <v>10683</v>
      </c>
      <c r="B3574" s="33" t="s">
        <v>10683</v>
      </c>
    </row>
    <row r="3575" spans="1:2" x14ac:dyDescent="0.25">
      <c r="A3575" s="30" t="s">
        <v>6073</v>
      </c>
      <c r="B3575" s="31" t="s">
        <v>6074</v>
      </c>
    </row>
    <row r="3576" spans="1:2" x14ac:dyDescent="0.25">
      <c r="A3576" s="32" t="s">
        <v>6075</v>
      </c>
      <c r="B3576" s="33" t="s">
        <v>6076</v>
      </c>
    </row>
    <row r="3577" spans="1:2" x14ac:dyDescent="0.25">
      <c r="A3577" s="30" t="s">
        <v>6077</v>
      </c>
      <c r="B3577" s="31" t="s">
        <v>6078</v>
      </c>
    </row>
    <row r="3578" spans="1:2" x14ac:dyDescent="0.25">
      <c r="A3578" s="32" t="s">
        <v>10684</v>
      </c>
      <c r="B3578" s="33" t="s">
        <v>10684</v>
      </c>
    </row>
    <row r="3579" spans="1:2" x14ac:dyDescent="0.25">
      <c r="A3579" s="30" t="s">
        <v>10685</v>
      </c>
      <c r="B3579" s="31" t="s">
        <v>10685</v>
      </c>
    </row>
    <row r="3580" spans="1:2" x14ac:dyDescent="0.25">
      <c r="A3580" s="32" t="s">
        <v>10686</v>
      </c>
      <c r="B3580" s="33" t="s">
        <v>10686</v>
      </c>
    </row>
    <row r="3581" spans="1:2" x14ac:dyDescent="0.25">
      <c r="A3581" s="30" t="s">
        <v>6079</v>
      </c>
      <c r="B3581" s="31" t="s">
        <v>6080</v>
      </c>
    </row>
    <row r="3582" spans="1:2" x14ac:dyDescent="0.25">
      <c r="A3582" s="32" t="s">
        <v>10687</v>
      </c>
      <c r="B3582" s="33" t="s">
        <v>10687</v>
      </c>
    </row>
    <row r="3583" spans="1:2" x14ac:dyDescent="0.25">
      <c r="A3583" s="30" t="s">
        <v>6081</v>
      </c>
      <c r="B3583" s="31" t="s">
        <v>6082</v>
      </c>
    </row>
    <row r="3584" spans="1:2" x14ac:dyDescent="0.25">
      <c r="A3584" s="32" t="s">
        <v>6083</v>
      </c>
      <c r="B3584" s="33" t="s">
        <v>6084</v>
      </c>
    </row>
    <row r="3585" spans="1:2" x14ac:dyDescent="0.25">
      <c r="A3585" s="30" t="s">
        <v>668</v>
      </c>
      <c r="B3585" s="31" t="s">
        <v>6085</v>
      </c>
    </row>
    <row r="3586" spans="1:2" x14ac:dyDescent="0.25">
      <c r="A3586" s="32" t="s">
        <v>6086</v>
      </c>
      <c r="B3586" s="33" t="s">
        <v>6087</v>
      </c>
    </row>
    <row r="3587" spans="1:2" x14ac:dyDescent="0.25">
      <c r="A3587" s="30" t="s">
        <v>6088</v>
      </c>
      <c r="B3587" s="31" t="s">
        <v>6089</v>
      </c>
    </row>
    <row r="3588" spans="1:2" x14ac:dyDescent="0.25">
      <c r="A3588" s="32" t="s">
        <v>6090</v>
      </c>
      <c r="B3588" s="33" t="s">
        <v>6091</v>
      </c>
    </row>
    <row r="3589" spans="1:2" x14ac:dyDescent="0.25">
      <c r="A3589" s="30" t="s">
        <v>669</v>
      </c>
      <c r="B3589" s="31" t="s">
        <v>6092</v>
      </c>
    </row>
    <row r="3590" spans="1:2" x14ac:dyDescent="0.25">
      <c r="A3590" s="32" t="s">
        <v>6093</v>
      </c>
      <c r="B3590" s="33" t="s">
        <v>6094</v>
      </c>
    </row>
    <row r="3591" spans="1:2" x14ac:dyDescent="0.25">
      <c r="A3591" s="30" t="s">
        <v>10688</v>
      </c>
      <c r="B3591" s="31" t="s">
        <v>10688</v>
      </c>
    </row>
    <row r="3592" spans="1:2" x14ac:dyDescent="0.25">
      <c r="A3592" s="32" t="s">
        <v>6095</v>
      </c>
      <c r="B3592" s="33" t="s">
        <v>6096</v>
      </c>
    </row>
    <row r="3593" spans="1:2" x14ac:dyDescent="0.25">
      <c r="A3593" s="30" t="s">
        <v>10689</v>
      </c>
      <c r="B3593" s="31" t="s">
        <v>10689</v>
      </c>
    </row>
    <row r="3594" spans="1:2" x14ac:dyDescent="0.25">
      <c r="A3594" s="32" t="s">
        <v>6097</v>
      </c>
      <c r="B3594" s="33" t="s">
        <v>6098</v>
      </c>
    </row>
    <row r="3595" spans="1:2" x14ac:dyDescent="0.25">
      <c r="A3595" s="30" t="s">
        <v>6099</v>
      </c>
      <c r="B3595" s="31" t="s">
        <v>6100</v>
      </c>
    </row>
    <row r="3596" spans="1:2" x14ac:dyDescent="0.25">
      <c r="A3596" s="32" t="s">
        <v>6101</v>
      </c>
      <c r="B3596" s="33" t="s">
        <v>6102</v>
      </c>
    </row>
    <row r="3597" spans="1:2" x14ac:dyDescent="0.25">
      <c r="A3597" s="30" t="s">
        <v>10690</v>
      </c>
      <c r="B3597" s="31" t="s">
        <v>10690</v>
      </c>
    </row>
    <row r="3598" spans="1:2" x14ac:dyDescent="0.25">
      <c r="A3598" s="32" t="s">
        <v>670</v>
      </c>
      <c r="B3598" s="33" t="s">
        <v>6103</v>
      </c>
    </row>
    <row r="3599" spans="1:2" x14ac:dyDescent="0.25">
      <c r="A3599" s="30" t="s">
        <v>671</v>
      </c>
      <c r="B3599" s="31" t="s">
        <v>6104</v>
      </c>
    </row>
    <row r="3600" spans="1:2" x14ac:dyDescent="0.25">
      <c r="A3600" s="32" t="s">
        <v>6105</v>
      </c>
      <c r="B3600" s="33" t="s">
        <v>6106</v>
      </c>
    </row>
    <row r="3601" spans="1:2" x14ac:dyDescent="0.25">
      <c r="A3601" s="30" t="s">
        <v>672</v>
      </c>
      <c r="B3601" s="31" t="s">
        <v>6107</v>
      </c>
    </row>
    <row r="3602" spans="1:2" x14ac:dyDescent="0.25">
      <c r="A3602" s="32" t="s">
        <v>6108</v>
      </c>
      <c r="B3602" s="33" t="s">
        <v>6109</v>
      </c>
    </row>
    <row r="3603" spans="1:2" x14ac:dyDescent="0.25">
      <c r="A3603" s="30" t="s">
        <v>6110</v>
      </c>
      <c r="B3603" s="31" t="s">
        <v>6111</v>
      </c>
    </row>
    <row r="3604" spans="1:2" x14ac:dyDescent="0.25">
      <c r="A3604" s="32" t="s">
        <v>6112</v>
      </c>
      <c r="B3604" s="33" t="s">
        <v>6113</v>
      </c>
    </row>
    <row r="3605" spans="1:2" x14ac:dyDescent="0.25">
      <c r="A3605" s="30" t="s">
        <v>6114</v>
      </c>
      <c r="B3605" s="31" t="s">
        <v>6115</v>
      </c>
    </row>
    <row r="3606" spans="1:2" x14ac:dyDescent="0.25">
      <c r="A3606" s="32" t="s">
        <v>6116</v>
      </c>
      <c r="B3606" s="33" t="s">
        <v>6117</v>
      </c>
    </row>
    <row r="3607" spans="1:2" x14ac:dyDescent="0.25">
      <c r="A3607" s="30" t="s">
        <v>6118</v>
      </c>
      <c r="B3607" s="31" t="s">
        <v>6119</v>
      </c>
    </row>
    <row r="3608" spans="1:2" x14ac:dyDescent="0.25">
      <c r="A3608" s="32" t="s">
        <v>6120</v>
      </c>
      <c r="B3608" s="33" t="s">
        <v>6121</v>
      </c>
    </row>
    <row r="3609" spans="1:2" x14ac:dyDescent="0.25">
      <c r="A3609" s="30" t="s">
        <v>6122</v>
      </c>
      <c r="B3609" s="31" t="s">
        <v>6123</v>
      </c>
    </row>
    <row r="3610" spans="1:2" x14ac:dyDescent="0.25">
      <c r="A3610" s="32" t="s">
        <v>6124</v>
      </c>
      <c r="B3610" s="33" t="s">
        <v>6125</v>
      </c>
    </row>
    <row r="3611" spans="1:2" x14ac:dyDescent="0.25">
      <c r="A3611" s="30" t="s">
        <v>6126</v>
      </c>
      <c r="B3611" s="31" t="s">
        <v>6127</v>
      </c>
    </row>
    <row r="3612" spans="1:2" x14ac:dyDescent="0.25">
      <c r="A3612" s="32" t="s">
        <v>6128</v>
      </c>
      <c r="B3612" s="33" t="s">
        <v>6129</v>
      </c>
    </row>
    <row r="3613" spans="1:2" x14ac:dyDescent="0.25">
      <c r="A3613" s="30" t="s">
        <v>86</v>
      </c>
      <c r="B3613" s="31" t="s">
        <v>6130</v>
      </c>
    </row>
    <row r="3614" spans="1:2" x14ac:dyDescent="0.25">
      <c r="A3614" s="32" t="s">
        <v>673</v>
      </c>
      <c r="B3614" s="33" t="s">
        <v>6131</v>
      </c>
    </row>
    <row r="3615" spans="1:2" x14ac:dyDescent="0.25">
      <c r="A3615" s="30" t="s">
        <v>10691</v>
      </c>
      <c r="B3615" s="31" t="s">
        <v>10691</v>
      </c>
    </row>
    <row r="3616" spans="1:2" x14ac:dyDescent="0.25">
      <c r="A3616" s="32" t="s">
        <v>10692</v>
      </c>
      <c r="B3616" s="33" t="s">
        <v>10692</v>
      </c>
    </row>
    <row r="3617" spans="1:2" x14ac:dyDescent="0.25">
      <c r="A3617" s="30" t="s">
        <v>10693</v>
      </c>
      <c r="B3617" s="31" t="s">
        <v>10693</v>
      </c>
    </row>
    <row r="3618" spans="1:2" x14ac:dyDescent="0.25">
      <c r="A3618" s="32" t="s">
        <v>6132</v>
      </c>
      <c r="B3618" s="33" t="s">
        <v>6133</v>
      </c>
    </row>
    <row r="3619" spans="1:2" x14ac:dyDescent="0.25">
      <c r="A3619" s="30" t="s">
        <v>10694</v>
      </c>
      <c r="B3619" s="31" t="s">
        <v>10694</v>
      </c>
    </row>
    <row r="3620" spans="1:2" x14ac:dyDescent="0.25">
      <c r="A3620" s="32" t="s">
        <v>6134</v>
      </c>
      <c r="B3620" s="33" t="s">
        <v>6135</v>
      </c>
    </row>
    <row r="3621" spans="1:2" x14ac:dyDescent="0.25">
      <c r="A3621" s="30" t="s">
        <v>10695</v>
      </c>
      <c r="B3621" s="31" t="s">
        <v>10695</v>
      </c>
    </row>
    <row r="3622" spans="1:2" x14ac:dyDescent="0.25">
      <c r="A3622" s="32" t="s">
        <v>6136</v>
      </c>
      <c r="B3622" s="33" t="s">
        <v>6137</v>
      </c>
    </row>
    <row r="3623" spans="1:2" x14ac:dyDescent="0.25">
      <c r="A3623" s="30" t="s">
        <v>674</v>
      </c>
      <c r="B3623" s="31" t="s">
        <v>6138</v>
      </c>
    </row>
    <row r="3624" spans="1:2" x14ac:dyDescent="0.25">
      <c r="A3624" s="32" t="s">
        <v>675</v>
      </c>
      <c r="B3624" s="33" t="s">
        <v>675</v>
      </c>
    </row>
    <row r="3625" spans="1:2" x14ac:dyDescent="0.25">
      <c r="A3625" s="30" t="s">
        <v>10696</v>
      </c>
      <c r="B3625" s="31" t="s">
        <v>10696</v>
      </c>
    </row>
    <row r="3626" spans="1:2" x14ac:dyDescent="0.25">
      <c r="A3626" s="32" t="s">
        <v>10697</v>
      </c>
      <c r="B3626" s="33" t="s">
        <v>10697</v>
      </c>
    </row>
    <row r="3627" spans="1:2" x14ac:dyDescent="0.25">
      <c r="A3627" s="30" t="s">
        <v>10698</v>
      </c>
      <c r="B3627" s="31" t="s">
        <v>10698</v>
      </c>
    </row>
    <row r="3628" spans="1:2" x14ac:dyDescent="0.25">
      <c r="A3628" s="32" t="s">
        <v>676</v>
      </c>
      <c r="B3628" s="33" t="s">
        <v>6139</v>
      </c>
    </row>
    <row r="3629" spans="1:2" x14ac:dyDescent="0.25">
      <c r="A3629" s="30" t="s">
        <v>6140</v>
      </c>
      <c r="B3629" s="31" t="s">
        <v>6141</v>
      </c>
    </row>
    <row r="3630" spans="1:2" x14ac:dyDescent="0.25">
      <c r="A3630" s="32" t="s">
        <v>6142</v>
      </c>
      <c r="B3630" s="33" t="s">
        <v>6143</v>
      </c>
    </row>
    <row r="3631" spans="1:2" x14ac:dyDescent="0.25">
      <c r="A3631" s="30" t="s">
        <v>6144</v>
      </c>
      <c r="B3631" s="31" t="s">
        <v>6145</v>
      </c>
    </row>
    <row r="3632" spans="1:2" x14ac:dyDescent="0.25">
      <c r="A3632" s="32" t="s">
        <v>6146</v>
      </c>
      <c r="B3632" s="33" t="s">
        <v>6147</v>
      </c>
    </row>
    <row r="3633" spans="1:2" x14ac:dyDescent="0.25">
      <c r="A3633" s="30" t="s">
        <v>6148</v>
      </c>
      <c r="B3633" s="31" t="s">
        <v>6149</v>
      </c>
    </row>
    <row r="3634" spans="1:2" x14ac:dyDescent="0.25">
      <c r="A3634" s="32" t="s">
        <v>10699</v>
      </c>
      <c r="B3634" s="33" t="s">
        <v>10699</v>
      </c>
    </row>
    <row r="3635" spans="1:2" x14ac:dyDescent="0.25">
      <c r="A3635" s="30" t="s">
        <v>10700</v>
      </c>
      <c r="B3635" s="31" t="s">
        <v>10700</v>
      </c>
    </row>
    <row r="3636" spans="1:2" x14ac:dyDescent="0.25">
      <c r="A3636" s="32" t="s">
        <v>6150</v>
      </c>
      <c r="B3636" s="33" t="s">
        <v>6151</v>
      </c>
    </row>
    <row r="3637" spans="1:2" x14ac:dyDescent="0.25">
      <c r="A3637" s="30" t="s">
        <v>677</v>
      </c>
      <c r="B3637" s="31" t="s">
        <v>6152</v>
      </c>
    </row>
    <row r="3638" spans="1:2" x14ac:dyDescent="0.25">
      <c r="A3638" s="32" t="s">
        <v>6153</v>
      </c>
      <c r="B3638" s="33" t="s">
        <v>6154</v>
      </c>
    </row>
    <row r="3639" spans="1:2" x14ac:dyDescent="0.25">
      <c r="A3639" s="30" t="s">
        <v>678</v>
      </c>
      <c r="B3639" s="31" t="s">
        <v>6155</v>
      </c>
    </row>
    <row r="3640" spans="1:2" x14ac:dyDescent="0.25">
      <c r="A3640" s="32" t="s">
        <v>6156</v>
      </c>
      <c r="B3640" s="33" t="s">
        <v>6157</v>
      </c>
    </row>
    <row r="3641" spans="1:2" x14ac:dyDescent="0.25">
      <c r="A3641" s="30" t="s">
        <v>679</v>
      </c>
      <c r="B3641" s="31" t="s">
        <v>6158</v>
      </c>
    </row>
    <row r="3642" spans="1:2" x14ac:dyDescent="0.25">
      <c r="A3642" s="32" t="s">
        <v>6159</v>
      </c>
      <c r="B3642" s="33" t="s">
        <v>6160</v>
      </c>
    </row>
    <row r="3643" spans="1:2" x14ac:dyDescent="0.25">
      <c r="A3643" s="30" t="s">
        <v>10701</v>
      </c>
      <c r="B3643" s="31" t="s">
        <v>10701</v>
      </c>
    </row>
    <row r="3644" spans="1:2" x14ac:dyDescent="0.25">
      <c r="A3644" s="32" t="s">
        <v>6161</v>
      </c>
      <c r="B3644" s="33" t="s">
        <v>6162</v>
      </c>
    </row>
    <row r="3645" spans="1:2" x14ac:dyDescent="0.25">
      <c r="A3645" s="30" t="s">
        <v>6163</v>
      </c>
      <c r="B3645" s="31" t="s">
        <v>6164</v>
      </c>
    </row>
    <row r="3646" spans="1:2" x14ac:dyDescent="0.25">
      <c r="A3646" s="32" t="s">
        <v>10702</v>
      </c>
      <c r="B3646" s="33" t="s">
        <v>10702</v>
      </c>
    </row>
    <row r="3647" spans="1:2" x14ac:dyDescent="0.25">
      <c r="A3647" s="30" t="s">
        <v>6165</v>
      </c>
      <c r="B3647" s="31" t="s">
        <v>6166</v>
      </c>
    </row>
    <row r="3648" spans="1:2" x14ac:dyDescent="0.25">
      <c r="A3648" s="32" t="s">
        <v>6167</v>
      </c>
      <c r="B3648" s="33" t="s">
        <v>6168</v>
      </c>
    </row>
    <row r="3649" spans="1:2" x14ac:dyDescent="0.25">
      <c r="A3649" s="30" t="s">
        <v>6169</v>
      </c>
      <c r="B3649" s="31" t="s">
        <v>6170</v>
      </c>
    </row>
    <row r="3650" spans="1:2" x14ac:dyDescent="0.25">
      <c r="A3650" s="32" t="s">
        <v>6171</v>
      </c>
      <c r="B3650" s="33" t="s">
        <v>6172</v>
      </c>
    </row>
    <row r="3651" spans="1:2" x14ac:dyDescent="0.25">
      <c r="A3651" s="30" t="s">
        <v>6173</v>
      </c>
      <c r="B3651" s="31" t="s">
        <v>6174</v>
      </c>
    </row>
    <row r="3652" spans="1:2" x14ac:dyDescent="0.25">
      <c r="A3652" s="32" t="s">
        <v>6175</v>
      </c>
      <c r="B3652" s="33" t="s">
        <v>6176</v>
      </c>
    </row>
    <row r="3653" spans="1:2" x14ac:dyDescent="0.25">
      <c r="A3653" s="30" t="s">
        <v>680</v>
      </c>
      <c r="B3653" s="31" t="s">
        <v>6177</v>
      </c>
    </row>
    <row r="3654" spans="1:2" x14ac:dyDescent="0.25">
      <c r="A3654" s="32" t="s">
        <v>6178</v>
      </c>
      <c r="B3654" s="33" t="s">
        <v>6179</v>
      </c>
    </row>
    <row r="3655" spans="1:2" x14ac:dyDescent="0.25">
      <c r="A3655" s="30" t="s">
        <v>10703</v>
      </c>
      <c r="B3655" s="31" t="s">
        <v>10703</v>
      </c>
    </row>
    <row r="3656" spans="1:2" x14ac:dyDescent="0.25">
      <c r="A3656" s="32" t="s">
        <v>6180</v>
      </c>
      <c r="B3656" s="33" t="s">
        <v>6181</v>
      </c>
    </row>
    <row r="3657" spans="1:2" x14ac:dyDescent="0.25">
      <c r="A3657" s="30" t="s">
        <v>6182</v>
      </c>
      <c r="B3657" s="31" t="s">
        <v>6183</v>
      </c>
    </row>
    <row r="3658" spans="1:2" x14ac:dyDescent="0.25">
      <c r="A3658" s="32" t="s">
        <v>6184</v>
      </c>
      <c r="B3658" s="33" t="s">
        <v>6185</v>
      </c>
    </row>
    <row r="3659" spans="1:2" x14ac:dyDescent="0.25">
      <c r="A3659" s="30" t="s">
        <v>10704</v>
      </c>
      <c r="B3659" s="31" t="s">
        <v>10704</v>
      </c>
    </row>
    <row r="3660" spans="1:2" x14ac:dyDescent="0.25">
      <c r="A3660" s="32" t="s">
        <v>6186</v>
      </c>
      <c r="B3660" s="33" t="s">
        <v>6187</v>
      </c>
    </row>
    <row r="3661" spans="1:2" x14ac:dyDescent="0.25">
      <c r="A3661" s="30" t="s">
        <v>6188</v>
      </c>
      <c r="B3661" s="31" t="s">
        <v>6189</v>
      </c>
    </row>
    <row r="3662" spans="1:2" x14ac:dyDescent="0.25">
      <c r="A3662" s="32" t="s">
        <v>681</v>
      </c>
      <c r="B3662" s="33" t="s">
        <v>6190</v>
      </c>
    </row>
    <row r="3663" spans="1:2" x14ac:dyDescent="0.25">
      <c r="A3663" s="30" t="s">
        <v>682</v>
      </c>
      <c r="B3663" s="31" t="s">
        <v>6191</v>
      </c>
    </row>
    <row r="3664" spans="1:2" x14ac:dyDescent="0.25">
      <c r="A3664" s="32" t="s">
        <v>683</v>
      </c>
      <c r="B3664" s="33" t="s">
        <v>6192</v>
      </c>
    </row>
    <row r="3665" spans="1:2" x14ac:dyDescent="0.25">
      <c r="A3665" s="30" t="s">
        <v>6193</v>
      </c>
      <c r="B3665" s="31" t="s">
        <v>6194</v>
      </c>
    </row>
    <row r="3666" spans="1:2" x14ac:dyDescent="0.25">
      <c r="A3666" s="32" t="s">
        <v>6195</v>
      </c>
      <c r="B3666" s="33" t="s">
        <v>6196</v>
      </c>
    </row>
    <row r="3667" spans="1:2" x14ac:dyDescent="0.25">
      <c r="A3667" s="30" t="s">
        <v>6197</v>
      </c>
      <c r="B3667" s="31" t="s">
        <v>6198</v>
      </c>
    </row>
    <row r="3668" spans="1:2" x14ac:dyDescent="0.25">
      <c r="A3668" s="32" t="s">
        <v>10705</v>
      </c>
      <c r="B3668" s="33" t="s">
        <v>10705</v>
      </c>
    </row>
    <row r="3669" spans="1:2" x14ac:dyDescent="0.25">
      <c r="A3669" s="30" t="s">
        <v>684</v>
      </c>
      <c r="B3669" s="31" t="s">
        <v>6199</v>
      </c>
    </row>
    <row r="3670" spans="1:2" x14ac:dyDescent="0.25">
      <c r="A3670" s="32" t="s">
        <v>6200</v>
      </c>
      <c r="B3670" s="33" t="s">
        <v>6201</v>
      </c>
    </row>
    <row r="3671" spans="1:2" x14ac:dyDescent="0.25">
      <c r="A3671" s="30" t="s">
        <v>685</v>
      </c>
      <c r="B3671" s="31" t="s">
        <v>6202</v>
      </c>
    </row>
    <row r="3672" spans="1:2" x14ac:dyDescent="0.25">
      <c r="A3672" s="32" t="s">
        <v>10706</v>
      </c>
      <c r="B3672" s="33" t="s">
        <v>10706</v>
      </c>
    </row>
    <row r="3673" spans="1:2" x14ac:dyDescent="0.25">
      <c r="A3673" s="30" t="s">
        <v>6203</v>
      </c>
      <c r="B3673" s="31" t="s">
        <v>6204</v>
      </c>
    </row>
    <row r="3674" spans="1:2" x14ac:dyDescent="0.25">
      <c r="A3674" s="32" t="s">
        <v>686</v>
      </c>
      <c r="B3674" s="33" t="s">
        <v>6205</v>
      </c>
    </row>
    <row r="3675" spans="1:2" x14ac:dyDescent="0.25">
      <c r="A3675" s="30" t="s">
        <v>6206</v>
      </c>
      <c r="B3675" s="31" t="s">
        <v>6207</v>
      </c>
    </row>
    <row r="3676" spans="1:2" x14ac:dyDescent="0.25">
      <c r="A3676" s="32" t="s">
        <v>6208</v>
      </c>
      <c r="B3676" s="33" t="s">
        <v>6209</v>
      </c>
    </row>
    <row r="3677" spans="1:2" x14ac:dyDescent="0.25">
      <c r="A3677" s="30" t="s">
        <v>6210</v>
      </c>
      <c r="B3677" s="31" t="s">
        <v>6211</v>
      </c>
    </row>
    <row r="3678" spans="1:2" x14ac:dyDescent="0.25">
      <c r="A3678" s="32" t="s">
        <v>6212</v>
      </c>
      <c r="B3678" s="33" t="s">
        <v>6213</v>
      </c>
    </row>
    <row r="3679" spans="1:2" x14ac:dyDescent="0.25">
      <c r="A3679" s="30" t="s">
        <v>6214</v>
      </c>
      <c r="B3679" s="31" t="s">
        <v>6215</v>
      </c>
    </row>
    <row r="3680" spans="1:2" x14ac:dyDescent="0.25">
      <c r="A3680" s="32" t="s">
        <v>6216</v>
      </c>
      <c r="B3680" s="33" t="s">
        <v>6217</v>
      </c>
    </row>
    <row r="3681" spans="1:2" x14ac:dyDescent="0.25">
      <c r="A3681" s="30" t="s">
        <v>6218</v>
      </c>
      <c r="B3681" s="31" t="s">
        <v>6219</v>
      </c>
    </row>
    <row r="3682" spans="1:2" x14ac:dyDescent="0.25">
      <c r="A3682" s="32" t="s">
        <v>6220</v>
      </c>
      <c r="B3682" s="33" t="s">
        <v>6221</v>
      </c>
    </row>
    <row r="3683" spans="1:2" x14ac:dyDescent="0.25">
      <c r="A3683" s="30" t="s">
        <v>10707</v>
      </c>
      <c r="B3683" s="31" t="s">
        <v>10707</v>
      </c>
    </row>
    <row r="3684" spans="1:2" x14ac:dyDescent="0.25">
      <c r="A3684" s="32" t="s">
        <v>10708</v>
      </c>
      <c r="B3684" s="33" t="s">
        <v>10708</v>
      </c>
    </row>
    <row r="3685" spans="1:2" x14ac:dyDescent="0.25">
      <c r="A3685" s="30" t="s">
        <v>10709</v>
      </c>
      <c r="B3685" s="31" t="s">
        <v>10709</v>
      </c>
    </row>
    <row r="3686" spans="1:2" x14ac:dyDescent="0.25">
      <c r="A3686" s="32" t="s">
        <v>10710</v>
      </c>
      <c r="B3686" s="33" t="s">
        <v>10710</v>
      </c>
    </row>
    <row r="3687" spans="1:2" x14ac:dyDescent="0.25">
      <c r="A3687" s="30" t="s">
        <v>10711</v>
      </c>
      <c r="B3687" s="31" t="s">
        <v>10711</v>
      </c>
    </row>
    <row r="3688" spans="1:2" x14ac:dyDescent="0.25">
      <c r="A3688" s="32" t="s">
        <v>10712</v>
      </c>
      <c r="B3688" s="33" t="s">
        <v>10712</v>
      </c>
    </row>
    <row r="3689" spans="1:2" x14ac:dyDescent="0.25">
      <c r="A3689" s="30" t="s">
        <v>6222</v>
      </c>
      <c r="B3689" s="31" t="s">
        <v>6223</v>
      </c>
    </row>
    <row r="3690" spans="1:2" x14ac:dyDescent="0.25">
      <c r="A3690" s="32" t="s">
        <v>10713</v>
      </c>
      <c r="B3690" s="33" t="s">
        <v>10713</v>
      </c>
    </row>
    <row r="3691" spans="1:2" x14ac:dyDescent="0.25">
      <c r="A3691" s="30" t="s">
        <v>10714</v>
      </c>
      <c r="B3691" s="31" t="s">
        <v>10714</v>
      </c>
    </row>
    <row r="3692" spans="1:2" x14ac:dyDescent="0.25">
      <c r="A3692" s="32" t="s">
        <v>10715</v>
      </c>
      <c r="B3692" s="33" t="s">
        <v>10715</v>
      </c>
    </row>
    <row r="3693" spans="1:2" x14ac:dyDescent="0.25">
      <c r="A3693" s="30" t="s">
        <v>687</v>
      </c>
      <c r="B3693" s="31" t="s">
        <v>6224</v>
      </c>
    </row>
    <row r="3694" spans="1:2" x14ac:dyDescent="0.25">
      <c r="A3694" s="32" t="s">
        <v>6225</v>
      </c>
      <c r="B3694" s="33" t="s">
        <v>6226</v>
      </c>
    </row>
    <row r="3695" spans="1:2" x14ac:dyDescent="0.25">
      <c r="A3695" s="30" t="s">
        <v>6227</v>
      </c>
      <c r="B3695" s="31" t="s">
        <v>6228</v>
      </c>
    </row>
    <row r="3696" spans="1:2" x14ac:dyDescent="0.25">
      <c r="A3696" s="32" t="s">
        <v>6229</v>
      </c>
      <c r="B3696" s="33" t="s">
        <v>6230</v>
      </c>
    </row>
    <row r="3697" spans="1:2" x14ac:dyDescent="0.25">
      <c r="A3697" s="30" t="s">
        <v>6231</v>
      </c>
      <c r="B3697" s="31" t="s">
        <v>6232</v>
      </c>
    </row>
    <row r="3698" spans="1:2" x14ac:dyDescent="0.25">
      <c r="A3698" s="32" t="s">
        <v>10716</v>
      </c>
      <c r="B3698" s="33" t="s">
        <v>10716</v>
      </c>
    </row>
    <row r="3699" spans="1:2" x14ac:dyDescent="0.25">
      <c r="A3699" s="30" t="s">
        <v>10717</v>
      </c>
      <c r="B3699" s="31" t="s">
        <v>10717</v>
      </c>
    </row>
    <row r="3700" spans="1:2" x14ac:dyDescent="0.25">
      <c r="A3700" s="32" t="s">
        <v>6233</v>
      </c>
      <c r="B3700" s="33" t="s">
        <v>6234</v>
      </c>
    </row>
    <row r="3701" spans="1:2" x14ac:dyDescent="0.25">
      <c r="A3701" s="30" t="s">
        <v>6235</v>
      </c>
      <c r="B3701" s="31" t="s">
        <v>6236</v>
      </c>
    </row>
    <row r="3702" spans="1:2" x14ac:dyDescent="0.25">
      <c r="A3702" s="32" t="s">
        <v>6237</v>
      </c>
      <c r="B3702" s="33" t="s">
        <v>6238</v>
      </c>
    </row>
    <row r="3703" spans="1:2" x14ac:dyDescent="0.25">
      <c r="A3703" s="30" t="s">
        <v>6239</v>
      </c>
      <c r="B3703" s="31" t="s">
        <v>6240</v>
      </c>
    </row>
    <row r="3704" spans="1:2" x14ac:dyDescent="0.25">
      <c r="A3704" s="32" t="s">
        <v>6241</v>
      </c>
      <c r="B3704" s="33" t="s">
        <v>6242</v>
      </c>
    </row>
    <row r="3705" spans="1:2" x14ac:dyDescent="0.25">
      <c r="A3705" s="30" t="s">
        <v>1254</v>
      </c>
      <c r="B3705" s="31" t="s">
        <v>1254</v>
      </c>
    </row>
    <row r="3706" spans="1:2" x14ac:dyDescent="0.25">
      <c r="A3706" s="32" t="s">
        <v>688</v>
      </c>
      <c r="B3706" s="33" t="s">
        <v>6243</v>
      </c>
    </row>
    <row r="3707" spans="1:2" x14ac:dyDescent="0.25">
      <c r="A3707" s="30" t="s">
        <v>6244</v>
      </c>
      <c r="B3707" s="31" t="s">
        <v>6245</v>
      </c>
    </row>
    <row r="3708" spans="1:2" x14ac:dyDescent="0.25">
      <c r="A3708" s="32" t="s">
        <v>6246</v>
      </c>
      <c r="B3708" s="33" t="s">
        <v>6247</v>
      </c>
    </row>
    <row r="3709" spans="1:2" x14ac:dyDescent="0.25">
      <c r="A3709" s="30" t="s">
        <v>689</v>
      </c>
      <c r="B3709" s="31" t="s">
        <v>6248</v>
      </c>
    </row>
    <row r="3710" spans="1:2" x14ac:dyDescent="0.25">
      <c r="A3710" s="32" t="s">
        <v>6249</v>
      </c>
      <c r="B3710" s="33" t="s">
        <v>6250</v>
      </c>
    </row>
    <row r="3711" spans="1:2" x14ac:dyDescent="0.25">
      <c r="A3711" s="30" t="s">
        <v>6251</v>
      </c>
      <c r="B3711" s="31" t="s">
        <v>6252</v>
      </c>
    </row>
    <row r="3712" spans="1:2" x14ac:dyDescent="0.25">
      <c r="A3712" s="32" t="s">
        <v>690</v>
      </c>
      <c r="B3712" s="33" t="s">
        <v>6253</v>
      </c>
    </row>
    <row r="3713" spans="1:2" x14ac:dyDescent="0.25">
      <c r="A3713" s="30" t="s">
        <v>6254</v>
      </c>
      <c r="B3713" s="31" t="s">
        <v>6255</v>
      </c>
    </row>
    <row r="3714" spans="1:2" x14ac:dyDescent="0.25">
      <c r="A3714" s="32" t="s">
        <v>6256</v>
      </c>
      <c r="B3714" s="33" t="s">
        <v>6257</v>
      </c>
    </row>
    <row r="3715" spans="1:2" x14ac:dyDescent="0.25">
      <c r="A3715" s="30" t="s">
        <v>6258</v>
      </c>
      <c r="B3715" s="31" t="s">
        <v>6259</v>
      </c>
    </row>
    <row r="3716" spans="1:2" x14ac:dyDescent="0.25">
      <c r="A3716" s="32" t="s">
        <v>6260</v>
      </c>
      <c r="B3716" s="33" t="s">
        <v>6261</v>
      </c>
    </row>
    <row r="3717" spans="1:2" x14ac:dyDescent="0.25">
      <c r="A3717" s="30" t="s">
        <v>6262</v>
      </c>
      <c r="B3717" s="31" t="s">
        <v>6263</v>
      </c>
    </row>
    <row r="3718" spans="1:2" x14ac:dyDescent="0.25">
      <c r="A3718" s="32" t="s">
        <v>6264</v>
      </c>
      <c r="B3718" s="33" t="s">
        <v>6265</v>
      </c>
    </row>
    <row r="3719" spans="1:2" x14ac:dyDescent="0.25">
      <c r="A3719" s="30" t="s">
        <v>6266</v>
      </c>
      <c r="B3719" s="31" t="s">
        <v>6267</v>
      </c>
    </row>
    <row r="3720" spans="1:2" x14ac:dyDescent="0.25">
      <c r="A3720" s="32" t="s">
        <v>6268</v>
      </c>
      <c r="B3720" s="33" t="s">
        <v>6269</v>
      </c>
    </row>
    <row r="3721" spans="1:2" x14ac:dyDescent="0.25">
      <c r="A3721" s="30" t="s">
        <v>10718</v>
      </c>
      <c r="B3721" s="31" t="s">
        <v>10718</v>
      </c>
    </row>
    <row r="3722" spans="1:2" x14ac:dyDescent="0.25">
      <c r="A3722" s="32" t="s">
        <v>10719</v>
      </c>
      <c r="B3722" s="33" t="s">
        <v>10719</v>
      </c>
    </row>
    <row r="3723" spans="1:2" x14ac:dyDescent="0.25">
      <c r="A3723" s="30" t="s">
        <v>6270</v>
      </c>
      <c r="B3723" s="31" t="s">
        <v>6271</v>
      </c>
    </row>
    <row r="3724" spans="1:2" x14ac:dyDescent="0.25">
      <c r="A3724" s="32" t="s">
        <v>691</v>
      </c>
      <c r="B3724" s="33" t="s">
        <v>6272</v>
      </c>
    </row>
    <row r="3725" spans="1:2" x14ac:dyDescent="0.25">
      <c r="A3725" s="30" t="s">
        <v>6273</v>
      </c>
      <c r="B3725" s="31" t="s">
        <v>6274</v>
      </c>
    </row>
    <row r="3726" spans="1:2" x14ac:dyDescent="0.25">
      <c r="A3726" s="32" t="s">
        <v>6275</v>
      </c>
      <c r="B3726" s="33" t="s">
        <v>6276</v>
      </c>
    </row>
    <row r="3727" spans="1:2" x14ac:dyDescent="0.25">
      <c r="A3727" s="30" t="s">
        <v>6277</v>
      </c>
      <c r="B3727" s="31" t="s">
        <v>6278</v>
      </c>
    </row>
    <row r="3728" spans="1:2" x14ac:dyDescent="0.25">
      <c r="A3728" s="32" t="s">
        <v>6279</v>
      </c>
      <c r="B3728" s="33" t="s">
        <v>6280</v>
      </c>
    </row>
    <row r="3729" spans="1:2" x14ac:dyDescent="0.25">
      <c r="A3729" s="30" t="s">
        <v>692</v>
      </c>
      <c r="B3729" s="31" t="s">
        <v>6281</v>
      </c>
    </row>
    <row r="3730" spans="1:2" x14ac:dyDescent="0.25">
      <c r="A3730" s="32" t="s">
        <v>6282</v>
      </c>
      <c r="B3730" s="33" t="s">
        <v>6283</v>
      </c>
    </row>
    <row r="3731" spans="1:2" x14ac:dyDescent="0.25">
      <c r="A3731" s="30" t="s">
        <v>10720</v>
      </c>
      <c r="B3731" s="31" t="s">
        <v>10720</v>
      </c>
    </row>
    <row r="3732" spans="1:2" x14ac:dyDescent="0.25">
      <c r="A3732" s="32" t="s">
        <v>10721</v>
      </c>
      <c r="B3732" s="33" t="s">
        <v>10721</v>
      </c>
    </row>
    <row r="3733" spans="1:2" x14ac:dyDescent="0.25">
      <c r="A3733" s="30" t="s">
        <v>6284</v>
      </c>
      <c r="B3733" s="31" t="s">
        <v>6285</v>
      </c>
    </row>
    <row r="3734" spans="1:2" x14ac:dyDescent="0.25">
      <c r="A3734" s="32" t="s">
        <v>6286</v>
      </c>
      <c r="B3734" s="33" t="s">
        <v>6287</v>
      </c>
    </row>
    <row r="3735" spans="1:2" x14ac:dyDescent="0.25">
      <c r="A3735" s="30" t="s">
        <v>10722</v>
      </c>
      <c r="B3735" s="31" t="s">
        <v>10722</v>
      </c>
    </row>
    <row r="3736" spans="1:2" x14ac:dyDescent="0.25">
      <c r="A3736" s="32" t="s">
        <v>6288</v>
      </c>
      <c r="B3736" s="33" t="s">
        <v>6289</v>
      </c>
    </row>
    <row r="3737" spans="1:2" x14ac:dyDescent="0.25">
      <c r="A3737" s="30" t="s">
        <v>6290</v>
      </c>
      <c r="B3737" s="31" t="s">
        <v>6291</v>
      </c>
    </row>
    <row r="3738" spans="1:2" x14ac:dyDescent="0.25">
      <c r="A3738" s="32" t="s">
        <v>89</v>
      </c>
      <c r="B3738" s="33" t="s">
        <v>6292</v>
      </c>
    </row>
    <row r="3739" spans="1:2" x14ac:dyDescent="0.25">
      <c r="A3739" s="30" t="s">
        <v>6293</v>
      </c>
      <c r="B3739" s="31" t="s">
        <v>6294</v>
      </c>
    </row>
    <row r="3740" spans="1:2" x14ac:dyDescent="0.25">
      <c r="A3740" s="32" t="s">
        <v>6295</v>
      </c>
      <c r="B3740" s="33" t="s">
        <v>6296</v>
      </c>
    </row>
    <row r="3741" spans="1:2" x14ac:dyDescent="0.25">
      <c r="A3741" s="30" t="s">
        <v>6297</v>
      </c>
      <c r="B3741" s="31" t="s">
        <v>6298</v>
      </c>
    </row>
    <row r="3742" spans="1:2" x14ac:dyDescent="0.25">
      <c r="A3742" s="32" t="s">
        <v>6299</v>
      </c>
      <c r="B3742" s="33" t="s">
        <v>6300</v>
      </c>
    </row>
    <row r="3743" spans="1:2" x14ac:dyDescent="0.25">
      <c r="A3743" s="30" t="s">
        <v>6301</v>
      </c>
      <c r="B3743" s="31" t="s">
        <v>6302</v>
      </c>
    </row>
    <row r="3744" spans="1:2" x14ac:dyDescent="0.25">
      <c r="A3744" s="32" t="s">
        <v>6303</v>
      </c>
      <c r="B3744" s="33" t="s">
        <v>6304</v>
      </c>
    </row>
    <row r="3745" spans="1:2" x14ac:dyDescent="0.25">
      <c r="A3745" s="30" t="s">
        <v>6305</v>
      </c>
      <c r="B3745" s="31" t="s">
        <v>6306</v>
      </c>
    </row>
    <row r="3746" spans="1:2" x14ac:dyDescent="0.25">
      <c r="A3746" s="32" t="s">
        <v>1235</v>
      </c>
      <c r="B3746" s="33" t="s">
        <v>6307</v>
      </c>
    </row>
    <row r="3747" spans="1:2" x14ac:dyDescent="0.25">
      <c r="A3747" s="30" t="s">
        <v>693</v>
      </c>
      <c r="B3747" s="31" t="s">
        <v>6308</v>
      </c>
    </row>
    <row r="3748" spans="1:2" x14ac:dyDescent="0.25">
      <c r="A3748" s="32" t="s">
        <v>6309</v>
      </c>
      <c r="B3748" s="33" t="s">
        <v>6310</v>
      </c>
    </row>
    <row r="3749" spans="1:2" x14ac:dyDescent="0.25">
      <c r="A3749" s="30" t="s">
        <v>694</v>
      </c>
      <c r="B3749" s="31" t="s">
        <v>6311</v>
      </c>
    </row>
    <row r="3750" spans="1:2" x14ac:dyDescent="0.25">
      <c r="A3750" s="32" t="s">
        <v>695</v>
      </c>
      <c r="B3750" s="33" t="s">
        <v>6312</v>
      </c>
    </row>
    <row r="3751" spans="1:2" x14ac:dyDescent="0.25">
      <c r="A3751" s="30" t="s">
        <v>10723</v>
      </c>
      <c r="B3751" s="31" t="s">
        <v>10723</v>
      </c>
    </row>
    <row r="3752" spans="1:2" x14ac:dyDescent="0.25">
      <c r="A3752" s="32" t="s">
        <v>696</v>
      </c>
      <c r="B3752" s="33" t="s">
        <v>6313</v>
      </c>
    </row>
    <row r="3753" spans="1:2" x14ac:dyDescent="0.25">
      <c r="A3753" s="30" t="s">
        <v>6314</v>
      </c>
      <c r="B3753" s="31" t="s">
        <v>6315</v>
      </c>
    </row>
    <row r="3754" spans="1:2" x14ac:dyDescent="0.25">
      <c r="A3754" s="32" t="s">
        <v>697</v>
      </c>
      <c r="B3754" s="33" t="s">
        <v>6316</v>
      </c>
    </row>
    <row r="3755" spans="1:2" x14ac:dyDescent="0.25">
      <c r="A3755" s="30" t="s">
        <v>698</v>
      </c>
      <c r="B3755" s="31" t="s">
        <v>6317</v>
      </c>
    </row>
    <row r="3756" spans="1:2" x14ac:dyDescent="0.25">
      <c r="A3756" s="32" t="s">
        <v>6318</v>
      </c>
      <c r="B3756" s="33" t="s">
        <v>6319</v>
      </c>
    </row>
    <row r="3757" spans="1:2" x14ac:dyDescent="0.25">
      <c r="A3757" s="30" t="s">
        <v>699</v>
      </c>
      <c r="B3757" s="31" t="s">
        <v>6320</v>
      </c>
    </row>
    <row r="3758" spans="1:2" x14ac:dyDescent="0.25">
      <c r="A3758" s="32" t="s">
        <v>6321</v>
      </c>
      <c r="B3758" s="33" t="s">
        <v>6322</v>
      </c>
    </row>
    <row r="3759" spans="1:2" x14ac:dyDescent="0.25">
      <c r="A3759" s="30" t="s">
        <v>6323</v>
      </c>
      <c r="B3759" s="31" t="s">
        <v>6324</v>
      </c>
    </row>
    <row r="3760" spans="1:2" x14ac:dyDescent="0.25">
      <c r="A3760" s="32" t="s">
        <v>6325</v>
      </c>
      <c r="B3760" s="33" t="s">
        <v>6326</v>
      </c>
    </row>
    <row r="3761" spans="1:2" x14ac:dyDescent="0.25">
      <c r="A3761" s="30" t="s">
        <v>6327</v>
      </c>
      <c r="B3761" s="31" t="s">
        <v>6328</v>
      </c>
    </row>
    <row r="3762" spans="1:2" x14ac:dyDescent="0.25">
      <c r="A3762" s="32" t="s">
        <v>6329</v>
      </c>
      <c r="B3762" s="33" t="s">
        <v>6330</v>
      </c>
    </row>
    <row r="3763" spans="1:2" x14ac:dyDescent="0.25">
      <c r="A3763" s="30" t="s">
        <v>6331</v>
      </c>
      <c r="B3763" s="31" t="s">
        <v>6332</v>
      </c>
    </row>
    <row r="3764" spans="1:2" x14ac:dyDescent="0.25">
      <c r="A3764" s="32" t="s">
        <v>6333</v>
      </c>
      <c r="B3764" s="33" t="s">
        <v>6334</v>
      </c>
    </row>
    <row r="3765" spans="1:2" x14ac:dyDescent="0.25">
      <c r="A3765" s="30" t="s">
        <v>6335</v>
      </c>
      <c r="B3765" s="31" t="s">
        <v>6336</v>
      </c>
    </row>
    <row r="3766" spans="1:2" x14ac:dyDescent="0.25">
      <c r="A3766" s="32" t="s">
        <v>6337</v>
      </c>
      <c r="B3766" s="33" t="s">
        <v>6338</v>
      </c>
    </row>
    <row r="3767" spans="1:2" x14ac:dyDescent="0.25">
      <c r="A3767" s="30" t="s">
        <v>6339</v>
      </c>
      <c r="B3767" s="31" t="s">
        <v>6340</v>
      </c>
    </row>
    <row r="3768" spans="1:2" x14ac:dyDescent="0.25">
      <c r="A3768" s="32" t="s">
        <v>6341</v>
      </c>
      <c r="B3768" s="33" t="s">
        <v>6342</v>
      </c>
    </row>
    <row r="3769" spans="1:2" x14ac:dyDescent="0.25">
      <c r="A3769" s="30" t="s">
        <v>700</v>
      </c>
      <c r="B3769" s="31" t="s">
        <v>6343</v>
      </c>
    </row>
    <row r="3770" spans="1:2" x14ac:dyDescent="0.25">
      <c r="A3770" s="32" t="s">
        <v>701</v>
      </c>
      <c r="B3770" s="33" t="s">
        <v>6344</v>
      </c>
    </row>
    <row r="3771" spans="1:2" x14ac:dyDescent="0.25">
      <c r="A3771" s="30" t="s">
        <v>6345</v>
      </c>
      <c r="B3771" s="31" t="s">
        <v>6346</v>
      </c>
    </row>
    <row r="3772" spans="1:2" x14ac:dyDescent="0.25">
      <c r="A3772" s="32" t="s">
        <v>702</v>
      </c>
      <c r="B3772" s="33" t="s">
        <v>6347</v>
      </c>
    </row>
    <row r="3773" spans="1:2" x14ac:dyDescent="0.25">
      <c r="A3773" s="30" t="s">
        <v>6348</v>
      </c>
      <c r="B3773" s="31" t="s">
        <v>6349</v>
      </c>
    </row>
    <row r="3774" spans="1:2" x14ac:dyDescent="0.25">
      <c r="A3774" s="32" t="s">
        <v>6350</v>
      </c>
      <c r="B3774" s="33" t="s">
        <v>6351</v>
      </c>
    </row>
    <row r="3775" spans="1:2" x14ac:dyDescent="0.25">
      <c r="A3775" s="30" t="s">
        <v>6352</v>
      </c>
      <c r="B3775" s="31" t="s">
        <v>6353</v>
      </c>
    </row>
    <row r="3776" spans="1:2" x14ac:dyDescent="0.25">
      <c r="A3776" s="32" t="s">
        <v>6354</v>
      </c>
      <c r="B3776" s="33" t="s">
        <v>6355</v>
      </c>
    </row>
    <row r="3777" spans="1:2" x14ac:dyDescent="0.25">
      <c r="A3777" s="30" t="s">
        <v>6356</v>
      </c>
      <c r="B3777" s="31" t="s">
        <v>6357</v>
      </c>
    </row>
    <row r="3778" spans="1:2" x14ac:dyDescent="0.25">
      <c r="A3778" s="32" t="s">
        <v>10724</v>
      </c>
      <c r="B3778" s="33" t="s">
        <v>10724</v>
      </c>
    </row>
    <row r="3779" spans="1:2" x14ac:dyDescent="0.25">
      <c r="A3779" s="30" t="s">
        <v>703</v>
      </c>
      <c r="B3779" s="31" t="s">
        <v>6358</v>
      </c>
    </row>
    <row r="3780" spans="1:2" x14ac:dyDescent="0.25">
      <c r="A3780" s="32" t="s">
        <v>6359</v>
      </c>
      <c r="B3780" s="33" t="s">
        <v>6360</v>
      </c>
    </row>
    <row r="3781" spans="1:2" x14ac:dyDescent="0.25">
      <c r="A3781" s="30" t="s">
        <v>6361</v>
      </c>
      <c r="B3781" s="31" t="s">
        <v>6362</v>
      </c>
    </row>
    <row r="3782" spans="1:2" x14ac:dyDescent="0.25">
      <c r="A3782" s="32" t="s">
        <v>6363</v>
      </c>
      <c r="B3782" s="33" t="s">
        <v>6364</v>
      </c>
    </row>
    <row r="3783" spans="1:2" x14ac:dyDescent="0.25">
      <c r="A3783" s="30" t="s">
        <v>6365</v>
      </c>
      <c r="B3783" s="31" t="s">
        <v>6366</v>
      </c>
    </row>
    <row r="3784" spans="1:2" x14ac:dyDescent="0.25">
      <c r="A3784" s="32" t="s">
        <v>6367</v>
      </c>
      <c r="B3784" s="33" t="s">
        <v>6368</v>
      </c>
    </row>
    <row r="3785" spans="1:2" x14ac:dyDescent="0.25">
      <c r="A3785" s="30" t="s">
        <v>6369</v>
      </c>
      <c r="B3785" s="31" t="s">
        <v>6370</v>
      </c>
    </row>
    <row r="3786" spans="1:2" x14ac:dyDescent="0.25">
      <c r="A3786" s="32" t="s">
        <v>704</v>
      </c>
      <c r="B3786" s="33" t="s">
        <v>6371</v>
      </c>
    </row>
    <row r="3787" spans="1:2" x14ac:dyDescent="0.25">
      <c r="A3787" s="30" t="s">
        <v>6372</v>
      </c>
      <c r="B3787" s="31" t="s">
        <v>6373</v>
      </c>
    </row>
    <row r="3788" spans="1:2" x14ac:dyDescent="0.25">
      <c r="A3788" s="32" t="s">
        <v>6374</v>
      </c>
      <c r="B3788" s="33" t="s">
        <v>6375</v>
      </c>
    </row>
    <row r="3789" spans="1:2" x14ac:dyDescent="0.25">
      <c r="A3789" s="30" t="s">
        <v>6376</v>
      </c>
      <c r="B3789" s="31" t="s">
        <v>6377</v>
      </c>
    </row>
    <row r="3790" spans="1:2" x14ac:dyDescent="0.25">
      <c r="A3790" s="32" t="s">
        <v>705</v>
      </c>
      <c r="B3790" s="33" t="s">
        <v>6378</v>
      </c>
    </row>
    <row r="3791" spans="1:2" x14ac:dyDescent="0.25">
      <c r="A3791" s="30" t="s">
        <v>6379</v>
      </c>
      <c r="B3791" s="31" t="s">
        <v>6380</v>
      </c>
    </row>
    <row r="3792" spans="1:2" x14ac:dyDescent="0.25">
      <c r="A3792" s="32" t="s">
        <v>6381</v>
      </c>
      <c r="B3792" s="33" t="s">
        <v>6382</v>
      </c>
    </row>
    <row r="3793" spans="1:2" x14ac:dyDescent="0.25">
      <c r="A3793" s="30" t="s">
        <v>706</v>
      </c>
      <c r="B3793" s="31" t="s">
        <v>6383</v>
      </c>
    </row>
    <row r="3794" spans="1:2" x14ac:dyDescent="0.25">
      <c r="A3794" s="32" t="s">
        <v>6384</v>
      </c>
      <c r="B3794" s="33" t="s">
        <v>6385</v>
      </c>
    </row>
    <row r="3795" spans="1:2" x14ac:dyDescent="0.25">
      <c r="A3795" s="30" t="s">
        <v>6386</v>
      </c>
      <c r="B3795" s="31" t="s">
        <v>6387</v>
      </c>
    </row>
    <row r="3796" spans="1:2" x14ac:dyDescent="0.25">
      <c r="A3796" s="32" t="s">
        <v>6388</v>
      </c>
      <c r="B3796" s="33" t="s">
        <v>6389</v>
      </c>
    </row>
    <row r="3797" spans="1:2" x14ac:dyDescent="0.25">
      <c r="A3797" s="30" t="s">
        <v>6390</v>
      </c>
      <c r="B3797" s="31" t="s">
        <v>6391</v>
      </c>
    </row>
    <row r="3798" spans="1:2" x14ac:dyDescent="0.25">
      <c r="A3798" s="32" t="s">
        <v>6392</v>
      </c>
      <c r="B3798" s="33" t="s">
        <v>6393</v>
      </c>
    </row>
    <row r="3799" spans="1:2" x14ac:dyDescent="0.25">
      <c r="A3799" s="30" t="s">
        <v>6394</v>
      </c>
      <c r="B3799" s="31" t="s">
        <v>6395</v>
      </c>
    </row>
    <row r="3800" spans="1:2" x14ac:dyDescent="0.25">
      <c r="A3800" s="32" t="s">
        <v>6396</v>
      </c>
      <c r="B3800" s="33" t="s">
        <v>6397</v>
      </c>
    </row>
    <row r="3801" spans="1:2" x14ac:dyDescent="0.25">
      <c r="A3801" s="30" t="s">
        <v>6398</v>
      </c>
      <c r="B3801" s="31" t="s">
        <v>6399</v>
      </c>
    </row>
    <row r="3802" spans="1:2" x14ac:dyDescent="0.25">
      <c r="A3802" s="32" t="s">
        <v>6400</v>
      </c>
      <c r="B3802" s="33" t="s">
        <v>6401</v>
      </c>
    </row>
    <row r="3803" spans="1:2" x14ac:dyDescent="0.25">
      <c r="A3803" s="30" t="s">
        <v>6402</v>
      </c>
      <c r="B3803" s="31" t="s">
        <v>6403</v>
      </c>
    </row>
    <row r="3804" spans="1:2" x14ac:dyDescent="0.25">
      <c r="A3804" s="32" t="s">
        <v>6404</v>
      </c>
      <c r="B3804" s="33" t="s">
        <v>6405</v>
      </c>
    </row>
    <row r="3805" spans="1:2" x14ac:dyDescent="0.25">
      <c r="A3805" s="30" t="s">
        <v>6406</v>
      </c>
      <c r="B3805" s="31" t="s">
        <v>6407</v>
      </c>
    </row>
    <row r="3806" spans="1:2" x14ac:dyDescent="0.25">
      <c r="A3806" s="32" t="s">
        <v>6408</v>
      </c>
      <c r="B3806" s="33" t="s">
        <v>6409</v>
      </c>
    </row>
    <row r="3807" spans="1:2" x14ac:dyDescent="0.25">
      <c r="A3807" s="30" t="s">
        <v>6410</v>
      </c>
      <c r="B3807" s="31" t="s">
        <v>6411</v>
      </c>
    </row>
    <row r="3808" spans="1:2" x14ac:dyDescent="0.25">
      <c r="A3808" s="32" t="s">
        <v>6412</v>
      </c>
      <c r="B3808" s="33" t="s">
        <v>6413</v>
      </c>
    </row>
    <row r="3809" spans="1:2" x14ac:dyDescent="0.25">
      <c r="A3809" s="30" t="s">
        <v>6414</v>
      </c>
      <c r="B3809" s="31" t="s">
        <v>6415</v>
      </c>
    </row>
    <row r="3810" spans="1:2" x14ac:dyDescent="0.25">
      <c r="A3810" s="32" t="s">
        <v>6416</v>
      </c>
      <c r="B3810" s="33" t="s">
        <v>6417</v>
      </c>
    </row>
    <row r="3811" spans="1:2" x14ac:dyDescent="0.25">
      <c r="A3811" s="30" t="s">
        <v>6418</v>
      </c>
      <c r="B3811" s="31" t="s">
        <v>6419</v>
      </c>
    </row>
    <row r="3812" spans="1:2" x14ac:dyDescent="0.25">
      <c r="A3812" s="32" t="s">
        <v>6420</v>
      </c>
      <c r="B3812" s="33" t="s">
        <v>6421</v>
      </c>
    </row>
    <row r="3813" spans="1:2" x14ac:dyDescent="0.25">
      <c r="A3813" s="30" t="s">
        <v>707</v>
      </c>
      <c r="B3813" s="31" t="s">
        <v>6422</v>
      </c>
    </row>
    <row r="3814" spans="1:2" x14ac:dyDescent="0.25">
      <c r="A3814" s="32" t="s">
        <v>6423</v>
      </c>
      <c r="B3814" s="33" t="s">
        <v>6424</v>
      </c>
    </row>
    <row r="3815" spans="1:2" x14ac:dyDescent="0.25">
      <c r="A3815" s="30" t="s">
        <v>708</v>
      </c>
      <c r="B3815" s="31" t="s">
        <v>6425</v>
      </c>
    </row>
    <row r="3816" spans="1:2" x14ac:dyDescent="0.25">
      <c r="A3816" s="32" t="s">
        <v>709</v>
      </c>
      <c r="B3816" s="33" t="s">
        <v>6426</v>
      </c>
    </row>
    <row r="3817" spans="1:2" x14ac:dyDescent="0.25">
      <c r="A3817" s="30" t="s">
        <v>10725</v>
      </c>
      <c r="B3817" s="31" t="s">
        <v>10725</v>
      </c>
    </row>
    <row r="3818" spans="1:2" x14ac:dyDescent="0.25">
      <c r="A3818" s="32" t="s">
        <v>6427</v>
      </c>
      <c r="B3818" s="33" t="s">
        <v>6428</v>
      </c>
    </row>
    <row r="3819" spans="1:2" x14ac:dyDescent="0.25">
      <c r="A3819" s="30" t="s">
        <v>6429</v>
      </c>
      <c r="B3819" s="31" t="s">
        <v>6430</v>
      </c>
    </row>
    <row r="3820" spans="1:2" x14ac:dyDescent="0.25">
      <c r="A3820" s="32" t="s">
        <v>710</v>
      </c>
      <c r="B3820" s="33" t="s">
        <v>6431</v>
      </c>
    </row>
    <row r="3821" spans="1:2" x14ac:dyDescent="0.25">
      <c r="A3821" s="30" t="s">
        <v>711</v>
      </c>
      <c r="B3821" s="31" t="s">
        <v>6432</v>
      </c>
    </row>
    <row r="3822" spans="1:2" x14ac:dyDescent="0.25">
      <c r="A3822" s="32" t="s">
        <v>6433</v>
      </c>
      <c r="B3822" s="33" t="s">
        <v>6434</v>
      </c>
    </row>
    <row r="3823" spans="1:2" x14ac:dyDescent="0.25">
      <c r="A3823" s="30" t="s">
        <v>6435</v>
      </c>
      <c r="B3823" s="31" t="s">
        <v>6436</v>
      </c>
    </row>
    <row r="3824" spans="1:2" x14ac:dyDescent="0.25">
      <c r="A3824" s="32" t="s">
        <v>6437</v>
      </c>
      <c r="B3824" s="33" t="s">
        <v>6438</v>
      </c>
    </row>
    <row r="3825" spans="1:2" x14ac:dyDescent="0.25">
      <c r="A3825" s="30" t="s">
        <v>6439</v>
      </c>
      <c r="B3825" s="31" t="s">
        <v>6440</v>
      </c>
    </row>
    <row r="3826" spans="1:2" x14ac:dyDescent="0.25">
      <c r="A3826" s="32" t="s">
        <v>6441</v>
      </c>
      <c r="B3826" s="33" t="s">
        <v>6442</v>
      </c>
    </row>
    <row r="3827" spans="1:2" x14ac:dyDescent="0.25">
      <c r="A3827" s="30" t="s">
        <v>6443</v>
      </c>
      <c r="B3827" s="31" t="s">
        <v>6444</v>
      </c>
    </row>
    <row r="3828" spans="1:2" x14ac:dyDescent="0.25">
      <c r="A3828" s="32" t="s">
        <v>6445</v>
      </c>
      <c r="B3828" s="33" t="s">
        <v>6446</v>
      </c>
    </row>
    <row r="3829" spans="1:2" x14ac:dyDescent="0.25">
      <c r="A3829" s="30" t="s">
        <v>10726</v>
      </c>
      <c r="B3829" s="31" t="s">
        <v>10726</v>
      </c>
    </row>
    <row r="3830" spans="1:2" x14ac:dyDescent="0.25">
      <c r="A3830" s="32" t="s">
        <v>10727</v>
      </c>
      <c r="B3830" s="33" t="s">
        <v>10727</v>
      </c>
    </row>
    <row r="3831" spans="1:2" x14ac:dyDescent="0.25">
      <c r="A3831" s="30" t="s">
        <v>6447</v>
      </c>
      <c r="B3831" s="31" t="s">
        <v>6448</v>
      </c>
    </row>
    <row r="3832" spans="1:2" x14ac:dyDescent="0.25">
      <c r="A3832" s="32" t="s">
        <v>6449</v>
      </c>
      <c r="B3832" s="33" t="s">
        <v>6450</v>
      </c>
    </row>
    <row r="3833" spans="1:2" x14ac:dyDescent="0.25">
      <c r="A3833" s="30" t="s">
        <v>6451</v>
      </c>
      <c r="B3833" s="31" t="s">
        <v>6452</v>
      </c>
    </row>
    <row r="3834" spans="1:2" x14ac:dyDescent="0.25">
      <c r="A3834" s="32" t="s">
        <v>10728</v>
      </c>
      <c r="B3834" s="33" t="s">
        <v>10728</v>
      </c>
    </row>
    <row r="3835" spans="1:2" x14ac:dyDescent="0.25">
      <c r="A3835" s="30" t="s">
        <v>10729</v>
      </c>
      <c r="B3835" s="31" t="s">
        <v>10729</v>
      </c>
    </row>
    <row r="3836" spans="1:2" x14ac:dyDescent="0.25">
      <c r="A3836" s="32" t="s">
        <v>6453</v>
      </c>
      <c r="B3836" s="33" t="s">
        <v>6454</v>
      </c>
    </row>
    <row r="3837" spans="1:2" x14ac:dyDescent="0.25">
      <c r="A3837" s="30" t="s">
        <v>6455</v>
      </c>
      <c r="B3837" s="31" t="s">
        <v>6456</v>
      </c>
    </row>
    <row r="3838" spans="1:2" x14ac:dyDescent="0.25">
      <c r="A3838" s="32" t="s">
        <v>6457</v>
      </c>
      <c r="B3838" s="33" t="s">
        <v>6458</v>
      </c>
    </row>
    <row r="3839" spans="1:2" x14ac:dyDescent="0.25">
      <c r="A3839" s="30" t="s">
        <v>6459</v>
      </c>
      <c r="B3839" s="31" t="s">
        <v>6460</v>
      </c>
    </row>
    <row r="3840" spans="1:2" x14ac:dyDescent="0.25">
      <c r="A3840" s="32" t="s">
        <v>10730</v>
      </c>
      <c r="B3840" s="33" t="s">
        <v>10730</v>
      </c>
    </row>
    <row r="3841" spans="1:2" x14ac:dyDescent="0.25">
      <c r="A3841" s="30" t="s">
        <v>712</v>
      </c>
      <c r="B3841" s="31" t="s">
        <v>6461</v>
      </c>
    </row>
    <row r="3842" spans="1:2" x14ac:dyDescent="0.25">
      <c r="A3842" s="32" t="s">
        <v>6462</v>
      </c>
      <c r="B3842" s="33" t="s">
        <v>6463</v>
      </c>
    </row>
    <row r="3843" spans="1:2" x14ac:dyDescent="0.25">
      <c r="A3843" s="30" t="s">
        <v>6464</v>
      </c>
      <c r="B3843" s="31" t="s">
        <v>6465</v>
      </c>
    </row>
    <row r="3844" spans="1:2" x14ac:dyDescent="0.25">
      <c r="A3844" s="32" t="s">
        <v>6466</v>
      </c>
      <c r="B3844" s="33" t="s">
        <v>6467</v>
      </c>
    </row>
    <row r="3845" spans="1:2" x14ac:dyDescent="0.25">
      <c r="A3845" s="30" t="s">
        <v>713</v>
      </c>
      <c r="B3845" s="31" t="s">
        <v>6468</v>
      </c>
    </row>
    <row r="3846" spans="1:2" x14ac:dyDescent="0.25">
      <c r="A3846" s="32" t="s">
        <v>6469</v>
      </c>
      <c r="B3846" s="33" t="s">
        <v>6470</v>
      </c>
    </row>
    <row r="3847" spans="1:2" x14ac:dyDescent="0.25">
      <c r="A3847" s="30" t="s">
        <v>6471</v>
      </c>
      <c r="B3847" s="31" t="s">
        <v>6472</v>
      </c>
    </row>
    <row r="3848" spans="1:2" x14ac:dyDescent="0.25">
      <c r="A3848" s="32" t="s">
        <v>6473</v>
      </c>
      <c r="B3848" s="33" t="s">
        <v>6474</v>
      </c>
    </row>
    <row r="3849" spans="1:2" x14ac:dyDescent="0.25">
      <c r="A3849" s="30" t="s">
        <v>6475</v>
      </c>
      <c r="B3849" s="31" t="s">
        <v>6476</v>
      </c>
    </row>
    <row r="3850" spans="1:2" x14ac:dyDescent="0.25">
      <c r="A3850" s="32" t="s">
        <v>6477</v>
      </c>
      <c r="B3850" s="33" t="s">
        <v>6478</v>
      </c>
    </row>
    <row r="3851" spans="1:2" x14ac:dyDescent="0.25">
      <c r="A3851" s="30" t="s">
        <v>6479</v>
      </c>
      <c r="B3851" s="31" t="s">
        <v>6480</v>
      </c>
    </row>
    <row r="3852" spans="1:2" x14ac:dyDescent="0.25">
      <c r="A3852" s="32" t="s">
        <v>10731</v>
      </c>
      <c r="B3852" s="33" t="s">
        <v>10731</v>
      </c>
    </row>
    <row r="3853" spans="1:2" x14ac:dyDescent="0.25">
      <c r="A3853" s="30" t="s">
        <v>6481</v>
      </c>
      <c r="B3853" s="31" t="s">
        <v>6482</v>
      </c>
    </row>
    <row r="3854" spans="1:2" x14ac:dyDescent="0.25">
      <c r="A3854" s="32" t="s">
        <v>10732</v>
      </c>
      <c r="B3854" s="33" t="s">
        <v>10732</v>
      </c>
    </row>
    <row r="3855" spans="1:2" x14ac:dyDescent="0.25">
      <c r="A3855" s="30" t="s">
        <v>6483</v>
      </c>
      <c r="B3855" s="31" t="s">
        <v>6484</v>
      </c>
    </row>
    <row r="3856" spans="1:2" x14ac:dyDescent="0.25">
      <c r="A3856" s="32" t="s">
        <v>714</v>
      </c>
      <c r="B3856" s="33" t="s">
        <v>6485</v>
      </c>
    </row>
    <row r="3857" spans="1:2" x14ac:dyDescent="0.25">
      <c r="A3857" s="30" t="s">
        <v>6486</v>
      </c>
      <c r="B3857" s="31" t="s">
        <v>6487</v>
      </c>
    </row>
    <row r="3858" spans="1:2" x14ac:dyDescent="0.25">
      <c r="A3858" s="32" t="s">
        <v>6488</v>
      </c>
      <c r="B3858" s="33" t="s">
        <v>6489</v>
      </c>
    </row>
    <row r="3859" spans="1:2" x14ac:dyDescent="0.25">
      <c r="A3859" s="30" t="s">
        <v>715</v>
      </c>
      <c r="B3859" s="31" t="s">
        <v>6490</v>
      </c>
    </row>
    <row r="3860" spans="1:2" x14ac:dyDescent="0.25">
      <c r="A3860" s="32" t="s">
        <v>10733</v>
      </c>
      <c r="B3860" s="33" t="s">
        <v>10733</v>
      </c>
    </row>
    <row r="3861" spans="1:2" x14ac:dyDescent="0.25">
      <c r="A3861" s="30" t="s">
        <v>10734</v>
      </c>
      <c r="B3861" s="31" t="s">
        <v>10734</v>
      </c>
    </row>
    <row r="3862" spans="1:2" x14ac:dyDescent="0.25">
      <c r="A3862" s="32" t="s">
        <v>6491</v>
      </c>
      <c r="B3862" s="33" t="s">
        <v>6492</v>
      </c>
    </row>
    <row r="3863" spans="1:2" x14ac:dyDescent="0.25">
      <c r="A3863" s="30" t="s">
        <v>6493</v>
      </c>
      <c r="B3863" s="31" t="s">
        <v>6494</v>
      </c>
    </row>
    <row r="3864" spans="1:2" x14ac:dyDescent="0.25">
      <c r="A3864" s="32" t="s">
        <v>10735</v>
      </c>
      <c r="B3864" s="33" t="s">
        <v>10735</v>
      </c>
    </row>
    <row r="3865" spans="1:2" x14ac:dyDescent="0.25">
      <c r="A3865" s="30" t="s">
        <v>6495</v>
      </c>
      <c r="B3865" s="31" t="s">
        <v>6496</v>
      </c>
    </row>
    <row r="3866" spans="1:2" x14ac:dyDescent="0.25">
      <c r="A3866" s="32" t="s">
        <v>6497</v>
      </c>
      <c r="B3866" s="33" t="s">
        <v>6498</v>
      </c>
    </row>
    <row r="3867" spans="1:2" x14ac:dyDescent="0.25">
      <c r="A3867" s="30" t="s">
        <v>6499</v>
      </c>
      <c r="B3867" s="31" t="s">
        <v>6500</v>
      </c>
    </row>
    <row r="3868" spans="1:2" x14ac:dyDescent="0.25">
      <c r="A3868" s="32" t="s">
        <v>6501</v>
      </c>
      <c r="B3868" s="33" t="s">
        <v>6502</v>
      </c>
    </row>
    <row r="3869" spans="1:2" x14ac:dyDescent="0.25">
      <c r="A3869" s="30" t="s">
        <v>6503</v>
      </c>
      <c r="B3869" s="31" t="s">
        <v>6504</v>
      </c>
    </row>
    <row r="3870" spans="1:2" x14ac:dyDescent="0.25">
      <c r="A3870" s="32" t="s">
        <v>716</v>
      </c>
      <c r="B3870" s="33" t="s">
        <v>6505</v>
      </c>
    </row>
    <row r="3871" spans="1:2" x14ac:dyDescent="0.25">
      <c r="A3871" s="30" t="s">
        <v>10736</v>
      </c>
      <c r="B3871" s="31" t="s">
        <v>10736</v>
      </c>
    </row>
    <row r="3872" spans="1:2" x14ac:dyDescent="0.25">
      <c r="A3872" s="32" t="s">
        <v>6506</v>
      </c>
      <c r="B3872" s="33" t="s">
        <v>6507</v>
      </c>
    </row>
    <row r="3873" spans="1:2" x14ac:dyDescent="0.25">
      <c r="A3873" s="30" t="s">
        <v>10737</v>
      </c>
      <c r="B3873" s="31" t="s">
        <v>10737</v>
      </c>
    </row>
    <row r="3874" spans="1:2" x14ac:dyDescent="0.25">
      <c r="A3874" s="32" t="s">
        <v>10738</v>
      </c>
      <c r="B3874" s="33" t="s">
        <v>10738</v>
      </c>
    </row>
    <row r="3875" spans="1:2" x14ac:dyDescent="0.25">
      <c r="A3875" s="30" t="s">
        <v>10739</v>
      </c>
      <c r="B3875" s="31" t="s">
        <v>10739</v>
      </c>
    </row>
    <row r="3876" spans="1:2" x14ac:dyDescent="0.25">
      <c r="A3876" s="32" t="s">
        <v>10740</v>
      </c>
      <c r="B3876" s="33" t="s">
        <v>10740</v>
      </c>
    </row>
    <row r="3877" spans="1:2" x14ac:dyDescent="0.25">
      <c r="A3877" s="30" t="s">
        <v>10741</v>
      </c>
      <c r="B3877" s="31" t="s">
        <v>10741</v>
      </c>
    </row>
    <row r="3878" spans="1:2" x14ac:dyDescent="0.25">
      <c r="A3878" s="32" t="s">
        <v>10742</v>
      </c>
      <c r="B3878" s="33" t="s">
        <v>10742</v>
      </c>
    </row>
    <row r="3879" spans="1:2" x14ac:dyDescent="0.25">
      <c r="A3879" s="30" t="s">
        <v>10743</v>
      </c>
      <c r="B3879" s="31" t="s">
        <v>10743</v>
      </c>
    </row>
    <row r="3880" spans="1:2" x14ac:dyDescent="0.25">
      <c r="A3880" s="32" t="s">
        <v>6508</v>
      </c>
      <c r="B3880" s="33" t="s">
        <v>6509</v>
      </c>
    </row>
    <row r="3881" spans="1:2" x14ac:dyDescent="0.25">
      <c r="A3881" s="30" t="s">
        <v>6510</v>
      </c>
      <c r="B3881" s="31" t="s">
        <v>6511</v>
      </c>
    </row>
    <row r="3882" spans="1:2" x14ac:dyDescent="0.25">
      <c r="A3882" s="32" t="s">
        <v>10744</v>
      </c>
      <c r="B3882" s="33" t="s">
        <v>10744</v>
      </c>
    </row>
    <row r="3883" spans="1:2" x14ac:dyDescent="0.25">
      <c r="A3883" s="30" t="s">
        <v>717</v>
      </c>
      <c r="B3883" s="31" t="s">
        <v>6512</v>
      </c>
    </row>
    <row r="3884" spans="1:2" x14ac:dyDescent="0.25">
      <c r="A3884" s="32" t="s">
        <v>10745</v>
      </c>
      <c r="B3884" s="33" t="s">
        <v>10745</v>
      </c>
    </row>
    <row r="3885" spans="1:2" x14ac:dyDescent="0.25">
      <c r="A3885" s="30" t="s">
        <v>718</v>
      </c>
      <c r="B3885" s="31" t="s">
        <v>6513</v>
      </c>
    </row>
    <row r="3886" spans="1:2" x14ac:dyDescent="0.25">
      <c r="A3886" s="32" t="s">
        <v>6514</v>
      </c>
      <c r="B3886" s="33" t="s">
        <v>6515</v>
      </c>
    </row>
    <row r="3887" spans="1:2" x14ac:dyDescent="0.25">
      <c r="A3887" s="30" t="s">
        <v>719</v>
      </c>
      <c r="B3887" s="31" t="s">
        <v>6516</v>
      </c>
    </row>
    <row r="3888" spans="1:2" x14ac:dyDescent="0.25">
      <c r="A3888" s="32" t="s">
        <v>10746</v>
      </c>
      <c r="B3888" s="33" t="s">
        <v>10746</v>
      </c>
    </row>
    <row r="3889" spans="1:2" x14ac:dyDescent="0.25">
      <c r="A3889" s="30" t="s">
        <v>6517</v>
      </c>
      <c r="B3889" s="31" t="s">
        <v>6518</v>
      </c>
    </row>
    <row r="3890" spans="1:2" x14ac:dyDescent="0.25">
      <c r="A3890" s="32" t="s">
        <v>10747</v>
      </c>
      <c r="B3890" s="33" t="s">
        <v>10747</v>
      </c>
    </row>
    <row r="3891" spans="1:2" x14ac:dyDescent="0.25">
      <c r="A3891" s="30" t="s">
        <v>720</v>
      </c>
      <c r="B3891" s="31" t="s">
        <v>720</v>
      </c>
    </row>
    <row r="3892" spans="1:2" x14ac:dyDescent="0.25">
      <c r="A3892" s="32" t="s">
        <v>6519</v>
      </c>
      <c r="B3892" s="33" t="s">
        <v>6520</v>
      </c>
    </row>
    <row r="3893" spans="1:2" x14ac:dyDescent="0.25">
      <c r="A3893" s="30" t="s">
        <v>10748</v>
      </c>
      <c r="B3893" s="31" t="s">
        <v>10748</v>
      </c>
    </row>
    <row r="3894" spans="1:2" x14ac:dyDescent="0.25">
      <c r="A3894" s="32" t="s">
        <v>10749</v>
      </c>
      <c r="B3894" s="33" t="s">
        <v>10749</v>
      </c>
    </row>
    <row r="3895" spans="1:2" x14ac:dyDescent="0.25">
      <c r="A3895" s="30" t="s">
        <v>10750</v>
      </c>
      <c r="B3895" s="31" t="s">
        <v>10750</v>
      </c>
    </row>
    <row r="3896" spans="1:2" x14ac:dyDescent="0.25">
      <c r="A3896" s="32" t="s">
        <v>10751</v>
      </c>
      <c r="B3896" s="33" t="s">
        <v>10751</v>
      </c>
    </row>
    <row r="3897" spans="1:2" x14ac:dyDescent="0.25">
      <c r="A3897" s="30" t="s">
        <v>10752</v>
      </c>
      <c r="B3897" s="31" t="s">
        <v>10752</v>
      </c>
    </row>
    <row r="3898" spans="1:2" x14ac:dyDescent="0.25">
      <c r="A3898" s="32" t="s">
        <v>6521</v>
      </c>
      <c r="B3898" s="33" t="s">
        <v>6522</v>
      </c>
    </row>
    <row r="3899" spans="1:2" x14ac:dyDescent="0.25">
      <c r="A3899" s="30" t="s">
        <v>721</v>
      </c>
      <c r="B3899" s="31" t="s">
        <v>6523</v>
      </c>
    </row>
    <row r="3900" spans="1:2" x14ac:dyDescent="0.25">
      <c r="A3900" s="32" t="s">
        <v>6524</v>
      </c>
      <c r="B3900" s="33" t="s">
        <v>6525</v>
      </c>
    </row>
    <row r="3901" spans="1:2" x14ac:dyDescent="0.25">
      <c r="A3901" s="30" t="s">
        <v>6526</v>
      </c>
      <c r="B3901" s="31" t="s">
        <v>6527</v>
      </c>
    </row>
    <row r="3902" spans="1:2" x14ac:dyDescent="0.25">
      <c r="A3902" s="32" t="s">
        <v>10753</v>
      </c>
      <c r="B3902" s="33" t="s">
        <v>10753</v>
      </c>
    </row>
    <row r="3903" spans="1:2" x14ac:dyDescent="0.25">
      <c r="A3903" s="30" t="s">
        <v>6528</v>
      </c>
      <c r="B3903" s="31" t="s">
        <v>6529</v>
      </c>
    </row>
    <row r="3904" spans="1:2" x14ac:dyDescent="0.25">
      <c r="A3904" s="32" t="s">
        <v>6530</v>
      </c>
      <c r="B3904" s="33" t="s">
        <v>6531</v>
      </c>
    </row>
    <row r="3905" spans="1:2" x14ac:dyDescent="0.25">
      <c r="A3905" s="30" t="s">
        <v>722</v>
      </c>
      <c r="B3905" s="31" t="s">
        <v>6532</v>
      </c>
    </row>
    <row r="3906" spans="1:2" x14ac:dyDescent="0.25">
      <c r="A3906" s="32" t="s">
        <v>6533</v>
      </c>
      <c r="B3906" s="33" t="s">
        <v>6534</v>
      </c>
    </row>
    <row r="3907" spans="1:2" x14ac:dyDescent="0.25">
      <c r="A3907" s="30" t="s">
        <v>6535</v>
      </c>
      <c r="B3907" s="31" t="s">
        <v>6536</v>
      </c>
    </row>
    <row r="3908" spans="1:2" x14ac:dyDescent="0.25">
      <c r="A3908" s="32" t="s">
        <v>6537</v>
      </c>
      <c r="B3908" s="33" t="s">
        <v>6538</v>
      </c>
    </row>
    <row r="3909" spans="1:2" x14ac:dyDescent="0.25">
      <c r="A3909" s="30" t="s">
        <v>6539</v>
      </c>
      <c r="B3909" s="31" t="s">
        <v>6540</v>
      </c>
    </row>
    <row r="3910" spans="1:2" x14ac:dyDescent="0.25">
      <c r="A3910" s="32" t="s">
        <v>6541</v>
      </c>
      <c r="B3910" s="33" t="s">
        <v>6542</v>
      </c>
    </row>
    <row r="3911" spans="1:2" x14ac:dyDescent="0.25">
      <c r="A3911" s="30" t="s">
        <v>10754</v>
      </c>
      <c r="B3911" s="31" t="s">
        <v>10754</v>
      </c>
    </row>
    <row r="3912" spans="1:2" x14ac:dyDescent="0.25">
      <c r="A3912" s="32" t="s">
        <v>6543</v>
      </c>
      <c r="B3912" s="33" t="s">
        <v>6544</v>
      </c>
    </row>
    <row r="3913" spans="1:2" x14ac:dyDescent="0.25">
      <c r="A3913" s="30" t="s">
        <v>6545</v>
      </c>
      <c r="B3913" s="31" t="s">
        <v>6546</v>
      </c>
    </row>
    <row r="3914" spans="1:2" x14ac:dyDescent="0.25">
      <c r="A3914" s="32" t="s">
        <v>6547</v>
      </c>
      <c r="B3914" s="33" t="s">
        <v>6548</v>
      </c>
    </row>
    <row r="3915" spans="1:2" x14ac:dyDescent="0.25">
      <c r="A3915" s="30" t="s">
        <v>6549</v>
      </c>
      <c r="B3915" s="31" t="s">
        <v>6550</v>
      </c>
    </row>
    <row r="3916" spans="1:2" x14ac:dyDescent="0.25">
      <c r="A3916" s="32" t="s">
        <v>6551</v>
      </c>
      <c r="B3916" s="33" t="s">
        <v>6552</v>
      </c>
    </row>
    <row r="3917" spans="1:2" x14ac:dyDescent="0.25">
      <c r="A3917" s="30" t="s">
        <v>6553</v>
      </c>
      <c r="B3917" s="31" t="s">
        <v>6554</v>
      </c>
    </row>
    <row r="3918" spans="1:2" x14ac:dyDescent="0.25">
      <c r="A3918" s="32" t="s">
        <v>723</v>
      </c>
      <c r="B3918" s="33" t="s">
        <v>6555</v>
      </c>
    </row>
    <row r="3919" spans="1:2" x14ac:dyDescent="0.25">
      <c r="A3919" s="30" t="s">
        <v>10755</v>
      </c>
      <c r="B3919" s="31" t="s">
        <v>10755</v>
      </c>
    </row>
    <row r="3920" spans="1:2" x14ac:dyDescent="0.25">
      <c r="A3920" s="32" t="s">
        <v>6556</v>
      </c>
      <c r="B3920" s="33" t="s">
        <v>6557</v>
      </c>
    </row>
    <row r="3921" spans="1:2" x14ac:dyDescent="0.25">
      <c r="A3921" s="30" t="s">
        <v>10756</v>
      </c>
      <c r="B3921" s="31" t="s">
        <v>10756</v>
      </c>
    </row>
    <row r="3922" spans="1:2" x14ac:dyDescent="0.25">
      <c r="A3922" s="32" t="s">
        <v>10757</v>
      </c>
      <c r="B3922" s="33" t="s">
        <v>10757</v>
      </c>
    </row>
    <row r="3923" spans="1:2" x14ac:dyDescent="0.25">
      <c r="A3923" s="30" t="s">
        <v>10758</v>
      </c>
      <c r="B3923" s="31" t="s">
        <v>10758</v>
      </c>
    </row>
    <row r="3924" spans="1:2" x14ac:dyDescent="0.25">
      <c r="A3924" s="32" t="s">
        <v>6558</v>
      </c>
      <c r="B3924" s="33" t="s">
        <v>6559</v>
      </c>
    </row>
    <row r="3925" spans="1:2" x14ac:dyDescent="0.25">
      <c r="A3925" s="30" t="s">
        <v>724</v>
      </c>
      <c r="B3925" s="31" t="s">
        <v>6560</v>
      </c>
    </row>
    <row r="3926" spans="1:2" x14ac:dyDescent="0.25">
      <c r="A3926" s="32" t="s">
        <v>6561</v>
      </c>
      <c r="B3926" s="33" t="s">
        <v>6562</v>
      </c>
    </row>
    <row r="3927" spans="1:2" x14ac:dyDescent="0.25">
      <c r="A3927" s="30" t="s">
        <v>6563</v>
      </c>
      <c r="B3927" s="31" t="s">
        <v>6564</v>
      </c>
    </row>
    <row r="3928" spans="1:2" x14ac:dyDescent="0.25">
      <c r="A3928" s="32" t="s">
        <v>6565</v>
      </c>
      <c r="B3928" s="33" t="s">
        <v>6566</v>
      </c>
    </row>
    <row r="3929" spans="1:2" x14ac:dyDescent="0.25">
      <c r="A3929" s="30" t="s">
        <v>10759</v>
      </c>
      <c r="B3929" s="31" t="s">
        <v>10759</v>
      </c>
    </row>
    <row r="3930" spans="1:2" x14ac:dyDescent="0.25">
      <c r="A3930" s="32" t="s">
        <v>6567</v>
      </c>
      <c r="B3930" s="33" t="s">
        <v>6568</v>
      </c>
    </row>
    <row r="3931" spans="1:2" x14ac:dyDescent="0.25">
      <c r="A3931" s="30" t="s">
        <v>725</v>
      </c>
      <c r="B3931" s="31" t="s">
        <v>6569</v>
      </c>
    </row>
    <row r="3932" spans="1:2" x14ac:dyDescent="0.25">
      <c r="A3932" s="32" t="s">
        <v>6570</v>
      </c>
      <c r="B3932" s="33" t="s">
        <v>6571</v>
      </c>
    </row>
    <row r="3933" spans="1:2" x14ac:dyDescent="0.25">
      <c r="A3933" s="30" t="s">
        <v>6572</v>
      </c>
      <c r="B3933" s="31" t="s">
        <v>6573</v>
      </c>
    </row>
    <row r="3934" spans="1:2" x14ac:dyDescent="0.25">
      <c r="A3934" s="32" t="s">
        <v>726</v>
      </c>
      <c r="B3934" s="33" t="s">
        <v>6574</v>
      </c>
    </row>
    <row r="3935" spans="1:2" x14ac:dyDescent="0.25">
      <c r="A3935" s="30" t="s">
        <v>6575</v>
      </c>
      <c r="B3935" s="31" t="s">
        <v>6576</v>
      </c>
    </row>
    <row r="3936" spans="1:2" x14ac:dyDescent="0.25">
      <c r="A3936" s="32" t="s">
        <v>6577</v>
      </c>
      <c r="B3936" s="33" t="s">
        <v>6578</v>
      </c>
    </row>
    <row r="3937" spans="1:2" x14ac:dyDescent="0.25">
      <c r="A3937" s="30" t="s">
        <v>6579</v>
      </c>
      <c r="B3937" s="31" t="s">
        <v>6580</v>
      </c>
    </row>
    <row r="3938" spans="1:2" x14ac:dyDescent="0.25">
      <c r="A3938" s="32" t="s">
        <v>6581</v>
      </c>
      <c r="B3938" s="33" t="s">
        <v>6582</v>
      </c>
    </row>
    <row r="3939" spans="1:2" x14ac:dyDescent="0.25">
      <c r="A3939" s="30" t="s">
        <v>727</v>
      </c>
      <c r="B3939" s="31" t="s">
        <v>6583</v>
      </c>
    </row>
    <row r="3940" spans="1:2" x14ac:dyDescent="0.25">
      <c r="A3940" s="32" t="s">
        <v>6584</v>
      </c>
      <c r="B3940" s="33" t="s">
        <v>6585</v>
      </c>
    </row>
    <row r="3941" spans="1:2" x14ac:dyDescent="0.25">
      <c r="A3941" s="30" t="s">
        <v>6586</v>
      </c>
      <c r="B3941" s="31" t="s">
        <v>6587</v>
      </c>
    </row>
    <row r="3942" spans="1:2" x14ac:dyDescent="0.25">
      <c r="A3942" s="32" t="s">
        <v>6588</v>
      </c>
      <c r="B3942" s="33" t="s">
        <v>6589</v>
      </c>
    </row>
    <row r="3943" spans="1:2" x14ac:dyDescent="0.25">
      <c r="A3943" s="30" t="s">
        <v>10760</v>
      </c>
      <c r="B3943" s="31" t="s">
        <v>10760</v>
      </c>
    </row>
    <row r="3944" spans="1:2" x14ac:dyDescent="0.25">
      <c r="A3944" s="32" t="s">
        <v>6590</v>
      </c>
      <c r="B3944" s="33" t="s">
        <v>6591</v>
      </c>
    </row>
    <row r="3945" spans="1:2" x14ac:dyDescent="0.25">
      <c r="A3945" s="30" t="s">
        <v>728</v>
      </c>
      <c r="B3945" s="31" t="s">
        <v>6592</v>
      </c>
    </row>
    <row r="3946" spans="1:2" x14ac:dyDescent="0.25">
      <c r="A3946" s="32" t="s">
        <v>729</v>
      </c>
      <c r="B3946" s="33" t="s">
        <v>6593</v>
      </c>
    </row>
    <row r="3947" spans="1:2" x14ac:dyDescent="0.25">
      <c r="A3947" s="30" t="s">
        <v>6594</v>
      </c>
      <c r="B3947" s="31" t="s">
        <v>6595</v>
      </c>
    </row>
    <row r="3948" spans="1:2" x14ac:dyDescent="0.25">
      <c r="A3948" s="32" t="s">
        <v>6596</v>
      </c>
      <c r="B3948" s="33" t="s">
        <v>6597</v>
      </c>
    </row>
    <row r="3949" spans="1:2" x14ac:dyDescent="0.25">
      <c r="A3949" s="30" t="s">
        <v>10761</v>
      </c>
      <c r="B3949" s="31" t="s">
        <v>10761</v>
      </c>
    </row>
    <row r="3950" spans="1:2" x14ac:dyDescent="0.25">
      <c r="A3950" s="32" t="s">
        <v>730</v>
      </c>
      <c r="B3950" s="33" t="s">
        <v>6598</v>
      </c>
    </row>
    <row r="3951" spans="1:2" x14ac:dyDescent="0.25">
      <c r="A3951" s="30" t="s">
        <v>6599</v>
      </c>
      <c r="B3951" s="31" t="s">
        <v>6600</v>
      </c>
    </row>
    <row r="3952" spans="1:2" x14ac:dyDescent="0.25">
      <c r="A3952" s="32" t="s">
        <v>731</v>
      </c>
      <c r="B3952" s="33" t="s">
        <v>6601</v>
      </c>
    </row>
    <row r="3953" spans="1:2" x14ac:dyDescent="0.25">
      <c r="A3953" s="30" t="s">
        <v>6602</v>
      </c>
      <c r="B3953" s="31" t="s">
        <v>6603</v>
      </c>
    </row>
    <row r="3954" spans="1:2" x14ac:dyDescent="0.25">
      <c r="A3954" s="32" t="s">
        <v>732</v>
      </c>
      <c r="B3954" s="33" t="s">
        <v>6604</v>
      </c>
    </row>
    <row r="3955" spans="1:2" x14ac:dyDescent="0.25">
      <c r="A3955" s="30" t="s">
        <v>733</v>
      </c>
      <c r="B3955" s="31" t="s">
        <v>6605</v>
      </c>
    </row>
    <row r="3956" spans="1:2" x14ac:dyDescent="0.25">
      <c r="A3956" s="32" t="s">
        <v>10762</v>
      </c>
      <c r="B3956" s="33" t="s">
        <v>10762</v>
      </c>
    </row>
    <row r="3957" spans="1:2" x14ac:dyDescent="0.25">
      <c r="A3957" s="30" t="s">
        <v>10763</v>
      </c>
      <c r="B3957" s="31" t="s">
        <v>10763</v>
      </c>
    </row>
    <row r="3958" spans="1:2" x14ac:dyDescent="0.25">
      <c r="A3958" s="32" t="s">
        <v>6606</v>
      </c>
      <c r="B3958" s="33" t="s">
        <v>6607</v>
      </c>
    </row>
    <row r="3959" spans="1:2" x14ac:dyDescent="0.25">
      <c r="A3959" s="30" t="s">
        <v>734</v>
      </c>
      <c r="B3959" s="31" t="s">
        <v>6608</v>
      </c>
    </row>
    <row r="3960" spans="1:2" x14ac:dyDescent="0.25">
      <c r="A3960" s="32" t="s">
        <v>735</v>
      </c>
      <c r="B3960" s="33" t="s">
        <v>6609</v>
      </c>
    </row>
    <row r="3961" spans="1:2" x14ac:dyDescent="0.25">
      <c r="A3961" s="30" t="s">
        <v>736</v>
      </c>
      <c r="B3961" s="31" t="s">
        <v>6610</v>
      </c>
    </row>
    <row r="3962" spans="1:2" x14ac:dyDescent="0.25">
      <c r="A3962" s="32" t="s">
        <v>10764</v>
      </c>
      <c r="B3962" s="33" t="s">
        <v>10764</v>
      </c>
    </row>
    <row r="3963" spans="1:2" x14ac:dyDescent="0.25">
      <c r="A3963" s="30" t="s">
        <v>6611</v>
      </c>
      <c r="B3963" s="31" t="s">
        <v>6612</v>
      </c>
    </row>
    <row r="3964" spans="1:2" x14ac:dyDescent="0.25">
      <c r="A3964" s="32" t="s">
        <v>6613</v>
      </c>
      <c r="B3964" s="33" t="s">
        <v>6614</v>
      </c>
    </row>
    <row r="3965" spans="1:2" x14ac:dyDescent="0.25">
      <c r="A3965" s="30" t="s">
        <v>6615</v>
      </c>
      <c r="B3965" s="31" t="s">
        <v>6616</v>
      </c>
    </row>
    <row r="3966" spans="1:2" x14ac:dyDescent="0.25">
      <c r="A3966" s="32" t="s">
        <v>6617</v>
      </c>
      <c r="B3966" s="33" t="s">
        <v>6618</v>
      </c>
    </row>
    <row r="3967" spans="1:2" x14ac:dyDescent="0.25">
      <c r="A3967" s="30" t="s">
        <v>10765</v>
      </c>
      <c r="B3967" s="31" t="s">
        <v>10765</v>
      </c>
    </row>
    <row r="3968" spans="1:2" x14ac:dyDescent="0.25">
      <c r="A3968" s="32" t="s">
        <v>6619</v>
      </c>
      <c r="B3968" s="33" t="s">
        <v>6620</v>
      </c>
    </row>
    <row r="3969" spans="1:2" x14ac:dyDescent="0.25">
      <c r="A3969" s="30" t="s">
        <v>6621</v>
      </c>
      <c r="B3969" s="31" t="s">
        <v>6622</v>
      </c>
    </row>
    <row r="3970" spans="1:2" x14ac:dyDescent="0.25">
      <c r="A3970" s="32" t="s">
        <v>10766</v>
      </c>
      <c r="B3970" s="33" t="s">
        <v>10766</v>
      </c>
    </row>
    <row r="3971" spans="1:2" x14ac:dyDescent="0.25">
      <c r="A3971" s="30" t="s">
        <v>737</v>
      </c>
      <c r="B3971" s="31" t="s">
        <v>6623</v>
      </c>
    </row>
    <row r="3972" spans="1:2" x14ac:dyDescent="0.25">
      <c r="A3972" s="32" t="s">
        <v>738</v>
      </c>
      <c r="B3972" s="33" t="s">
        <v>6624</v>
      </c>
    </row>
    <row r="3973" spans="1:2" x14ac:dyDescent="0.25">
      <c r="A3973" s="30" t="s">
        <v>739</v>
      </c>
      <c r="B3973" s="31" t="s">
        <v>6625</v>
      </c>
    </row>
    <row r="3974" spans="1:2" x14ac:dyDescent="0.25">
      <c r="A3974" s="32" t="s">
        <v>740</v>
      </c>
      <c r="B3974" s="33" t="s">
        <v>6626</v>
      </c>
    </row>
    <row r="3975" spans="1:2" x14ac:dyDescent="0.25">
      <c r="A3975" s="30" t="s">
        <v>6627</v>
      </c>
      <c r="B3975" s="31" t="s">
        <v>6628</v>
      </c>
    </row>
    <row r="3976" spans="1:2" x14ac:dyDescent="0.25">
      <c r="A3976" s="32" t="s">
        <v>6629</v>
      </c>
      <c r="B3976" s="33" t="s">
        <v>6630</v>
      </c>
    </row>
    <row r="3977" spans="1:2" x14ac:dyDescent="0.25">
      <c r="A3977" s="30" t="s">
        <v>741</v>
      </c>
      <c r="B3977" s="31" t="s">
        <v>6631</v>
      </c>
    </row>
    <row r="3978" spans="1:2" x14ac:dyDescent="0.25">
      <c r="A3978" s="32" t="s">
        <v>6632</v>
      </c>
      <c r="B3978" s="33" t="s">
        <v>6633</v>
      </c>
    </row>
    <row r="3979" spans="1:2" x14ac:dyDescent="0.25">
      <c r="A3979" s="30" t="s">
        <v>742</v>
      </c>
      <c r="B3979" s="31" t="s">
        <v>742</v>
      </c>
    </row>
    <row r="3980" spans="1:2" x14ac:dyDescent="0.25">
      <c r="A3980" s="32" t="s">
        <v>6634</v>
      </c>
      <c r="B3980" s="33" t="s">
        <v>6635</v>
      </c>
    </row>
    <row r="3981" spans="1:2" x14ac:dyDescent="0.25">
      <c r="A3981" s="30" t="s">
        <v>6636</v>
      </c>
      <c r="B3981" s="31" t="s">
        <v>6637</v>
      </c>
    </row>
    <row r="3982" spans="1:2" x14ac:dyDescent="0.25">
      <c r="A3982" s="32" t="s">
        <v>6638</v>
      </c>
      <c r="B3982" s="33" t="s">
        <v>6639</v>
      </c>
    </row>
    <row r="3983" spans="1:2" x14ac:dyDescent="0.25">
      <c r="A3983" s="30" t="s">
        <v>10767</v>
      </c>
      <c r="B3983" s="31" t="s">
        <v>10767</v>
      </c>
    </row>
    <row r="3984" spans="1:2" x14ac:dyDescent="0.25">
      <c r="A3984" s="32" t="s">
        <v>10768</v>
      </c>
      <c r="B3984" s="33" t="s">
        <v>10768</v>
      </c>
    </row>
    <row r="3985" spans="1:2" x14ac:dyDescent="0.25">
      <c r="A3985" s="30" t="s">
        <v>743</v>
      </c>
      <c r="B3985" s="31" t="s">
        <v>6640</v>
      </c>
    </row>
    <row r="3986" spans="1:2" x14ac:dyDescent="0.25">
      <c r="A3986" s="32" t="s">
        <v>6641</v>
      </c>
      <c r="B3986" s="33" t="s">
        <v>6642</v>
      </c>
    </row>
    <row r="3987" spans="1:2" x14ac:dyDescent="0.25">
      <c r="A3987" s="30" t="s">
        <v>6643</v>
      </c>
      <c r="B3987" s="31" t="s">
        <v>6644</v>
      </c>
    </row>
    <row r="3988" spans="1:2" x14ac:dyDescent="0.25">
      <c r="A3988" s="32" t="s">
        <v>744</v>
      </c>
      <c r="B3988" s="33" t="s">
        <v>6645</v>
      </c>
    </row>
    <row r="3989" spans="1:2" x14ac:dyDescent="0.25">
      <c r="A3989" s="30" t="s">
        <v>10769</v>
      </c>
      <c r="B3989" s="31" t="s">
        <v>10769</v>
      </c>
    </row>
    <row r="3990" spans="1:2" x14ac:dyDescent="0.25">
      <c r="A3990" s="32" t="s">
        <v>6646</v>
      </c>
      <c r="B3990" s="33" t="s">
        <v>6647</v>
      </c>
    </row>
    <row r="3991" spans="1:2" x14ac:dyDescent="0.25">
      <c r="A3991" s="30" t="s">
        <v>10770</v>
      </c>
      <c r="B3991" s="31" t="s">
        <v>10770</v>
      </c>
    </row>
    <row r="3992" spans="1:2" x14ac:dyDescent="0.25">
      <c r="A3992" s="32" t="s">
        <v>6648</v>
      </c>
      <c r="B3992" s="33" t="s">
        <v>6649</v>
      </c>
    </row>
    <row r="3993" spans="1:2" x14ac:dyDescent="0.25">
      <c r="A3993" s="30" t="s">
        <v>6650</v>
      </c>
      <c r="B3993" s="31" t="s">
        <v>6651</v>
      </c>
    </row>
    <row r="3994" spans="1:2" x14ac:dyDescent="0.25">
      <c r="A3994" s="32" t="s">
        <v>6652</v>
      </c>
      <c r="B3994" s="33" t="s">
        <v>6653</v>
      </c>
    </row>
    <row r="3995" spans="1:2" x14ac:dyDescent="0.25">
      <c r="A3995" s="30" t="s">
        <v>6654</v>
      </c>
      <c r="B3995" s="31" t="s">
        <v>6655</v>
      </c>
    </row>
    <row r="3996" spans="1:2" x14ac:dyDescent="0.25">
      <c r="A3996" s="32" t="s">
        <v>6656</v>
      </c>
      <c r="B3996" s="33" t="s">
        <v>6657</v>
      </c>
    </row>
    <row r="3997" spans="1:2" x14ac:dyDescent="0.25">
      <c r="A3997" s="30" t="s">
        <v>6658</v>
      </c>
      <c r="B3997" s="31" t="s">
        <v>6659</v>
      </c>
    </row>
    <row r="3998" spans="1:2" x14ac:dyDescent="0.25">
      <c r="A3998" s="32" t="s">
        <v>6660</v>
      </c>
      <c r="B3998" s="33" t="s">
        <v>6661</v>
      </c>
    </row>
    <row r="3999" spans="1:2" x14ac:dyDescent="0.25">
      <c r="A3999" s="30" t="s">
        <v>745</v>
      </c>
      <c r="B3999" s="31" t="s">
        <v>6662</v>
      </c>
    </row>
    <row r="4000" spans="1:2" x14ac:dyDescent="0.25">
      <c r="A4000" s="32" t="s">
        <v>6663</v>
      </c>
      <c r="B4000" s="33" t="s">
        <v>6664</v>
      </c>
    </row>
    <row r="4001" spans="1:2" x14ac:dyDescent="0.25">
      <c r="A4001" s="30" t="s">
        <v>6665</v>
      </c>
      <c r="B4001" s="31" t="s">
        <v>6666</v>
      </c>
    </row>
    <row r="4002" spans="1:2" x14ac:dyDescent="0.25">
      <c r="A4002" s="32" t="s">
        <v>6667</v>
      </c>
      <c r="B4002" s="33" t="s">
        <v>6668</v>
      </c>
    </row>
    <row r="4003" spans="1:2" x14ac:dyDescent="0.25">
      <c r="A4003" s="30" t="s">
        <v>6669</v>
      </c>
      <c r="B4003" s="31" t="s">
        <v>6670</v>
      </c>
    </row>
    <row r="4004" spans="1:2" x14ac:dyDescent="0.25">
      <c r="A4004" s="32" t="s">
        <v>746</v>
      </c>
      <c r="B4004" s="33" t="s">
        <v>6671</v>
      </c>
    </row>
    <row r="4005" spans="1:2" x14ac:dyDescent="0.25">
      <c r="A4005" s="30" t="s">
        <v>6672</v>
      </c>
      <c r="B4005" s="31" t="s">
        <v>6673</v>
      </c>
    </row>
    <row r="4006" spans="1:2" x14ac:dyDescent="0.25">
      <c r="A4006" s="32" t="s">
        <v>6674</v>
      </c>
      <c r="B4006" s="33" t="s">
        <v>6675</v>
      </c>
    </row>
    <row r="4007" spans="1:2" x14ac:dyDescent="0.25">
      <c r="A4007" s="30" t="s">
        <v>6676</v>
      </c>
      <c r="B4007" s="31" t="s">
        <v>6677</v>
      </c>
    </row>
    <row r="4008" spans="1:2" x14ac:dyDescent="0.25">
      <c r="A4008" s="32" t="s">
        <v>6678</v>
      </c>
      <c r="B4008" s="33" t="s">
        <v>6679</v>
      </c>
    </row>
    <row r="4009" spans="1:2" x14ac:dyDescent="0.25">
      <c r="A4009" s="30" t="s">
        <v>6680</v>
      </c>
      <c r="B4009" s="31" t="s">
        <v>6681</v>
      </c>
    </row>
    <row r="4010" spans="1:2" x14ac:dyDescent="0.25">
      <c r="A4010" s="32" t="s">
        <v>6682</v>
      </c>
      <c r="B4010" s="33" t="s">
        <v>6683</v>
      </c>
    </row>
    <row r="4011" spans="1:2" x14ac:dyDescent="0.25">
      <c r="A4011" s="30" t="s">
        <v>747</v>
      </c>
      <c r="B4011" s="31" t="s">
        <v>6684</v>
      </c>
    </row>
    <row r="4012" spans="1:2" x14ac:dyDescent="0.25">
      <c r="A4012" s="32" t="s">
        <v>748</v>
      </c>
      <c r="B4012" s="33" t="s">
        <v>6685</v>
      </c>
    </row>
    <row r="4013" spans="1:2" x14ac:dyDescent="0.25">
      <c r="A4013" s="30" t="s">
        <v>10771</v>
      </c>
      <c r="B4013" s="31" t="s">
        <v>10771</v>
      </c>
    </row>
    <row r="4014" spans="1:2" x14ac:dyDescent="0.25">
      <c r="A4014" s="32" t="s">
        <v>749</v>
      </c>
      <c r="B4014" s="33" t="s">
        <v>6686</v>
      </c>
    </row>
    <row r="4015" spans="1:2" x14ac:dyDescent="0.25">
      <c r="A4015" s="30" t="s">
        <v>6687</v>
      </c>
      <c r="B4015" s="31" t="s">
        <v>6688</v>
      </c>
    </row>
    <row r="4016" spans="1:2" x14ac:dyDescent="0.25">
      <c r="A4016" s="32" t="s">
        <v>6689</v>
      </c>
      <c r="B4016" s="33" t="s">
        <v>6690</v>
      </c>
    </row>
    <row r="4017" spans="1:2" x14ac:dyDescent="0.25">
      <c r="A4017" s="30" t="s">
        <v>6691</v>
      </c>
      <c r="B4017" s="31" t="s">
        <v>6692</v>
      </c>
    </row>
    <row r="4018" spans="1:2" x14ac:dyDescent="0.25">
      <c r="A4018" s="32" t="s">
        <v>6693</v>
      </c>
      <c r="B4018" s="33" t="s">
        <v>6694</v>
      </c>
    </row>
    <row r="4019" spans="1:2" x14ac:dyDescent="0.25">
      <c r="A4019" s="30" t="s">
        <v>6695</v>
      </c>
      <c r="B4019" s="31" t="s">
        <v>6696</v>
      </c>
    </row>
    <row r="4020" spans="1:2" x14ac:dyDescent="0.25">
      <c r="A4020" s="32" t="s">
        <v>750</v>
      </c>
      <c r="B4020" s="33" t="s">
        <v>6697</v>
      </c>
    </row>
    <row r="4021" spans="1:2" x14ac:dyDescent="0.25">
      <c r="A4021" s="30" t="s">
        <v>751</v>
      </c>
      <c r="B4021" s="31" t="s">
        <v>6698</v>
      </c>
    </row>
    <row r="4022" spans="1:2" x14ac:dyDescent="0.25">
      <c r="A4022" s="32" t="s">
        <v>6699</v>
      </c>
      <c r="B4022" s="33" t="s">
        <v>6700</v>
      </c>
    </row>
    <row r="4023" spans="1:2" x14ac:dyDescent="0.25">
      <c r="A4023" s="30" t="s">
        <v>752</v>
      </c>
      <c r="B4023" s="31" t="s">
        <v>6701</v>
      </c>
    </row>
    <row r="4024" spans="1:2" x14ac:dyDescent="0.25">
      <c r="A4024" s="32" t="s">
        <v>10772</v>
      </c>
      <c r="B4024" s="33" t="s">
        <v>10772</v>
      </c>
    </row>
    <row r="4025" spans="1:2" x14ac:dyDescent="0.25">
      <c r="A4025" s="30" t="s">
        <v>6702</v>
      </c>
      <c r="B4025" s="31" t="s">
        <v>6703</v>
      </c>
    </row>
    <row r="4026" spans="1:2" x14ac:dyDescent="0.25">
      <c r="A4026" s="32" t="s">
        <v>753</v>
      </c>
      <c r="B4026" s="33" t="s">
        <v>6704</v>
      </c>
    </row>
    <row r="4027" spans="1:2" x14ac:dyDescent="0.25">
      <c r="A4027" s="30" t="s">
        <v>6705</v>
      </c>
      <c r="B4027" s="31" t="s">
        <v>6706</v>
      </c>
    </row>
    <row r="4028" spans="1:2" x14ac:dyDescent="0.25">
      <c r="A4028" s="32" t="s">
        <v>10773</v>
      </c>
      <c r="B4028" s="33" t="s">
        <v>10773</v>
      </c>
    </row>
    <row r="4029" spans="1:2" x14ac:dyDescent="0.25">
      <c r="A4029" s="30" t="s">
        <v>10774</v>
      </c>
      <c r="B4029" s="31" t="s">
        <v>10774</v>
      </c>
    </row>
    <row r="4030" spans="1:2" x14ac:dyDescent="0.25">
      <c r="A4030" s="32" t="s">
        <v>91</v>
      </c>
      <c r="B4030" s="33" t="s">
        <v>6707</v>
      </c>
    </row>
    <row r="4031" spans="1:2" x14ac:dyDescent="0.25">
      <c r="A4031" s="30" t="s">
        <v>6708</v>
      </c>
      <c r="B4031" s="31" t="s">
        <v>6709</v>
      </c>
    </row>
    <row r="4032" spans="1:2" x14ac:dyDescent="0.25">
      <c r="A4032" s="32" t="s">
        <v>6710</v>
      </c>
      <c r="B4032" s="33" t="s">
        <v>6711</v>
      </c>
    </row>
    <row r="4033" spans="1:2" x14ac:dyDescent="0.25">
      <c r="A4033" s="30" t="s">
        <v>6712</v>
      </c>
      <c r="B4033" s="31" t="s">
        <v>6713</v>
      </c>
    </row>
    <row r="4034" spans="1:2" x14ac:dyDescent="0.25">
      <c r="A4034" s="32" t="s">
        <v>6714</v>
      </c>
      <c r="B4034" s="33" t="s">
        <v>6715</v>
      </c>
    </row>
    <row r="4035" spans="1:2" x14ac:dyDescent="0.25">
      <c r="A4035" s="30" t="s">
        <v>6716</v>
      </c>
      <c r="B4035" s="31" t="s">
        <v>6717</v>
      </c>
    </row>
    <row r="4036" spans="1:2" x14ac:dyDescent="0.25">
      <c r="A4036" s="32" t="s">
        <v>754</v>
      </c>
      <c r="B4036" s="33" t="s">
        <v>6718</v>
      </c>
    </row>
    <row r="4037" spans="1:2" x14ac:dyDescent="0.25">
      <c r="A4037" s="30" t="s">
        <v>6719</v>
      </c>
      <c r="B4037" s="31" t="s">
        <v>6720</v>
      </c>
    </row>
    <row r="4038" spans="1:2" x14ac:dyDescent="0.25">
      <c r="A4038" s="32" t="s">
        <v>1255</v>
      </c>
      <c r="B4038" s="33" t="s">
        <v>6721</v>
      </c>
    </row>
    <row r="4039" spans="1:2" x14ac:dyDescent="0.25">
      <c r="A4039" s="30" t="s">
        <v>6722</v>
      </c>
      <c r="B4039" s="31" t="s">
        <v>6723</v>
      </c>
    </row>
    <row r="4040" spans="1:2" x14ac:dyDescent="0.25">
      <c r="A4040" s="32" t="s">
        <v>10775</v>
      </c>
      <c r="B4040" s="33" t="s">
        <v>10775</v>
      </c>
    </row>
    <row r="4041" spans="1:2" x14ac:dyDescent="0.25">
      <c r="A4041" s="30" t="s">
        <v>6724</v>
      </c>
      <c r="B4041" s="31" t="s">
        <v>6725</v>
      </c>
    </row>
    <row r="4042" spans="1:2" x14ac:dyDescent="0.25">
      <c r="A4042" s="32" t="s">
        <v>6726</v>
      </c>
      <c r="B4042" s="33" t="s">
        <v>6727</v>
      </c>
    </row>
    <row r="4043" spans="1:2" x14ac:dyDescent="0.25">
      <c r="A4043" s="30" t="s">
        <v>6728</v>
      </c>
      <c r="B4043" s="31" t="s">
        <v>6729</v>
      </c>
    </row>
    <row r="4044" spans="1:2" x14ac:dyDescent="0.25">
      <c r="A4044" s="32" t="s">
        <v>6730</v>
      </c>
      <c r="B4044" s="33" t="s">
        <v>6731</v>
      </c>
    </row>
    <row r="4045" spans="1:2" x14ac:dyDescent="0.25">
      <c r="A4045" s="30" t="s">
        <v>6732</v>
      </c>
      <c r="B4045" s="31" t="s">
        <v>6733</v>
      </c>
    </row>
    <row r="4046" spans="1:2" x14ac:dyDescent="0.25">
      <c r="A4046" s="32" t="s">
        <v>6734</v>
      </c>
      <c r="B4046" s="33" t="s">
        <v>6735</v>
      </c>
    </row>
    <row r="4047" spans="1:2" x14ac:dyDescent="0.25">
      <c r="A4047" s="30" t="s">
        <v>6736</v>
      </c>
      <c r="B4047" s="31" t="s">
        <v>6737</v>
      </c>
    </row>
    <row r="4048" spans="1:2" x14ac:dyDescent="0.25">
      <c r="A4048" s="32" t="s">
        <v>6738</v>
      </c>
      <c r="B4048" s="33" t="s">
        <v>6739</v>
      </c>
    </row>
    <row r="4049" spans="1:2" x14ac:dyDescent="0.25">
      <c r="A4049" s="30" t="s">
        <v>755</v>
      </c>
      <c r="B4049" s="31" t="s">
        <v>6740</v>
      </c>
    </row>
    <row r="4050" spans="1:2" x14ac:dyDescent="0.25">
      <c r="A4050" s="32" t="s">
        <v>756</v>
      </c>
      <c r="B4050" s="33" t="s">
        <v>6741</v>
      </c>
    </row>
    <row r="4051" spans="1:2" x14ac:dyDescent="0.25">
      <c r="A4051" s="30" t="s">
        <v>280</v>
      </c>
      <c r="B4051" s="31" t="s">
        <v>6742</v>
      </c>
    </row>
    <row r="4052" spans="1:2" x14ac:dyDescent="0.25">
      <c r="A4052" s="32" t="s">
        <v>6743</v>
      </c>
      <c r="B4052" s="33" t="s">
        <v>6744</v>
      </c>
    </row>
    <row r="4053" spans="1:2" x14ac:dyDescent="0.25">
      <c r="A4053" s="30" t="s">
        <v>757</v>
      </c>
      <c r="B4053" s="31" t="s">
        <v>6745</v>
      </c>
    </row>
    <row r="4054" spans="1:2" x14ac:dyDescent="0.25">
      <c r="A4054" s="32" t="s">
        <v>6746</v>
      </c>
      <c r="B4054" s="33" t="s">
        <v>6747</v>
      </c>
    </row>
    <row r="4055" spans="1:2" x14ac:dyDescent="0.25">
      <c r="A4055" s="30" t="s">
        <v>6748</v>
      </c>
      <c r="B4055" s="31" t="s">
        <v>6749</v>
      </c>
    </row>
    <row r="4056" spans="1:2" x14ac:dyDescent="0.25">
      <c r="A4056" s="32" t="s">
        <v>10776</v>
      </c>
      <c r="B4056" s="33" t="s">
        <v>10776</v>
      </c>
    </row>
    <row r="4057" spans="1:2" x14ac:dyDescent="0.25">
      <c r="A4057" s="30" t="s">
        <v>6750</v>
      </c>
      <c r="B4057" s="31" t="s">
        <v>6751</v>
      </c>
    </row>
    <row r="4058" spans="1:2" x14ac:dyDescent="0.25">
      <c r="A4058" s="32" t="s">
        <v>6752</v>
      </c>
      <c r="B4058" s="33" t="s">
        <v>6753</v>
      </c>
    </row>
    <row r="4059" spans="1:2" x14ac:dyDescent="0.25">
      <c r="A4059" s="30" t="s">
        <v>758</v>
      </c>
      <c r="B4059" s="31" t="s">
        <v>6754</v>
      </c>
    </row>
    <row r="4060" spans="1:2" x14ac:dyDescent="0.25">
      <c r="A4060" s="32" t="s">
        <v>759</v>
      </c>
      <c r="B4060" s="33" t="s">
        <v>6755</v>
      </c>
    </row>
    <row r="4061" spans="1:2" x14ac:dyDescent="0.25">
      <c r="A4061" s="30" t="s">
        <v>6756</v>
      </c>
      <c r="B4061" s="31" t="s">
        <v>6757</v>
      </c>
    </row>
    <row r="4062" spans="1:2" x14ac:dyDescent="0.25">
      <c r="A4062" s="32" t="s">
        <v>760</v>
      </c>
      <c r="B4062" s="33" t="s">
        <v>6758</v>
      </c>
    </row>
    <row r="4063" spans="1:2" x14ac:dyDescent="0.25">
      <c r="A4063" s="30" t="s">
        <v>761</v>
      </c>
      <c r="B4063" s="31" t="s">
        <v>6759</v>
      </c>
    </row>
    <row r="4064" spans="1:2" x14ac:dyDescent="0.25">
      <c r="A4064" s="32" t="s">
        <v>6760</v>
      </c>
      <c r="B4064" s="33" t="s">
        <v>6761</v>
      </c>
    </row>
    <row r="4065" spans="1:2" x14ac:dyDescent="0.25">
      <c r="A4065" s="30" t="s">
        <v>6762</v>
      </c>
      <c r="B4065" s="31" t="s">
        <v>6763</v>
      </c>
    </row>
    <row r="4066" spans="1:2" x14ac:dyDescent="0.25">
      <c r="A4066" s="32" t="s">
        <v>762</v>
      </c>
      <c r="B4066" s="33" t="s">
        <v>6764</v>
      </c>
    </row>
    <row r="4067" spans="1:2" x14ac:dyDescent="0.25">
      <c r="A4067" s="30" t="s">
        <v>6765</v>
      </c>
      <c r="B4067" s="31" t="s">
        <v>6766</v>
      </c>
    </row>
    <row r="4068" spans="1:2" x14ac:dyDescent="0.25">
      <c r="A4068" s="32" t="s">
        <v>763</v>
      </c>
      <c r="B4068" s="33" t="s">
        <v>6767</v>
      </c>
    </row>
    <row r="4069" spans="1:2" x14ac:dyDescent="0.25">
      <c r="A4069" s="30" t="s">
        <v>6768</v>
      </c>
      <c r="B4069" s="31" t="s">
        <v>6769</v>
      </c>
    </row>
    <row r="4070" spans="1:2" x14ac:dyDescent="0.25">
      <c r="A4070" s="32" t="s">
        <v>6770</v>
      </c>
      <c r="B4070" s="33" t="s">
        <v>6771</v>
      </c>
    </row>
    <row r="4071" spans="1:2" x14ac:dyDescent="0.25">
      <c r="A4071" s="30" t="s">
        <v>764</v>
      </c>
      <c r="B4071" s="31" t="s">
        <v>6772</v>
      </c>
    </row>
    <row r="4072" spans="1:2" x14ac:dyDescent="0.25">
      <c r="A4072" s="32" t="s">
        <v>765</v>
      </c>
      <c r="B4072" s="33" t="s">
        <v>6773</v>
      </c>
    </row>
    <row r="4073" spans="1:2" x14ac:dyDescent="0.25">
      <c r="A4073" s="30" t="s">
        <v>766</v>
      </c>
      <c r="B4073" s="31" t="s">
        <v>6774</v>
      </c>
    </row>
    <row r="4074" spans="1:2" x14ac:dyDescent="0.25">
      <c r="A4074" s="32" t="s">
        <v>6775</v>
      </c>
      <c r="B4074" s="33" t="s">
        <v>6776</v>
      </c>
    </row>
    <row r="4075" spans="1:2" x14ac:dyDescent="0.25">
      <c r="A4075" s="30" t="s">
        <v>767</v>
      </c>
      <c r="B4075" s="31" t="s">
        <v>6777</v>
      </c>
    </row>
    <row r="4076" spans="1:2" x14ac:dyDescent="0.25">
      <c r="A4076" s="32" t="s">
        <v>768</v>
      </c>
      <c r="B4076" s="33" t="s">
        <v>6778</v>
      </c>
    </row>
    <row r="4077" spans="1:2" x14ac:dyDescent="0.25">
      <c r="A4077" s="30" t="s">
        <v>6779</v>
      </c>
      <c r="B4077" s="31" t="s">
        <v>6780</v>
      </c>
    </row>
    <row r="4078" spans="1:2" x14ac:dyDescent="0.25">
      <c r="A4078" s="32" t="s">
        <v>10777</v>
      </c>
      <c r="B4078" s="33" t="s">
        <v>10777</v>
      </c>
    </row>
    <row r="4079" spans="1:2" x14ac:dyDescent="0.25">
      <c r="A4079" s="30" t="s">
        <v>6781</v>
      </c>
      <c r="B4079" s="31" t="s">
        <v>6782</v>
      </c>
    </row>
    <row r="4080" spans="1:2" x14ac:dyDescent="0.25">
      <c r="A4080" s="32" t="s">
        <v>6783</v>
      </c>
      <c r="B4080" s="33" t="s">
        <v>6784</v>
      </c>
    </row>
    <row r="4081" spans="1:2" x14ac:dyDescent="0.25">
      <c r="A4081" s="30" t="s">
        <v>6785</v>
      </c>
      <c r="B4081" s="31" t="s">
        <v>6786</v>
      </c>
    </row>
    <row r="4082" spans="1:2" x14ac:dyDescent="0.25">
      <c r="A4082" s="32" t="s">
        <v>10778</v>
      </c>
      <c r="B4082" s="33" t="s">
        <v>10778</v>
      </c>
    </row>
    <row r="4083" spans="1:2" x14ac:dyDescent="0.25">
      <c r="A4083" s="30" t="s">
        <v>10779</v>
      </c>
      <c r="B4083" s="31" t="s">
        <v>10779</v>
      </c>
    </row>
    <row r="4084" spans="1:2" x14ac:dyDescent="0.25">
      <c r="A4084" s="32" t="s">
        <v>10780</v>
      </c>
      <c r="B4084" s="33" t="s">
        <v>10780</v>
      </c>
    </row>
    <row r="4085" spans="1:2" x14ac:dyDescent="0.25">
      <c r="A4085" s="30" t="s">
        <v>10781</v>
      </c>
      <c r="B4085" s="31" t="s">
        <v>10781</v>
      </c>
    </row>
    <row r="4086" spans="1:2" x14ac:dyDescent="0.25">
      <c r="A4086" s="32" t="s">
        <v>10782</v>
      </c>
      <c r="B4086" s="33" t="s">
        <v>10782</v>
      </c>
    </row>
    <row r="4087" spans="1:2" x14ac:dyDescent="0.25">
      <c r="A4087" s="30" t="s">
        <v>10783</v>
      </c>
      <c r="B4087" s="31" t="s">
        <v>10783</v>
      </c>
    </row>
    <row r="4088" spans="1:2" x14ac:dyDescent="0.25">
      <c r="A4088" s="32" t="s">
        <v>10784</v>
      </c>
      <c r="B4088" s="33" t="s">
        <v>10784</v>
      </c>
    </row>
    <row r="4089" spans="1:2" x14ac:dyDescent="0.25">
      <c r="A4089" s="30" t="s">
        <v>10785</v>
      </c>
      <c r="B4089" s="31" t="s">
        <v>10785</v>
      </c>
    </row>
    <row r="4090" spans="1:2" x14ac:dyDescent="0.25">
      <c r="A4090" s="32" t="s">
        <v>10786</v>
      </c>
      <c r="B4090" s="33" t="s">
        <v>10786</v>
      </c>
    </row>
    <row r="4091" spans="1:2" x14ac:dyDescent="0.25">
      <c r="A4091" s="30" t="s">
        <v>10787</v>
      </c>
      <c r="B4091" s="31" t="s">
        <v>10787</v>
      </c>
    </row>
    <row r="4092" spans="1:2" x14ac:dyDescent="0.25">
      <c r="A4092" s="32" t="s">
        <v>10788</v>
      </c>
      <c r="B4092" s="33" t="s">
        <v>10788</v>
      </c>
    </row>
    <row r="4093" spans="1:2" x14ac:dyDescent="0.25">
      <c r="A4093" s="30" t="s">
        <v>10789</v>
      </c>
      <c r="B4093" s="31" t="s">
        <v>10789</v>
      </c>
    </row>
    <row r="4094" spans="1:2" x14ac:dyDescent="0.25">
      <c r="A4094" s="32" t="s">
        <v>10790</v>
      </c>
      <c r="B4094" s="33" t="s">
        <v>10790</v>
      </c>
    </row>
    <row r="4095" spans="1:2" x14ac:dyDescent="0.25">
      <c r="A4095" s="30" t="s">
        <v>10791</v>
      </c>
      <c r="B4095" s="31" t="s">
        <v>10791</v>
      </c>
    </row>
    <row r="4096" spans="1:2" x14ac:dyDescent="0.25">
      <c r="A4096" s="32" t="s">
        <v>10792</v>
      </c>
      <c r="B4096" s="33" t="s">
        <v>10792</v>
      </c>
    </row>
    <row r="4097" spans="1:2" x14ac:dyDescent="0.25">
      <c r="A4097" s="30" t="s">
        <v>6787</v>
      </c>
      <c r="B4097" s="31" t="s">
        <v>6788</v>
      </c>
    </row>
    <row r="4098" spans="1:2" x14ac:dyDescent="0.25">
      <c r="A4098" s="32" t="s">
        <v>6789</v>
      </c>
      <c r="B4098" s="33" t="s">
        <v>6790</v>
      </c>
    </row>
    <row r="4099" spans="1:2" x14ac:dyDescent="0.25">
      <c r="A4099" s="30" t="s">
        <v>769</v>
      </c>
      <c r="B4099" s="31" t="s">
        <v>6791</v>
      </c>
    </row>
    <row r="4100" spans="1:2" x14ac:dyDescent="0.25">
      <c r="A4100" s="32" t="s">
        <v>6792</v>
      </c>
      <c r="B4100" s="33" t="s">
        <v>6793</v>
      </c>
    </row>
    <row r="4101" spans="1:2" x14ac:dyDescent="0.25">
      <c r="A4101" s="30" t="s">
        <v>10793</v>
      </c>
      <c r="B4101" s="31" t="s">
        <v>10793</v>
      </c>
    </row>
    <row r="4102" spans="1:2" x14ac:dyDescent="0.25">
      <c r="A4102" s="32" t="s">
        <v>6794</v>
      </c>
      <c r="B4102" s="33" t="s">
        <v>6795</v>
      </c>
    </row>
    <row r="4103" spans="1:2" x14ac:dyDescent="0.25">
      <c r="A4103" s="30" t="s">
        <v>6796</v>
      </c>
      <c r="B4103" s="31" t="s">
        <v>6797</v>
      </c>
    </row>
    <row r="4104" spans="1:2" x14ac:dyDescent="0.25">
      <c r="A4104" s="32" t="s">
        <v>6798</v>
      </c>
      <c r="B4104" s="33" t="s">
        <v>6799</v>
      </c>
    </row>
    <row r="4105" spans="1:2" x14ac:dyDescent="0.25">
      <c r="A4105" s="30" t="s">
        <v>6800</v>
      </c>
      <c r="B4105" s="31" t="s">
        <v>6801</v>
      </c>
    </row>
    <row r="4106" spans="1:2" x14ac:dyDescent="0.25">
      <c r="A4106" s="32" t="s">
        <v>6802</v>
      </c>
      <c r="B4106" s="33" t="s">
        <v>6803</v>
      </c>
    </row>
    <row r="4107" spans="1:2" x14ac:dyDescent="0.25">
      <c r="A4107" s="30" t="s">
        <v>6804</v>
      </c>
      <c r="B4107" s="31" t="s">
        <v>6805</v>
      </c>
    </row>
    <row r="4108" spans="1:2" x14ac:dyDescent="0.25">
      <c r="A4108" s="32" t="s">
        <v>6806</v>
      </c>
      <c r="B4108" s="33" t="s">
        <v>6807</v>
      </c>
    </row>
    <row r="4109" spans="1:2" x14ac:dyDescent="0.25">
      <c r="A4109" s="30" t="s">
        <v>6808</v>
      </c>
      <c r="B4109" s="31" t="s">
        <v>6809</v>
      </c>
    </row>
    <row r="4110" spans="1:2" x14ac:dyDescent="0.25">
      <c r="A4110" s="32" t="s">
        <v>6810</v>
      </c>
      <c r="B4110" s="33" t="s">
        <v>6811</v>
      </c>
    </row>
    <row r="4111" spans="1:2" x14ac:dyDescent="0.25">
      <c r="A4111" s="30" t="s">
        <v>6812</v>
      </c>
      <c r="B4111" s="31" t="s">
        <v>6813</v>
      </c>
    </row>
    <row r="4112" spans="1:2" x14ac:dyDescent="0.25">
      <c r="A4112" s="32" t="s">
        <v>10794</v>
      </c>
      <c r="B4112" s="33" t="s">
        <v>10794</v>
      </c>
    </row>
    <row r="4113" spans="1:2" x14ac:dyDescent="0.25">
      <c r="A4113" s="30" t="s">
        <v>770</v>
      </c>
      <c r="B4113" s="31" t="s">
        <v>6814</v>
      </c>
    </row>
    <row r="4114" spans="1:2" x14ac:dyDescent="0.25">
      <c r="A4114" s="32" t="s">
        <v>771</v>
      </c>
      <c r="B4114" s="33" t="s">
        <v>6815</v>
      </c>
    </row>
    <row r="4115" spans="1:2" x14ac:dyDescent="0.25">
      <c r="A4115" s="30" t="s">
        <v>772</v>
      </c>
      <c r="B4115" s="31" t="s">
        <v>6816</v>
      </c>
    </row>
    <row r="4116" spans="1:2" x14ac:dyDescent="0.25">
      <c r="A4116" s="32" t="s">
        <v>773</v>
      </c>
      <c r="B4116" s="33" t="s">
        <v>6817</v>
      </c>
    </row>
    <row r="4117" spans="1:2" x14ac:dyDescent="0.25">
      <c r="A4117" s="30" t="s">
        <v>6818</v>
      </c>
      <c r="B4117" s="31" t="s">
        <v>6819</v>
      </c>
    </row>
    <row r="4118" spans="1:2" x14ac:dyDescent="0.25">
      <c r="A4118" s="32" t="s">
        <v>6820</v>
      </c>
      <c r="B4118" s="33" t="s">
        <v>6821</v>
      </c>
    </row>
    <row r="4119" spans="1:2" x14ac:dyDescent="0.25">
      <c r="A4119" s="30" t="s">
        <v>6822</v>
      </c>
      <c r="B4119" s="31" t="s">
        <v>6823</v>
      </c>
    </row>
    <row r="4120" spans="1:2" x14ac:dyDescent="0.25">
      <c r="A4120" s="32" t="s">
        <v>6824</v>
      </c>
      <c r="B4120" s="33" t="s">
        <v>6825</v>
      </c>
    </row>
    <row r="4121" spans="1:2" x14ac:dyDescent="0.25">
      <c r="A4121" s="30" t="s">
        <v>6826</v>
      </c>
      <c r="B4121" s="31" t="s">
        <v>6827</v>
      </c>
    </row>
    <row r="4122" spans="1:2" x14ac:dyDescent="0.25">
      <c r="A4122" s="32" t="s">
        <v>6828</v>
      </c>
      <c r="B4122" s="33" t="s">
        <v>6829</v>
      </c>
    </row>
    <row r="4123" spans="1:2" x14ac:dyDescent="0.25">
      <c r="A4123" s="30" t="s">
        <v>6830</v>
      </c>
      <c r="B4123" s="31" t="s">
        <v>6831</v>
      </c>
    </row>
    <row r="4124" spans="1:2" x14ac:dyDescent="0.25">
      <c r="A4124" s="32" t="s">
        <v>224</v>
      </c>
      <c r="B4124" s="33" t="s">
        <v>6832</v>
      </c>
    </row>
    <row r="4125" spans="1:2" x14ac:dyDescent="0.25">
      <c r="A4125" s="30" t="s">
        <v>6833</v>
      </c>
      <c r="B4125" s="31" t="s">
        <v>6834</v>
      </c>
    </row>
    <row r="4126" spans="1:2" x14ac:dyDescent="0.25">
      <c r="A4126" s="32" t="s">
        <v>6835</v>
      </c>
      <c r="B4126" s="33" t="s">
        <v>6836</v>
      </c>
    </row>
    <row r="4127" spans="1:2" x14ac:dyDescent="0.25">
      <c r="A4127" s="30" t="s">
        <v>6837</v>
      </c>
      <c r="B4127" s="31" t="s">
        <v>6838</v>
      </c>
    </row>
    <row r="4128" spans="1:2" x14ac:dyDescent="0.25">
      <c r="A4128" s="32" t="s">
        <v>6839</v>
      </c>
      <c r="B4128" s="33" t="s">
        <v>6840</v>
      </c>
    </row>
    <row r="4129" spans="1:2" x14ac:dyDescent="0.25">
      <c r="A4129" s="30" t="s">
        <v>6841</v>
      </c>
      <c r="B4129" s="31" t="s">
        <v>6842</v>
      </c>
    </row>
    <row r="4130" spans="1:2" x14ac:dyDescent="0.25">
      <c r="A4130" s="32" t="s">
        <v>6843</v>
      </c>
      <c r="B4130" s="33" t="s">
        <v>6844</v>
      </c>
    </row>
    <row r="4131" spans="1:2" x14ac:dyDescent="0.25">
      <c r="A4131" s="30" t="s">
        <v>6845</v>
      </c>
      <c r="B4131" s="31" t="s">
        <v>6846</v>
      </c>
    </row>
    <row r="4132" spans="1:2" x14ac:dyDescent="0.25">
      <c r="A4132" s="32" t="s">
        <v>10795</v>
      </c>
      <c r="B4132" s="33" t="s">
        <v>10795</v>
      </c>
    </row>
    <row r="4133" spans="1:2" x14ac:dyDescent="0.25">
      <c r="A4133" s="30" t="s">
        <v>6847</v>
      </c>
      <c r="B4133" s="31" t="s">
        <v>6848</v>
      </c>
    </row>
    <row r="4134" spans="1:2" x14ac:dyDescent="0.25">
      <c r="A4134" s="32" t="s">
        <v>866</v>
      </c>
      <c r="B4134" s="33" t="s">
        <v>6849</v>
      </c>
    </row>
    <row r="4135" spans="1:2" x14ac:dyDescent="0.25">
      <c r="A4135" s="30" t="s">
        <v>6850</v>
      </c>
      <c r="B4135" s="31" t="s">
        <v>6851</v>
      </c>
    </row>
    <row r="4136" spans="1:2" x14ac:dyDescent="0.25">
      <c r="A4136" s="32" t="s">
        <v>6852</v>
      </c>
      <c r="B4136" s="33" t="s">
        <v>6853</v>
      </c>
    </row>
    <row r="4137" spans="1:2" x14ac:dyDescent="0.25">
      <c r="A4137" s="30" t="s">
        <v>6854</v>
      </c>
      <c r="B4137" s="31" t="s">
        <v>6855</v>
      </c>
    </row>
    <row r="4138" spans="1:2" x14ac:dyDescent="0.25">
      <c r="A4138" s="32" t="s">
        <v>6856</v>
      </c>
      <c r="B4138" s="33" t="s">
        <v>6857</v>
      </c>
    </row>
    <row r="4139" spans="1:2" x14ac:dyDescent="0.25">
      <c r="A4139" s="30" t="s">
        <v>774</v>
      </c>
      <c r="B4139" s="31" t="s">
        <v>6858</v>
      </c>
    </row>
    <row r="4140" spans="1:2" x14ac:dyDescent="0.25">
      <c r="A4140" s="32" t="s">
        <v>6859</v>
      </c>
      <c r="B4140" s="33" t="s">
        <v>6860</v>
      </c>
    </row>
    <row r="4141" spans="1:2" x14ac:dyDescent="0.25">
      <c r="A4141" s="30" t="s">
        <v>6861</v>
      </c>
      <c r="B4141" s="31" t="s">
        <v>6862</v>
      </c>
    </row>
    <row r="4142" spans="1:2" x14ac:dyDescent="0.25">
      <c r="A4142" s="32" t="s">
        <v>6863</v>
      </c>
      <c r="B4142" s="33" t="s">
        <v>6864</v>
      </c>
    </row>
    <row r="4143" spans="1:2" x14ac:dyDescent="0.25">
      <c r="A4143" s="30" t="s">
        <v>6865</v>
      </c>
      <c r="B4143" s="31" t="s">
        <v>6866</v>
      </c>
    </row>
    <row r="4144" spans="1:2" x14ac:dyDescent="0.25">
      <c r="A4144" s="32" t="s">
        <v>6867</v>
      </c>
      <c r="B4144" s="33" t="s">
        <v>6868</v>
      </c>
    </row>
    <row r="4145" spans="1:2" x14ac:dyDescent="0.25">
      <c r="A4145" s="30" t="s">
        <v>6869</v>
      </c>
      <c r="B4145" s="31" t="s">
        <v>6870</v>
      </c>
    </row>
    <row r="4146" spans="1:2" x14ac:dyDescent="0.25">
      <c r="A4146" s="32" t="s">
        <v>6871</v>
      </c>
      <c r="B4146" s="33" t="s">
        <v>6872</v>
      </c>
    </row>
    <row r="4147" spans="1:2" x14ac:dyDescent="0.25">
      <c r="A4147" s="30" t="s">
        <v>6873</v>
      </c>
      <c r="B4147" s="31" t="s">
        <v>6874</v>
      </c>
    </row>
    <row r="4148" spans="1:2" x14ac:dyDescent="0.25">
      <c r="A4148" s="32" t="s">
        <v>10796</v>
      </c>
      <c r="B4148" s="33" t="s">
        <v>10796</v>
      </c>
    </row>
    <row r="4149" spans="1:2" x14ac:dyDescent="0.25">
      <c r="A4149" s="30" t="s">
        <v>6875</v>
      </c>
      <c r="B4149" s="31" t="s">
        <v>6876</v>
      </c>
    </row>
    <row r="4150" spans="1:2" x14ac:dyDescent="0.25">
      <c r="A4150" s="32" t="s">
        <v>10797</v>
      </c>
      <c r="B4150" s="33" t="s">
        <v>10797</v>
      </c>
    </row>
    <row r="4151" spans="1:2" x14ac:dyDescent="0.25">
      <c r="A4151" s="30" t="s">
        <v>6877</v>
      </c>
      <c r="B4151" s="31" t="s">
        <v>6878</v>
      </c>
    </row>
    <row r="4152" spans="1:2" x14ac:dyDescent="0.25">
      <c r="A4152" s="32" t="s">
        <v>6879</v>
      </c>
      <c r="B4152" s="33" t="s">
        <v>6880</v>
      </c>
    </row>
    <row r="4153" spans="1:2" x14ac:dyDescent="0.25">
      <c r="A4153" s="30" t="s">
        <v>775</v>
      </c>
      <c r="B4153" s="31" t="s">
        <v>6881</v>
      </c>
    </row>
    <row r="4154" spans="1:2" x14ac:dyDescent="0.25">
      <c r="A4154" s="32" t="s">
        <v>6882</v>
      </c>
      <c r="B4154" s="33" t="s">
        <v>6883</v>
      </c>
    </row>
    <row r="4155" spans="1:2" x14ac:dyDescent="0.25">
      <c r="A4155" s="30" t="s">
        <v>6884</v>
      </c>
      <c r="B4155" s="31" t="s">
        <v>6885</v>
      </c>
    </row>
    <row r="4156" spans="1:2" x14ac:dyDescent="0.25">
      <c r="A4156" s="32" t="s">
        <v>6886</v>
      </c>
      <c r="B4156" s="33" t="s">
        <v>6887</v>
      </c>
    </row>
    <row r="4157" spans="1:2" x14ac:dyDescent="0.25">
      <c r="A4157" s="30" t="s">
        <v>776</v>
      </c>
      <c r="B4157" s="31" t="s">
        <v>6888</v>
      </c>
    </row>
    <row r="4158" spans="1:2" x14ac:dyDescent="0.25">
      <c r="A4158" s="32" t="s">
        <v>6889</v>
      </c>
      <c r="B4158" s="33" t="s">
        <v>6890</v>
      </c>
    </row>
    <row r="4159" spans="1:2" x14ac:dyDescent="0.25">
      <c r="A4159" s="30" t="s">
        <v>6891</v>
      </c>
      <c r="B4159" s="31" t="s">
        <v>6892</v>
      </c>
    </row>
    <row r="4160" spans="1:2" x14ac:dyDescent="0.25">
      <c r="A4160" s="32" t="s">
        <v>777</v>
      </c>
      <c r="B4160" s="33" t="s">
        <v>6893</v>
      </c>
    </row>
    <row r="4161" spans="1:2" x14ac:dyDescent="0.25">
      <c r="A4161" s="30" t="s">
        <v>6894</v>
      </c>
      <c r="B4161" s="31" t="s">
        <v>6895</v>
      </c>
    </row>
    <row r="4162" spans="1:2" x14ac:dyDescent="0.25">
      <c r="A4162" s="32" t="s">
        <v>6896</v>
      </c>
      <c r="B4162" s="33" t="s">
        <v>6897</v>
      </c>
    </row>
    <row r="4163" spans="1:2" x14ac:dyDescent="0.25">
      <c r="A4163" s="30" t="s">
        <v>778</v>
      </c>
      <c r="B4163" s="31" t="s">
        <v>6898</v>
      </c>
    </row>
    <row r="4164" spans="1:2" x14ac:dyDescent="0.25">
      <c r="A4164" s="32" t="s">
        <v>6899</v>
      </c>
      <c r="B4164" s="33" t="s">
        <v>6900</v>
      </c>
    </row>
    <row r="4165" spans="1:2" x14ac:dyDescent="0.25">
      <c r="A4165" s="30" t="s">
        <v>6901</v>
      </c>
      <c r="B4165" s="31" t="s">
        <v>6902</v>
      </c>
    </row>
    <row r="4166" spans="1:2" x14ac:dyDescent="0.25">
      <c r="A4166" s="32" t="s">
        <v>6903</v>
      </c>
      <c r="B4166" s="33" t="s">
        <v>6904</v>
      </c>
    </row>
    <row r="4167" spans="1:2" x14ac:dyDescent="0.25">
      <c r="A4167" s="30" t="s">
        <v>779</v>
      </c>
      <c r="B4167" s="31" t="s">
        <v>6905</v>
      </c>
    </row>
    <row r="4168" spans="1:2" x14ac:dyDescent="0.25">
      <c r="A4168" s="32" t="s">
        <v>780</v>
      </c>
      <c r="B4168" s="33" t="s">
        <v>6906</v>
      </c>
    </row>
    <row r="4169" spans="1:2" x14ac:dyDescent="0.25">
      <c r="A4169" s="30" t="s">
        <v>781</v>
      </c>
      <c r="B4169" s="31" t="s">
        <v>6907</v>
      </c>
    </row>
    <row r="4170" spans="1:2" x14ac:dyDescent="0.25">
      <c r="A4170" s="32" t="s">
        <v>6908</v>
      </c>
      <c r="B4170" s="33" t="s">
        <v>6909</v>
      </c>
    </row>
    <row r="4171" spans="1:2" x14ac:dyDescent="0.25">
      <c r="A4171" s="30" t="s">
        <v>6910</v>
      </c>
      <c r="B4171" s="31" t="s">
        <v>6911</v>
      </c>
    </row>
    <row r="4172" spans="1:2" x14ac:dyDescent="0.25">
      <c r="A4172" s="32" t="s">
        <v>782</v>
      </c>
      <c r="B4172" s="33" t="s">
        <v>6912</v>
      </c>
    </row>
    <row r="4173" spans="1:2" x14ac:dyDescent="0.25">
      <c r="A4173" s="30" t="s">
        <v>6913</v>
      </c>
      <c r="B4173" s="31" t="s">
        <v>6914</v>
      </c>
    </row>
    <row r="4174" spans="1:2" x14ac:dyDescent="0.25">
      <c r="A4174" s="32" t="s">
        <v>6915</v>
      </c>
      <c r="B4174" s="33" t="s">
        <v>6916</v>
      </c>
    </row>
    <row r="4175" spans="1:2" x14ac:dyDescent="0.25">
      <c r="A4175" s="30" t="s">
        <v>6917</v>
      </c>
      <c r="B4175" s="31" t="s">
        <v>6918</v>
      </c>
    </row>
    <row r="4176" spans="1:2" x14ac:dyDescent="0.25">
      <c r="A4176" s="32" t="s">
        <v>6919</v>
      </c>
      <c r="B4176" s="33" t="s">
        <v>6920</v>
      </c>
    </row>
    <row r="4177" spans="1:2" x14ac:dyDescent="0.25">
      <c r="A4177" s="30" t="s">
        <v>783</v>
      </c>
      <c r="B4177" s="31" t="s">
        <v>6921</v>
      </c>
    </row>
    <row r="4178" spans="1:2" x14ac:dyDescent="0.25">
      <c r="A4178" s="32" t="s">
        <v>6922</v>
      </c>
      <c r="B4178" s="33" t="s">
        <v>6923</v>
      </c>
    </row>
    <row r="4179" spans="1:2" x14ac:dyDescent="0.25">
      <c r="A4179" s="30" t="s">
        <v>6924</v>
      </c>
      <c r="B4179" s="31" t="s">
        <v>6925</v>
      </c>
    </row>
    <row r="4180" spans="1:2" x14ac:dyDescent="0.25">
      <c r="A4180" s="32" t="s">
        <v>6926</v>
      </c>
      <c r="B4180" s="33" t="s">
        <v>6927</v>
      </c>
    </row>
    <row r="4181" spans="1:2" x14ac:dyDescent="0.25">
      <c r="A4181" s="30" t="s">
        <v>784</v>
      </c>
      <c r="B4181" s="31" t="s">
        <v>6928</v>
      </c>
    </row>
    <row r="4182" spans="1:2" x14ac:dyDescent="0.25">
      <c r="A4182" s="32" t="s">
        <v>6929</v>
      </c>
      <c r="B4182" s="33" t="s">
        <v>6930</v>
      </c>
    </row>
    <row r="4183" spans="1:2" x14ac:dyDescent="0.25">
      <c r="A4183" s="30" t="s">
        <v>10798</v>
      </c>
      <c r="B4183" s="31" t="s">
        <v>10798</v>
      </c>
    </row>
    <row r="4184" spans="1:2" x14ac:dyDescent="0.25">
      <c r="A4184" s="32" t="s">
        <v>6931</v>
      </c>
      <c r="B4184" s="33" t="s">
        <v>6932</v>
      </c>
    </row>
    <row r="4185" spans="1:2" x14ac:dyDescent="0.25">
      <c r="A4185" s="30" t="s">
        <v>785</v>
      </c>
      <c r="B4185" s="31" t="s">
        <v>785</v>
      </c>
    </row>
    <row r="4186" spans="1:2" x14ac:dyDescent="0.25">
      <c r="A4186" s="32" t="s">
        <v>786</v>
      </c>
      <c r="B4186" s="33" t="s">
        <v>6933</v>
      </c>
    </row>
    <row r="4187" spans="1:2" x14ac:dyDescent="0.25">
      <c r="A4187" s="30" t="s">
        <v>787</v>
      </c>
      <c r="B4187" s="31" t="s">
        <v>6934</v>
      </c>
    </row>
    <row r="4188" spans="1:2" x14ac:dyDescent="0.25">
      <c r="A4188" s="32" t="s">
        <v>6935</v>
      </c>
      <c r="B4188" s="33" t="s">
        <v>6936</v>
      </c>
    </row>
    <row r="4189" spans="1:2" x14ac:dyDescent="0.25">
      <c r="A4189" s="30" t="s">
        <v>6937</v>
      </c>
      <c r="B4189" s="31" t="s">
        <v>6938</v>
      </c>
    </row>
    <row r="4190" spans="1:2" x14ac:dyDescent="0.25">
      <c r="A4190" s="32" t="s">
        <v>6939</v>
      </c>
      <c r="B4190" s="33" t="s">
        <v>6940</v>
      </c>
    </row>
    <row r="4191" spans="1:2" x14ac:dyDescent="0.25">
      <c r="A4191" s="30" t="s">
        <v>6941</v>
      </c>
      <c r="B4191" s="31" t="s">
        <v>6942</v>
      </c>
    </row>
    <row r="4192" spans="1:2" x14ac:dyDescent="0.25">
      <c r="A4192" s="32" t="s">
        <v>6943</v>
      </c>
      <c r="B4192" s="33" t="s">
        <v>6944</v>
      </c>
    </row>
    <row r="4193" spans="1:2" x14ac:dyDescent="0.25">
      <c r="A4193" s="30" t="s">
        <v>788</v>
      </c>
      <c r="B4193" s="31" t="s">
        <v>6945</v>
      </c>
    </row>
    <row r="4194" spans="1:2" x14ac:dyDescent="0.25">
      <c r="A4194" s="32" t="s">
        <v>6946</v>
      </c>
      <c r="B4194" s="33" t="s">
        <v>6947</v>
      </c>
    </row>
    <row r="4195" spans="1:2" x14ac:dyDescent="0.25">
      <c r="A4195" s="30" t="s">
        <v>6948</v>
      </c>
      <c r="B4195" s="31" t="s">
        <v>6949</v>
      </c>
    </row>
    <row r="4196" spans="1:2" x14ac:dyDescent="0.25">
      <c r="A4196" s="32" t="s">
        <v>6950</v>
      </c>
      <c r="B4196" s="33" t="s">
        <v>6951</v>
      </c>
    </row>
    <row r="4197" spans="1:2" x14ac:dyDescent="0.25">
      <c r="A4197" s="30" t="s">
        <v>10799</v>
      </c>
      <c r="B4197" s="31" t="s">
        <v>10799</v>
      </c>
    </row>
    <row r="4198" spans="1:2" x14ac:dyDescent="0.25">
      <c r="A4198" s="32" t="s">
        <v>6952</v>
      </c>
      <c r="B4198" s="33" t="s">
        <v>6953</v>
      </c>
    </row>
    <row r="4199" spans="1:2" x14ac:dyDescent="0.25">
      <c r="A4199" s="30" t="s">
        <v>789</v>
      </c>
      <c r="B4199" s="31" t="s">
        <v>6954</v>
      </c>
    </row>
    <row r="4200" spans="1:2" x14ac:dyDescent="0.25">
      <c r="A4200" s="32" t="s">
        <v>6955</v>
      </c>
      <c r="B4200" s="33" t="s">
        <v>6956</v>
      </c>
    </row>
    <row r="4201" spans="1:2" x14ac:dyDescent="0.25">
      <c r="A4201" s="30" t="s">
        <v>6957</v>
      </c>
      <c r="B4201" s="31" t="s">
        <v>6958</v>
      </c>
    </row>
    <row r="4202" spans="1:2" x14ac:dyDescent="0.25">
      <c r="A4202" s="32" t="s">
        <v>1236</v>
      </c>
      <c r="B4202" s="33" t="s">
        <v>6959</v>
      </c>
    </row>
    <row r="4203" spans="1:2" x14ac:dyDescent="0.25">
      <c r="A4203" s="30" t="s">
        <v>6960</v>
      </c>
      <c r="B4203" s="31" t="s">
        <v>6961</v>
      </c>
    </row>
    <row r="4204" spans="1:2" x14ac:dyDescent="0.25">
      <c r="A4204" s="32" t="s">
        <v>6962</v>
      </c>
      <c r="B4204" s="33" t="s">
        <v>6963</v>
      </c>
    </row>
    <row r="4205" spans="1:2" x14ac:dyDescent="0.25">
      <c r="A4205" s="30" t="s">
        <v>790</v>
      </c>
      <c r="B4205" s="31" t="s">
        <v>6964</v>
      </c>
    </row>
    <row r="4206" spans="1:2" x14ac:dyDescent="0.25">
      <c r="A4206" s="32" t="s">
        <v>10800</v>
      </c>
      <c r="B4206" s="33" t="s">
        <v>10800</v>
      </c>
    </row>
    <row r="4207" spans="1:2" x14ac:dyDescent="0.25">
      <c r="A4207" s="30" t="s">
        <v>791</v>
      </c>
      <c r="B4207" s="31" t="s">
        <v>6965</v>
      </c>
    </row>
    <row r="4208" spans="1:2" x14ac:dyDescent="0.25">
      <c r="A4208" s="32" t="s">
        <v>6966</v>
      </c>
      <c r="B4208" s="33" t="s">
        <v>6967</v>
      </c>
    </row>
    <row r="4209" spans="1:2" x14ac:dyDescent="0.25">
      <c r="A4209" s="30" t="s">
        <v>6968</v>
      </c>
      <c r="B4209" s="31" t="s">
        <v>6969</v>
      </c>
    </row>
    <row r="4210" spans="1:2" x14ac:dyDescent="0.25">
      <c r="A4210" s="32" t="s">
        <v>6970</v>
      </c>
      <c r="B4210" s="33" t="s">
        <v>6971</v>
      </c>
    </row>
    <row r="4211" spans="1:2" x14ac:dyDescent="0.25">
      <c r="A4211" s="30" t="s">
        <v>6972</v>
      </c>
      <c r="B4211" s="31" t="s">
        <v>6973</v>
      </c>
    </row>
    <row r="4212" spans="1:2" x14ac:dyDescent="0.25">
      <c r="A4212" s="32" t="s">
        <v>10801</v>
      </c>
      <c r="B4212" s="33" t="s">
        <v>10801</v>
      </c>
    </row>
    <row r="4213" spans="1:2" x14ac:dyDescent="0.25">
      <c r="A4213" s="30" t="s">
        <v>792</v>
      </c>
      <c r="B4213" s="31" t="s">
        <v>6974</v>
      </c>
    </row>
    <row r="4214" spans="1:2" x14ac:dyDescent="0.25">
      <c r="A4214" s="32" t="s">
        <v>6975</v>
      </c>
      <c r="B4214" s="33" t="s">
        <v>6976</v>
      </c>
    </row>
    <row r="4215" spans="1:2" x14ac:dyDescent="0.25">
      <c r="A4215" s="30" t="s">
        <v>793</v>
      </c>
      <c r="B4215" s="31" t="s">
        <v>6977</v>
      </c>
    </row>
    <row r="4216" spans="1:2" x14ac:dyDescent="0.25">
      <c r="A4216" s="32" t="s">
        <v>6978</v>
      </c>
      <c r="B4216" s="33" t="s">
        <v>6979</v>
      </c>
    </row>
    <row r="4217" spans="1:2" x14ac:dyDescent="0.25">
      <c r="A4217" s="30" t="s">
        <v>6980</v>
      </c>
      <c r="B4217" s="31" t="s">
        <v>6981</v>
      </c>
    </row>
    <row r="4218" spans="1:2" x14ac:dyDescent="0.25">
      <c r="A4218" s="32" t="s">
        <v>6982</v>
      </c>
      <c r="B4218" s="33" t="s">
        <v>6983</v>
      </c>
    </row>
    <row r="4219" spans="1:2" x14ac:dyDescent="0.25">
      <c r="A4219" s="30" t="s">
        <v>6984</v>
      </c>
      <c r="B4219" s="31" t="s">
        <v>6985</v>
      </c>
    </row>
    <row r="4220" spans="1:2" x14ac:dyDescent="0.25">
      <c r="A4220" s="32" t="s">
        <v>794</v>
      </c>
      <c r="B4220" s="33" t="s">
        <v>6986</v>
      </c>
    </row>
    <row r="4221" spans="1:2" x14ac:dyDescent="0.25">
      <c r="A4221" s="30" t="s">
        <v>6987</v>
      </c>
      <c r="B4221" s="31" t="s">
        <v>6988</v>
      </c>
    </row>
    <row r="4222" spans="1:2" x14ac:dyDescent="0.25">
      <c r="A4222" s="32" t="s">
        <v>10802</v>
      </c>
      <c r="B4222" s="33" t="s">
        <v>10802</v>
      </c>
    </row>
    <row r="4223" spans="1:2" x14ac:dyDescent="0.25">
      <c r="A4223" s="30" t="s">
        <v>795</v>
      </c>
      <c r="B4223" s="31" t="s">
        <v>6989</v>
      </c>
    </row>
    <row r="4224" spans="1:2" x14ac:dyDescent="0.25">
      <c r="A4224" s="32" t="s">
        <v>10803</v>
      </c>
      <c r="B4224" s="33" t="s">
        <v>10803</v>
      </c>
    </row>
    <row r="4225" spans="1:2" x14ac:dyDescent="0.25">
      <c r="A4225" s="30" t="s">
        <v>6990</v>
      </c>
      <c r="B4225" s="31" t="s">
        <v>6991</v>
      </c>
    </row>
    <row r="4226" spans="1:2" x14ac:dyDescent="0.25">
      <c r="A4226" s="32" t="s">
        <v>796</v>
      </c>
      <c r="B4226" s="33" t="s">
        <v>6992</v>
      </c>
    </row>
    <row r="4227" spans="1:2" x14ac:dyDescent="0.25">
      <c r="A4227" s="30" t="s">
        <v>6993</v>
      </c>
      <c r="B4227" s="31" t="s">
        <v>6994</v>
      </c>
    </row>
    <row r="4228" spans="1:2" x14ac:dyDescent="0.25">
      <c r="A4228" s="32" t="s">
        <v>6995</v>
      </c>
      <c r="B4228" s="33" t="s">
        <v>6996</v>
      </c>
    </row>
    <row r="4229" spans="1:2" x14ac:dyDescent="0.25">
      <c r="A4229" s="30" t="s">
        <v>6997</v>
      </c>
      <c r="B4229" s="31" t="s">
        <v>6998</v>
      </c>
    </row>
    <row r="4230" spans="1:2" x14ac:dyDescent="0.25">
      <c r="A4230" s="32" t="s">
        <v>6999</v>
      </c>
      <c r="B4230" s="33" t="s">
        <v>7000</v>
      </c>
    </row>
    <row r="4231" spans="1:2" x14ac:dyDescent="0.25">
      <c r="A4231" s="30" t="s">
        <v>797</v>
      </c>
      <c r="B4231" s="31" t="s">
        <v>7001</v>
      </c>
    </row>
    <row r="4232" spans="1:2" x14ac:dyDescent="0.25">
      <c r="A4232" s="32" t="s">
        <v>10804</v>
      </c>
      <c r="B4232" s="33" t="s">
        <v>10804</v>
      </c>
    </row>
    <row r="4233" spans="1:2" x14ac:dyDescent="0.25">
      <c r="A4233" s="30" t="s">
        <v>10805</v>
      </c>
      <c r="B4233" s="31" t="s">
        <v>10805</v>
      </c>
    </row>
    <row r="4234" spans="1:2" x14ac:dyDescent="0.25">
      <c r="A4234" s="32" t="s">
        <v>7002</v>
      </c>
      <c r="B4234" s="33" t="s">
        <v>7003</v>
      </c>
    </row>
    <row r="4235" spans="1:2" x14ac:dyDescent="0.25">
      <c r="A4235" s="30" t="s">
        <v>7004</v>
      </c>
      <c r="B4235" s="31" t="s">
        <v>7005</v>
      </c>
    </row>
    <row r="4236" spans="1:2" x14ac:dyDescent="0.25">
      <c r="A4236" s="32" t="s">
        <v>798</v>
      </c>
      <c r="B4236" s="33" t="s">
        <v>7006</v>
      </c>
    </row>
    <row r="4237" spans="1:2" x14ac:dyDescent="0.25">
      <c r="A4237" s="30" t="s">
        <v>7007</v>
      </c>
      <c r="B4237" s="31" t="s">
        <v>7008</v>
      </c>
    </row>
    <row r="4238" spans="1:2" x14ac:dyDescent="0.25">
      <c r="A4238" s="32" t="s">
        <v>7009</v>
      </c>
      <c r="B4238" s="33" t="s">
        <v>7010</v>
      </c>
    </row>
    <row r="4239" spans="1:2" x14ac:dyDescent="0.25">
      <c r="A4239" s="30" t="s">
        <v>10806</v>
      </c>
      <c r="B4239" s="31" t="s">
        <v>10806</v>
      </c>
    </row>
    <row r="4240" spans="1:2" x14ac:dyDescent="0.25">
      <c r="A4240" s="32" t="s">
        <v>10807</v>
      </c>
      <c r="B4240" s="33" t="s">
        <v>10807</v>
      </c>
    </row>
    <row r="4241" spans="1:2" x14ac:dyDescent="0.25">
      <c r="A4241" s="30" t="s">
        <v>10808</v>
      </c>
      <c r="B4241" s="31" t="s">
        <v>10808</v>
      </c>
    </row>
    <row r="4242" spans="1:2" x14ac:dyDescent="0.25">
      <c r="A4242" s="32" t="s">
        <v>10809</v>
      </c>
      <c r="B4242" s="33" t="s">
        <v>10809</v>
      </c>
    </row>
    <row r="4243" spans="1:2" x14ac:dyDescent="0.25">
      <c r="A4243" s="30" t="s">
        <v>10810</v>
      </c>
      <c r="B4243" s="31" t="s">
        <v>10810</v>
      </c>
    </row>
    <row r="4244" spans="1:2" x14ac:dyDescent="0.25">
      <c r="A4244" s="32" t="s">
        <v>10811</v>
      </c>
      <c r="B4244" s="33" t="s">
        <v>10811</v>
      </c>
    </row>
    <row r="4245" spans="1:2" x14ac:dyDescent="0.25">
      <c r="A4245" s="30" t="s">
        <v>10812</v>
      </c>
      <c r="B4245" s="31" t="s">
        <v>10812</v>
      </c>
    </row>
    <row r="4246" spans="1:2" x14ac:dyDescent="0.25">
      <c r="A4246" s="32" t="s">
        <v>10813</v>
      </c>
      <c r="B4246" s="33" t="s">
        <v>10813</v>
      </c>
    </row>
    <row r="4247" spans="1:2" x14ac:dyDescent="0.25">
      <c r="A4247" s="30" t="s">
        <v>10814</v>
      </c>
      <c r="B4247" s="31" t="s">
        <v>10814</v>
      </c>
    </row>
    <row r="4248" spans="1:2" x14ac:dyDescent="0.25">
      <c r="A4248" s="32" t="s">
        <v>7011</v>
      </c>
      <c r="B4248" s="33" t="s">
        <v>7012</v>
      </c>
    </row>
    <row r="4249" spans="1:2" x14ac:dyDescent="0.25">
      <c r="A4249" s="30" t="s">
        <v>10815</v>
      </c>
      <c r="B4249" s="31" t="s">
        <v>10815</v>
      </c>
    </row>
    <row r="4250" spans="1:2" x14ac:dyDescent="0.25">
      <c r="A4250" s="32" t="s">
        <v>7013</v>
      </c>
      <c r="B4250" s="33" t="s">
        <v>7014</v>
      </c>
    </row>
    <row r="4251" spans="1:2" x14ac:dyDescent="0.25">
      <c r="A4251" s="30" t="s">
        <v>10816</v>
      </c>
      <c r="B4251" s="31" t="s">
        <v>10816</v>
      </c>
    </row>
    <row r="4252" spans="1:2" x14ac:dyDescent="0.25">
      <c r="A4252" s="32" t="s">
        <v>7015</v>
      </c>
      <c r="B4252" s="33" t="s">
        <v>7016</v>
      </c>
    </row>
    <row r="4253" spans="1:2" x14ac:dyDescent="0.25">
      <c r="A4253" s="30" t="s">
        <v>799</v>
      </c>
      <c r="B4253" s="31" t="s">
        <v>7017</v>
      </c>
    </row>
    <row r="4254" spans="1:2" x14ac:dyDescent="0.25">
      <c r="A4254" s="32" t="s">
        <v>800</v>
      </c>
      <c r="B4254" s="33" t="s">
        <v>7018</v>
      </c>
    </row>
    <row r="4255" spans="1:2" x14ac:dyDescent="0.25">
      <c r="A4255" s="30" t="s">
        <v>801</v>
      </c>
      <c r="B4255" s="31" t="s">
        <v>7019</v>
      </c>
    </row>
    <row r="4256" spans="1:2" x14ac:dyDescent="0.25">
      <c r="A4256" s="32" t="s">
        <v>802</v>
      </c>
      <c r="B4256" s="33" t="s">
        <v>7020</v>
      </c>
    </row>
    <row r="4257" spans="1:2" x14ac:dyDescent="0.25">
      <c r="A4257" s="30" t="s">
        <v>803</v>
      </c>
      <c r="B4257" s="31" t="s">
        <v>7021</v>
      </c>
    </row>
    <row r="4258" spans="1:2" x14ac:dyDescent="0.25">
      <c r="A4258" s="32" t="s">
        <v>7022</v>
      </c>
      <c r="B4258" s="33" t="s">
        <v>7023</v>
      </c>
    </row>
    <row r="4259" spans="1:2" x14ac:dyDescent="0.25">
      <c r="A4259" s="30" t="s">
        <v>7024</v>
      </c>
      <c r="B4259" s="31" t="s">
        <v>7025</v>
      </c>
    </row>
    <row r="4260" spans="1:2" x14ac:dyDescent="0.25">
      <c r="A4260" s="32" t="s">
        <v>10817</v>
      </c>
      <c r="B4260" s="33" t="s">
        <v>10817</v>
      </c>
    </row>
    <row r="4261" spans="1:2" x14ac:dyDescent="0.25">
      <c r="A4261" s="30" t="s">
        <v>10818</v>
      </c>
      <c r="B4261" s="31" t="s">
        <v>10818</v>
      </c>
    </row>
    <row r="4262" spans="1:2" x14ac:dyDescent="0.25">
      <c r="A4262" s="32" t="s">
        <v>1237</v>
      </c>
      <c r="B4262" s="33" t="s">
        <v>7026</v>
      </c>
    </row>
    <row r="4263" spans="1:2" x14ac:dyDescent="0.25">
      <c r="A4263" s="30" t="s">
        <v>804</v>
      </c>
      <c r="B4263" s="31" t="s">
        <v>7027</v>
      </c>
    </row>
    <row r="4264" spans="1:2" x14ac:dyDescent="0.25">
      <c r="A4264" s="32" t="s">
        <v>7028</v>
      </c>
      <c r="B4264" s="33" t="s">
        <v>7029</v>
      </c>
    </row>
    <row r="4265" spans="1:2" x14ac:dyDescent="0.25">
      <c r="A4265" s="30" t="s">
        <v>7030</v>
      </c>
      <c r="B4265" s="31" t="s">
        <v>7031</v>
      </c>
    </row>
    <row r="4266" spans="1:2" x14ac:dyDescent="0.25">
      <c r="A4266" s="32" t="s">
        <v>805</v>
      </c>
      <c r="B4266" s="33" t="s">
        <v>7032</v>
      </c>
    </row>
    <row r="4267" spans="1:2" x14ac:dyDescent="0.25">
      <c r="A4267" s="30" t="s">
        <v>806</v>
      </c>
      <c r="B4267" s="31" t="s">
        <v>7033</v>
      </c>
    </row>
    <row r="4268" spans="1:2" x14ac:dyDescent="0.25">
      <c r="A4268" s="32" t="s">
        <v>7034</v>
      </c>
      <c r="B4268" s="33" t="s">
        <v>7035</v>
      </c>
    </row>
    <row r="4269" spans="1:2" x14ac:dyDescent="0.25">
      <c r="A4269" s="30" t="s">
        <v>7036</v>
      </c>
      <c r="B4269" s="31" t="s">
        <v>7037</v>
      </c>
    </row>
    <row r="4270" spans="1:2" x14ac:dyDescent="0.25">
      <c r="A4270" s="32" t="s">
        <v>7038</v>
      </c>
      <c r="B4270" s="33" t="s">
        <v>7039</v>
      </c>
    </row>
    <row r="4271" spans="1:2" x14ac:dyDescent="0.25">
      <c r="A4271" s="30" t="s">
        <v>7040</v>
      </c>
      <c r="B4271" s="31" t="s">
        <v>7041</v>
      </c>
    </row>
    <row r="4272" spans="1:2" x14ac:dyDescent="0.25">
      <c r="A4272" s="32" t="s">
        <v>807</v>
      </c>
      <c r="B4272" s="33" t="s">
        <v>7042</v>
      </c>
    </row>
    <row r="4273" spans="1:2" x14ac:dyDescent="0.25">
      <c r="A4273" s="30" t="s">
        <v>808</v>
      </c>
      <c r="B4273" s="31" t="s">
        <v>7043</v>
      </c>
    </row>
    <row r="4274" spans="1:2" x14ac:dyDescent="0.25">
      <c r="A4274" s="32" t="s">
        <v>809</v>
      </c>
      <c r="B4274" s="33" t="s">
        <v>7044</v>
      </c>
    </row>
    <row r="4275" spans="1:2" x14ac:dyDescent="0.25">
      <c r="A4275" s="30" t="s">
        <v>7045</v>
      </c>
      <c r="B4275" s="31" t="s">
        <v>7046</v>
      </c>
    </row>
    <row r="4276" spans="1:2" x14ac:dyDescent="0.25">
      <c r="A4276" s="32" t="s">
        <v>7047</v>
      </c>
      <c r="B4276" s="33" t="s">
        <v>7048</v>
      </c>
    </row>
    <row r="4277" spans="1:2" x14ac:dyDescent="0.25">
      <c r="A4277" s="30" t="s">
        <v>810</v>
      </c>
      <c r="B4277" s="31" t="s">
        <v>7049</v>
      </c>
    </row>
    <row r="4278" spans="1:2" x14ac:dyDescent="0.25">
      <c r="A4278" s="32" t="s">
        <v>7050</v>
      </c>
      <c r="B4278" s="33" t="s">
        <v>7051</v>
      </c>
    </row>
    <row r="4279" spans="1:2" x14ac:dyDescent="0.25">
      <c r="A4279" s="30" t="s">
        <v>7052</v>
      </c>
      <c r="B4279" s="31" t="s">
        <v>7053</v>
      </c>
    </row>
    <row r="4280" spans="1:2" x14ac:dyDescent="0.25">
      <c r="A4280" s="32" t="s">
        <v>7054</v>
      </c>
      <c r="B4280" s="33" t="s">
        <v>7055</v>
      </c>
    </row>
    <row r="4281" spans="1:2" x14ac:dyDescent="0.25">
      <c r="A4281" s="30" t="s">
        <v>7056</v>
      </c>
      <c r="B4281" s="31" t="s">
        <v>7057</v>
      </c>
    </row>
    <row r="4282" spans="1:2" x14ac:dyDescent="0.25">
      <c r="A4282" s="32" t="s">
        <v>811</v>
      </c>
      <c r="B4282" s="33" t="s">
        <v>7058</v>
      </c>
    </row>
    <row r="4283" spans="1:2" x14ac:dyDescent="0.25">
      <c r="A4283" s="30" t="s">
        <v>7059</v>
      </c>
      <c r="B4283" s="31" t="s">
        <v>7060</v>
      </c>
    </row>
    <row r="4284" spans="1:2" x14ac:dyDescent="0.25">
      <c r="A4284" s="32" t="s">
        <v>812</v>
      </c>
      <c r="B4284" s="33" t="s">
        <v>7061</v>
      </c>
    </row>
    <row r="4285" spans="1:2" x14ac:dyDescent="0.25">
      <c r="A4285" s="30" t="s">
        <v>7062</v>
      </c>
      <c r="B4285" s="31" t="s">
        <v>7063</v>
      </c>
    </row>
    <row r="4286" spans="1:2" x14ac:dyDescent="0.25">
      <c r="A4286" s="32" t="s">
        <v>7064</v>
      </c>
      <c r="B4286" s="33" t="s">
        <v>7065</v>
      </c>
    </row>
    <row r="4287" spans="1:2" x14ac:dyDescent="0.25">
      <c r="A4287" s="30" t="s">
        <v>7066</v>
      </c>
      <c r="B4287" s="31" t="s">
        <v>7067</v>
      </c>
    </row>
    <row r="4288" spans="1:2" x14ac:dyDescent="0.25">
      <c r="A4288" s="32" t="s">
        <v>7068</v>
      </c>
      <c r="B4288" s="33" t="s">
        <v>7069</v>
      </c>
    </row>
    <row r="4289" spans="1:2" x14ac:dyDescent="0.25">
      <c r="A4289" s="30" t="s">
        <v>7070</v>
      </c>
      <c r="B4289" s="31" t="s">
        <v>7071</v>
      </c>
    </row>
    <row r="4290" spans="1:2" x14ac:dyDescent="0.25">
      <c r="A4290" s="32" t="s">
        <v>813</v>
      </c>
      <c r="B4290" s="33" t="s">
        <v>7072</v>
      </c>
    </row>
    <row r="4291" spans="1:2" x14ac:dyDescent="0.25">
      <c r="A4291" s="30" t="s">
        <v>7073</v>
      </c>
      <c r="B4291" s="31" t="s">
        <v>7074</v>
      </c>
    </row>
    <row r="4292" spans="1:2" x14ac:dyDescent="0.25">
      <c r="A4292" s="32" t="s">
        <v>814</v>
      </c>
      <c r="B4292" s="33" t="s">
        <v>7075</v>
      </c>
    </row>
    <row r="4293" spans="1:2" x14ac:dyDescent="0.25">
      <c r="A4293" s="30" t="s">
        <v>7076</v>
      </c>
      <c r="B4293" s="31" t="s">
        <v>7077</v>
      </c>
    </row>
    <row r="4294" spans="1:2" x14ac:dyDescent="0.25">
      <c r="A4294" s="32" t="s">
        <v>7078</v>
      </c>
      <c r="B4294" s="33" t="s">
        <v>7079</v>
      </c>
    </row>
    <row r="4295" spans="1:2" x14ac:dyDescent="0.25">
      <c r="A4295" s="30" t="s">
        <v>7080</v>
      </c>
      <c r="B4295" s="31" t="s">
        <v>7081</v>
      </c>
    </row>
    <row r="4296" spans="1:2" x14ac:dyDescent="0.25">
      <c r="A4296" s="32" t="s">
        <v>7082</v>
      </c>
      <c r="B4296" s="33" t="s">
        <v>7083</v>
      </c>
    </row>
    <row r="4297" spans="1:2" x14ac:dyDescent="0.25">
      <c r="A4297" s="30" t="s">
        <v>7084</v>
      </c>
      <c r="B4297" s="31" t="s">
        <v>7085</v>
      </c>
    </row>
    <row r="4298" spans="1:2" x14ac:dyDescent="0.25">
      <c r="A4298" s="32" t="s">
        <v>7086</v>
      </c>
      <c r="B4298" s="33" t="s">
        <v>7087</v>
      </c>
    </row>
    <row r="4299" spans="1:2" x14ac:dyDescent="0.25">
      <c r="A4299" s="30" t="s">
        <v>7088</v>
      </c>
      <c r="B4299" s="31" t="s">
        <v>7089</v>
      </c>
    </row>
    <row r="4300" spans="1:2" x14ac:dyDescent="0.25">
      <c r="A4300" s="32" t="s">
        <v>7090</v>
      </c>
      <c r="B4300" s="33" t="s">
        <v>7091</v>
      </c>
    </row>
    <row r="4301" spans="1:2" x14ac:dyDescent="0.25">
      <c r="A4301" s="30" t="s">
        <v>7092</v>
      </c>
      <c r="B4301" s="31" t="s">
        <v>7093</v>
      </c>
    </row>
    <row r="4302" spans="1:2" x14ac:dyDescent="0.25">
      <c r="A4302" s="32" t="s">
        <v>815</v>
      </c>
      <c r="B4302" s="33" t="s">
        <v>815</v>
      </c>
    </row>
    <row r="4303" spans="1:2" x14ac:dyDescent="0.25">
      <c r="A4303" s="30" t="s">
        <v>10819</v>
      </c>
      <c r="B4303" s="31" t="s">
        <v>10819</v>
      </c>
    </row>
    <row r="4304" spans="1:2" x14ac:dyDescent="0.25">
      <c r="A4304" s="32" t="s">
        <v>7094</v>
      </c>
      <c r="B4304" s="33" t="s">
        <v>7095</v>
      </c>
    </row>
    <row r="4305" spans="1:2" x14ac:dyDescent="0.25">
      <c r="A4305" s="30" t="s">
        <v>7096</v>
      </c>
      <c r="B4305" s="31" t="s">
        <v>7097</v>
      </c>
    </row>
    <row r="4306" spans="1:2" x14ac:dyDescent="0.25">
      <c r="A4306" s="32" t="s">
        <v>816</v>
      </c>
      <c r="B4306" s="33" t="s">
        <v>816</v>
      </c>
    </row>
    <row r="4307" spans="1:2" x14ac:dyDescent="0.25">
      <c r="A4307" s="30" t="s">
        <v>10820</v>
      </c>
      <c r="B4307" s="31" t="s">
        <v>10820</v>
      </c>
    </row>
    <row r="4308" spans="1:2" x14ac:dyDescent="0.25">
      <c r="A4308" s="32" t="s">
        <v>7098</v>
      </c>
      <c r="B4308" s="33" t="s">
        <v>7099</v>
      </c>
    </row>
    <row r="4309" spans="1:2" x14ac:dyDescent="0.25">
      <c r="A4309" s="30" t="s">
        <v>817</v>
      </c>
      <c r="B4309" s="31" t="s">
        <v>7100</v>
      </c>
    </row>
    <row r="4310" spans="1:2" x14ac:dyDescent="0.25">
      <c r="A4310" s="32" t="s">
        <v>818</v>
      </c>
      <c r="B4310" s="33" t="s">
        <v>7101</v>
      </c>
    </row>
    <row r="4311" spans="1:2" x14ac:dyDescent="0.25">
      <c r="A4311" s="30" t="s">
        <v>7102</v>
      </c>
      <c r="B4311" s="31" t="s">
        <v>7103</v>
      </c>
    </row>
    <row r="4312" spans="1:2" x14ac:dyDescent="0.25">
      <c r="A4312" s="32" t="s">
        <v>7104</v>
      </c>
      <c r="B4312" s="33" t="s">
        <v>7105</v>
      </c>
    </row>
    <row r="4313" spans="1:2" x14ac:dyDescent="0.25">
      <c r="A4313" s="30" t="s">
        <v>819</v>
      </c>
      <c r="B4313" s="31" t="s">
        <v>7106</v>
      </c>
    </row>
    <row r="4314" spans="1:2" x14ac:dyDescent="0.25">
      <c r="A4314" s="32" t="s">
        <v>7107</v>
      </c>
      <c r="B4314" s="33" t="s">
        <v>7108</v>
      </c>
    </row>
    <row r="4315" spans="1:2" x14ac:dyDescent="0.25">
      <c r="A4315" s="30" t="s">
        <v>7109</v>
      </c>
      <c r="B4315" s="31" t="s">
        <v>7110</v>
      </c>
    </row>
    <row r="4316" spans="1:2" x14ac:dyDescent="0.25">
      <c r="A4316" s="32" t="s">
        <v>7111</v>
      </c>
      <c r="B4316" s="33" t="s">
        <v>7112</v>
      </c>
    </row>
    <row r="4317" spans="1:2" x14ac:dyDescent="0.25">
      <c r="A4317" s="30" t="s">
        <v>10821</v>
      </c>
      <c r="B4317" s="31" t="s">
        <v>10821</v>
      </c>
    </row>
    <row r="4318" spans="1:2" x14ac:dyDescent="0.25">
      <c r="A4318" s="32" t="s">
        <v>7113</v>
      </c>
      <c r="B4318" s="33" t="s">
        <v>7114</v>
      </c>
    </row>
    <row r="4319" spans="1:2" x14ac:dyDescent="0.25">
      <c r="A4319" s="30" t="s">
        <v>820</v>
      </c>
      <c r="B4319" s="31" t="s">
        <v>7115</v>
      </c>
    </row>
    <row r="4320" spans="1:2" x14ac:dyDescent="0.25">
      <c r="A4320" s="32" t="s">
        <v>7116</v>
      </c>
      <c r="B4320" s="33" t="s">
        <v>7117</v>
      </c>
    </row>
    <row r="4321" spans="1:2" x14ac:dyDescent="0.25">
      <c r="A4321" s="30" t="s">
        <v>821</v>
      </c>
      <c r="B4321" s="31" t="s">
        <v>7118</v>
      </c>
    </row>
    <row r="4322" spans="1:2" x14ac:dyDescent="0.25">
      <c r="A4322" s="32" t="s">
        <v>822</v>
      </c>
      <c r="B4322" s="33" t="s">
        <v>7119</v>
      </c>
    </row>
    <row r="4323" spans="1:2" x14ac:dyDescent="0.25">
      <c r="A4323" s="30" t="s">
        <v>7120</v>
      </c>
      <c r="B4323" s="31" t="s">
        <v>7121</v>
      </c>
    </row>
    <row r="4324" spans="1:2" x14ac:dyDescent="0.25">
      <c r="A4324" s="32" t="s">
        <v>10822</v>
      </c>
      <c r="B4324" s="33" t="s">
        <v>10822</v>
      </c>
    </row>
    <row r="4325" spans="1:2" x14ac:dyDescent="0.25">
      <c r="A4325" s="30" t="s">
        <v>7122</v>
      </c>
      <c r="B4325" s="31" t="s">
        <v>7123</v>
      </c>
    </row>
    <row r="4326" spans="1:2" x14ac:dyDescent="0.25">
      <c r="A4326" s="32" t="s">
        <v>823</v>
      </c>
      <c r="B4326" s="33" t="s">
        <v>7124</v>
      </c>
    </row>
    <row r="4327" spans="1:2" x14ac:dyDescent="0.25">
      <c r="A4327" s="30" t="s">
        <v>7125</v>
      </c>
      <c r="B4327" s="31" t="s">
        <v>7126</v>
      </c>
    </row>
    <row r="4328" spans="1:2" x14ac:dyDescent="0.25">
      <c r="A4328" s="32" t="s">
        <v>7127</v>
      </c>
      <c r="B4328" s="33" t="s">
        <v>7128</v>
      </c>
    </row>
    <row r="4329" spans="1:2" x14ac:dyDescent="0.25">
      <c r="A4329" s="30" t="s">
        <v>7129</v>
      </c>
      <c r="B4329" s="31" t="s">
        <v>7130</v>
      </c>
    </row>
    <row r="4330" spans="1:2" x14ac:dyDescent="0.25">
      <c r="A4330" s="32" t="s">
        <v>10823</v>
      </c>
      <c r="B4330" s="33" t="s">
        <v>10823</v>
      </c>
    </row>
    <row r="4331" spans="1:2" x14ac:dyDescent="0.25">
      <c r="A4331" s="30" t="s">
        <v>824</v>
      </c>
      <c r="B4331" s="31" t="s">
        <v>7131</v>
      </c>
    </row>
    <row r="4332" spans="1:2" x14ac:dyDescent="0.25">
      <c r="A4332" s="32" t="s">
        <v>825</v>
      </c>
      <c r="B4332" s="33" t="s">
        <v>7132</v>
      </c>
    </row>
    <row r="4333" spans="1:2" x14ac:dyDescent="0.25">
      <c r="A4333" s="30" t="s">
        <v>7133</v>
      </c>
      <c r="B4333" s="31" t="s">
        <v>7134</v>
      </c>
    </row>
    <row r="4334" spans="1:2" x14ac:dyDescent="0.25">
      <c r="A4334" s="32" t="s">
        <v>826</v>
      </c>
      <c r="B4334" s="33" t="s">
        <v>7135</v>
      </c>
    </row>
    <row r="4335" spans="1:2" x14ac:dyDescent="0.25">
      <c r="A4335" s="30" t="s">
        <v>7136</v>
      </c>
      <c r="B4335" s="31" t="s">
        <v>7137</v>
      </c>
    </row>
    <row r="4336" spans="1:2" x14ac:dyDescent="0.25">
      <c r="A4336" s="32" t="s">
        <v>7138</v>
      </c>
      <c r="B4336" s="33" t="s">
        <v>7139</v>
      </c>
    </row>
    <row r="4337" spans="1:2" x14ac:dyDescent="0.25">
      <c r="A4337" s="30" t="s">
        <v>7140</v>
      </c>
      <c r="B4337" s="31" t="s">
        <v>7141</v>
      </c>
    </row>
    <row r="4338" spans="1:2" x14ac:dyDescent="0.25">
      <c r="A4338" s="32" t="s">
        <v>7142</v>
      </c>
      <c r="B4338" s="33" t="s">
        <v>7143</v>
      </c>
    </row>
    <row r="4339" spans="1:2" x14ac:dyDescent="0.25">
      <c r="A4339" s="30" t="s">
        <v>827</v>
      </c>
      <c r="B4339" s="31" t="s">
        <v>7144</v>
      </c>
    </row>
    <row r="4340" spans="1:2" x14ac:dyDescent="0.25">
      <c r="A4340" s="32" t="s">
        <v>7145</v>
      </c>
      <c r="B4340" s="33" t="s">
        <v>7146</v>
      </c>
    </row>
    <row r="4341" spans="1:2" x14ac:dyDescent="0.25">
      <c r="A4341" s="30" t="s">
        <v>7147</v>
      </c>
      <c r="B4341" s="31" t="s">
        <v>7148</v>
      </c>
    </row>
    <row r="4342" spans="1:2" x14ac:dyDescent="0.25">
      <c r="A4342" s="32" t="s">
        <v>7149</v>
      </c>
      <c r="B4342" s="33" t="s">
        <v>7150</v>
      </c>
    </row>
    <row r="4343" spans="1:2" x14ac:dyDescent="0.25">
      <c r="A4343" s="30" t="s">
        <v>7151</v>
      </c>
      <c r="B4343" s="31" t="s">
        <v>7152</v>
      </c>
    </row>
    <row r="4344" spans="1:2" x14ac:dyDescent="0.25">
      <c r="A4344" s="32" t="s">
        <v>7153</v>
      </c>
      <c r="B4344" s="33" t="s">
        <v>7154</v>
      </c>
    </row>
    <row r="4345" spans="1:2" x14ac:dyDescent="0.25">
      <c r="A4345" s="30" t="s">
        <v>7155</v>
      </c>
      <c r="B4345" s="31" t="s">
        <v>7156</v>
      </c>
    </row>
    <row r="4346" spans="1:2" x14ac:dyDescent="0.25">
      <c r="A4346" s="32" t="s">
        <v>7157</v>
      </c>
      <c r="B4346" s="33" t="s">
        <v>7158</v>
      </c>
    </row>
    <row r="4347" spans="1:2" x14ac:dyDescent="0.25">
      <c r="A4347" s="30" t="s">
        <v>10824</v>
      </c>
      <c r="B4347" s="31" t="s">
        <v>10824</v>
      </c>
    </row>
    <row r="4348" spans="1:2" x14ac:dyDescent="0.25">
      <c r="A4348" s="32" t="s">
        <v>7159</v>
      </c>
      <c r="B4348" s="33" t="s">
        <v>7160</v>
      </c>
    </row>
    <row r="4349" spans="1:2" x14ac:dyDescent="0.25">
      <c r="A4349" s="30" t="s">
        <v>10825</v>
      </c>
      <c r="B4349" s="31" t="s">
        <v>10825</v>
      </c>
    </row>
    <row r="4350" spans="1:2" x14ac:dyDescent="0.25">
      <c r="A4350" s="32" t="s">
        <v>7161</v>
      </c>
      <c r="B4350" s="33" t="s">
        <v>7162</v>
      </c>
    </row>
    <row r="4351" spans="1:2" x14ac:dyDescent="0.25">
      <c r="A4351" s="30" t="s">
        <v>7163</v>
      </c>
      <c r="B4351" s="31" t="s">
        <v>7164</v>
      </c>
    </row>
    <row r="4352" spans="1:2" x14ac:dyDescent="0.25">
      <c r="A4352" s="32" t="s">
        <v>7165</v>
      </c>
      <c r="B4352" s="33" t="s">
        <v>7166</v>
      </c>
    </row>
    <row r="4353" spans="1:2" x14ac:dyDescent="0.25">
      <c r="A4353" s="30" t="s">
        <v>828</v>
      </c>
      <c r="B4353" s="31" t="s">
        <v>7167</v>
      </c>
    </row>
    <row r="4354" spans="1:2" x14ac:dyDescent="0.25">
      <c r="A4354" s="32" t="s">
        <v>7168</v>
      </c>
      <c r="B4354" s="33" t="s">
        <v>7169</v>
      </c>
    </row>
    <row r="4355" spans="1:2" x14ac:dyDescent="0.25">
      <c r="A4355" s="30" t="s">
        <v>7170</v>
      </c>
      <c r="B4355" s="31" t="s">
        <v>7171</v>
      </c>
    </row>
    <row r="4356" spans="1:2" x14ac:dyDescent="0.25">
      <c r="A4356" s="32" t="s">
        <v>829</v>
      </c>
      <c r="B4356" s="33" t="s">
        <v>7172</v>
      </c>
    </row>
    <row r="4357" spans="1:2" x14ac:dyDescent="0.25">
      <c r="A4357" s="30" t="s">
        <v>830</v>
      </c>
      <c r="B4357" s="31" t="s">
        <v>7173</v>
      </c>
    </row>
    <row r="4358" spans="1:2" x14ac:dyDescent="0.25">
      <c r="A4358" s="32" t="s">
        <v>7174</v>
      </c>
      <c r="B4358" s="33" t="s">
        <v>7175</v>
      </c>
    </row>
    <row r="4359" spans="1:2" x14ac:dyDescent="0.25">
      <c r="A4359" s="30" t="s">
        <v>831</v>
      </c>
      <c r="B4359" s="31" t="s">
        <v>7176</v>
      </c>
    </row>
    <row r="4360" spans="1:2" x14ac:dyDescent="0.25">
      <c r="A4360" s="32" t="s">
        <v>832</v>
      </c>
      <c r="B4360" s="33" t="s">
        <v>7177</v>
      </c>
    </row>
    <row r="4361" spans="1:2" x14ac:dyDescent="0.25">
      <c r="A4361" s="30" t="s">
        <v>833</v>
      </c>
      <c r="B4361" s="31" t="s">
        <v>7178</v>
      </c>
    </row>
    <row r="4362" spans="1:2" x14ac:dyDescent="0.25">
      <c r="A4362" s="32" t="s">
        <v>7179</v>
      </c>
      <c r="B4362" s="33" t="s">
        <v>7180</v>
      </c>
    </row>
    <row r="4363" spans="1:2" x14ac:dyDescent="0.25">
      <c r="A4363" s="30" t="s">
        <v>7181</v>
      </c>
      <c r="B4363" s="31" t="s">
        <v>7182</v>
      </c>
    </row>
    <row r="4364" spans="1:2" x14ac:dyDescent="0.25">
      <c r="A4364" s="32" t="s">
        <v>7183</v>
      </c>
      <c r="B4364" s="33" t="s">
        <v>7184</v>
      </c>
    </row>
    <row r="4365" spans="1:2" x14ac:dyDescent="0.25">
      <c r="A4365" s="30" t="s">
        <v>7185</v>
      </c>
      <c r="B4365" s="31" t="s">
        <v>7186</v>
      </c>
    </row>
    <row r="4366" spans="1:2" x14ac:dyDescent="0.25">
      <c r="A4366" s="32" t="s">
        <v>7187</v>
      </c>
      <c r="B4366" s="33" t="s">
        <v>7188</v>
      </c>
    </row>
    <row r="4367" spans="1:2" x14ac:dyDescent="0.25">
      <c r="A4367" s="30" t="s">
        <v>834</v>
      </c>
      <c r="B4367" s="31" t="s">
        <v>7189</v>
      </c>
    </row>
    <row r="4368" spans="1:2" x14ac:dyDescent="0.25">
      <c r="A4368" s="32" t="s">
        <v>10826</v>
      </c>
      <c r="B4368" s="33" t="s">
        <v>10826</v>
      </c>
    </row>
    <row r="4369" spans="1:2" x14ac:dyDescent="0.25">
      <c r="A4369" s="30" t="s">
        <v>835</v>
      </c>
      <c r="B4369" s="31" t="s">
        <v>7190</v>
      </c>
    </row>
    <row r="4370" spans="1:2" x14ac:dyDescent="0.25">
      <c r="A4370" s="32" t="s">
        <v>7191</v>
      </c>
      <c r="B4370" s="33" t="s">
        <v>7192</v>
      </c>
    </row>
    <row r="4371" spans="1:2" x14ac:dyDescent="0.25">
      <c r="A4371" s="30" t="s">
        <v>7193</v>
      </c>
      <c r="B4371" s="31" t="s">
        <v>7194</v>
      </c>
    </row>
    <row r="4372" spans="1:2" x14ac:dyDescent="0.25">
      <c r="A4372" s="32" t="s">
        <v>7195</v>
      </c>
      <c r="B4372" s="33" t="s">
        <v>7196</v>
      </c>
    </row>
    <row r="4373" spans="1:2" x14ac:dyDescent="0.25">
      <c r="A4373" s="30" t="s">
        <v>7197</v>
      </c>
      <c r="B4373" s="31" t="s">
        <v>7198</v>
      </c>
    </row>
    <row r="4374" spans="1:2" x14ac:dyDescent="0.25">
      <c r="A4374" s="32" t="s">
        <v>7199</v>
      </c>
      <c r="B4374" s="33" t="s">
        <v>7200</v>
      </c>
    </row>
    <row r="4375" spans="1:2" x14ac:dyDescent="0.25">
      <c r="A4375" s="30" t="s">
        <v>836</v>
      </c>
      <c r="B4375" s="31" t="s">
        <v>7201</v>
      </c>
    </row>
    <row r="4376" spans="1:2" x14ac:dyDescent="0.25">
      <c r="A4376" s="32" t="s">
        <v>7202</v>
      </c>
      <c r="B4376" s="33" t="s">
        <v>7203</v>
      </c>
    </row>
    <row r="4377" spans="1:2" x14ac:dyDescent="0.25">
      <c r="A4377" s="30" t="s">
        <v>837</v>
      </c>
      <c r="B4377" s="31" t="s">
        <v>7204</v>
      </c>
    </row>
    <row r="4378" spans="1:2" x14ac:dyDescent="0.25">
      <c r="A4378" s="32" t="s">
        <v>7205</v>
      </c>
      <c r="B4378" s="33" t="s">
        <v>7206</v>
      </c>
    </row>
    <row r="4379" spans="1:2" x14ac:dyDescent="0.25">
      <c r="A4379" s="30" t="s">
        <v>838</v>
      </c>
      <c r="B4379" s="31" t="s">
        <v>7207</v>
      </c>
    </row>
    <row r="4380" spans="1:2" x14ac:dyDescent="0.25">
      <c r="A4380" s="32" t="s">
        <v>7208</v>
      </c>
      <c r="B4380" s="33" t="s">
        <v>7209</v>
      </c>
    </row>
    <row r="4381" spans="1:2" x14ac:dyDescent="0.25">
      <c r="A4381" s="30" t="s">
        <v>7210</v>
      </c>
      <c r="B4381" s="31" t="s">
        <v>7211</v>
      </c>
    </row>
    <row r="4382" spans="1:2" x14ac:dyDescent="0.25">
      <c r="A4382" s="32" t="s">
        <v>7212</v>
      </c>
      <c r="B4382" s="33" t="s">
        <v>7213</v>
      </c>
    </row>
    <row r="4383" spans="1:2" x14ac:dyDescent="0.25">
      <c r="A4383" s="30" t="s">
        <v>7214</v>
      </c>
      <c r="B4383" s="31" t="s">
        <v>7215</v>
      </c>
    </row>
    <row r="4384" spans="1:2" x14ac:dyDescent="0.25">
      <c r="A4384" s="32" t="s">
        <v>839</v>
      </c>
      <c r="B4384" s="33" t="s">
        <v>7216</v>
      </c>
    </row>
    <row r="4385" spans="1:2" x14ac:dyDescent="0.25">
      <c r="A4385" s="30" t="s">
        <v>840</v>
      </c>
      <c r="B4385" s="31" t="s">
        <v>7217</v>
      </c>
    </row>
    <row r="4386" spans="1:2" x14ac:dyDescent="0.25">
      <c r="A4386" s="32" t="s">
        <v>841</v>
      </c>
      <c r="B4386" s="33" t="s">
        <v>7218</v>
      </c>
    </row>
    <row r="4387" spans="1:2" x14ac:dyDescent="0.25">
      <c r="A4387" s="30" t="s">
        <v>7219</v>
      </c>
      <c r="B4387" s="31" t="s">
        <v>7220</v>
      </c>
    </row>
    <row r="4388" spans="1:2" x14ac:dyDescent="0.25">
      <c r="A4388" s="32" t="s">
        <v>842</v>
      </c>
      <c r="B4388" s="33" t="s">
        <v>7221</v>
      </c>
    </row>
    <row r="4389" spans="1:2" x14ac:dyDescent="0.25">
      <c r="A4389" s="30" t="s">
        <v>843</v>
      </c>
      <c r="B4389" s="31" t="s">
        <v>7222</v>
      </c>
    </row>
    <row r="4390" spans="1:2" x14ac:dyDescent="0.25">
      <c r="A4390" s="32" t="s">
        <v>7223</v>
      </c>
      <c r="B4390" s="33" t="s">
        <v>7224</v>
      </c>
    </row>
    <row r="4391" spans="1:2" x14ac:dyDescent="0.25">
      <c r="A4391" s="30" t="s">
        <v>844</v>
      </c>
      <c r="B4391" s="31" t="s">
        <v>7225</v>
      </c>
    </row>
    <row r="4392" spans="1:2" x14ac:dyDescent="0.25">
      <c r="A4392" s="32" t="s">
        <v>7226</v>
      </c>
      <c r="B4392" s="33" t="s">
        <v>7227</v>
      </c>
    </row>
    <row r="4393" spans="1:2" x14ac:dyDescent="0.25">
      <c r="A4393" s="30" t="s">
        <v>10827</v>
      </c>
      <c r="B4393" s="31" t="s">
        <v>10827</v>
      </c>
    </row>
    <row r="4394" spans="1:2" x14ac:dyDescent="0.25">
      <c r="A4394" s="32" t="s">
        <v>845</v>
      </c>
      <c r="B4394" s="33" t="s">
        <v>7228</v>
      </c>
    </row>
    <row r="4395" spans="1:2" x14ac:dyDescent="0.25">
      <c r="A4395" s="30" t="s">
        <v>10828</v>
      </c>
      <c r="B4395" s="31" t="s">
        <v>10828</v>
      </c>
    </row>
    <row r="4396" spans="1:2" x14ac:dyDescent="0.25">
      <c r="A4396" s="32" t="s">
        <v>846</v>
      </c>
      <c r="B4396" s="33" t="s">
        <v>7229</v>
      </c>
    </row>
    <row r="4397" spans="1:2" x14ac:dyDescent="0.25">
      <c r="A4397" s="30" t="s">
        <v>7230</v>
      </c>
      <c r="B4397" s="31" t="s">
        <v>7231</v>
      </c>
    </row>
    <row r="4398" spans="1:2" x14ac:dyDescent="0.25">
      <c r="A4398" s="32" t="s">
        <v>7232</v>
      </c>
      <c r="B4398" s="33" t="s">
        <v>7233</v>
      </c>
    </row>
    <row r="4399" spans="1:2" x14ac:dyDescent="0.25">
      <c r="A4399" s="30" t="s">
        <v>7234</v>
      </c>
      <c r="B4399" s="31" t="s">
        <v>7235</v>
      </c>
    </row>
    <row r="4400" spans="1:2" x14ac:dyDescent="0.25">
      <c r="A4400" s="32" t="s">
        <v>847</v>
      </c>
      <c r="B4400" s="33" t="s">
        <v>7236</v>
      </c>
    </row>
    <row r="4401" spans="1:2" x14ac:dyDescent="0.25">
      <c r="A4401" s="30" t="s">
        <v>7237</v>
      </c>
      <c r="B4401" s="31" t="s">
        <v>7238</v>
      </c>
    </row>
    <row r="4402" spans="1:2" x14ac:dyDescent="0.25">
      <c r="A4402" s="32" t="s">
        <v>7239</v>
      </c>
      <c r="B4402" s="33" t="s">
        <v>7240</v>
      </c>
    </row>
    <row r="4403" spans="1:2" x14ac:dyDescent="0.25">
      <c r="A4403" s="30" t="s">
        <v>7241</v>
      </c>
      <c r="B4403" s="31" t="s">
        <v>7242</v>
      </c>
    </row>
    <row r="4404" spans="1:2" x14ac:dyDescent="0.25">
      <c r="A4404" s="32" t="s">
        <v>7243</v>
      </c>
      <c r="B4404" s="33" t="s">
        <v>7244</v>
      </c>
    </row>
    <row r="4405" spans="1:2" x14ac:dyDescent="0.25">
      <c r="A4405" s="30" t="s">
        <v>7245</v>
      </c>
      <c r="B4405" s="31" t="s">
        <v>7246</v>
      </c>
    </row>
    <row r="4406" spans="1:2" x14ac:dyDescent="0.25">
      <c r="A4406" s="32" t="s">
        <v>7247</v>
      </c>
      <c r="B4406" s="33" t="s">
        <v>7248</v>
      </c>
    </row>
    <row r="4407" spans="1:2" x14ac:dyDescent="0.25">
      <c r="A4407" s="30" t="s">
        <v>7249</v>
      </c>
      <c r="B4407" s="31" t="s">
        <v>7250</v>
      </c>
    </row>
    <row r="4408" spans="1:2" x14ac:dyDescent="0.25">
      <c r="A4408" s="32" t="s">
        <v>848</v>
      </c>
      <c r="B4408" s="33" t="s">
        <v>7251</v>
      </c>
    </row>
    <row r="4409" spans="1:2" x14ac:dyDescent="0.25">
      <c r="A4409" s="30" t="s">
        <v>7252</v>
      </c>
      <c r="B4409" s="31" t="s">
        <v>7253</v>
      </c>
    </row>
    <row r="4410" spans="1:2" x14ac:dyDescent="0.25">
      <c r="A4410" s="32" t="s">
        <v>849</v>
      </c>
      <c r="B4410" s="33" t="s">
        <v>7254</v>
      </c>
    </row>
    <row r="4411" spans="1:2" x14ac:dyDescent="0.25">
      <c r="A4411" s="30" t="s">
        <v>850</v>
      </c>
      <c r="B4411" s="31" t="s">
        <v>7255</v>
      </c>
    </row>
    <row r="4412" spans="1:2" x14ac:dyDescent="0.25">
      <c r="A4412" s="32" t="s">
        <v>7256</v>
      </c>
      <c r="B4412" s="33" t="s">
        <v>7257</v>
      </c>
    </row>
    <row r="4413" spans="1:2" x14ac:dyDescent="0.25">
      <c r="A4413" s="30" t="s">
        <v>7258</v>
      </c>
      <c r="B4413" s="31" t="s">
        <v>7259</v>
      </c>
    </row>
    <row r="4414" spans="1:2" x14ac:dyDescent="0.25">
      <c r="A4414" s="32" t="s">
        <v>7260</v>
      </c>
      <c r="B4414" s="33" t="s">
        <v>7261</v>
      </c>
    </row>
    <row r="4415" spans="1:2" x14ac:dyDescent="0.25">
      <c r="A4415" s="30" t="s">
        <v>851</v>
      </c>
      <c r="B4415" s="31" t="s">
        <v>7262</v>
      </c>
    </row>
    <row r="4416" spans="1:2" x14ac:dyDescent="0.25">
      <c r="A4416" s="32" t="s">
        <v>7263</v>
      </c>
      <c r="B4416" s="33" t="s">
        <v>7264</v>
      </c>
    </row>
    <row r="4417" spans="1:2" x14ac:dyDescent="0.25">
      <c r="A4417" s="30" t="s">
        <v>7265</v>
      </c>
      <c r="B4417" s="31" t="s">
        <v>7266</v>
      </c>
    </row>
    <row r="4418" spans="1:2" x14ac:dyDescent="0.25">
      <c r="A4418" s="32" t="s">
        <v>852</v>
      </c>
      <c r="B4418" s="33" t="s">
        <v>7267</v>
      </c>
    </row>
    <row r="4419" spans="1:2" x14ac:dyDescent="0.25">
      <c r="A4419" s="30" t="s">
        <v>853</v>
      </c>
      <c r="B4419" s="31" t="s">
        <v>7268</v>
      </c>
    </row>
    <row r="4420" spans="1:2" x14ac:dyDescent="0.25">
      <c r="A4420" s="32" t="s">
        <v>854</v>
      </c>
      <c r="B4420" s="33" t="s">
        <v>7269</v>
      </c>
    </row>
    <row r="4421" spans="1:2" x14ac:dyDescent="0.25">
      <c r="A4421" s="30" t="s">
        <v>7270</v>
      </c>
      <c r="B4421" s="31" t="s">
        <v>7271</v>
      </c>
    </row>
    <row r="4422" spans="1:2" x14ac:dyDescent="0.25">
      <c r="A4422" s="32" t="s">
        <v>7272</v>
      </c>
      <c r="B4422" s="33" t="s">
        <v>7273</v>
      </c>
    </row>
    <row r="4423" spans="1:2" x14ac:dyDescent="0.25">
      <c r="A4423" s="30" t="s">
        <v>7274</v>
      </c>
      <c r="B4423" s="31" t="s">
        <v>7275</v>
      </c>
    </row>
    <row r="4424" spans="1:2" x14ac:dyDescent="0.25">
      <c r="A4424" s="32" t="s">
        <v>855</v>
      </c>
      <c r="B4424" s="33" t="s">
        <v>7276</v>
      </c>
    </row>
    <row r="4425" spans="1:2" x14ac:dyDescent="0.25">
      <c r="A4425" s="30" t="s">
        <v>7277</v>
      </c>
      <c r="B4425" s="31" t="s">
        <v>7278</v>
      </c>
    </row>
    <row r="4426" spans="1:2" x14ac:dyDescent="0.25">
      <c r="A4426" s="32" t="s">
        <v>7279</v>
      </c>
      <c r="B4426" s="33" t="s">
        <v>7280</v>
      </c>
    </row>
    <row r="4427" spans="1:2" x14ac:dyDescent="0.25">
      <c r="A4427" s="30" t="s">
        <v>7281</v>
      </c>
      <c r="B4427" s="31" t="s">
        <v>7282</v>
      </c>
    </row>
    <row r="4428" spans="1:2" x14ac:dyDescent="0.25">
      <c r="A4428" s="32" t="s">
        <v>7283</v>
      </c>
      <c r="B4428" s="33" t="s">
        <v>7284</v>
      </c>
    </row>
    <row r="4429" spans="1:2" x14ac:dyDescent="0.25">
      <c r="A4429" s="30" t="s">
        <v>7285</v>
      </c>
      <c r="B4429" s="31" t="s">
        <v>7286</v>
      </c>
    </row>
    <row r="4430" spans="1:2" x14ac:dyDescent="0.25">
      <c r="A4430" s="32" t="s">
        <v>7287</v>
      </c>
      <c r="B4430" s="33" t="s">
        <v>7288</v>
      </c>
    </row>
    <row r="4431" spans="1:2" x14ac:dyDescent="0.25">
      <c r="A4431" s="30" t="s">
        <v>7289</v>
      </c>
      <c r="B4431" s="31" t="s">
        <v>7290</v>
      </c>
    </row>
    <row r="4432" spans="1:2" x14ac:dyDescent="0.25">
      <c r="A4432" s="32" t="s">
        <v>856</v>
      </c>
      <c r="B4432" s="33" t="s">
        <v>7291</v>
      </c>
    </row>
    <row r="4433" spans="1:2" x14ac:dyDescent="0.25">
      <c r="A4433" s="30" t="s">
        <v>857</v>
      </c>
      <c r="B4433" s="31" t="s">
        <v>7292</v>
      </c>
    </row>
    <row r="4434" spans="1:2" x14ac:dyDescent="0.25">
      <c r="A4434" s="32" t="s">
        <v>7293</v>
      </c>
      <c r="B4434" s="33" t="s">
        <v>7294</v>
      </c>
    </row>
    <row r="4435" spans="1:2" x14ac:dyDescent="0.25">
      <c r="A4435" s="30" t="s">
        <v>7295</v>
      </c>
      <c r="B4435" s="31" t="s">
        <v>7296</v>
      </c>
    </row>
    <row r="4436" spans="1:2" x14ac:dyDescent="0.25">
      <c r="A4436" s="32" t="s">
        <v>7297</v>
      </c>
      <c r="B4436" s="33" t="s">
        <v>7298</v>
      </c>
    </row>
    <row r="4437" spans="1:2" x14ac:dyDescent="0.25">
      <c r="A4437" s="30" t="s">
        <v>7299</v>
      </c>
      <c r="B4437" s="31" t="s">
        <v>7300</v>
      </c>
    </row>
    <row r="4438" spans="1:2" x14ac:dyDescent="0.25">
      <c r="A4438" s="32" t="s">
        <v>10829</v>
      </c>
      <c r="B4438" s="33" t="s">
        <v>10829</v>
      </c>
    </row>
    <row r="4439" spans="1:2" x14ac:dyDescent="0.25">
      <c r="A4439" s="30" t="s">
        <v>858</v>
      </c>
      <c r="B4439" s="31" t="s">
        <v>7301</v>
      </c>
    </row>
    <row r="4440" spans="1:2" x14ac:dyDescent="0.25">
      <c r="A4440" s="32" t="s">
        <v>7302</v>
      </c>
      <c r="B4440" s="33" t="s">
        <v>7303</v>
      </c>
    </row>
    <row r="4441" spans="1:2" x14ac:dyDescent="0.25">
      <c r="A4441" s="30" t="s">
        <v>7304</v>
      </c>
      <c r="B4441" s="31" t="s">
        <v>7305</v>
      </c>
    </row>
    <row r="4442" spans="1:2" x14ac:dyDescent="0.25">
      <c r="A4442" s="32" t="s">
        <v>7306</v>
      </c>
      <c r="B4442" s="33" t="s">
        <v>7307</v>
      </c>
    </row>
    <row r="4443" spans="1:2" x14ac:dyDescent="0.25">
      <c r="A4443" s="30" t="s">
        <v>7308</v>
      </c>
      <c r="B4443" s="31" t="s">
        <v>7309</v>
      </c>
    </row>
    <row r="4444" spans="1:2" x14ac:dyDescent="0.25">
      <c r="A4444" s="32" t="s">
        <v>7310</v>
      </c>
      <c r="B4444" s="33" t="s">
        <v>7311</v>
      </c>
    </row>
    <row r="4445" spans="1:2" x14ac:dyDescent="0.25">
      <c r="A4445" s="30" t="s">
        <v>7312</v>
      </c>
      <c r="B4445" s="31" t="s">
        <v>7313</v>
      </c>
    </row>
    <row r="4446" spans="1:2" x14ac:dyDescent="0.25">
      <c r="A4446" s="32" t="s">
        <v>7314</v>
      </c>
      <c r="B4446" s="33" t="s">
        <v>7315</v>
      </c>
    </row>
    <row r="4447" spans="1:2" x14ac:dyDescent="0.25">
      <c r="A4447" s="30" t="s">
        <v>859</v>
      </c>
      <c r="B4447" s="31" t="s">
        <v>7316</v>
      </c>
    </row>
    <row r="4448" spans="1:2" x14ac:dyDescent="0.25">
      <c r="A4448" s="32" t="s">
        <v>7317</v>
      </c>
      <c r="B4448" s="33" t="s">
        <v>7318</v>
      </c>
    </row>
    <row r="4449" spans="1:2" x14ac:dyDescent="0.25">
      <c r="A4449" s="30" t="s">
        <v>7319</v>
      </c>
      <c r="B4449" s="31" t="s">
        <v>7320</v>
      </c>
    </row>
    <row r="4450" spans="1:2" x14ac:dyDescent="0.25">
      <c r="A4450" s="32" t="s">
        <v>860</v>
      </c>
      <c r="B4450" s="33" t="s">
        <v>7321</v>
      </c>
    </row>
    <row r="4451" spans="1:2" x14ac:dyDescent="0.25">
      <c r="A4451" s="30" t="s">
        <v>7322</v>
      </c>
      <c r="B4451" s="31" t="s">
        <v>7323</v>
      </c>
    </row>
    <row r="4452" spans="1:2" x14ac:dyDescent="0.25">
      <c r="A4452" s="32" t="s">
        <v>7324</v>
      </c>
      <c r="B4452" s="33" t="s">
        <v>7325</v>
      </c>
    </row>
    <row r="4453" spans="1:2" x14ac:dyDescent="0.25">
      <c r="A4453" s="30" t="s">
        <v>7326</v>
      </c>
      <c r="B4453" s="31" t="s">
        <v>7327</v>
      </c>
    </row>
    <row r="4454" spans="1:2" x14ac:dyDescent="0.25">
      <c r="A4454" s="32" t="s">
        <v>7328</v>
      </c>
      <c r="B4454" s="33" t="s">
        <v>7329</v>
      </c>
    </row>
    <row r="4455" spans="1:2" x14ac:dyDescent="0.25">
      <c r="A4455" s="30" t="s">
        <v>7330</v>
      </c>
      <c r="B4455" s="31" t="s">
        <v>7331</v>
      </c>
    </row>
    <row r="4456" spans="1:2" x14ac:dyDescent="0.25">
      <c r="A4456" s="32" t="s">
        <v>7332</v>
      </c>
      <c r="B4456" s="33" t="s">
        <v>7333</v>
      </c>
    </row>
    <row r="4457" spans="1:2" x14ac:dyDescent="0.25">
      <c r="A4457" s="30" t="s">
        <v>7334</v>
      </c>
      <c r="B4457" s="31" t="s">
        <v>7335</v>
      </c>
    </row>
    <row r="4458" spans="1:2" x14ac:dyDescent="0.25">
      <c r="A4458" s="32" t="s">
        <v>7336</v>
      </c>
      <c r="B4458" s="33" t="s">
        <v>7337</v>
      </c>
    </row>
    <row r="4459" spans="1:2" x14ac:dyDescent="0.25">
      <c r="A4459" s="30" t="s">
        <v>7338</v>
      </c>
      <c r="B4459" s="31" t="s">
        <v>7339</v>
      </c>
    </row>
    <row r="4460" spans="1:2" x14ac:dyDescent="0.25">
      <c r="A4460" s="32" t="s">
        <v>861</v>
      </c>
      <c r="B4460" s="33" t="s">
        <v>7340</v>
      </c>
    </row>
    <row r="4461" spans="1:2" x14ac:dyDescent="0.25">
      <c r="A4461" s="30" t="s">
        <v>7341</v>
      </c>
      <c r="B4461" s="31" t="s">
        <v>7342</v>
      </c>
    </row>
    <row r="4462" spans="1:2" x14ac:dyDescent="0.25">
      <c r="A4462" s="32" t="s">
        <v>7343</v>
      </c>
      <c r="B4462" s="33" t="s">
        <v>7344</v>
      </c>
    </row>
    <row r="4463" spans="1:2" x14ac:dyDescent="0.25">
      <c r="A4463" s="30" t="s">
        <v>862</v>
      </c>
      <c r="B4463" s="31" t="s">
        <v>7345</v>
      </c>
    </row>
    <row r="4464" spans="1:2" x14ac:dyDescent="0.25">
      <c r="A4464" s="32" t="s">
        <v>7346</v>
      </c>
      <c r="B4464" s="33" t="s">
        <v>7347</v>
      </c>
    </row>
    <row r="4465" spans="1:2" x14ac:dyDescent="0.25">
      <c r="A4465" s="30" t="s">
        <v>7348</v>
      </c>
      <c r="B4465" s="31" t="s">
        <v>7349</v>
      </c>
    </row>
    <row r="4466" spans="1:2" x14ac:dyDescent="0.25">
      <c r="A4466" s="32" t="s">
        <v>7350</v>
      </c>
      <c r="B4466" s="33" t="s">
        <v>7351</v>
      </c>
    </row>
    <row r="4467" spans="1:2" x14ac:dyDescent="0.25">
      <c r="A4467" s="30" t="s">
        <v>863</v>
      </c>
      <c r="B4467" s="31" t="s">
        <v>7352</v>
      </c>
    </row>
    <row r="4468" spans="1:2" x14ac:dyDescent="0.25">
      <c r="A4468" s="32" t="s">
        <v>7353</v>
      </c>
      <c r="B4468" s="33" t="s">
        <v>7354</v>
      </c>
    </row>
    <row r="4469" spans="1:2" x14ac:dyDescent="0.25">
      <c r="A4469" s="30" t="s">
        <v>7355</v>
      </c>
      <c r="B4469" s="31" t="s">
        <v>7356</v>
      </c>
    </row>
    <row r="4470" spans="1:2" x14ac:dyDescent="0.25">
      <c r="A4470" s="32" t="s">
        <v>7357</v>
      </c>
      <c r="B4470" s="33" t="s">
        <v>7358</v>
      </c>
    </row>
    <row r="4471" spans="1:2" x14ac:dyDescent="0.25">
      <c r="A4471" s="30" t="s">
        <v>7359</v>
      </c>
      <c r="B4471" s="31" t="s">
        <v>7360</v>
      </c>
    </row>
    <row r="4472" spans="1:2" x14ac:dyDescent="0.25">
      <c r="A4472" s="32" t="s">
        <v>7361</v>
      </c>
      <c r="B4472" s="33" t="s">
        <v>7362</v>
      </c>
    </row>
    <row r="4473" spans="1:2" x14ac:dyDescent="0.25">
      <c r="A4473" s="30" t="s">
        <v>7363</v>
      </c>
      <c r="B4473" s="31" t="s">
        <v>7364</v>
      </c>
    </row>
    <row r="4474" spans="1:2" x14ac:dyDescent="0.25">
      <c r="A4474" s="32" t="s">
        <v>864</v>
      </c>
      <c r="B4474" s="33" t="s">
        <v>7365</v>
      </c>
    </row>
    <row r="4475" spans="1:2" x14ac:dyDescent="0.25">
      <c r="A4475" s="30" t="s">
        <v>865</v>
      </c>
      <c r="B4475" s="31" t="s">
        <v>7366</v>
      </c>
    </row>
    <row r="4476" spans="1:2" x14ac:dyDescent="0.25">
      <c r="A4476" s="32" t="s">
        <v>7367</v>
      </c>
      <c r="B4476" s="33" t="s">
        <v>7368</v>
      </c>
    </row>
    <row r="4477" spans="1:2" x14ac:dyDescent="0.25">
      <c r="A4477" s="30" t="s">
        <v>7369</v>
      </c>
      <c r="B4477" s="31" t="s">
        <v>7370</v>
      </c>
    </row>
    <row r="4478" spans="1:2" x14ac:dyDescent="0.25">
      <c r="A4478" s="32" t="s">
        <v>7371</v>
      </c>
      <c r="B4478" s="33" t="s">
        <v>7372</v>
      </c>
    </row>
    <row r="4479" spans="1:2" x14ac:dyDescent="0.25">
      <c r="A4479" s="30" t="s">
        <v>7373</v>
      </c>
      <c r="B4479" s="31" t="s">
        <v>7374</v>
      </c>
    </row>
    <row r="4480" spans="1:2" x14ac:dyDescent="0.25">
      <c r="A4480" s="32" t="s">
        <v>867</v>
      </c>
      <c r="B4480" s="33" t="s">
        <v>7375</v>
      </c>
    </row>
    <row r="4481" spans="1:2" x14ac:dyDescent="0.25">
      <c r="A4481" s="30" t="s">
        <v>7376</v>
      </c>
      <c r="B4481" s="31" t="s">
        <v>7377</v>
      </c>
    </row>
    <row r="4482" spans="1:2" x14ac:dyDescent="0.25">
      <c r="A4482" s="32" t="s">
        <v>7378</v>
      </c>
      <c r="B4482" s="33" t="s">
        <v>7379</v>
      </c>
    </row>
    <row r="4483" spans="1:2" x14ac:dyDescent="0.25">
      <c r="A4483" s="30" t="s">
        <v>7380</v>
      </c>
      <c r="B4483" s="31" t="s">
        <v>7381</v>
      </c>
    </row>
    <row r="4484" spans="1:2" x14ac:dyDescent="0.25">
      <c r="A4484" s="32" t="s">
        <v>7382</v>
      </c>
      <c r="B4484" s="33" t="s">
        <v>7383</v>
      </c>
    </row>
    <row r="4485" spans="1:2" x14ac:dyDescent="0.25">
      <c r="A4485" s="30" t="s">
        <v>7384</v>
      </c>
      <c r="B4485" s="31" t="s">
        <v>7385</v>
      </c>
    </row>
    <row r="4486" spans="1:2" x14ac:dyDescent="0.25">
      <c r="A4486" s="32" t="s">
        <v>7386</v>
      </c>
      <c r="B4486" s="33" t="s">
        <v>7387</v>
      </c>
    </row>
    <row r="4487" spans="1:2" x14ac:dyDescent="0.25">
      <c r="A4487" s="30" t="s">
        <v>7388</v>
      </c>
      <c r="B4487" s="31" t="s">
        <v>7389</v>
      </c>
    </row>
    <row r="4488" spans="1:2" x14ac:dyDescent="0.25">
      <c r="A4488" s="32" t="s">
        <v>868</v>
      </c>
      <c r="B4488" s="33" t="s">
        <v>7390</v>
      </c>
    </row>
    <row r="4489" spans="1:2" x14ac:dyDescent="0.25">
      <c r="A4489" s="30" t="s">
        <v>869</v>
      </c>
      <c r="B4489" s="31" t="s">
        <v>7391</v>
      </c>
    </row>
    <row r="4490" spans="1:2" x14ac:dyDescent="0.25">
      <c r="A4490" s="32" t="s">
        <v>7392</v>
      </c>
      <c r="B4490" s="33" t="s">
        <v>7393</v>
      </c>
    </row>
    <row r="4491" spans="1:2" x14ac:dyDescent="0.25">
      <c r="A4491" s="30" t="s">
        <v>7394</v>
      </c>
      <c r="B4491" s="31" t="s">
        <v>7395</v>
      </c>
    </row>
    <row r="4492" spans="1:2" x14ac:dyDescent="0.25">
      <c r="A4492" s="32" t="s">
        <v>7396</v>
      </c>
      <c r="B4492" s="33" t="s">
        <v>7397</v>
      </c>
    </row>
    <row r="4493" spans="1:2" x14ac:dyDescent="0.25">
      <c r="A4493" s="30" t="s">
        <v>7398</v>
      </c>
      <c r="B4493" s="31" t="s">
        <v>7399</v>
      </c>
    </row>
    <row r="4494" spans="1:2" x14ac:dyDescent="0.25">
      <c r="A4494" s="32" t="s">
        <v>7400</v>
      </c>
      <c r="B4494" s="33" t="s">
        <v>7401</v>
      </c>
    </row>
    <row r="4495" spans="1:2" x14ac:dyDescent="0.25">
      <c r="A4495" s="30" t="s">
        <v>7402</v>
      </c>
      <c r="B4495" s="31" t="s">
        <v>7403</v>
      </c>
    </row>
    <row r="4496" spans="1:2" x14ac:dyDescent="0.25">
      <c r="A4496" s="32" t="s">
        <v>7404</v>
      </c>
      <c r="B4496" s="33" t="s">
        <v>7405</v>
      </c>
    </row>
    <row r="4497" spans="1:2" x14ac:dyDescent="0.25">
      <c r="A4497" s="30" t="s">
        <v>7406</v>
      </c>
      <c r="B4497" s="31" t="s">
        <v>7407</v>
      </c>
    </row>
    <row r="4498" spans="1:2" x14ac:dyDescent="0.25">
      <c r="A4498" s="32" t="s">
        <v>10830</v>
      </c>
      <c r="B4498" s="33" t="s">
        <v>10830</v>
      </c>
    </row>
    <row r="4499" spans="1:2" x14ac:dyDescent="0.25">
      <c r="A4499" s="30" t="s">
        <v>870</v>
      </c>
      <c r="B4499" s="31" t="s">
        <v>7408</v>
      </c>
    </row>
    <row r="4500" spans="1:2" x14ac:dyDescent="0.25">
      <c r="A4500" s="32" t="s">
        <v>10831</v>
      </c>
      <c r="B4500" s="33" t="s">
        <v>10831</v>
      </c>
    </row>
    <row r="4501" spans="1:2" x14ac:dyDescent="0.25">
      <c r="A4501" s="30" t="s">
        <v>7409</v>
      </c>
      <c r="B4501" s="31" t="s">
        <v>7410</v>
      </c>
    </row>
    <row r="4502" spans="1:2" x14ac:dyDescent="0.25">
      <c r="A4502" s="32" t="s">
        <v>871</v>
      </c>
      <c r="B4502" s="33" t="s">
        <v>7411</v>
      </c>
    </row>
    <row r="4503" spans="1:2" x14ac:dyDescent="0.25">
      <c r="A4503" s="30" t="s">
        <v>7412</v>
      </c>
      <c r="B4503" s="31" t="s">
        <v>7413</v>
      </c>
    </row>
    <row r="4504" spans="1:2" x14ac:dyDescent="0.25">
      <c r="A4504" s="32" t="s">
        <v>7414</v>
      </c>
      <c r="B4504" s="33" t="s">
        <v>7415</v>
      </c>
    </row>
    <row r="4505" spans="1:2" x14ac:dyDescent="0.25">
      <c r="A4505" s="30" t="s">
        <v>7416</v>
      </c>
      <c r="B4505" s="31" t="s">
        <v>7417</v>
      </c>
    </row>
    <row r="4506" spans="1:2" x14ac:dyDescent="0.25">
      <c r="A4506" s="32" t="s">
        <v>7418</v>
      </c>
      <c r="B4506" s="33" t="s">
        <v>7419</v>
      </c>
    </row>
    <row r="4507" spans="1:2" x14ac:dyDescent="0.25">
      <c r="A4507" s="30" t="s">
        <v>7420</v>
      </c>
      <c r="B4507" s="31" t="s">
        <v>7421</v>
      </c>
    </row>
    <row r="4508" spans="1:2" x14ac:dyDescent="0.25">
      <c r="A4508" s="32" t="s">
        <v>7422</v>
      </c>
      <c r="B4508" s="33" t="s">
        <v>7423</v>
      </c>
    </row>
    <row r="4509" spans="1:2" x14ac:dyDescent="0.25">
      <c r="A4509" s="30" t="s">
        <v>872</v>
      </c>
      <c r="B4509" s="31" t="s">
        <v>7424</v>
      </c>
    </row>
    <row r="4510" spans="1:2" x14ac:dyDescent="0.25">
      <c r="A4510" s="32" t="s">
        <v>873</v>
      </c>
      <c r="B4510" s="33" t="s">
        <v>7425</v>
      </c>
    </row>
    <row r="4511" spans="1:2" x14ac:dyDescent="0.25">
      <c r="A4511" s="30" t="s">
        <v>7426</v>
      </c>
      <c r="B4511" s="31" t="s">
        <v>7427</v>
      </c>
    </row>
    <row r="4512" spans="1:2" x14ac:dyDescent="0.25">
      <c r="A4512" s="32" t="s">
        <v>7428</v>
      </c>
      <c r="B4512" s="33" t="s">
        <v>7429</v>
      </c>
    </row>
    <row r="4513" spans="1:2" x14ac:dyDescent="0.25">
      <c r="A4513" s="30" t="s">
        <v>874</v>
      </c>
      <c r="B4513" s="31" t="s">
        <v>7430</v>
      </c>
    </row>
    <row r="4514" spans="1:2" x14ac:dyDescent="0.25">
      <c r="A4514" s="32" t="s">
        <v>7431</v>
      </c>
      <c r="B4514" s="33" t="s">
        <v>7432</v>
      </c>
    </row>
    <row r="4515" spans="1:2" x14ac:dyDescent="0.25">
      <c r="A4515" s="30" t="s">
        <v>875</v>
      </c>
      <c r="B4515" s="31" t="s">
        <v>7433</v>
      </c>
    </row>
    <row r="4516" spans="1:2" x14ac:dyDescent="0.25">
      <c r="A4516" s="32" t="s">
        <v>876</v>
      </c>
      <c r="B4516" s="33" t="s">
        <v>7434</v>
      </c>
    </row>
    <row r="4517" spans="1:2" x14ac:dyDescent="0.25">
      <c r="A4517" s="30" t="s">
        <v>7435</v>
      </c>
      <c r="B4517" s="31" t="s">
        <v>7436</v>
      </c>
    </row>
    <row r="4518" spans="1:2" x14ac:dyDescent="0.25">
      <c r="A4518" s="32" t="s">
        <v>877</v>
      </c>
      <c r="B4518" s="33" t="s">
        <v>877</v>
      </c>
    </row>
    <row r="4519" spans="1:2" x14ac:dyDescent="0.25">
      <c r="A4519" s="30" t="s">
        <v>878</v>
      </c>
      <c r="B4519" s="31" t="s">
        <v>7437</v>
      </c>
    </row>
    <row r="4520" spans="1:2" x14ac:dyDescent="0.25">
      <c r="A4520" s="32" t="s">
        <v>7438</v>
      </c>
      <c r="B4520" s="33" t="s">
        <v>7439</v>
      </c>
    </row>
    <row r="4521" spans="1:2" x14ac:dyDescent="0.25">
      <c r="A4521" s="30" t="s">
        <v>7440</v>
      </c>
      <c r="B4521" s="31" t="s">
        <v>7441</v>
      </c>
    </row>
    <row r="4522" spans="1:2" x14ac:dyDescent="0.25">
      <c r="A4522" s="32" t="s">
        <v>879</v>
      </c>
      <c r="B4522" s="33" t="s">
        <v>7442</v>
      </c>
    </row>
    <row r="4523" spans="1:2" x14ac:dyDescent="0.25">
      <c r="A4523" s="30" t="s">
        <v>880</v>
      </c>
      <c r="B4523" s="31" t="s">
        <v>7443</v>
      </c>
    </row>
    <row r="4524" spans="1:2" x14ac:dyDescent="0.25">
      <c r="A4524" s="32" t="s">
        <v>881</v>
      </c>
      <c r="B4524" s="33" t="s">
        <v>7444</v>
      </c>
    </row>
    <row r="4525" spans="1:2" x14ac:dyDescent="0.25">
      <c r="A4525" s="30" t="s">
        <v>7445</v>
      </c>
      <c r="B4525" s="31" t="s">
        <v>7446</v>
      </c>
    </row>
    <row r="4526" spans="1:2" x14ac:dyDescent="0.25">
      <c r="A4526" s="32" t="s">
        <v>7447</v>
      </c>
      <c r="B4526" s="33" t="s">
        <v>7448</v>
      </c>
    </row>
    <row r="4527" spans="1:2" x14ac:dyDescent="0.25">
      <c r="A4527" s="30" t="s">
        <v>882</v>
      </c>
      <c r="B4527" s="31" t="s">
        <v>7449</v>
      </c>
    </row>
    <row r="4528" spans="1:2" x14ac:dyDescent="0.25">
      <c r="A4528" s="32" t="s">
        <v>883</v>
      </c>
      <c r="B4528" s="33" t="s">
        <v>7450</v>
      </c>
    </row>
    <row r="4529" spans="1:2" x14ac:dyDescent="0.25">
      <c r="A4529" s="30" t="s">
        <v>7451</v>
      </c>
      <c r="B4529" s="31" t="s">
        <v>7452</v>
      </c>
    </row>
    <row r="4530" spans="1:2" x14ac:dyDescent="0.25">
      <c r="A4530" s="32" t="s">
        <v>10832</v>
      </c>
      <c r="B4530" s="33" t="s">
        <v>10832</v>
      </c>
    </row>
    <row r="4531" spans="1:2" x14ac:dyDescent="0.25">
      <c r="A4531" s="30" t="s">
        <v>10833</v>
      </c>
      <c r="B4531" s="31" t="s">
        <v>10833</v>
      </c>
    </row>
    <row r="4532" spans="1:2" x14ac:dyDescent="0.25">
      <c r="A4532" s="32" t="s">
        <v>7453</v>
      </c>
      <c r="B4532" s="33" t="s">
        <v>7454</v>
      </c>
    </row>
    <row r="4533" spans="1:2" x14ac:dyDescent="0.25">
      <c r="A4533" s="30" t="s">
        <v>7455</v>
      </c>
      <c r="B4533" s="31" t="s">
        <v>7456</v>
      </c>
    </row>
    <row r="4534" spans="1:2" x14ac:dyDescent="0.25">
      <c r="A4534" s="32" t="s">
        <v>884</v>
      </c>
      <c r="B4534" s="33" t="s">
        <v>7457</v>
      </c>
    </row>
    <row r="4535" spans="1:2" x14ac:dyDescent="0.25">
      <c r="A4535" s="30" t="s">
        <v>885</v>
      </c>
      <c r="B4535" s="31" t="s">
        <v>7458</v>
      </c>
    </row>
    <row r="4536" spans="1:2" x14ac:dyDescent="0.25">
      <c r="A4536" s="32" t="s">
        <v>7459</v>
      </c>
      <c r="B4536" s="33" t="s">
        <v>7460</v>
      </c>
    </row>
    <row r="4537" spans="1:2" x14ac:dyDescent="0.25">
      <c r="A4537" s="30" t="s">
        <v>7461</v>
      </c>
      <c r="B4537" s="31" t="s">
        <v>7462</v>
      </c>
    </row>
    <row r="4538" spans="1:2" x14ac:dyDescent="0.25">
      <c r="A4538" s="32" t="s">
        <v>10834</v>
      </c>
      <c r="B4538" s="33" t="s">
        <v>10834</v>
      </c>
    </row>
    <row r="4539" spans="1:2" x14ac:dyDescent="0.25">
      <c r="A4539" s="30" t="s">
        <v>886</v>
      </c>
      <c r="B4539" s="31" t="s">
        <v>7463</v>
      </c>
    </row>
    <row r="4540" spans="1:2" x14ac:dyDescent="0.25">
      <c r="A4540" s="32" t="s">
        <v>887</v>
      </c>
      <c r="B4540" s="33" t="s">
        <v>7464</v>
      </c>
    </row>
    <row r="4541" spans="1:2" x14ac:dyDescent="0.25">
      <c r="A4541" s="30" t="s">
        <v>7465</v>
      </c>
      <c r="B4541" s="31" t="s">
        <v>7466</v>
      </c>
    </row>
    <row r="4542" spans="1:2" x14ac:dyDescent="0.25">
      <c r="A4542" s="32" t="s">
        <v>7467</v>
      </c>
      <c r="B4542" s="33" t="s">
        <v>7468</v>
      </c>
    </row>
    <row r="4543" spans="1:2" x14ac:dyDescent="0.25">
      <c r="A4543" s="30" t="s">
        <v>7469</v>
      </c>
      <c r="B4543" s="31" t="s">
        <v>7470</v>
      </c>
    </row>
    <row r="4544" spans="1:2" x14ac:dyDescent="0.25">
      <c r="A4544" s="32" t="s">
        <v>7471</v>
      </c>
      <c r="B4544" s="33" t="s">
        <v>7472</v>
      </c>
    </row>
    <row r="4545" spans="1:2" x14ac:dyDescent="0.25">
      <c r="A4545" s="30" t="s">
        <v>7473</v>
      </c>
      <c r="B4545" s="31" t="s">
        <v>7474</v>
      </c>
    </row>
    <row r="4546" spans="1:2" x14ac:dyDescent="0.25">
      <c r="A4546" s="32" t="s">
        <v>10835</v>
      </c>
      <c r="B4546" s="33" t="s">
        <v>10835</v>
      </c>
    </row>
    <row r="4547" spans="1:2" x14ac:dyDescent="0.25">
      <c r="A4547" s="30" t="s">
        <v>7475</v>
      </c>
      <c r="B4547" s="31" t="s">
        <v>7476</v>
      </c>
    </row>
    <row r="4548" spans="1:2" x14ac:dyDescent="0.25">
      <c r="A4548" s="32" t="s">
        <v>7477</v>
      </c>
      <c r="B4548" s="33" t="s">
        <v>7478</v>
      </c>
    </row>
    <row r="4549" spans="1:2" x14ac:dyDescent="0.25">
      <c r="A4549" s="30" t="s">
        <v>7479</v>
      </c>
      <c r="B4549" s="31" t="s">
        <v>7480</v>
      </c>
    </row>
    <row r="4550" spans="1:2" x14ac:dyDescent="0.25">
      <c r="A4550" s="32" t="s">
        <v>7481</v>
      </c>
      <c r="B4550" s="33" t="s">
        <v>7482</v>
      </c>
    </row>
    <row r="4551" spans="1:2" x14ac:dyDescent="0.25">
      <c r="A4551" s="30" t="s">
        <v>7483</v>
      </c>
      <c r="B4551" s="31" t="s">
        <v>7484</v>
      </c>
    </row>
    <row r="4552" spans="1:2" x14ac:dyDescent="0.25">
      <c r="A4552" s="32" t="s">
        <v>888</v>
      </c>
      <c r="B4552" s="33" t="s">
        <v>7485</v>
      </c>
    </row>
    <row r="4553" spans="1:2" x14ac:dyDescent="0.25">
      <c r="A4553" s="30" t="s">
        <v>889</v>
      </c>
      <c r="B4553" s="31" t="s">
        <v>7486</v>
      </c>
    </row>
    <row r="4554" spans="1:2" x14ac:dyDescent="0.25">
      <c r="A4554" s="32" t="s">
        <v>7487</v>
      </c>
      <c r="B4554" s="33" t="s">
        <v>7488</v>
      </c>
    </row>
    <row r="4555" spans="1:2" x14ac:dyDescent="0.25">
      <c r="A4555" s="30" t="s">
        <v>7489</v>
      </c>
      <c r="B4555" s="31" t="s">
        <v>7490</v>
      </c>
    </row>
    <row r="4556" spans="1:2" x14ac:dyDescent="0.25">
      <c r="A4556" s="32" t="s">
        <v>891</v>
      </c>
      <c r="B4556" s="33" t="s">
        <v>7491</v>
      </c>
    </row>
    <row r="4557" spans="1:2" x14ac:dyDescent="0.25">
      <c r="A4557" s="30" t="s">
        <v>892</v>
      </c>
      <c r="B4557" s="31" t="s">
        <v>7492</v>
      </c>
    </row>
    <row r="4558" spans="1:2" x14ac:dyDescent="0.25">
      <c r="A4558" s="32" t="s">
        <v>893</v>
      </c>
      <c r="B4558" s="33" t="s">
        <v>7493</v>
      </c>
    </row>
    <row r="4559" spans="1:2" x14ac:dyDescent="0.25">
      <c r="A4559" s="30" t="s">
        <v>284</v>
      </c>
      <c r="B4559" s="31" t="s">
        <v>7494</v>
      </c>
    </row>
    <row r="4560" spans="1:2" x14ac:dyDescent="0.25">
      <c r="A4560" s="32" t="s">
        <v>7495</v>
      </c>
      <c r="B4560" s="33" t="s">
        <v>7496</v>
      </c>
    </row>
    <row r="4561" spans="1:2" x14ac:dyDescent="0.25">
      <c r="A4561" s="30" t="s">
        <v>7497</v>
      </c>
      <c r="B4561" s="31" t="s">
        <v>7498</v>
      </c>
    </row>
    <row r="4562" spans="1:2" x14ac:dyDescent="0.25">
      <c r="A4562" s="32" t="s">
        <v>894</v>
      </c>
      <c r="B4562" s="33" t="s">
        <v>7499</v>
      </c>
    </row>
    <row r="4563" spans="1:2" x14ac:dyDescent="0.25">
      <c r="A4563" s="30" t="s">
        <v>7500</v>
      </c>
      <c r="B4563" s="31" t="s">
        <v>7501</v>
      </c>
    </row>
    <row r="4564" spans="1:2" x14ac:dyDescent="0.25">
      <c r="A4564" s="32" t="s">
        <v>10836</v>
      </c>
      <c r="B4564" s="33" t="s">
        <v>10836</v>
      </c>
    </row>
    <row r="4565" spans="1:2" x14ac:dyDescent="0.25">
      <c r="A4565" s="30" t="s">
        <v>7502</v>
      </c>
      <c r="B4565" s="31" t="s">
        <v>7503</v>
      </c>
    </row>
    <row r="4566" spans="1:2" x14ac:dyDescent="0.25">
      <c r="A4566" s="32" t="s">
        <v>895</v>
      </c>
      <c r="B4566" s="33" t="s">
        <v>7504</v>
      </c>
    </row>
    <row r="4567" spans="1:2" x14ac:dyDescent="0.25">
      <c r="A4567" s="30" t="s">
        <v>896</v>
      </c>
      <c r="B4567" s="31" t="s">
        <v>7505</v>
      </c>
    </row>
    <row r="4568" spans="1:2" x14ac:dyDescent="0.25">
      <c r="A4568" s="32" t="s">
        <v>897</v>
      </c>
      <c r="B4568" s="33" t="s">
        <v>7506</v>
      </c>
    </row>
    <row r="4569" spans="1:2" x14ac:dyDescent="0.25">
      <c r="A4569" s="30" t="s">
        <v>10837</v>
      </c>
      <c r="B4569" s="31" t="s">
        <v>10837</v>
      </c>
    </row>
    <row r="4570" spans="1:2" x14ac:dyDescent="0.25">
      <c r="A4570" s="32" t="s">
        <v>10838</v>
      </c>
      <c r="B4570" s="33" t="s">
        <v>10838</v>
      </c>
    </row>
    <row r="4571" spans="1:2" x14ac:dyDescent="0.25">
      <c r="A4571" s="30" t="s">
        <v>10839</v>
      </c>
      <c r="B4571" s="31" t="s">
        <v>10839</v>
      </c>
    </row>
    <row r="4572" spans="1:2" x14ac:dyDescent="0.25">
      <c r="A4572" s="32" t="s">
        <v>10840</v>
      </c>
      <c r="B4572" s="33" t="s">
        <v>10840</v>
      </c>
    </row>
    <row r="4573" spans="1:2" x14ac:dyDescent="0.25">
      <c r="A4573" s="30" t="s">
        <v>898</v>
      </c>
      <c r="B4573" s="31" t="s">
        <v>898</v>
      </c>
    </row>
    <row r="4574" spans="1:2" x14ac:dyDescent="0.25">
      <c r="A4574" s="32" t="s">
        <v>10841</v>
      </c>
      <c r="B4574" s="33" t="s">
        <v>10841</v>
      </c>
    </row>
    <row r="4575" spans="1:2" x14ac:dyDescent="0.25">
      <c r="A4575" s="30" t="s">
        <v>10842</v>
      </c>
      <c r="B4575" s="31" t="s">
        <v>10842</v>
      </c>
    </row>
    <row r="4576" spans="1:2" x14ac:dyDescent="0.25">
      <c r="A4576" s="32" t="s">
        <v>10843</v>
      </c>
      <c r="B4576" s="33" t="s">
        <v>10843</v>
      </c>
    </row>
    <row r="4577" spans="1:2" x14ac:dyDescent="0.25">
      <c r="A4577" s="30" t="s">
        <v>899</v>
      </c>
      <c r="B4577" s="31" t="s">
        <v>899</v>
      </c>
    </row>
    <row r="4578" spans="1:2" x14ac:dyDescent="0.25">
      <c r="A4578" s="32" t="s">
        <v>10844</v>
      </c>
      <c r="B4578" s="33" t="s">
        <v>10844</v>
      </c>
    </row>
    <row r="4579" spans="1:2" x14ac:dyDescent="0.25">
      <c r="A4579" s="30" t="s">
        <v>10845</v>
      </c>
      <c r="B4579" s="31" t="s">
        <v>10845</v>
      </c>
    </row>
    <row r="4580" spans="1:2" x14ac:dyDescent="0.25">
      <c r="A4580" s="32" t="s">
        <v>900</v>
      </c>
      <c r="B4580" s="33" t="s">
        <v>900</v>
      </c>
    </row>
    <row r="4581" spans="1:2" x14ac:dyDescent="0.25">
      <c r="A4581" s="30" t="s">
        <v>10846</v>
      </c>
      <c r="B4581" s="31" t="s">
        <v>10846</v>
      </c>
    </row>
    <row r="4582" spans="1:2" x14ac:dyDescent="0.25">
      <c r="A4582" s="32" t="s">
        <v>901</v>
      </c>
      <c r="B4582" s="33" t="s">
        <v>901</v>
      </c>
    </row>
    <row r="4583" spans="1:2" x14ac:dyDescent="0.25">
      <c r="A4583" s="30" t="s">
        <v>10847</v>
      </c>
      <c r="B4583" s="31" t="s">
        <v>10847</v>
      </c>
    </row>
    <row r="4584" spans="1:2" x14ac:dyDescent="0.25">
      <c r="A4584" s="32" t="s">
        <v>10848</v>
      </c>
      <c r="B4584" s="33" t="s">
        <v>10848</v>
      </c>
    </row>
    <row r="4585" spans="1:2" x14ac:dyDescent="0.25">
      <c r="A4585" s="30" t="s">
        <v>902</v>
      </c>
      <c r="B4585" s="31" t="s">
        <v>902</v>
      </c>
    </row>
    <row r="4586" spans="1:2" x14ac:dyDescent="0.25">
      <c r="A4586" s="32" t="s">
        <v>1256</v>
      </c>
      <c r="B4586" s="33" t="s">
        <v>1256</v>
      </c>
    </row>
    <row r="4587" spans="1:2" x14ac:dyDescent="0.25">
      <c r="A4587" s="30" t="s">
        <v>10849</v>
      </c>
      <c r="B4587" s="31" t="s">
        <v>10849</v>
      </c>
    </row>
    <row r="4588" spans="1:2" x14ac:dyDescent="0.25">
      <c r="A4588" s="32" t="s">
        <v>903</v>
      </c>
      <c r="B4588" s="33" t="s">
        <v>903</v>
      </c>
    </row>
    <row r="4589" spans="1:2" x14ac:dyDescent="0.25">
      <c r="A4589" s="30" t="s">
        <v>10850</v>
      </c>
      <c r="B4589" s="31" t="s">
        <v>10850</v>
      </c>
    </row>
    <row r="4590" spans="1:2" x14ac:dyDescent="0.25">
      <c r="A4590" s="32" t="s">
        <v>904</v>
      </c>
      <c r="B4590" s="33" t="s">
        <v>904</v>
      </c>
    </row>
    <row r="4591" spans="1:2" x14ac:dyDescent="0.25">
      <c r="A4591" s="30" t="s">
        <v>10851</v>
      </c>
      <c r="B4591" s="31" t="s">
        <v>10851</v>
      </c>
    </row>
    <row r="4592" spans="1:2" x14ac:dyDescent="0.25">
      <c r="A4592" s="32" t="s">
        <v>1257</v>
      </c>
      <c r="B4592" s="33" t="s">
        <v>1257</v>
      </c>
    </row>
    <row r="4593" spans="1:2" x14ac:dyDescent="0.25">
      <c r="A4593" s="30" t="s">
        <v>10852</v>
      </c>
      <c r="B4593" s="31" t="s">
        <v>10852</v>
      </c>
    </row>
    <row r="4594" spans="1:2" x14ac:dyDescent="0.25">
      <c r="A4594" s="32" t="s">
        <v>10853</v>
      </c>
      <c r="B4594" s="33" t="s">
        <v>10853</v>
      </c>
    </row>
    <row r="4595" spans="1:2" x14ac:dyDescent="0.25">
      <c r="A4595" s="30" t="s">
        <v>10854</v>
      </c>
      <c r="B4595" s="31" t="s">
        <v>10854</v>
      </c>
    </row>
    <row r="4596" spans="1:2" x14ac:dyDescent="0.25">
      <c r="A4596" s="32" t="s">
        <v>905</v>
      </c>
      <c r="B4596" s="33" t="s">
        <v>905</v>
      </c>
    </row>
    <row r="4597" spans="1:2" x14ac:dyDescent="0.25">
      <c r="A4597" s="30" t="s">
        <v>10855</v>
      </c>
      <c r="B4597" s="31" t="s">
        <v>10855</v>
      </c>
    </row>
    <row r="4598" spans="1:2" x14ac:dyDescent="0.25">
      <c r="A4598" s="32" t="s">
        <v>1258</v>
      </c>
      <c r="B4598" s="33" t="s">
        <v>1258</v>
      </c>
    </row>
    <row r="4599" spans="1:2" x14ac:dyDescent="0.25">
      <c r="A4599" s="30" t="s">
        <v>10856</v>
      </c>
      <c r="B4599" s="31" t="s">
        <v>10856</v>
      </c>
    </row>
    <row r="4600" spans="1:2" x14ac:dyDescent="0.25">
      <c r="A4600" s="32" t="s">
        <v>10857</v>
      </c>
      <c r="B4600" s="33" t="s">
        <v>10857</v>
      </c>
    </row>
    <row r="4601" spans="1:2" x14ac:dyDescent="0.25">
      <c r="A4601" s="30" t="s">
        <v>10858</v>
      </c>
      <c r="B4601" s="31" t="s">
        <v>10858</v>
      </c>
    </row>
    <row r="4602" spans="1:2" x14ac:dyDescent="0.25">
      <c r="A4602" s="32" t="s">
        <v>906</v>
      </c>
      <c r="B4602" s="33" t="s">
        <v>906</v>
      </c>
    </row>
    <row r="4603" spans="1:2" x14ac:dyDescent="0.25">
      <c r="A4603" s="30" t="s">
        <v>907</v>
      </c>
      <c r="B4603" s="31" t="s">
        <v>907</v>
      </c>
    </row>
    <row r="4604" spans="1:2" x14ac:dyDescent="0.25">
      <c r="A4604" s="32" t="s">
        <v>908</v>
      </c>
      <c r="B4604" s="33" t="s">
        <v>908</v>
      </c>
    </row>
    <row r="4605" spans="1:2" x14ac:dyDescent="0.25">
      <c r="A4605" s="30" t="s">
        <v>10859</v>
      </c>
      <c r="B4605" s="31" t="s">
        <v>10859</v>
      </c>
    </row>
    <row r="4606" spans="1:2" x14ac:dyDescent="0.25">
      <c r="A4606" s="32" t="s">
        <v>909</v>
      </c>
      <c r="B4606" s="33" t="s">
        <v>909</v>
      </c>
    </row>
    <row r="4607" spans="1:2" x14ac:dyDescent="0.25">
      <c r="A4607" s="30" t="s">
        <v>10860</v>
      </c>
      <c r="B4607" s="31" t="s">
        <v>10860</v>
      </c>
    </row>
    <row r="4608" spans="1:2" x14ac:dyDescent="0.25">
      <c r="A4608" s="32" t="s">
        <v>7507</v>
      </c>
      <c r="B4608" s="33" t="s">
        <v>7508</v>
      </c>
    </row>
    <row r="4609" spans="1:2" x14ac:dyDescent="0.25">
      <c r="A4609" s="30" t="s">
        <v>10861</v>
      </c>
      <c r="B4609" s="31" t="s">
        <v>10861</v>
      </c>
    </row>
    <row r="4610" spans="1:2" x14ac:dyDescent="0.25">
      <c r="A4610" s="32" t="s">
        <v>910</v>
      </c>
      <c r="B4610" s="33" t="s">
        <v>910</v>
      </c>
    </row>
    <row r="4611" spans="1:2" x14ac:dyDescent="0.25">
      <c r="A4611" s="30" t="s">
        <v>911</v>
      </c>
      <c r="B4611" s="31" t="s">
        <v>911</v>
      </c>
    </row>
    <row r="4612" spans="1:2" x14ac:dyDescent="0.25">
      <c r="A4612" s="32" t="s">
        <v>304</v>
      </c>
      <c r="B4612" s="33" t="s">
        <v>304</v>
      </c>
    </row>
    <row r="4613" spans="1:2" x14ac:dyDescent="0.25">
      <c r="A4613" s="30" t="s">
        <v>10862</v>
      </c>
      <c r="B4613" s="31" t="s">
        <v>10862</v>
      </c>
    </row>
    <row r="4614" spans="1:2" x14ac:dyDescent="0.25">
      <c r="A4614" s="32" t="s">
        <v>10863</v>
      </c>
      <c r="B4614" s="33" t="s">
        <v>10863</v>
      </c>
    </row>
    <row r="4615" spans="1:2" x14ac:dyDescent="0.25">
      <c r="A4615" s="30" t="s">
        <v>10864</v>
      </c>
      <c r="B4615" s="31" t="s">
        <v>10864</v>
      </c>
    </row>
    <row r="4616" spans="1:2" x14ac:dyDescent="0.25">
      <c r="A4616" s="32" t="s">
        <v>912</v>
      </c>
      <c r="B4616" s="33" t="s">
        <v>912</v>
      </c>
    </row>
    <row r="4617" spans="1:2" x14ac:dyDescent="0.25">
      <c r="A4617" s="30" t="s">
        <v>10865</v>
      </c>
      <c r="B4617" s="31" t="s">
        <v>10865</v>
      </c>
    </row>
    <row r="4618" spans="1:2" x14ac:dyDescent="0.25">
      <c r="A4618" s="32" t="s">
        <v>10866</v>
      </c>
      <c r="B4618" s="33" t="s">
        <v>10866</v>
      </c>
    </row>
    <row r="4619" spans="1:2" x14ac:dyDescent="0.25">
      <c r="A4619" s="30" t="s">
        <v>1259</v>
      </c>
      <c r="B4619" s="31" t="s">
        <v>1259</v>
      </c>
    </row>
    <row r="4620" spans="1:2" x14ac:dyDescent="0.25">
      <c r="A4620" s="32" t="s">
        <v>913</v>
      </c>
      <c r="B4620" s="33" t="s">
        <v>913</v>
      </c>
    </row>
    <row r="4621" spans="1:2" x14ac:dyDescent="0.25">
      <c r="A4621" s="30" t="s">
        <v>10867</v>
      </c>
      <c r="B4621" s="31" t="s">
        <v>10867</v>
      </c>
    </row>
    <row r="4622" spans="1:2" x14ac:dyDescent="0.25">
      <c r="A4622" s="32" t="s">
        <v>10868</v>
      </c>
      <c r="B4622" s="33" t="s">
        <v>10868</v>
      </c>
    </row>
    <row r="4623" spans="1:2" x14ac:dyDescent="0.25">
      <c r="A4623" s="30" t="s">
        <v>7509</v>
      </c>
      <c r="B4623" s="31" t="s">
        <v>7510</v>
      </c>
    </row>
    <row r="4624" spans="1:2" x14ac:dyDescent="0.25">
      <c r="A4624" s="32" t="s">
        <v>10869</v>
      </c>
      <c r="B4624" s="33" t="s">
        <v>10869</v>
      </c>
    </row>
    <row r="4625" spans="1:2" x14ac:dyDescent="0.25">
      <c r="A4625" s="30" t="s">
        <v>914</v>
      </c>
      <c r="B4625" s="31" t="s">
        <v>914</v>
      </c>
    </row>
    <row r="4626" spans="1:2" x14ac:dyDescent="0.25">
      <c r="A4626" s="32" t="s">
        <v>915</v>
      </c>
      <c r="B4626" s="33" t="s">
        <v>915</v>
      </c>
    </row>
    <row r="4627" spans="1:2" x14ac:dyDescent="0.25">
      <c r="A4627" s="30" t="s">
        <v>10870</v>
      </c>
      <c r="B4627" s="31" t="s">
        <v>10870</v>
      </c>
    </row>
    <row r="4628" spans="1:2" x14ac:dyDescent="0.25">
      <c r="A4628" s="32" t="s">
        <v>10871</v>
      </c>
      <c r="B4628" s="33" t="s">
        <v>10871</v>
      </c>
    </row>
    <row r="4629" spans="1:2" x14ac:dyDescent="0.25">
      <c r="A4629" s="30" t="s">
        <v>916</v>
      </c>
      <c r="B4629" s="31" t="s">
        <v>916</v>
      </c>
    </row>
    <row r="4630" spans="1:2" x14ac:dyDescent="0.25">
      <c r="A4630" s="32" t="s">
        <v>1260</v>
      </c>
      <c r="B4630" s="33" t="s">
        <v>1260</v>
      </c>
    </row>
    <row r="4631" spans="1:2" x14ac:dyDescent="0.25">
      <c r="A4631" s="30" t="s">
        <v>10872</v>
      </c>
      <c r="B4631" s="31" t="s">
        <v>10872</v>
      </c>
    </row>
    <row r="4632" spans="1:2" x14ac:dyDescent="0.25">
      <c r="A4632" s="32" t="s">
        <v>917</v>
      </c>
      <c r="B4632" s="33" t="s">
        <v>917</v>
      </c>
    </row>
    <row r="4633" spans="1:2" x14ac:dyDescent="0.25">
      <c r="A4633" s="30" t="s">
        <v>10873</v>
      </c>
      <c r="B4633" s="31" t="s">
        <v>10873</v>
      </c>
    </row>
    <row r="4634" spans="1:2" x14ac:dyDescent="0.25">
      <c r="A4634" s="32" t="s">
        <v>918</v>
      </c>
      <c r="B4634" s="33" t="s">
        <v>918</v>
      </c>
    </row>
    <row r="4635" spans="1:2" x14ac:dyDescent="0.25">
      <c r="A4635" s="30" t="s">
        <v>10874</v>
      </c>
      <c r="B4635" s="31" t="s">
        <v>10874</v>
      </c>
    </row>
    <row r="4636" spans="1:2" x14ac:dyDescent="0.25">
      <c r="A4636" s="32" t="s">
        <v>10875</v>
      </c>
      <c r="B4636" s="33" t="s">
        <v>10875</v>
      </c>
    </row>
    <row r="4637" spans="1:2" x14ac:dyDescent="0.25">
      <c r="A4637" s="30" t="s">
        <v>10876</v>
      </c>
      <c r="B4637" s="31" t="s">
        <v>10876</v>
      </c>
    </row>
    <row r="4638" spans="1:2" x14ac:dyDescent="0.25">
      <c r="A4638" s="32" t="s">
        <v>919</v>
      </c>
      <c r="B4638" s="33" t="s">
        <v>919</v>
      </c>
    </row>
    <row r="4639" spans="1:2" x14ac:dyDescent="0.25">
      <c r="A4639" s="30" t="s">
        <v>10877</v>
      </c>
      <c r="B4639" s="31" t="s">
        <v>10877</v>
      </c>
    </row>
    <row r="4640" spans="1:2" x14ac:dyDescent="0.25">
      <c r="A4640" s="32" t="s">
        <v>10878</v>
      </c>
      <c r="B4640" s="33" t="s">
        <v>10878</v>
      </c>
    </row>
    <row r="4641" spans="1:2" x14ac:dyDescent="0.25">
      <c r="A4641" s="30" t="s">
        <v>10879</v>
      </c>
      <c r="B4641" s="31" t="s">
        <v>10879</v>
      </c>
    </row>
    <row r="4642" spans="1:2" x14ac:dyDescent="0.25">
      <c r="A4642" s="32" t="s">
        <v>10880</v>
      </c>
      <c r="B4642" s="33" t="s">
        <v>10880</v>
      </c>
    </row>
    <row r="4643" spans="1:2" x14ac:dyDescent="0.25">
      <c r="A4643" s="30" t="s">
        <v>10881</v>
      </c>
      <c r="B4643" s="31" t="s">
        <v>10881</v>
      </c>
    </row>
    <row r="4644" spans="1:2" x14ac:dyDescent="0.25">
      <c r="A4644" s="32" t="s">
        <v>10882</v>
      </c>
      <c r="B4644" s="33" t="s">
        <v>10882</v>
      </c>
    </row>
    <row r="4645" spans="1:2" x14ac:dyDescent="0.25">
      <c r="A4645" s="30" t="s">
        <v>225</v>
      </c>
      <c r="B4645" s="31" t="s">
        <v>7511</v>
      </c>
    </row>
    <row r="4646" spans="1:2" x14ac:dyDescent="0.25">
      <c r="A4646" s="32" t="s">
        <v>10883</v>
      </c>
      <c r="B4646" s="33" t="s">
        <v>10883</v>
      </c>
    </row>
    <row r="4647" spans="1:2" x14ac:dyDescent="0.25">
      <c r="A4647" s="30" t="s">
        <v>10884</v>
      </c>
      <c r="B4647" s="31" t="s">
        <v>10884</v>
      </c>
    </row>
    <row r="4648" spans="1:2" x14ac:dyDescent="0.25">
      <c r="A4648" s="32" t="s">
        <v>10885</v>
      </c>
      <c r="B4648" s="33" t="s">
        <v>10885</v>
      </c>
    </row>
    <row r="4649" spans="1:2" x14ac:dyDescent="0.25">
      <c r="A4649" s="30" t="s">
        <v>10886</v>
      </c>
      <c r="B4649" s="31" t="s">
        <v>10886</v>
      </c>
    </row>
    <row r="4650" spans="1:2" x14ac:dyDescent="0.25">
      <c r="A4650" s="32" t="s">
        <v>10887</v>
      </c>
      <c r="B4650" s="33" t="s">
        <v>10887</v>
      </c>
    </row>
    <row r="4651" spans="1:2" x14ac:dyDescent="0.25">
      <c r="A4651" s="30" t="s">
        <v>10888</v>
      </c>
      <c r="B4651" s="31" t="s">
        <v>10888</v>
      </c>
    </row>
    <row r="4652" spans="1:2" x14ac:dyDescent="0.25">
      <c r="A4652" s="32" t="s">
        <v>10889</v>
      </c>
      <c r="B4652" s="33" t="s">
        <v>10889</v>
      </c>
    </row>
    <row r="4653" spans="1:2" x14ac:dyDescent="0.25">
      <c r="A4653" s="30" t="s">
        <v>10890</v>
      </c>
      <c r="B4653" s="31" t="s">
        <v>10890</v>
      </c>
    </row>
    <row r="4654" spans="1:2" x14ac:dyDescent="0.25">
      <c r="A4654" s="32" t="s">
        <v>10891</v>
      </c>
      <c r="B4654" s="33" t="s">
        <v>10891</v>
      </c>
    </row>
    <row r="4655" spans="1:2" x14ac:dyDescent="0.25">
      <c r="A4655" s="30" t="s">
        <v>10892</v>
      </c>
      <c r="B4655" s="31" t="s">
        <v>10892</v>
      </c>
    </row>
    <row r="4656" spans="1:2" x14ac:dyDescent="0.25">
      <c r="A4656" s="32" t="s">
        <v>10893</v>
      </c>
      <c r="B4656" s="33" t="s">
        <v>10893</v>
      </c>
    </row>
    <row r="4657" spans="1:2" x14ac:dyDescent="0.25">
      <c r="A4657" s="30" t="s">
        <v>7512</v>
      </c>
      <c r="B4657" s="31" t="s">
        <v>7513</v>
      </c>
    </row>
    <row r="4658" spans="1:2" x14ac:dyDescent="0.25">
      <c r="A4658" s="32" t="s">
        <v>10894</v>
      </c>
      <c r="B4658" s="33" t="s">
        <v>10894</v>
      </c>
    </row>
    <row r="4659" spans="1:2" x14ac:dyDescent="0.25">
      <c r="A4659" s="30" t="s">
        <v>7514</v>
      </c>
      <c r="B4659" s="31" t="s">
        <v>7515</v>
      </c>
    </row>
    <row r="4660" spans="1:2" x14ac:dyDescent="0.25">
      <c r="A4660" s="32" t="s">
        <v>7516</v>
      </c>
      <c r="B4660" s="33" t="s">
        <v>7517</v>
      </c>
    </row>
    <row r="4661" spans="1:2" x14ac:dyDescent="0.25">
      <c r="A4661" s="30" t="s">
        <v>226</v>
      </c>
      <c r="B4661" s="31" t="s">
        <v>7518</v>
      </c>
    </row>
    <row r="4662" spans="1:2" x14ac:dyDescent="0.25">
      <c r="A4662" s="32" t="s">
        <v>7519</v>
      </c>
      <c r="B4662" s="33" t="s">
        <v>7520</v>
      </c>
    </row>
    <row r="4663" spans="1:2" x14ac:dyDescent="0.25">
      <c r="A4663" s="30" t="s">
        <v>10895</v>
      </c>
      <c r="B4663" s="31" t="s">
        <v>10895</v>
      </c>
    </row>
    <row r="4664" spans="1:2" x14ac:dyDescent="0.25">
      <c r="A4664" s="32" t="s">
        <v>10896</v>
      </c>
      <c r="B4664" s="33" t="s">
        <v>10896</v>
      </c>
    </row>
    <row r="4665" spans="1:2" x14ac:dyDescent="0.25">
      <c r="A4665" s="30" t="s">
        <v>7521</v>
      </c>
      <c r="B4665" s="31" t="s">
        <v>7522</v>
      </c>
    </row>
    <row r="4666" spans="1:2" x14ac:dyDescent="0.25">
      <c r="A4666" s="32" t="s">
        <v>7523</v>
      </c>
      <c r="B4666" s="33" t="s">
        <v>7524</v>
      </c>
    </row>
    <row r="4667" spans="1:2" x14ac:dyDescent="0.25">
      <c r="A4667" s="30" t="s">
        <v>7525</v>
      </c>
      <c r="B4667" s="31" t="s">
        <v>7526</v>
      </c>
    </row>
    <row r="4668" spans="1:2" x14ac:dyDescent="0.25">
      <c r="A4668" s="32" t="s">
        <v>7527</v>
      </c>
      <c r="B4668" s="33" t="s">
        <v>7528</v>
      </c>
    </row>
    <row r="4669" spans="1:2" x14ac:dyDescent="0.25">
      <c r="A4669" s="30" t="s">
        <v>7529</v>
      </c>
      <c r="B4669" s="31" t="s">
        <v>7530</v>
      </c>
    </row>
    <row r="4670" spans="1:2" x14ac:dyDescent="0.25">
      <c r="A4670" s="32" t="s">
        <v>7531</v>
      </c>
      <c r="B4670" s="33" t="s">
        <v>7532</v>
      </c>
    </row>
    <row r="4671" spans="1:2" x14ac:dyDescent="0.25">
      <c r="A4671" s="30" t="s">
        <v>10897</v>
      </c>
      <c r="B4671" s="31" t="s">
        <v>10897</v>
      </c>
    </row>
    <row r="4672" spans="1:2" x14ac:dyDescent="0.25">
      <c r="A4672" s="32" t="s">
        <v>10898</v>
      </c>
      <c r="B4672" s="33" t="s">
        <v>10898</v>
      </c>
    </row>
    <row r="4673" spans="1:2" x14ac:dyDescent="0.25">
      <c r="A4673" s="30" t="s">
        <v>10899</v>
      </c>
      <c r="B4673" s="31" t="s">
        <v>10899</v>
      </c>
    </row>
    <row r="4674" spans="1:2" x14ac:dyDescent="0.25">
      <c r="A4674" s="32" t="s">
        <v>10900</v>
      </c>
      <c r="B4674" s="33" t="s">
        <v>10900</v>
      </c>
    </row>
    <row r="4675" spans="1:2" x14ac:dyDescent="0.25">
      <c r="A4675" s="30" t="s">
        <v>10901</v>
      </c>
      <c r="B4675" s="31" t="s">
        <v>10901</v>
      </c>
    </row>
    <row r="4676" spans="1:2" x14ac:dyDescent="0.25">
      <c r="A4676" s="32" t="s">
        <v>10902</v>
      </c>
      <c r="B4676" s="33" t="s">
        <v>10902</v>
      </c>
    </row>
    <row r="4677" spans="1:2" x14ac:dyDescent="0.25">
      <c r="A4677" s="30" t="s">
        <v>10903</v>
      </c>
      <c r="B4677" s="31" t="s">
        <v>10903</v>
      </c>
    </row>
    <row r="4678" spans="1:2" x14ac:dyDescent="0.25">
      <c r="A4678" s="32" t="s">
        <v>10904</v>
      </c>
      <c r="B4678" s="33" t="s">
        <v>10904</v>
      </c>
    </row>
    <row r="4679" spans="1:2" x14ac:dyDescent="0.25">
      <c r="A4679" s="30" t="s">
        <v>10905</v>
      </c>
      <c r="B4679" s="31" t="s">
        <v>10905</v>
      </c>
    </row>
    <row r="4680" spans="1:2" x14ac:dyDescent="0.25">
      <c r="A4680" s="32" t="s">
        <v>10906</v>
      </c>
      <c r="B4680" s="33" t="s">
        <v>10906</v>
      </c>
    </row>
    <row r="4681" spans="1:2" x14ac:dyDescent="0.25">
      <c r="A4681" s="30" t="s">
        <v>10907</v>
      </c>
      <c r="B4681" s="31" t="s">
        <v>10907</v>
      </c>
    </row>
    <row r="4682" spans="1:2" x14ac:dyDescent="0.25">
      <c r="A4682" s="32" t="s">
        <v>10908</v>
      </c>
      <c r="B4682" s="33" t="s">
        <v>10908</v>
      </c>
    </row>
    <row r="4683" spans="1:2" x14ac:dyDescent="0.25">
      <c r="A4683" s="30" t="s">
        <v>10909</v>
      </c>
      <c r="B4683" s="31" t="s">
        <v>10909</v>
      </c>
    </row>
    <row r="4684" spans="1:2" x14ac:dyDescent="0.25">
      <c r="A4684" s="32" t="s">
        <v>10910</v>
      </c>
      <c r="B4684" s="33" t="s">
        <v>10910</v>
      </c>
    </row>
    <row r="4685" spans="1:2" x14ac:dyDescent="0.25">
      <c r="A4685" s="30" t="s">
        <v>7533</v>
      </c>
      <c r="B4685" s="31" t="s">
        <v>7534</v>
      </c>
    </row>
    <row r="4686" spans="1:2" x14ac:dyDescent="0.25">
      <c r="A4686" s="32" t="s">
        <v>10911</v>
      </c>
      <c r="B4686" s="33" t="s">
        <v>10911</v>
      </c>
    </row>
    <row r="4687" spans="1:2" x14ac:dyDescent="0.25">
      <c r="A4687" s="30" t="s">
        <v>10912</v>
      </c>
      <c r="B4687" s="31" t="s">
        <v>10912</v>
      </c>
    </row>
    <row r="4688" spans="1:2" x14ac:dyDescent="0.25">
      <c r="A4688" s="32" t="s">
        <v>10913</v>
      </c>
      <c r="B4688" s="33" t="s">
        <v>10913</v>
      </c>
    </row>
    <row r="4689" spans="1:2" x14ac:dyDescent="0.25">
      <c r="A4689" s="30" t="s">
        <v>10914</v>
      </c>
      <c r="B4689" s="31" t="s">
        <v>10914</v>
      </c>
    </row>
    <row r="4690" spans="1:2" x14ac:dyDescent="0.25">
      <c r="A4690" s="32" t="s">
        <v>10915</v>
      </c>
      <c r="B4690" s="33" t="s">
        <v>10915</v>
      </c>
    </row>
    <row r="4691" spans="1:2" x14ac:dyDescent="0.25">
      <c r="A4691" s="30" t="s">
        <v>10916</v>
      </c>
      <c r="B4691" s="31" t="s">
        <v>10916</v>
      </c>
    </row>
    <row r="4692" spans="1:2" x14ac:dyDescent="0.25">
      <c r="A4692" s="32" t="s">
        <v>10917</v>
      </c>
      <c r="B4692" s="33" t="s">
        <v>10917</v>
      </c>
    </row>
    <row r="4693" spans="1:2" x14ac:dyDescent="0.25">
      <c r="A4693" s="30" t="s">
        <v>10918</v>
      </c>
      <c r="B4693" s="31" t="s">
        <v>10918</v>
      </c>
    </row>
    <row r="4694" spans="1:2" x14ac:dyDescent="0.25">
      <c r="A4694" s="32" t="s">
        <v>10919</v>
      </c>
      <c r="B4694" s="33" t="s">
        <v>10919</v>
      </c>
    </row>
    <row r="4695" spans="1:2" x14ac:dyDescent="0.25">
      <c r="A4695" s="30" t="s">
        <v>10920</v>
      </c>
      <c r="B4695" s="31" t="s">
        <v>10920</v>
      </c>
    </row>
    <row r="4696" spans="1:2" x14ac:dyDescent="0.25">
      <c r="A4696" s="32" t="s">
        <v>10921</v>
      </c>
      <c r="B4696" s="33" t="s">
        <v>10921</v>
      </c>
    </row>
    <row r="4697" spans="1:2" x14ac:dyDescent="0.25">
      <c r="A4697" s="30" t="s">
        <v>10922</v>
      </c>
      <c r="B4697" s="31" t="s">
        <v>10922</v>
      </c>
    </row>
    <row r="4698" spans="1:2" x14ac:dyDescent="0.25">
      <c r="A4698" s="32" t="s">
        <v>10923</v>
      </c>
      <c r="B4698" s="33" t="s">
        <v>10923</v>
      </c>
    </row>
    <row r="4699" spans="1:2" x14ac:dyDescent="0.25">
      <c r="A4699" s="30" t="s">
        <v>10924</v>
      </c>
      <c r="B4699" s="31" t="s">
        <v>10924</v>
      </c>
    </row>
    <row r="4700" spans="1:2" x14ac:dyDescent="0.25">
      <c r="A4700" s="32" t="s">
        <v>10925</v>
      </c>
      <c r="B4700" s="33" t="s">
        <v>10925</v>
      </c>
    </row>
    <row r="4701" spans="1:2" x14ac:dyDescent="0.25">
      <c r="A4701" s="30" t="s">
        <v>10926</v>
      </c>
      <c r="B4701" s="31" t="s">
        <v>10926</v>
      </c>
    </row>
    <row r="4702" spans="1:2" x14ac:dyDescent="0.25">
      <c r="A4702" s="32" t="s">
        <v>10927</v>
      </c>
      <c r="B4702" s="33" t="s">
        <v>10927</v>
      </c>
    </row>
    <row r="4703" spans="1:2" x14ac:dyDescent="0.25">
      <c r="A4703" s="30" t="s">
        <v>10928</v>
      </c>
      <c r="B4703" s="31" t="s">
        <v>10928</v>
      </c>
    </row>
    <row r="4704" spans="1:2" x14ac:dyDescent="0.25">
      <c r="A4704" s="32" t="s">
        <v>10929</v>
      </c>
      <c r="B4704" s="33" t="s">
        <v>10929</v>
      </c>
    </row>
    <row r="4705" spans="1:2" x14ac:dyDescent="0.25">
      <c r="A4705" s="30" t="s">
        <v>10930</v>
      </c>
      <c r="B4705" s="31" t="s">
        <v>10930</v>
      </c>
    </row>
    <row r="4706" spans="1:2" x14ac:dyDescent="0.25">
      <c r="A4706" s="32" t="s">
        <v>10931</v>
      </c>
      <c r="B4706" s="33" t="s">
        <v>10931</v>
      </c>
    </row>
    <row r="4707" spans="1:2" x14ac:dyDescent="0.25">
      <c r="A4707" s="30" t="s">
        <v>10932</v>
      </c>
      <c r="B4707" s="31" t="s">
        <v>10932</v>
      </c>
    </row>
    <row r="4708" spans="1:2" x14ac:dyDescent="0.25">
      <c r="A4708" s="32" t="s">
        <v>10933</v>
      </c>
      <c r="B4708" s="33" t="s">
        <v>10933</v>
      </c>
    </row>
    <row r="4709" spans="1:2" x14ac:dyDescent="0.25">
      <c r="A4709" s="30" t="s">
        <v>10934</v>
      </c>
      <c r="B4709" s="31" t="s">
        <v>10934</v>
      </c>
    </row>
    <row r="4710" spans="1:2" x14ac:dyDescent="0.25">
      <c r="A4710" s="32" t="s">
        <v>10935</v>
      </c>
      <c r="B4710" s="33" t="s">
        <v>10935</v>
      </c>
    </row>
    <row r="4711" spans="1:2" x14ac:dyDescent="0.25">
      <c r="A4711" s="30" t="s">
        <v>10936</v>
      </c>
      <c r="B4711" s="31" t="s">
        <v>10936</v>
      </c>
    </row>
    <row r="4712" spans="1:2" x14ac:dyDescent="0.25">
      <c r="A4712" s="32" t="s">
        <v>10937</v>
      </c>
      <c r="B4712" s="33" t="s">
        <v>10937</v>
      </c>
    </row>
    <row r="4713" spans="1:2" x14ac:dyDescent="0.25">
      <c r="A4713" s="30" t="s">
        <v>10938</v>
      </c>
      <c r="B4713" s="31" t="s">
        <v>10938</v>
      </c>
    </row>
    <row r="4714" spans="1:2" x14ac:dyDescent="0.25">
      <c r="A4714" s="32" t="s">
        <v>10939</v>
      </c>
      <c r="B4714" s="33" t="s">
        <v>10939</v>
      </c>
    </row>
    <row r="4715" spans="1:2" x14ac:dyDescent="0.25">
      <c r="A4715" s="30" t="s">
        <v>10940</v>
      </c>
      <c r="B4715" s="31" t="s">
        <v>10940</v>
      </c>
    </row>
    <row r="4716" spans="1:2" x14ac:dyDescent="0.25">
      <c r="A4716" s="32" t="s">
        <v>10941</v>
      </c>
      <c r="B4716" s="33" t="s">
        <v>10941</v>
      </c>
    </row>
    <row r="4717" spans="1:2" x14ac:dyDescent="0.25">
      <c r="A4717" s="30" t="s">
        <v>10942</v>
      </c>
      <c r="B4717" s="31" t="s">
        <v>10942</v>
      </c>
    </row>
    <row r="4718" spans="1:2" x14ac:dyDescent="0.25">
      <c r="A4718" s="32" t="s">
        <v>10943</v>
      </c>
      <c r="B4718" s="33" t="s">
        <v>10943</v>
      </c>
    </row>
    <row r="4719" spans="1:2" x14ac:dyDescent="0.25">
      <c r="A4719" s="30" t="s">
        <v>10944</v>
      </c>
      <c r="B4719" s="31" t="s">
        <v>10944</v>
      </c>
    </row>
    <row r="4720" spans="1:2" x14ac:dyDescent="0.25">
      <c r="A4720" s="32" t="s">
        <v>10945</v>
      </c>
      <c r="B4720" s="33" t="s">
        <v>10945</v>
      </c>
    </row>
    <row r="4721" spans="1:2" x14ac:dyDescent="0.25">
      <c r="A4721" s="30" t="s">
        <v>10946</v>
      </c>
      <c r="B4721" s="31" t="s">
        <v>10946</v>
      </c>
    </row>
    <row r="4722" spans="1:2" x14ac:dyDescent="0.25">
      <c r="A4722" s="32" t="s">
        <v>10947</v>
      </c>
      <c r="B4722" s="33" t="s">
        <v>10947</v>
      </c>
    </row>
    <row r="4723" spans="1:2" x14ac:dyDescent="0.25">
      <c r="A4723" s="30" t="s">
        <v>10948</v>
      </c>
      <c r="B4723" s="31" t="s">
        <v>10948</v>
      </c>
    </row>
    <row r="4724" spans="1:2" x14ac:dyDescent="0.25">
      <c r="A4724" s="32" t="s">
        <v>10949</v>
      </c>
      <c r="B4724" s="33" t="s">
        <v>10949</v>
      </c>
    </row>
    <row r="4725" spans="1:2" x14ac:dyDescent="0.25">
      <c r="A4725" s="30" t="s">
        <v>10950</v>
      </c>
      <c r="B4725" s="31" t="s">
        <v>10950</v>
      </c>
    </row>
    <row r="4726" spans="1:2" x14ac:dyDescent="0.25">
      <c r="A4726" s="32" t="s">
        <v>10951</v>
      </c>
      <c r="B4726" s="33" t="s">
        <v>10951</v>
      </c>
    </row>
    <row r="4727" spans="1:2" x14ac:dyDescent="0.25">
      <c r="A4727" s="30" t="s">
        <v>10952</v>
      </c>
      <c r="B4727" s="31" t="s">
        <v>10952</v>
      </c>
    </row>
    <row r="4728" spans="1:2" x14ac:dyDescent="0.25">
      <c r="A4728" s="32" t="s">
        <v>10953</v>
      </c>
      <c r="B4728" s="33" t="s">
        <v>10953</v>
      </c>
    </row>
    <row r="4729" spans="1:2" x14ac:dyDescent="0.25">
      <c r="A4729" s="30" t="s">
        <v>10954</v>
      </c>
      <c r="B4729" s="31" t="s">
        <v>10954</v>
      </c>
    </row>
    <row r="4730" spans="1:2" x14ac:dyDescent="0.25">
      <c r="A4730" s="32" t="s">
        <v>10955</v>
      </c>
      <c r="B4730" s="33" t="s">
        <v>10955</v>
      </c>
    </row>
    <row r="4731" spans="1:2" x14ac:dyDescent="0.25">
      <c r="A4731" s="30" t="s">
        <v>10956</v>
      </c>
      <c r="B4731" s="31" t="s">
        <v>10956</v>
      </c>
    </row>
    <row r="4732" spans="1:2" x14ac:dyDescent="0.25">
      <c r="A4732" s="32" t="s">
        <v>10957</v>
      </c>
      <c r="B4732" s="33" t="s">
        <v>10957</v>
      </c>
    </row>
    <row r="4733" spans="1:2" x14ac:dyDescent="0.25">
      <c r="A4733" s="30" t="s">
        <v>10958</v>
      </c>
      <c r="B4733" s="31" t="s">
        <v>10958</v>
      </c>
    </row>
    <row r="4734" spans="1:2" x14ac:dyDescent="0.25">
      <c r="A4734" s="32" t="s">
        <v>10959</v>
      </c>
      <c r="B4734" s="33" t="s">
        <v>10959</v>
      </c>
    </row>
    <row r="4735" spans="1:2" x14ac:dyDescent="0.25">
      <c r="A4735" s="30" t="s">
        <v>10960</v>
      </c>
      <c r="B4735" s="31" t="s">
        <v>10960</v>
      </c>
    </row>
    <row r="4736" spans="1:2" x14ac:dyDescent="0.25">
      <c r="A4736" s="32" t="s">
        <v>10961</v>
      </c>
      <c r="B4736" s="33" t="s">
        <v>10961</v>
      </c>
    </row>
    <row r="4737" spans="1:2" x14ac:dyDescent="0.25">
      <c r="A4737" s="30" t="s">
        <v>10962</v>
      </c>
      <c r="B4737" s="31" t="s">
        <v>10962</v>
      </c>
    </row>
    <row r="4738" spans="1:2" x14ac:dyDescent="0.25">
      <c r="A4738" s="32" t="s">
        <v>10963</v>
      </c>
      <c r="B4738" s="33" t="s">
        <v>10963</v>
      </c>
    </row>
    <row r="4739" spans="1:2" x14ac:dyDescent="0.25">
      <c r="A4739" s="30" t="s">
        <v>10964</v>
      </c>
      <c r="B4739" s="31" t="s">
        <v>10964</v>
      </c>
    </row>
    <row r="4740" spans="1:2" x14ac:dyDescent="0.25">
      <c r="A4740" s="32" t="s">
        <v>10965</v>
      </c>
      <c r="B4740" s="33" t="s">
        <v>10965</v>
      </c>
    </row>
    <row r="4741" spans="1:2" x14ac:dyDescent="0.25">
      <c r="A4741" s="30" t="s">
        <v>10966</v>
      </c>
      <c r="B4741" s="31" t="s">
        <v>10966</v>
      </c>
    </row>
    <row r="4742" spans="1:2" x14ac:dyDescent="0.25">
      <c r="A4742" s="32" t="s">
        <v>10967</v>
      </c>
      <c r="B4742" s="33" t="s">
        <v>10967</v>
      </c>
    </row>
    <row r="4743" spans="1:2" x14ac:dyDescent="0.25">
      <c r="A4743" s="30" t="s">
        <v>10968</v>
      </c>
      <c r="B4743" s="31" t="s">
        <v>10968</v>
      </c>
    </row>
    <row r="4744" spans="1:2" x14ac:dyDescent="0.25">
      <c r="A4744" s="32" t="s">
        <v>10969</v>
      </c>
      <c r="B4744" s="33" t="s">
        <v>10969</v>
      </c>
    </row>
    <row r="4745" spans="1:2" x14ac:dyDescent="0.25">
      <c r="A4745" s="30" t="s">
        <v>10970</v>
      </c>
      <c r="B4745" s="31" t="s">
        <v>10970</v>
      </c>
    </row>
    <row r="4746" spans="1:2" x14ac:dyDescent="0.25">
      <c r="A4746" s="32" t="s">
        <v>10971</v>
      </c>
      <c r="B4746" s="33" t="s">
        <v>10971</v>
      </c>
    </row>
    <row r="4747" spans="1:2" x14ac:dyDescent="0.25">
      <c r="A4747" s="30" t="s">
        <v>10972</v>
      </c>
      <c r="B4747" s="31" t="s">
        <v>10972</v>
      </c>
    </row>
    <row r="4748" spans="1:2" x14ac:dyDescent="0.25">
      <c r="A4748" s="32" t="s">
        <v>10973</v>
      </c>
      <c r="B4748" s="33" t="s">
        <v>10973</v>
      </c>
    </row>
    <row r="4749" spans="1:2" x14ac:dyDescent="0.25">
      <c r="A4749" s="30" t="s">
        <v>10974</v>
      </c>
      <c r="B4749" s="31" t="s">
        <v>10974</v>
      </c>
    </row>
    <row r="4750" spans="1:2" x14ac:dyDescent="0.25">
      <c r="A4750" s="32" t="s">
        <v>10975</v>
      </c>
      <c r="B4750" s="33" t="s">
        <v>10975</v>
      </c>
    </row>
    <row r="4751" spans="1:2" x14ac:dyDescent="0.25">
      <c r="A4751" s="30" t="s">
        <v>10976</v>
      </c>
      <c r="B4751" s="31" t="s">
        <v>10976</v>
      </c>
    </row>
    <row r="4752" spans="1:2" x14ac:dyDescent="0.25">
      <c r="A4752" s="32" t="s">
        <v>10977</v>
      </c>
      <c r="B4752" s="33" t="s">
        <v>10977</v>
      </c>
    </row>
    <row r="4753" spans="1:2" x14ac:dyDescent="0.25">
      <c r="A4753" s="30" t="s">
        <v>10978</v>
      </c>
      <c r="B4753" s="31" t="s">
        <v>10978</v>
      </c>
    </row>
    <row r="4754" spans="1:2" x14ac:dyDescent="0.25">
      <c r="A4754" s="32" t="s">
        <v>10979</v>
      </c>
      <c r="B4754" s="33" t="s">
        <v>10979</v>
      </c>
    </row>
    <row r="4755" spans="1:2" x14ac:dyDescent="0.25">
      <c r="A4755" s="30" t="s">
        <v>10980</v>
      </c>
      <c r="B4755" s="31" t="s">
        <v>10980</v>
      </c>
    </row>
    <row r="4756" spans="1:2" x14ac:dyDescent="0.25">
      <c r="A4756" s="32" t="s">
        <v>10981</v>
      </c>
      <c r="B4756" s="33" t="s">
        <v>10981</v>
      </c>
    </row>
    <row r="4757" spans="1:2" x14ac:dyDescent="0.25">
      <c r="A4757" s="30" t="s">
        <v>10982</v>
      </c>
      <c r="B4757" s="31" t="s">
        <v>10982</v>
      </c>
    </row>
    <row r="4758" spans="1:2" x14ac:dyDescent="0.25">
      <c r="A4758" s="32" t="s">
        <v>10983</v>
      </c>
      <c r="B4758" s="33" t="s">
        <v>10983</v>
      </c>
    </row>
    <row r="4759" spans="1:2" x14ac:dyDescent="0.25">
      <c r="A4759" s="30" t="s">
        <v>10984</v>
      </c>
      <c r="B4759" s="31" t="s">
        <v>10984</v>
      </c>
    </row>
    <row r="4760" spans="1:2" x14ac:dyDescent="0.25">
      <c r="A4760" s="32" t="s">
        <v>10985</v>
      </c>
      <c r="B4760" s="33" t="s">
        <v>10985</v>
      </c>
    </row>
    <row r="4761" spans="1:2" x14ac:dyDescent="0.25">
      <c r="A4761" s="30" t="s">
        <v>10986</v>
      </c>
      <c r="B4761" s="31" t="s">
        <v>10986</v>
      </c>
    </row>
    <row r="4762" spans="1:2" x14ac:dyDescent="0.25">
      <c r="A4762" s="32" t="s">
        <v>10987</v>
      </c>
      <c r="B4762" s="33" t="s">
        <v>10987</v>
      </c>
    </row>
    <row r="4763" spans="1:2" x14ac:dyDescent="0.25">
      <c r="A4763" s="30" t="s">
        <v>7535</v>
      </c>
      <c r="B4763" s="31" t="s">
        <v>7536</v>
      </c>
    </row>
    <row r="4764" spans="1:2" x14ac:dyDescent="0.25">
      <c r="A4764" s="32" t="s">
        <v>7537</v>
      </c>
      <c r="B4764" s="33" t="s">
        <v>7538</v>
      </c>
    </row>
    <row r="4765" spans="1:2" x14ac:dyDescent="0.25">
      <c r="A4765" s="30" t="s">
        <v>7539</v>
      </c>
      <c r="B4765" s="31" t="s">
        <v>7540</v>
      </c>
    </row>
    <row r="4766" spans="1:2" x14ac:dyDescent="0.25">
      <c r="A4766" s="32" t="s">
        <v>7541</v>
      </c>
      <c r="B4766" s="33" t="s">
        <v>7542</v>
      </c>
    </row>
    <row r="4767" spans="1:2" x14ac:dyDescent="0.25">
      <c r="A4767" s="30" t="s">
        <v>10988</v>
      </c>
      <c r="B4767" s="31" t="s">
        <v>10988</v>
      </c>
    </row>
    <row r="4768" spans="1:2" x14ac:dyDescent="0.25">
      <c r="A4768" s="32" t="s">
        <v>227</v>
      </c>
      <c r="B4768" s="33" t="s">
        <v>7543</v>
      </c>
    </row>
    <row r="4769" spans="1:2" x14ac:dyDescent="0.25">
      <c r="A4769" s="30" t="s">
        <v>228</v>
      </c>
      <c r="B4769" s="31" t="s">
        <v>7544</v>
      </c>
    </row>
    <row r="4770" spans="1:2" x14ac:dyDescent="0.25">
      <c r="A4770" s="32" t="s">
        <v>229</v>
      </c>
      <c r="B4770" s="33" t="s">
        <v>7545</v>
      </c>
    </row>
    <row r="4771" spans="1:2" x14ac:dyDescent="0.25">
      <c r="A4771" s="30" t="s">
        <v>230</v>
      </c>
      <c r="B4771" s="31" t="s">
        <v>7546</v>
      </c>
    </row>
    <row r="4772" spans="1:2" x14ac:dyDescent="0.25">
      <c r="A4772" s="32" t="s">
        <v>7547</v>
      </c>
      <c r="B4772" s="33" t="s">
        <v>7548</v>
      </c>
    </row>
    <row r="4773" spans="1:2" x14ac:dyDescent="0.25">
      <c r="A4773" s="30" t="s">
        <v>10989</v>
      </c>
      <c r="B4773" s="31" t="s">
        <v>10989</v>
      </c>
    </row>
    <row r="4774" spans="1:2" x14ac:dyDescent="0.25">
      <c r="A4774" s="32" t="s">
        <v>7549</v>
      </c>
      <c r="B4774" s="33" t="s">
        <v>7550</v>
      </c>
    </row>
    <row r="4775" spans="1:2" x14ac:dyDescent="0.25">
      <c r="A4775" s="30" t="s">
        <v>10990</v>
      </c>
      <c r="B4775" s="31" t="s">
        <v>10990</v>
      </c>
    </row>
    <row r="4776" spans="1:2" x14ac:dyDescent="0.25">
      <c r="A4776" s="32" t="s">
        <v>10991</v>
      </c>
      <c r="B4776" s="33" t="s">
        <v>10991</v>
      </c>
    </row>
    <row r="4777" spans="1:2" x14ac:dyDescent="0.25">
      <c r="A4777" s="30" t="s">
        <v>7551</v>
      </c>
      <c r="B4777" s="31" t="s">
        <v>7552</v>
      </c>
    </row>
    <row r="4778" spans="1:2" x14ac:dyDescent="0.25">
      <c r="A4778" s="32" t="s">
        <v>7553</v>
      </c>
      <c r="B4778" s="33" t="s">
        <v>7554</v>
      </c>
    </row>
    <row r="4779" spans="1:2" x14ac:dyDescent="0.25">
      <c r="A4779" s="30" t="s">
        <v>10992</v>
      </c>
      <c r="B4779" s="31" t="s">
        <v>10992</v>
      </c>
    </row>
    <row r="4780" spans="1:2" x14ac:dyDescent="0.25">
      <c r="A4780" s="32" t="s">
        <v>7555</v>
      </c>
      <c r="B4780" s="33" t="s">
        <v>7556</v>
      </c>
    </row>
    <row r="4781" spans="1:2" x14ac:dyDescent="0.25">
      <c r="A4781" s="30" t="s">
        <v>231</v>
      </c>
      <c r="B4781" s="31" t="s">
        <v>7557</v>
      </c>
    </row>
    <row r="4782" spans="1:2" x14ac:dyDescent="0.25">
      <c r="A4782" s="32" t="s">
        <v>7558</v>
      </c>
      <c r="B4782" s="33" t="s">
        <v>7559</v>
      </c>
    </row>
    <row r="4783" spans="1:2" x14ac:dyDescent="0.25">
      <c r="A4783" s="30" t="s">
        <v>232</v>
      </c>
      <c r="B4783" s="31" t="s">
        <v>7560</v>
      </c>
    </row>
    <row r="4784" spans="1:2" x14ac:dyDescent="0.25">
      <c r="A4784" s="32" t="s">
        <v>7561</v>
      </c>
      <c r="B4784" s="33" t="s">
        <v>7562</v>
      </c>
    </row>
    <row r="4785" spans="1:2" x14ac:dyDescent="0.25">
      <c r="A4785" s="30" t="s">
        <v>7563</v>
      </c>
      <c r="B4785" s="31" t="s">
        <v>7564</v>
      </c>
    </row>
    <row r="4786" spans="1:2" x14ac:dyDescent="0.25">
      <c r="A4786" s="32" t="s">
        <v>7565</v>
      </c>
      <c r="B4786" s="33" t="s">
        <v>7566</v>
      </c>
    </row>
    <row r="4787" spans="1:2" x14ac:dyDescent="0.25">
      <c r="A4787" s="30" t="s">
        <v>7567</v>
      </c>
      <c r="B4787" s="31" t="s">
        <v>7568</v>
      </c>
    </row>
    <row r="4788" spans="1:2" x14ac:dyDescent="0.25">
      <c r="A4788" s="32" t="s">
        <v>7569</v>
      </c>
      <c r="B4788" s="33" t="s">
        <v>7570</v>
      </c>
    </row>
    <row r="4789" spans="1:2" x14ac:dyDescent="0.25">
      <c r="A4789" s="30" t="s">
        <v>7571</v>
      </c>
      <c r="B4789" s="31" t="s">
        <v>7572</v>
      </c>
    </row>
    <row r="4790" spans="1:2" x14ac:dyDescent="0.25">
      <c r="A4790" s="32" t="s">
        <v>7573</v>
      </c>
      <c r="B4790" s="33" t="s">
        <v>7574</v>
      </c>
    </row>
    <row r="4791" spans="1:2" x14ac:dyDescent="0.25">
      <c r="A4791" s="30" t="s">
        <v>7575</v>
      </c>
      <c r="B4791" s="31" t="s">
        <v>7576</v>
      </c>
    </row>
    <row r="4792" spans="1:2" x14ac:dyDescent="0.25">
      <c r="A4792" s="32" t="s">
        <v>7577</v>
      </c>
      <c r="B4792" s="33" t="s">
        <v>7578</v>
      </c>
    </row>
    <row r="4793" spans="1:2" x14ac:dyDescent="0.25">
      <c r="A4793" s="30" t="s">
        <v>7579</v>
      </c>
      <c r="B4793" s="31" t="s">
        <v>7580</v>
      </c>
    </row>
    <row r="4794" spans="1:2" x14ac:dyDescent="0.25">
      <c r="A4794" s="32" t="s">
        <v>7581</v>
      </c>
      <c r="B4794" s="33" t="s">
        <v>7582</v>
      </c>
    </row>
    <row r="4795" spans="1:2" x14ac:dyDescent="0.25">
      <c r="A4795" s="30" t="s">
        <v>10993</v>
      </c>
      <c r="B4795" s="31" t="s">
        <v>10993</v>
      </c>
    </row>
    <row r="4796" spans="1:2" x14ac:dyDescent="0.25">
      <c r="A4796" s="32" t="s">
        <v>10994</v>
      </c>
      <c r="B4796" s="33" t="s">
        <v>10994</v>
      </c>
    </row>
    <row r="4797" spans="1:2" x14ac:dyDescent="0.25">
      <c r="A4797" s="30" t="s">
        <v>7583</v>
      </c>
      <c r="B4797" s="31" t="s">
        <v>7584</v>
      </c>
    </row>
    <row r="4798" spans="1:2" x14ac:dyDescent="0.25">
      <c r="A4798" s="32" t="s">
        <v>233</v>
      </c>
      <c r="B4798" s="33" t="s">
        <v>7585</v>
      </c>
    </row>
    <row r="4799" spans="1:2" x14ac:dyDescent="0.25">
      <c r="A4799" s="30" t="s">
        <v>10995</v>
      </c>
      <c r="B4799" s="31" t="s">
        <v>10995</v>
      </c>
    </row>
    <row r="4800" spans="1:2" x14ac:dyDescent="0.25">
      <c r="A4800" s="32" t="s">
        <v>10996</v>
      </c>
      <c r="B4800" s="33" t="s">
        <v>10996</v>
      </c>
    </row>
    <row r="4801" spans="1:2" x14ac:dyDescent="0.25">
      <c r="A4801" s="30" t="s">
        <v>10997</v>
      </c>
      <c r="B4801" s="31" t="s">
        <v>10997</v>
      </c>
    </row>
    <row r="4802" spans="1:2" x14ac:dyDescent="0.25">
      <c r="A4802" s="32" t="s">
        <v>7586</v>
      </c>
      <c r="B4802" s="33" t="s">
        <v>7587</v>
      </c>
    </row>
    <row r="4803" spans="1:2" x14ac:dyDescent="0.25">
      <c r="A4803" s="30" t="s">
        <v>234</v>
      </c>
      <c r="B4803" s="31" t="s">
        <v>7588</v>
      </c>
    </row>
    <row r="4804" spans="1:2" x14ac:dyDescent="0.25">
      <c r="A4804" s="32" t="s">
        <v>10998</v>
      </c>
      <c r="B4804" s="33" t="s">
        <v>10998</v>
      </c>
    </row>
    <row r="4805" spans="1:2" x14ac:dyDescent="0.25">
      <c r="A4805" s="30" t="s">
        <v>10999</v>
      </c>
      <c r="B4805" s="31" t="s">
        <v>10999</v>
      </c>
    </row>
    <row r="4806" spans="1:2" x14ac:dyDescent="0.25">
      <c r="A4806" s="32" t="s">
        <v>7589</v>
      </c>
      <c r="B4806" s="33" t="s">
        <v>7590</v>
      </c>
    </row>
    <row r="4807" spans="1:2" x14ac:dyDescent="0.25">
      <c r="A4807" s="30" t="s">
        <v>235</v>
      </c>
      <c r="B4807" s="31" t="s">
        <v>7591</v>
      </c>
    </row>
    <row r="4808" spans="1:2" x14ac:dyDescent="0.25">
      <c r="A4808" s="32" t="s">
        <v>11000</v>
      </c>
      <c r="B4808" s="33" t="s">
        <v>11000</v>
      </c>
    </row>
    <row r="4809" spans="1:2" x14ac:dyDescent="0.25">
      <c r="A4809" s="30" t="s">
        <v>7592</v>
      </c>
      <c r="B4809" s="31" t="s">
        <v>7593</v>
      </c>
    </row>
    <row r="4810" spans="1:2" x14ac:dyDescent="0.25">
      <c r="A4810" s="32" t="s">
        <v>7594</v>
      </c>
      <c r="B4810" s="33" t="s">
        <v>7595</v>
      </c>
    </row>
    <row r="4811" spans="1:2" x14ac:dyDescent="0.25">
      <c r="A4811" s="30" t="s">
        <v>236</v>
      </c>
      <c r="B4811" s="31" t="s">
        <v>7596</v>
      </c>
    </row>
    <row r="4812" spans="1:2" x14ac:dyDescent="0.25">
      <c r="A4812" s="32" t="s">
        <v>7597</v>
      </c>
      <c r="B4812" s="33" t="s">
        <v>7598</v>
      </c>
    </row>
    <row r="4813" spans="1:2" x14ac:dyDescent="0.25">
      <c r="A4813" s="30" t="s">
        <v>11001</v>
      </c>
      <c r="B4813" s="31" t="s">
        <v>11001</v>
      </c>
    </row>
    <row r="4814" spans="1:2" x14ac:dyDescent="0.25">
      <c r="A4814" s="32" t="s">
        <v>237</v>
      </c>
      <c r="B4814" s="33" t="s">
        <v>7599</v>
      </c>
    </row>
    <row r="4815" spans="1:2" x14ac:dyDescent="0.25">
      <c r="A4815" s="30" t="s">
        <v>11002</v>
      </c>
      <c r="B4815" s="31" t="s">
        <v>11002</v>
      </c>
    </row>
    <row r="4816" spans="1:2" x14ac:dyDescent="0.25">
      <c r="A4816" s="32" t="s">
        <v>7600</v>
      </c>
      <c r="B4816" s="33" t="s">
        <v>7601</v>
      </c>
    </row>
    <row r="4817" spans="1:2" x14ac:dyDescent="0.25">
      <c r="A4817" s="30" t="s">
        <v>7602</v>
      </c>
      <c r="B4817" s="31" t="s">
        <v>7603</v>
      </c>
    </row>
    <row r="4818" spans="1:2" x14ac:dyDescent="0.25">
      <c r="A4818" s="32" t="s">
        <v>7604</v>
      </c>
      <c r="B4818" s="33" t="s">
        <v>7605</v>
      </c>
    </row>
    <row r="4819" spans="1:2" x14ac:dyDescent="0.25">
      <c r="A4819" s="30" t="s">
        <v>7606</v>
      </c>
      <c r="B4819" s="31" t="s">
        <v>7607</v>
      </c>
    </row>
    <row r="4820" spans="1:2" x14ac:dyDescent="0.25">
      <c r="A4820" s="32" t="s">
        <v>7608</v>
      </c>
      <c r="B4820" s="33" t="s">
        <v>7609</v>
      </c>
    </row>
    <row r="4821" spans="1:2" x14ac:dyDescent="0.25">
      <c r="A4821" s="30" t="s">
        <v>238</v>
      </c>
      <c r="B4821" s="31" t="s">
        <v>7610</v>
      </c>
    </row>
    <row r="4822" spans="1:2" x14ac:dyDescent="0.25">
      <c r="A4822" s="32" t="s">
        <v>7611</v>
      </c>
      <c r="B4822" s="33" t="s">
        <v>7612</v>
      </c>
    </row>
    <row r="4823" spans="1:2" x14ac:dyDescent="0.25">
      <c r="A4823" s="30" t="s">
        <v>11003</v>
      </c>
      <c r="B4823" s="31" t="s">
        <v>11003</v>
      </c>
    </row>
    <row r="4824" spans="1:2" x14ac:dyDescent="0.25">
      <c r="A4824" s="32" t="s">
        <v>7613</v>
      </c>
      <c r="B4824" s="33" t="s">
        <v>7614</v>
      </c>
    </row>
    <row r="4825" spans="1:2" x14ac:dyDescent="0.25">
      <c r="A4825" s="30" t="s">
        <v>7615</v>
      </c>
      <c r="B4825" s="31" t="s">
        <v>7616</v>
      </c>
    </row>
    <row r="4826" spans="1:2" x14ac:dyDescent="0.25">
      <c r="A4826" s="32" t="s">
        <v>239</v>
      </c>
      <c r="B4826" s="33" t="s">
        <v>7617</v>
      </c>
    </row>
    <row r="4827" spans="1:2" x14ac:dyDescent="0.25">
      <c r="A4827" s="30" t="s">
        <v>7618</v>
      </c>
      <c r="B4827" s="31" t="s">
        <v>7619</v>
      </c>
    </row>
    <row r="4828" spans="1:2" x14ac:dyDescent="0.25">
      <c r="A4828" s="32" t="s">
        <v>7620</v>
      </c>
      <c r="B4828" s="33" t="s">
        <v>7621</v>
      </c>
    </row>
    <row r="4829" spans="1:2" x14ac:dyDescent="0.25">
      <c r="A4829" s="30" t="s">
        <v>11004</v>
      </c>
      <c r="B4829" s="31" t="s">
        <v>11004</v>
      </c>
    </row>
    <row r="4830" spans="1:2" x14ac:dyDescent="0.25">
      <c r="A4830" s="32" t="s">
        <v>7622</v>
      </c>
      <c r="B4830" s="33" t="s">
        <v>7623</v>
      </c>
    </row>
    <row r="4831" spans="1:2" x14ac:dyDescent="0.25">
      <c r="A4831" s="30" t="s">
        <v>7624</v>
      </c>
      <c r="B4831" s="31" t="s">
        <v>7625</v>
      </c>
    </row>
    <row r="4832" spans="1:2" x14ac:dyDescent="0.25">
      <c r="A4832" s="32" t="s">
        <v>240</v>
      </c>
      <c r="B4832" s="33" t="s">
        <v>7626</v>
      </c>
    </row>
    <row r="4833" spans="1:2" x14ac:dyDescent="0.25">
      <c r="A4833" s="30" t="s">
        <v>7627</v>
      </c>
      <c r="B4833" s="31" t="s">
        <v>7628</v>
      </c>
    </row>
    <row r="4834" spans="1:2" x14ac:dyDescent="0.25">
      <c r="A4834" s="32" t="s">
        <v>7629</v>
      </c>
      <c r="B4834" s="33" t="s">
        <v>7630</v>
      </c>
    </row>
    <row r="4835" spans="1:2" x14ac:dyDescent="0.25">
      <c r="A4835" s="30" t="s">
        <v>241</v>
      </c>
      <c r="B4835" s="31" t="s">
        <v>7631</v>
      </c>
    </row>
    <row r="4836" spans="1:2" x14ac:dyDescent="0.25">
      <c r="A4836" s="32" t="s">
        <v>242</v>
      </c>
      <c r="B4836" s="33" t="s">
        <v>242</v>
      </c>
    </row>
    <row r="4837" spans="1:2" x14ac:dyDescent="0.25">
      <c r="A4837" s="30" t="s">
        <v>11005</v>
      </c>
      <c r="B4837" s="31" t="s">
        <v>11005</v>
      </c>
    </row>
    <row r="4838" spans="1:2" x14ac:dyDescent="0.25">
      <c r="A4838" s="32" t="s">
        <v>7632</v>
      </c>
      <c r="B4838" s="33" t="s">
        <v>7633</v>
      </c>
    </row>
    <row r="4839" spans="1:2" x14ac:dyDescent="0.25">
      <c r="A4839" s="30" t="s">
        <v>7634</v>
      </c>
      <c r="B4839" s="31" t="s">
        <v>7635</v>
      </c>
    </row>
    <row r="4840" spans="1:2" x14ac:dyDescent="0.25">
      <c r="A4840" s="32" t="s">
        <v>7636</v>
      </c>
      <c r="B4840" s="33" t="s">
        <v>7637</v>
      </c>
    </row>
    <row r="4841" spans="1:2" x14ac:dyDescent="0.25">
      <c r="A4841" s="30" t="s">
        <v>243</v>
      </c>
      <c r="B4841" s="31" t="s">
        <v>7638</v>
      </c>
    </row>
    <row r="4842" spans="1:2" x14ac:dyDescent="0.25">
      <c r="A4842" s="32" t="s">
        <v>244</v>
      </c>
      <c r="B4842" s="33" t="s">
        <v>7639</v>
      </c>
    </row>
    <row r="4843" spans="1:2" x14ac:dyDescent="0.25">
      <c r="A4843" s="30" t="s">
        <v>7640</v>
      </c>
      <c r="B4843" s="31" t="s">
        <v>7641</v>
      </c>
    </row>
    <row r="4844" spans="1:2" x14ac:dyDescent="0.25">
      <c r="A4844" s="32" t="s">
        <v>7642</v>
      </c>
      <c r="B4844" s="33" t="s">
        <v>7643</v>
      </c>
    </row>
    <row r="4845" spans="1:2" x14ac:dyDescent="0.25">
      <c r="A4845" s="30" t="s">
        <v>11006</v>
      </c>
      <c r="B4845" s="31" t="s">
        <v>11006</v>
      </c>
    </row>
    <row r="4846" spans="1:2" x14ac:dyDescent="0.25">
      <c r="A4846" s="32" t="s">
        <v>7644</v>
      </c>
      <c r="B4846" s="33" t="s">
        <v>7645</v>
      </c>
    </row>
    <row r="4847" spans="1:2" x14ac:dyDescent="0.25">
      <c r="A4847" s="30" t="s">
        <v>7646</v>
      </c>
      <c r="B4847" s="31" t="s">
        <v>7647</v>
      </c>
    </row>
    <row r="4848" spans="1:2" x14ac:dyDescent="0.25">
      <c r="A4848" s="32" t="s">
        <v>11007</v>
      </c>
      <c r="B4848" s="33" t="s">
        <v>11007</v>
      </c>
    </row>
    <row r="4849" spans="1:2" x14ac:dyDescent="0.25">
      <c r="A4849" s="30" t="s">
        <v>11008</v>
      </c>
      <c r="B4849" s="31" t="s">
        <v>11008</v>
      </c>
    </row>
    <row r="4850" spans="1:2" x14ac:dyDescent="0.25">
      <c r="A4850" s="32" t="s">
        <v>11009</v>
      </c>
      <c r="B4850" s="33" t="s">
        <v>11009</v>
      </c>
    </row>
    <row r="4851" spans="1:2" x14ac:dyDescent="0.25">
      <c r="A4851" s="30" t="s">
        <v>7648</v>
      </c>
      <c r="B4851" s="31" t="s">
        <v>7649</v>
      </c>
    </row>
    <row r="4852" spans="1:2" x14ac:dyDescent="0.25">
      <c r="A4852" s="32" t="s">
        <v>245</v>
      </c>
      <c r="B4852" s="33" t="s">
        <v>7650</v>
      </c>
    </row>
    <row r="4853" spans="1:2" x14ac:dyDescent="0.25">
      <c r="A4853" s="30" t="s">
        <v>246</v>
      </c>
      <c r="B4853" s="31" t="s">
        <v>7651</v>
      </c>
    </row>
    <row r="4854" spans="1:2" x14ac:dyDescent="0.25">
      <c r="A4854" s="32" t="s">
        <v>7652</v>
      </c>
      <c r="B4854" s="33" t="s">
        <v>7653</v>
      </c>
    </row>
    <row r="4855" spans="1:2" x14ac:dyDescent="0.25">
      <c r="A4855" s="30" t="s">
        <v>7654</v>
      </c>
      <c r="B4855" s="31" t="s">
        <v>7655</v>
      </c>
    </row>
    <row r="4856" spans="1:2" x14ac:dyDescent="0.25">
      <c r="A4856" s="32" t="s">
        <v>7656</v>
      </c>
      <c r="B4856" s="33" t="s">
        <v>7657</v>
      </c>
    </row>
    <row r="4857" spans="1:2" x14ac:dyDescent="0.25">
      <c r="A4857" s="30" t="s">
        <v>11010</v>
      </c>
      <c r="B4857" s="31" t="s">
        <v>11010</v>
      </c>
    </row>
    <row r="4858" spans="1:2" x14ac:dyDescent="0.25">
      <c r="A4858" s="32" t="s">
        <v>11011</v>
      </c>
      <c r="B4858" s="33" t="s">
        <v>11011</v>
      </c>
    </row>
    <row r="4859" spans="1:2" x14ac:dyDescent="0.25">
      <c r="A4859" s="30" t="s">
        <v>7658</v>
      </c>
      <c r="B4859" s="31" t="s">
        <v>7659</v>
      </c>
    </row>
    <row r="4860" spans="1:2" x14ac:dyDescent="0.25">
      <c r="A4860" s="32" t="s">
        <v>11012</v>
      </c>
      <c r="B4860" s="33" t="s">
        <v>11012</v>
      </c>
    </row>
    <row r="4861" spans="1:2" x14ac:dyDescent="0.25">
      <c r="A4861" s="30" t="s">
        <v>11013</v>
      </c>
      <c r="B4861" s="31" t="s">
        <v>11013</v>
      </c>
    </row>
    <row r="4862" spans="1:2" x14ac:dyDescent="0.25">
      <c r="A4862" s="32" t="s">
        <v>11014</v>
      </c>
      <c r="B4862" s="33" t="s">
        <v>11014</v>
      </c>
    </row>
    <row r="4863" spans="1:2" x14ac:dyDescent="0.25">
      <c r="A4863" s="30" t="s">
        <v>11015</v>
      </c>
      <c r="B4863" s="31" t="s">
        <v>11015</v>
      </c>
    </row>
    <row r="4864" spans="1:2" x14ac:dyDescent="0.25">
      <c r="A4864" s="32" t="s">
        <v>7660</v>
      </c>
      <c r="B4864" s="33" t="s">
        <v>7661</v>
      </c>
    </row>
    <row r="4865" spans="1:2" x14ac:dyDescent="0.25">
      <c r="A4865" s="30" t="s">
        <v>11016</v>
      </c>
      <c r="B4865" s="31" t="s">
        <v>11016</v>
      </c>
    </row>
    <row r="4866" spans="1:2" x14ac:dyDescent="0.25">
      <c r="A4866" s="32" t="s">
        <v>11017</v>
      </c>
      <c r="B4866" s="33" t="s">
        <v>11017</v>
      </c>
    </row>
    <row r="4867" spans="1:2" x14ac:dyDescent="0.25">
      <c r="A4867" s="30" t="s">
        <v>11018</v>
      </c>
      <c r="B4867" s="31" t="s">
        <v>11018</v>
      </c>
    </row>
    <row r="4868" spans="1:2" x14ac:dyDescent="0.25">
      <c r="A4868" s="32" t="s">
        <v>7662</v>
      </c>
      <c r="B4868" s="33" t="s">
        <v>7663</v>
      </c>
    </row>
    <row r="4869" spans="1:2" x14ac:dyDescent="0.25">
      <c r="A4869" s="30" t="s">
        <v>7664</v>
      </c>
      <c r="B4869" s="31" t="s">
        <v>7665</v>
      </c>
    </row>
    <row r="4870" spans="1:2" x14ac:dyDescent="0.25">
      <c r="A4870" s="32" t="s">
        <v>7666</v>
      </c>
      <c r="B4870" s="33" t="s">
        <v>7667</v>
      </c>
    </row>
    <row r="4871" spans="1:2" x14ac:dyDescent="0.25">
      <c r="A4871" s="30" t="s">
        <v>7668</v>
      </c>
      <c r="B4871" s="31" t="s">
        <v>7669</v>
      </c>
    </row>
    <row r="4872" spans="1:2" x14ac:dyDescent="0.25">
      <c r="A4872" s="32" t="s">
        <v>7670</v>
      </c>
      <c r="B4872" s="33" t="s">
        <v>7671</v>
      </c>
    </row>
    <row r="4873" spans="1:2" x14ac:dyDescent="0.25">
      <c r="A4873" s="30" t="s">
        <v>247</v>
      </c>
      <c r="B4873" s="31" t="s">
        <v>247</v>
      </c>
    </row>
    <row r="4874" spans="1:2" x14ac:dyDescent="0.25">
      <c r="A4874" s="32" t="s">
        <v>248</v>
      </c>
      <c r="B4874" s="33" t="s">
        <v>7672</v>
      </c>
    </row>
    <row r="4875" spans="1:2" x14ac:dyDescent="0.25">
      <c r="A4875" s="30" t="s">
        <v>11019</v>
      </c>
      <c r="B4875" s="31" t="s">
        <v>11019</v>
      </c>
    </row>
    <row r="4876" spans="1:2" x14ac:dyDescent="0.25">
      <c r="A4876" s="32" t="s">
        <v>11020</v>
      </c>
      <c r="B4876" s="33" t="s">
        <v>11020</v>
      </c>
    </row>
    <row r="4877" spans="1:2" x14ac:dyDescent="0.25">
      <c r="A4877" s="30" t="s">
        <v>11021</v>
      </c>
      <c r="B4877" s="31" t="s">
        <v>11021</v>
      </c>
    </row>
    <row r="4878" spans="1:2" x14ac:dyDescent="0.25">
      <c r="A4878" s="32" t="s">
        <v>11022</v>
      </c>
      <c r="B4878" s="33" t="s">
        <v>11022</v>
      </c>
    </row>
    <row r="4879" spans="1:2" x14ac:dyDescent="0.25">
      <c r="A4879" s="30" t="s">
        <v>7673</v>
      </c>
      <c r="B4879" s="31" t="s">
        <v>7674</v>
      </c>
    </row>
    <row r="4880" spans="1:2" x14ac:dyDescent="0.25">
      <c r="A4880" s="32" t="s">
        <v>7675</v>
      </c>
      <c r="B4880" s="33" t="s">
        <v>7676</v>
      </c>
    </row>
    <row r="4881" spans="1:2" x14ac:dyDescent="0.25">
      <c r="A4881" s="30" t="s">
        <v>11023</v>
      </c>
      <c r="B4881" s="31" t="s">
        <v>11023</v>
      </c>
    </row>
    <row r="4882" spans="1:2" x14ac:dyDescent="0.25">
      <c r="A4882" s="32" t="s">
        <v>7677</v>
      </c>
      <c r="B4882" s="33" t="s">
        <v>7678</v>
      </c>
    </row>
    <row r="4883" spans="1:2" x14ac:dyDescent="0.25">
      <c r="A4883" s="30" t="s">
        <v>7679</v>
      </c>
      <c r="B4883" s="31" t="s">
        <v>7680</v>
      </c>
    </row>
    <row r="4884" spans="1:2" x14ac:dyDescent="0.25">
      <c r="A4884" s="32" t="s">
        <v>7681</v>
      </c>
      <c r="B4884" s="33" t="s">
        <v>7682</v>
      </c>
    </row>
    <row r="4885" spans="1:2" x14ac:dyDescent="0.25">
      <c r="A4885" s="30" t="s">
        <v>7683</v>
      </c>
      <c r="B4885" s="31" t="s">
        <v>7684</v>
      </c>
    </row>
    <row r="4886" spans="1:2" x14ac:dyDescent="0.25">
      <c r="A4886" s="32" t="s">
        <v>249</v>
      </c>
      <c r="B4886" s="33" t="s">
        <v>7685</v>
      </c>
    </row>
    <row r="4887" spans="1:2" x14ac:dyDescent="0.25">
      <c r="A4887" s="30" t="s">
        <v>11024</v>
      </c>
      <c r="B4887" s="31" t="s">
        <v>11024</v>
      </c>
    </row>
    <row r="4888" spans="1:2" x14ac:dyDescent="0.25">
      <c r="A4888" s="32" t="s">
        <v>7686</v>
      </c>
      <c r="B4888" s="33" t="s">
        <v>7687</v>
      </c>
    </row>
    <row r="4889" spans="1:2" x14ac:dyDescent="0.25">
      <c r="A4889" s="30" t="s">
        <v>7688</v>
      </c>
      <c r="B4889" s="31" t="s">
        <v>7689</v>
      </c>
    </row>
    <row r="4890" spans="1:2" x14ac:dyDescent="0.25">
      <c r="A4890" s="32" t="s">
        <v>7690</v>
      </c>
      <c r="B4890" s="33" t="s">
        <v>7691</v>
      </c>
    </row>
    <row r="4891" spans="1:2" x14ac:dyDescent="0.25">
      <c r="A4891" s="30" t="s">
        <v>11025</v>
      </c>
      <c r="B4891" s="31" t="s">
        <v>11025</v>
      </c>
    </row>
    <row r="4892" spans="1:2" x14ac:dyDescent="0.25">
      <c r="A4892" s="32" t="s">
        <v>250</v>
      </c>
      <c r="B4892" s="33" t="s">
        <v>7692</v>
      </c>
    </row>
    <row r="4893" spans="1:2" x14ac:dyDescent="0.25">
      <c r="A4893" s="30" t="s">
        <v>251</v>
      </c>
      <c r="B4893" s="31" t="s">
        <v>251</v>
      </c>
    </row>
    <row r="4894" spans="1:2" x14ac:dyDescent="0.25">
      <c r="A4894" s="32" t="s">
        <v>252</v>
      </c>
      <c r="B4894" s="33" t="s">
        <v>7693</v>
      </c>
    </row>
    <row r="4895" spans="1:2" x14ac:dyDescent="0.25">
      <c r="A4895" s="30" t="s">
        <v>11026</v>
      </c>
      <c r="B4895" s="31" t="s">
        <v>11026</v>
      </c>
    </row>
    <row r="4896" spans="1:2" x14ac:dyDescent="0.25">
      <c r="A4896" s="32" t="s">
        <v>7694</v>
      </c>
      <c r="B4896" s="33" t="s">
        <v>7695</v>
      </c>
    </row>
    <row r="4897" spans="1:2" x14ac:dyDescent="0.25">
      <c r="A4897" s="30" t="s">
        <v>11027</v>
      </c>
      <c r="B4897" s="31" t="s">
        <v>11027</v>
      </c>
    </row>
    <row r="4898" spans="1:2" x14ac:dyDescent="0.25">
      <c r="A4898" s="32" t="s">
        <v>7696</v>
      </c>
      <c r="B4898" s="33" t="s">
        <v>7697</v>
      </c>
    </row>
    <row r="4899" spans="1:2" x14ac:dyDescent="0.25">
      <c r="A4899" s="30" t="s">
        <v>7698</v>
      </c>
      <c r="B4899" s="31" t="s">
        <v>7699</v>
      </c>
    </row>
    <row r="4900" spans="1:2" x14ac:dyDescent="0.25">
      <c r="A4900" s="32" t="s">
        <v>11028</v>
      </c>
      <c r="B4900" s="33" t="s">
        <v>11028</v>
      </c>
    </row>
    <row r="4901" spans="1:2" x14ac:dyDescent="0.25">
      <c r="A4901" s="30" t="s">
        <v>7700</v>
      </c>
      <c r="B4901" s="31" t="s">
        <v>7701</v>
      </c>
    </row>
    <row r="4902" spans="1:2" x14ac:dyDescent="0.25">
      <c r="A4902" s="32" t="s">
        <v>11029</v>
      </c>
      <c r="B4902" s="33" t="s">
        <v>11029</v>
      </c>
    </row>
    <row r="4903" spans="1:2" x14ac:dyDescent="0.25">
      <c r="A4903" s="30" t="s">
        <v>253</v>
      </c>
      <c r="B4903" s="31" t="s">
        <v>7702</v>
      </c>
    </row>
    <row r="4904" spans="1:2" x14ac:dyDescent="0.25">
      <c r="A4904" s="32" t="s">
        <v>11030</v>
      </c>
      <c r="B4904" s="33" t="s">
        <v>11030</v>
      </c>
    </row>
    <row r="4905" spans="1:2" x14ac:dyDescent="0.25">
      <c r="A4905" s="30" t="s">
        <v>7703</v>
      </c>
      <c r="B4905" s="31" t="s">
        <v>7704</v>
      </c>
    </row>
    <row r="4906" spans="1:2" x14ac:dyDescent="0.25">
      <c r="A4906" s="32" t="s">
        <v>11031</v>
      </c>
      <c r="B4906" s="33" t="s">
        <v>11031</v>
      </c>
    </row>
    <row r="4907" spans="1:2" x14ac:dyDescent="0.25">
      <c r="A4907" s="30" t="s">
        <v>7705</v>
      </c>
      <c r="B4907" s="31" t="s">
        <v>7706</v>
      </c>
    </row>
    <row r="4908" spans="1:2" x14ac:dyDescent="0.25">
      <c r="A4908" s="32" t="s">
        <v>7707</v>
      </c>
      <c r="B4908" s="33" t="s">
        <v>7708</v>
      </c>
    </row>
    <row r="4909" spans="1:2" x14ac:dyDescent="0.25">
      <c r="A4909" s="30" t="s">
        <v>7709</v>
      </c>
      <c r="B4909" s="31" t="s">
        <v>7710</v>
      </c>
    </row>
    <row r="4910" spans="1:2" x14ac:dyDescent="0.25">
      <c r="A4910" s="32" t="s">
        <v>255</v>
      </c>
      <c r="B4910" s="33" t="s">
        <v>7711</v>
      </c>
    </row>
    <row r="4911" spans="1:2" x14ac:dyDescent="0.25">
      <c r="A4911" s="30" t="s">
        <v>11032</v>
      </c>
      <c r="B4911" s="31" t="s">
        <v>11032</v>
      </c>
    </row>
    <row r="4912" spans="1:2" x14ac:dyDescent="0.25">
      <c r="A4912" s="32" t="s">
        <v>11033</v>
      </c>
      <c r="B4912" s="33" t="s">
        <v>11033</v>
      </c>
    </row>
    <row r="4913" spans="1:2" x14ac:dyDescent="0.25">
      <c r="A4913" s="30" t="s">
        <v>7712</v>
      </c>
      <c r="B4913" s="31" t="s">
        <v>7713</v>
      </c>
    </row>
    <row r="4914" spans="1:2" x14ac:dyDescent="0.25">
      <c r="A4914" s="32" t="s">
        <v>11034</v>
      </c>
      <c r="B4914" s="33" t="s">
        <v>11034</v>
      </c>
    </row>
    <row r="4915" spans="1:2" x14ac:dyDescent="0.25">
      <c r="A4915" s="30" t="s">
        <v>7714</v>
      </c>
      <c r="B4915" s="31" t="s">
        <v>7715</v>
      </c>
    </row>
    <row r="4916" spans="1:2" x14ac:dyDescent="0.25">
      <c r="A4916" s="32" t="s">
        <v>11035</v>
      </c>
      <c r="B4916" s="33" t="s">
        <v>11035</v>
      </c>
    </row>
    <row r="4917" spans="1:2" x14ac:dyDescent="0.25">
      <c r="A4917" s="30" t="s">
        <v>7716</v>
      </c>
      <c r="B4917" s="31" t="s">
        <v>7717</v>
      </c>
    </row>
    <row r="4918" spans="1:2" x14ac:dyDescent="0.25">
      <c r="A4918" s="32" t="s">
        <v>11036</v>
      </c>
      <c r="B4918" s="33" t="s">
        <v>11036</v>
      </c>
    </row>
    <row r="4919" spans="1:2" x14ac:dyDescent="0.25">
      <c r="A4919" s="30" t="s">
        <v>7718</v>
      </c>
      <c r="B4919" s="31" t="s">
        <v>7719</v>
      </c>
    </row>
    <row r="4920" spans="1:2" x14ac:dyDescent="0.25">
      <c r="A4920" s="32" t="s">
        <v>256</v>
      </c>
      <c r="B4920" s="33" t="s">
        <v>7720</v>
      </c>
    </row>
    <row r="4921" spans="1:2" x14ac:dyDescent="0.25">
      <c r="A4921" s="30" t="s">
        <v>11037</v>
      </c>
      <c r="B4921" s="31" t="s">
        <v>11037</v>
      </c>
    </row>
    <row r="4922" spans="1:2" x14ac:dyDescent="0.25">
      <c r="A4922" s="32" t="s">
        <v>7721</v>
      </c>
      <c r="B4922" s="33" t="s">
        <v>7722</v>
      </c>
    </row>
    <row r="4923" spans="1:2" x14ac:dyDescent="0.25">
      <c r="A4923" s="30" t="s">
        <v>7723</v>
      </c>
      <c r="B4923" s="31" t="s">
        <v>7724</v>
      </c>
    </row>
    <row r="4924" spans="1:2" x14ac:dyDescent="0.25">
      <c r="A4924" s="32" t="s">
        <v>11038</v>
      </c>
      <c r="B4924" s="33" t="s">
        <v>11038</v>
      </c>
    </row>
    <row r="4925" spans="1:2" x14ac:dyDescent="0.25">
      <c r="A4925" s="30" t="s">
        <v>7725</v>
      </c>
      <c r="B4925" s="31" t="s">
        <v>7726</v>
      </c>
    </row>
    <row r="4926" spans="1:2" x14ac:dyDescent="0.25">
      <c r="A4926" s="32" t="s">
        <v>7727</v>
      </c>
      <c r="B4926" s="33" t="s">
        <v>7728</v>
      </c>
    </row>
    <row r="4927" spans="1:2" x14ac:dyDescent="0.25">
      <c r="A4927" s="30" t="s">
        <v>7729</v>
      </c>
      <c r="B4927" s="31" t="s">
        <v>7730</v>
      </c>
    </row>
    <row r="4928" spans="1:2" x14ac:dyDescent="0.25">
      <c r="A4928" s="32" t="s">
        <v>11039</v>
      </c>
      <c r="B4928" s="33" t="s">
        <v>11039</v>
      </c>
    </row>
    <row r="4929" spans="1:2" x14ac:dyDescent="0.25">
      <c r="A4929" s="30" t="s">
        <v>11040</v>
      </c>
      <c r="B4929" s="31" t="s">
        <v>11040</v>
      </c>
    </row>
    <row r="4930" spans="1:2" x14ac:dyDescent="0.25">
      <c r="A4930" s="32" t="s">
        <v>7731</v>
      </c>
      <c r="B4930" s="33" t="s">
        <v>7732</v>
      </c>
    </row>
    <row r="4931" spans="1:2" x14ac:dyDescent="0.25">
      <c r="A4931" s="30" t="s">
        <v>7733</v>
      </c>
      <c r="B4931" s="31" t="s">
        <v>7734</v>
      </c>
    </row>
    <row r="4932" spans="1:2" x14ac:dyDescent="0.25">
      <c r="A4932" s="32" t="s">
        <v>11041</v>
      </c>
      <c r="B4932" s="33" t="s">
        <v>11041</v>
      </c>
    </row>
    <row r="4933" spans="1:2" x14ac:dyDescent="0.25">
      <c r="A4933" s="30" t="s">
        <v>7735</v>
      </c>
      <c r="B4933" s="31" t="s">
        <v>7736</v>
      </c>
    </row>
    <row r="4934" spans="1:2" x14ac:dyDescent="0.25">
      <c r="A4934" s="32" t="s">
        <v>258</v>
      </c>
      <c r="B4934" s="33" t="s">
        <v>7737</v>
      </c>
    </row>
    <row r="4935" spans="1:2" x14ac:dyDescent="0.25">
      <c r="A4935" s="30" t="s">
        <v>7738</v>
      </c>
      <c r="B4935" s="31" t="s">
        <v>7739</v>
      </c>
    </row>
    <row r="4936" spans="1:2" x14ac:dyDescent="0.25">
      <c r="A4936" s="32" t="s">
        <v>7740</v>
      </c>
      <c r="B4936" s="33" t="s">
        <v>7741</v>
      </c>
    </row>
    <row r="4937" spans="1:2" x14ac:dyDescent="0.25">
      <c r="A4937" s="30" t="s">
        <v>11042</v>
      </c>
      <c r="B4937" s="31" t="s">
        <v>11042</v>
      </c>
    </row>
    <row r="4938" spans="1:2" x14ac:dyDescent="0.25">
      <c r="A4938" s="32" t="s">
        <v>11043</v>
      </c>
      <c r="B4938" s="33" t="s">
        <v>11043</v>
      </c>
    </row>
    <row r="4939" spans="1:2" x14ac:dyDescent="0.25">
      <c r="A4939" s="30" t="s">
        <v>11044</v>
      </c>
      <c r="B4939" s="31" t="s">
        <v>11044</v>
      </c>
    </row>
    <row r="4940" spans="1:2" x14ac:dyDescent="0.25">
      <c r="A4940" s="32" t="s">
        <v>7742</v>
      </c>
      <c r="B4940" s="33" t="s">
        <v>7743</v>
      </c>
    </row>
    <row r="4941" spans="1:2" x14ac:dyDescent="0.25">
      <c r="A4941" s="30" t="s">
        <v>259</v>
      </c>
      <c r="B4941" s="31" t="s">
        <v>259</v>
      </c>
    </row>
    <row r="4942" spans="1:2" x14ac:dyDescent="0.25">
      <c r="A4942" s="32" t="s">
        <v>11045</v>
      </c>
      <c r="B4942" s="33" t="s">
        <v>11045</v>
      </c>
    </row>
    <row r="4943" spans="1:2" x14ac:dyDescent="0.25">
      <c r="A4943" s="30" t="s">
        <v>7744</v>
      </c>
      <c r="B4943" s="31" t="s">
        <v>7745</v>
      </c>
    </row>
    <row r="4944" spans="1:2" x14ac:dyDescent="0.25">
      <c r="A4944" s="32" t="s">
        <v>11046</v>
      </c>
      <c r="B4944" s="33" t="s">
        <v>11046</v>
      </c>
    </row>
    <row r="4945" spans="1:2" x14ac:dyDescent="0.25">
      <c r="A4945" s="30" t="s">
        <v>7746</v>
      </c>
      <c r="B4945" s="31" t="s">
        <v>7747</v>
      </c>
    </row>
    <row r="4946" spans="1:2" x14ac:dyDescent="0.25">
      <c r="A4946" s="32" t="s">
        <v>7748</v>
      </c>
      <c r="B4946" s="33" t="s">
        <v>7749</v>
      </c>
    </row>
    <row r="4947" spans="1:2" x14ac:dyDescent="0.25">
      <c r="A4947" s="30" t="s">
        <v>7750</v>
      </c>
      <c r="B4947" s="31" t="s">
        <v>7751</v>
      </c>
    </row>
    <row r="4948" spans="1:2" x14ac:dyDescent="0.25">
      <c r="A4948" s="32" t="s">
        <v>7752</v>
      </c>
      <c r="B4948" s="33" t="s">
        <v>7753</v>
      </c>
    </row>
    <row r="4949" spans="1:2" x14ac:dyDescent="0.25">
      <c r="A4949" s="30" t="s">
        <v>11047</v>
      </c>
      <c r="B4949" s="31" t="s">
        <v>11047</v>
      </c>
    </row>
    <row r="4950" spans="1:2" x14ac:dyDescent="0.25">
      <c r="A4950" s="32" t="s">
        <v>7754</v>
      </c>
      <c r="B4950" s="33" t="s">
        <v>7755</v>
      </c>
    </row>
    <row r="4951" spans="1:2" x14ac:dyDescent="0.25">
      <c r="A4951" s="30" t="s">
        <v>7756</v>
      </c>
      <c r="B4951" s="31" t="s">
        <v>7757</v>
      </c>
    </row>
    <row r="4952" spans="1:2" x14ac:dyDescent="0.25">
      <c r="A4952" s="32" t="s">
        <v>7758</v>
      </c>
      <c r="B4952" s="33" t="s">
        <v>7759</v>
      </c>
    </row>
    <row r="4953" spans="1:2" x14ac:dyDescent="0.25">
      <c r="A4953" s="30" t="s">
        <v>11048</v>
      </c>
      <c r="B4953" s="31" t="s">
        <v>11048</v>
      </c>
    </row>
    <row r="4954" spans="1:2" x14ac:dyDescent="0.25">
      <c r="A4954" s="32" t="s">
        <v>11049</v>
      </c>
      <c r="B4954" s="33" t="s">
        <v>11049</v>
      </c>
    </row>
    <row r="4955" spans="1:2" x14ac:dyDescent="0.25">
      <c r="A4955" s="30" t="s">
        <v>7760</v>
      </c>
      <c r="B4955" s="31" t="s">
        <v>7761</v>
      </c>
    </row>
    <row r="4956" spans="1:2" x14ac:dyDescent="0.25">
      <c r="A4956" s="32" t="s">
        <v>7762</v>
      </c>
      <c r="B4956" s="33" t="s">
        <v>7763</v>
      </c>
    </row>
    <row r="4957" spans="1:2" x14ac:dyDescent="0.25">
      <c r="A4957" s="30" t="s">
        <v>261</v>
      </c>
      <c r="B4957" s="31" t="s">
        <v>7764</v>
      </c>
    </row>
    <row r="4958" spans="1:2" x14ac:dyDescent="0.25">
      <c r="A4958" s="32" t="s">
        <v>262</v>
      </c>
      <c r="B4958" s="33" t="s">
        <v>7765</v>
      </c>
    </row>
    <row r="4959" spans="1:2" x14ac:dyDescent="0.25">
      <c r="A4959" s="30" t="s">
        <v>264</v>
      </c>
      <c r="B4959" s="31" t="s">
        <v>7766</v>
      </c>
    </row>
    <row r="4960" spans="1:2" x14ac:dyDescent="0.25">
      <c r="A4960" s="32" t="s">
        <v>265</v>
      </c>
      <c r="B4960" s="33" t="s">
        <v>7767</v>
      </c>
    </row>
    <row r="4961" spans="1:2" x14ac:dyDescent="0.25">
      <c r="A4961" s="30" t="s">
        <v>7768</v>
      </c>
      <c r="B4961" s="31" t="s">
        <v>7769</v>
      </c>
    </row>
    <row r="4962" spans="1:2" x14ac:dyDescent="0.25">
      <c r="A4962" s="32" t="s">
        <v>7770</v>
      </c>
      <c r="B4962" s="33" t="s">
        <v>7771</v>
      </c>
    </row>
    <row r="4963" spans="1:2" x14ac:dyDescent="0.25">
      <c r="A4963" s="30" t="s">
        <v>7772</v>
      </c>
      <c r="B4963" s="31" t="s">
        <v>7773</v>
      </c>
    </row>
    <row r="4964" spans="1:2" x14ac:dyDescent="0.25">
      <c r="A4964" s="32" t="s">
        <v>7774</v>
      </c>
      <c r="B4964" s="33" t="s">
        <v>7775</v>
      </c>
    </row>
    <row r="4965" spans="1:2" x14ac:dyDescent="0.25">
      <c r="A4965" s="30" t="s">
        <v>267</v>
      </c>
      <c r="B4965" s="31" t="s">
        <v>267</v>
      </c>
    </row>
    <row r="4966" spans="1:2" x14ac:dyDescent="0.25">
      <c r="A4966" s="32" t="s">
        <v>11050</v>
      </c>
      <c r="B4966" s="33" t="s">
        <v>11050</v>
      </c>
    </row>
    <row r="4967" spans="1:2" x14ac:dyDescent="0.25">
      <c r="A4967" s="30" t="s">
        <v>7776</v>
      </c>
      <c r="B4967" s="31" t="s">
        <v>7777</v>
      </c>
    </row>
    <row r="4968" spans="1:2" x14ac:dyDescent="0.25">
      <c r="A4968" s="32" t="s">
        <v>7778</v>
      </c>
      <c r="B4968" s="33" t="s">
        <v>7779</v>
      </c>
    </row>
    <row r="4969" spans="1:2" x14ac:dyDescent="0.25">
      <c r="A4969" s="30" t="s">
        <v>7780</v>
      </c>
      <c r="B4969" s="31" t="s">
        <v>7781</v>
      </c>
    </row>
    <row r="4970" spans="1:2" x14ac:dyDescent="0.25">
      <c r="A4970" s="32" t="s">
        <v>11051</v>
      </c>
      <c r="B4970" s="33" t="s">
        <v>11051</v>
      </c>
    </row>
    <row r="4971" spans="1:2" x14ac:dyDescent="0.25">
      <c r="A4971" s="30" t="s">
        <v>7782</v>
      </c>
      <c r="B4971" s="31" t="s">
        <v>7783</v>
      </c>
    </row>
    <row r="4972" spans="1:2" x14ac:dyDescent="0.25">
      <c r="A4972" s="32" t="s">
        <v>7784</v>
      </c>
      <c r="B4972" s="33" t="s">
        <v>7785</v>
      </c>
    </row>
    <row r="4973" spans="1:2" x14ac:dyDescent="0.25">
      <c r="A4973" s="30" t="s">
        <v>11052</v>
      </c>
      <c r="B4973" s="31" t="s">
        <v>11052</v>
      </c>
    </row>
    <row r="4974" spans="1:2" x14ac:dyDescent="0.25">
      <c r="A4974" s="32" t="s">
        <v>269</v>
      </c>
      <c r="B4974" s="33" t="s">
        <v>7786</v>
      </c>
    </row>
    <row r="4975" spans="1:2" x14ac:dyDescent="0.25">
      <c r="A4975" s="30" t="s">
        <v>271</v>
      </c>
      <c r="B4975" s="31" t="s">
        <v>7787</v>
      </c>
    </row>
    <row r="4976" spans="1:2" x14ac:dyDescent="0.25">
      <c r="A4976" s="32" t="s">
        <v>7788</v>
      </c>
      <c r="B4976" s="33" t="s">
        <v>7789</v>
      </c>
    </row>
    <row r="4977" spans="1:2" x14ac:dyDescent="0.25">
      <c r="A4977" s="30" t="s">
        <v>7790</v>
      </c>
      <c r="B4977" s="31" t="s">
        <v>7791</v>
      </c>
    </row>
    <row r="4978" spans="1:2" x14ac:dyDescent="0.25">
      <c r="A4978" s="32" t="s">
        <v>7792</v>
      </c>
      <c r="B4978" s="33" t="s">
        <v>7793</v>
      </c>
    </row>
    <row r="4979" spans="1:2" x14ac:dyDescent="0.25">
      <c r="A4979" s="30" t="s">
        <v>7794</v>
      </c>
      <c r="B4979" s="31" t="s">
        <v>7795</v>
      </c>
    </row>
    <row r="4980" spans="1:2" x14ac:dyDescent="0.25">
      <c r="A4980" s="32" t="s">
        <v>7796</v>
      </c>
      <c r="B4980" s="33" t="s">
        <v>7797</v>
      </c>
    </row>
    <row r="4981" spans="1:2" x14ac:dyDescent="0.25">
      <c r="A4981" s="30" t="s">
        <v>7798</v>
      </c>
      <c r="B4981" s="31" t="s">
        <v>7799</v>
      </c>
    </row>
    <row r="4982" spans="1:2" x14ac:dyDescent="0.25">
      <c r="A4982" s="32" t="s">
        <v>7800</v>
      </c>
      <c r="B4982" s="33" t="s">
        <v>7801</v>
      </c>
    </row>
    <row r="4983" spans="1:2" x14ac:dyDescent="0.25">
      <c r="A4983" s="30" t="s">
        <v>7802</v>
      </c>
      <c r="B4983" s="31" t="s">
        <v>7803</v>
      </c>
    </row>
    <row r="4984" spans="1:2" x14ac:dyDescent="0.25">
      <c r="A4984" s="32" t="s">
        <v>7804</v>
      </c>
      <c r="B4984" s="33" t="s">
        <v>7805</v>
      </c>
    </row>
    <row r="4985" spans="1:2" x14ac:dyDescent="0.25">
      <c r="A4985" s="30" t="s">
        <v>7806</v>
      </c>
      <c r="B4985" s="31" t="s">
        <v>7807</v>
      </c>
    </row>
    <row r="4986" spans="1:2" x14ac:dyDescent="0.25">
      <c r="A4986" s="32" t="s">
        <v>7808</v>
      </c>
      <c r="B4986" s="33" t="s">
        <v>7809</v>
      </c>
    </row>
    <row r="4987" spans="1:2" x14ac:dyDescent="0.25">
      <c r="A4987" s="30" t="s">
        <v>7810</v>
      </c>
      <c r="B4987" s="31" t="s">
        <v>7811</v>
      </c>
    </row>
    <row r="4988" spans="1:2" x14ac:dyDescent="0.25">
      <c r="A4988" s="32" t="s">
        <v>7812</v>
      </c>
      <c r="B4988" s="33" t="s">
        <v>7813</v>
      </c>
    </row>
    <row r="4989" spans="1:2" x14ac:dyDescent="0.25">
      <c r="A4989" s="30" t="s">
        <v>7814</v>
      </c>
      <c r="B4989" s="31" t="s">
        <v>7815</v>
      </c>
    </row>
    <row r="4990" spans="1:2" x14ac:dyDescent="0.25">
      <c r="A4990" s="32" t="s">
        <v>11053</v>
      </c>
      <c r="B4990" s="33" t="s">
        <v>11053</v>
      </c>
    </row>
    <row r="4991" spans="1:2" x14ac:dyDescent="0.25">
      <c r="A4991" s="30" t="s">
        <v>273</v>
      </c>
      <c r="B4991" s="31" t="s">
        <v>7816</v>
      </c>
    </row>
    <row r="4992" spans="1:2" x14ac:dyDescent="0.25">
      <c r="A4992" s="32" t="s">
        <v>7817</v>
      </c>
      <c r="B4992" s="33" t="s">
        <v>7818</v>
      </c>
    </row>
    <row r="4993" spans="1:2" x14ac:dyDescent="0.25">
      <c r="A4993" s="30" t="s">
        <v>7819</v>
      </c>
      <c r="B4993" s="31" t="s">
        <v>7820</v>
      </c>
    </row>
    <row r="4994" spans="1:2" x14ac:dyDescent="0.25">
      <c r="A4994" s="32" t="s">
        <v>7821</v>
      </c>
      <c r="B4994" s="33" t="s">
        <v>7822</v>
      </c>
    </row>
    <row r="4995" spans="1:2" x14ac:dyDescent="0.25">
      <c r="A4995" s="30" t="s">
        <v>11054</v>
      </c>
      <c r="B4995" s="31" t="s">
        <v>11054</v>
      </c>
    </row>
    <row r="4996" spans="1:2" x14ac:dyDescent="0.25">
      <c r="A4996" s="32" t="s">
        <v>7823</v>
      </c>
      <c r="B4996" s="33" t="s">
        <v>7824</v>
      </c>
    </row>
    <row r="4997" spans="1:2" x14ac:dyDescent="0.25">
      <c r="A4997" s="30" t="s">
        <v>7825</v>
      </c>
      <c r="B4997" s="31" t="s">
        <v>7826</v>
      </c>
    </row>
    <row r="4998" spans="1:2" x14ac:dyDescent="0.25">
      <c r="A4998" s="32" t="s">
        <v>7827</v>
      </c>
      <c r="B4998" s="33" t="s">
        <v>7828</v>
      </c>
    </row>
    <row r="4999" spans="1:2" x14ac:dyDescent="0.25">
      <c r="A4999" s="30" t="s">
        <v>7829</v>
      </c>
      <c r="B4999" s="31" t="s">
        <v>7830</v>
      </c>
    </row>
    <row r="5000" spans="1:2" x14ac:dyDescent="0.25">
      <c r="A5000" s="32" t="s">
        <v>7831</v>
      </c>
      <c r="B5000" s="33" t="s">
        <v>7832</v>
      </c>
    </row>
    <row r="5001" spans="1:2" x14ac:dyDescent="0.25">
      <c r="A5001" s="30" t="s">
        <v>7833</v>
      </c>
      <c r="B5001" s="31" t="s">
        <v>7834</v>
      </c>
    </row>
    <row r="5002" spans="1:2" x14ac:dyDescent="0.25">
      <c r="A5002" s="32" t="s">
        <v>7835</v>
      </c>
      <c r="B5002" s="33" t="s">
        <v>7836</v>
      </c>
    </row>
    <row r="5003" spans="1:2" x14ac:dyDescent="0.25">
      <c r="A5003" s="30" t="s">
        <v>274</v>
      </c>
      <c r="B5003" s="31" t="s">
        <v>274</v>
      </c>
    </row>
    <row r="5004" spans="1:2" x14ac:dyDescent="0.25">
      <c r="A5004" s="32" t="s">
        <v>275</v>
      </c>
      <c r="B5004" s="33" t="s">
        <v>7837</v>
      </c>
    </row>
    <row r="5005" spans="1:2" x14ac:dyDescent="0.25">
      <c r="A5005" s="30" t="s">
        <v>7838</v>
      </c>
      <c r="B5005" s="31" t="s">
        <v>7839</v>
      </c>
    </row>
    <row r="5006" spans="1:2" x14ac:dyDescent="0.25">
      <c r="A5006" s="32" t="s">
        <v>276</v>
      </c>
      <c r="B5006" s="33" t="s">
        <v>7840</v>
      </c>
    </row>
    <row r="5007" spans="1:2" x14ac:dyDescent="0.25">
      <c r="A5007" s="30" t="s">
        <v>7841</v>
      </c>
      <c r="B5007" s="31" t="s">
        <v>7842</v>
      </c>
    </row>
    <row r="5008" spans="1:2" x14ac:dyDescent="0.25">
      <c r="A5008" s="32" t="s">
        <v>7843</v>
      </c>
      <c r="B5008" s="33" t="s">
        <v>7844</v>
      </c>
    </row>
    <row r="5009" spans="1:2" x14ac:dyDescent="0.25">
      <c r="A5009" s="30" t="s">
        <v>277</v>
      </c>
      <c r="B5009" s="31" t="s">
        <v>7845</v>
      </c>
    </row>
    <row r="5010" spans="1:2" x14ac:dyDescent="0.25">
      <c r="A5010" s="32" t="s">
        <v>7846</v>
      </c>
      <c r="B5010" s="33" t="s">
        <v>7847</v>
      </c>
    </row>
    <row r="5011" spans="1:2" x14ac:dyDescent="0.25">
      <c r="A5011" s="30" t="s">
        <v>7848</v>
      </c>
      <c r="B5011" s="31" t="s">
        <v>7849</v>
      </c>
    </row>
    <row r="5012" spans="1:2" x14ac:dyDescent="0.25">
      <c r="A5012" s="32" t="s">
        <v>7850</v>
      </c>
      <c r="B5012" s="33" t="s">
        <v>7851</v>
      </c>
    </row>
    <row r="5013" spans="1:2" x14ac:dyDescent="0.25">
      <c r="A5013" s="30" t="s">
        <v>7852</v>
      </c>
      <c r="B5013" s="31" t="s">
        <v>7853</v>
      </c>
    </row>
    <row r="5014" spans="1:2" x14ac:dyDescent="0.25">
      <c r="A5014" s="32" t="s">
        <v>7854</v>
      </c>
      <c r="B5014" s="33" t="s">
        <v>7855</v>
      </c>
    </row>
    <row r="5015" spans="1:2" x14ac:dyDescent="0.25">
      <c r="A5015" s="30" t="s">
        <v>278</v>
      </c>
      <c r="B5015" s="31" t="s">
        <v>7856</v>
      </c>
    </row>
    <row r="5016" spans="1:2" x14ac:dyDescent="0.25">
      <c r="A5016" s="32" t="s">
        <v>7857</v>
      </c>
      <c r="B5016" s="33" t="s">
        <v>7858</v>
      </c>
    </row>
    <row r="5017" spans="1:2" x14ac:dyDescent="0.25">
      <c r="A5017" s="30" t="s">
        <v>7859</v>
      </c>
      <c r="B5017" s="31" t="s">
        <v>7860</v>
      </c>
    </row>
    <row r="5018" spans="1:2" x14ac:dyDescent="0.25">
      <c r="A5018" s="32" t="s">
        <v>7861</v>
      </c>
      <c r="B5018" s="33" t="s">
        <v>7862</v>
      </c>
    </row>
    <row r="5019" spans="1:2" x14ac:dyDescent="0.25">
      <c r="A5019" s="30" t="s">
        <v>11055</v>
      </c>
      <c r="B5019" s="31" t="s">
        <v>11055</v>
      </c>
    </row>
    <row r="5020" spans="1:2" x14ac:dyDescent="0.25">
      <c r="A5020" s="32" t="s">
        <v>279</v>
      </c>
      <c r="B5020" s="33" t="s">
        <v>279</v>
      </c>
    </row>
    <row r="5021" spans="1:2" x14ac:dyDescent="0.25">
      <c r="A5021" s="30" t="s">
        <v>7863</v>
      </c>
      <c r="B5021" s="31" t="s">
        <v>7864</v>
      </c>
    </row>
    <row r="5022" spans="1:2" x14ac:dyDescent="0.25">
      <c r="A5022" s="32" t="s">
        <v>281</v>
      </c>
      <c r="B5022" s="33" t="s">
        <v>281</v>
      </c>
    </row>
    <row r="5023" spans="1:2" x14ac:dyDescent="0.25">
      <c r="A5023" s="30" t="s">
        <v>7865</v>
      </c>
      <c r="B5023" s="31" t="s">
        <v>7866</v>
      </c>
    </row>
    <row r="5024" spans="1:2" x14ac:dyDescent="0.25">
      <c r="A5024" s="32" t="s">
        <v>11056</v>
      </c>
      <c r="B5024" s="33" t="s">
        <v>11056</v>
      </c>
    </row>
    <row r="5025" spans="1:2" x14ac:dyDescent="0.25">
      <c r="A5025" s="30" t="s">
        <v>282</v>
      </c>
      <c r="B5025" s="31" t="s">
        <v>282</v>
      </c>
    </row>
    <row r="5026" spans="1:2" x14ac:dyDescent="0.25">
      <c r="A5026" s="32" t="s">
        <v>11057</v>
      </c>
      <c r="B5026" s="33" t="s">
        <v>11057</v>
      </c>
    </row>
    <row r="5027" spans="1:2" x14ac:dyDescent="0.25">
      <c r="A5027" s="30" t="s">
        <v>7867</v>
      </c>
      <c r="B5027" s="31" t="s">
        <v>7868</v>
      </c>
    </row>
    <row r="5028" spans="1:2" x14ac:dyDescent="0.25">
      <c r="A5028" s="32" t="s">
        <v>283</v>
      </c>
      <c r="B5028" s="33" t="s">
        <v>7869</v>
      </c>
    </row>
    <row r="5029" spans="1:2" x14ac:dyDescent="0.25">
      <c r="A5029" s="30" t="s">
        <v>7870</v>
      </c>
      <c r="B5029" s="31" t="s">
        <v>7871</v>
      </c>
    </row>
    <row r="5030" spans="1:2" x14ac:dyDescent="0.25">
      <c r="A5030" s="32" t="s">
        <v>7872</v>
      </c>
      <c r="B5030" s="33" t="s">
        <v>7873</v>
      </c>
    </row>
    <row r="5031" spans="1:2" x14ac:dyDescent="0.25">
      <c r="A5031" s="30" t="s">
        <v>7874</v>
      </c>
      <c r="B5031" s="31" t="s">
        <v>7875</v>
      </c>
    </row>
    <row r="5032" spans="1:2" x14ac:dyDescent="0.25">
      <c r="A5032" s="32" t="s">
        <v>285</v>
      </c>
      <c r="B5032" s="33" t="s">
        <v>7876</v>
      </c>
    </row>
    <row r="5033" spans="1:2" x14ac:dyDescent="0.25">
      <c r="A5033" s="30" t="s">
        <v>286</v>
      </c>
      <c r="B5033" s="31" t="s">
        <v>286</v>
      </c>
    </row>
    <row r="5034" spans="1:2" x14ac:dyDescent="0.25">
      <c r="A5034" s="32" t="s">
        <v>7877</v>
      </c>
      <c r="B5034" s="33" t="s">
        <v>7878</v>
      </c>
    </row>
    <row r="5035" spans="1:2" x14ac:dyDescent="0.25">
      <c r="A5035" s="30" t="s">
        <v>7879</v>
      </c>
      <c r="B5035" s="31" t="s">
        <v>7880</v>
      </c>
    </row>
    <row r="5036" spans="1:2" x14ac:dyDescent="0.25">
      <c r="A5036" s="32" t="s">
        <v>7881</v>
      </c>
      <c r="B5036" s="33" t="s">
        <v>7882</v>
      </c>
    </row>
    <row r="5037" spans="1:2" x14ac:dyDescent="0.25">
      <c r="A5037" s="30" t="s">
        <v>7883</v>
      </c>
      <c r="B5037" s="31" t="s">
        <v>7884</v>
      </c>
    </row>
    <row r="5038" spans="1:2" x14ac:dyDescent="0.25">
      <c r="A5038" s="32" t="s">
        <v>287</v>
      </c>
      <c r="B5038" s="33" t="s">
        <v>7885</v>
      </c>
    </row>
    <row r="5039" spans="1:2" x14ac:dyDescent="0.25">
      <c r="A5039" s="30" t="s">
        <v>7886</v>
      </c>
      <c r="B5039" s="31" t="s">
        <v>7887</v>
      </c>
    </row>
    <row r="5040" spans="1:2" x14ac:dyDescent="0.25">
      <c r="A5040" s="32" t="s">
        <v>7888</v>
      </c>
      <c r="B5040" s="33" t="s">
        <v>7889</v>
      </c>
    </row>
    <row r="5041" spans="1:2" x14ac:dyDescent="0.25">
      <c r="A5041" s="30" t="s">
        <v>7890</v>
      </c>
      <c r="B5041" s="31" t="s">
        <v>7891</v>
      </c>
    </row>
    <row r="5042" spans="1:2" x14ac:dyDescent="0.25">
      <c r="A5042" s="32" t="s">
        <v>288</v>
      </c>
      <c r="B5042" s="33" t="s">
        <v>7892</v>
      </c>
    </row>
    <row r="5043" spans="1:2" x14ac:dyDescent="0.25">
      <c r="A5043" s="30" t="s">
        <v>7893</v>
      </c>
      <c r="B5043" s="31" t="s">
        <v>7894</v>
      </c>
    </row>
    <row r="5044" spans="1:2" x14ac:dyDescent="0.25">
      <c r="A5044" s="32" t="s">
        <v>11058</v>
      </c>
      <c r="B5044" s="33" t="s">
        <v>11058</v>
      </c>
    </row>
    <row r="5045" spans="1:2" x14ac:dyDescent="0.25">
      <c r="A5045" s="30" t="s">
        <v>289</v>
      </c>
      <c r="B5045" s="31" t="s">
        <v>289</v>
      </c>
    </row>
    <row r="5046" spans="1:2" x14ac:dyDescent="0.25">
      <c r="A5046" s="32" t="s">
        <v>7895</v>
      </c>
      <c r="B5046" s="33" t="s">
        <v>7896</v>
      </c>
    </row>
    <row r="5047" spans="1:2" x14ac:dyDescent="0.25">
      <c r="A5047" s="30" t="s">
        <v>7897</v>
      </c>
      <c r="B5047" s="31" t="s">
        <v>7898</v>
      </c>
    </row>
    <row r="5048" spans="1:2" x14ac:dyDescent="0.25">
      <c r="A5048" s="32" t="s">
        <v>7899</v>
      </c>
      <c r="B5048" s="33" t="s">
        <v>7900</v>
      </c>
    </row>
    <row r="5049" spans="1:2" x14ac:dyDescent="0.25">
      <c r="A5049" s="30" t="s">
        <v>7901</v>
      </c>
      <c r="B5049" s="31" t="s">
        <v>7902</v>
      </c>
    </row>
    <row r="5050" spans="1:2" x14ac:dyDescent="0.25">
      <c r="A5050" s="32" t="s">
        <v>291</v>
      </c>
      <c r="B5050" s="33" t="s">
        <v>7903</v>
      </c>
    </row>
    <row r="5051" spans="1:2" x14ac:dyDescent="0.25">
      <c r="A5051" s="30" t="s">
        <v>7904</v>
      </c>
      <c r="B5051" s="31" t="s">
        <v>7905</v>
      </c>
    </row>
    <row r="5052" spans="1:2" x14ac:dyDescent="0.25">
      <c r="A5052" s="32" t="s">
        <v>292</v>
      </c>
      <c r="B5052" s="33" t="s">
        <v>7906</v>
      </c>
    </row>
    <row r="5053" spans="1:2" x14ac:dyDescent="0.25">
      <c r="A5053" s="30" t="s">
        <v>7907</v>
      </c>
      <c r="B5053" s="31" t="s">
        <v>7908</v>
      </c>
    </row>
    <row r="5054" spans="1:2" x14ac:dyDescent="0.25">
      <c r="A5054" s="32" t="s">
        <v>7909</v>
      </c>
      <c r="B5054" s="33" t="s">
        <v>7910</v>
      </c>
    </row>
    <row r="5055" spans="1:2" x14ac:dyDescent="0.25">
      <c r="A5055" s="30" t="s">
        <v>7911</v>
      </c>
      <c r="B5055" s="31" t="s">
        <v>7912</v>
      </c>
    </row>
    <row r="5056" spans="1:2" x14ac:dyDescent="0.25">
      <c r="A5056" s="32" t="s">
        <v>294</v>
      </c>
      <c r="B5056" s="33" t="s">
        <v>7913</v>
      </c>
    </row>
    <row r="5057" spans="1:2" x14ac:dyDescent="0.25">
      <c r="A5057" s="30" t="s">
        <v>11059</v>
      </c>
      <c r="B5057" s="31" t="s">
        <v>11059</v>
      </c>
    </row>
    <row r="5058" spans="1:2" x14ac:dyDescent="0.25">
      <c r="A5058" s="32" t="s">
        <v>295</v>
      </c>
      <c r="B5058" s="33" t="s">
        <v>7914</v>
      </c>
    </row>
    <row r="5059" spans="1:2" x14ac:dyDescent="0.25">
      <c r="A5059" s="30" t="s">
        <v>11060</v>
      </c>
      <c r="B5059" s="31" t="s">
        <v>11060</v>
      </c>
    </row>
    <row r="5060" spans="1:2" x14ac:dyDescent="0.25">
      <c r="A5060" s="32" t="s">
        <v>296</v>
      </c>
      <c r="B5060" s="33" t="s">
        <v>7915</v>
      </c>
    </row>
    <row r="5061" spans="1:2" x14ac:dyDescent="0.25">
      <c r="A5061" s="30" t="s">
        <v>7916</v>
      </c>
      <c r="B5061" s="31" t="s">
        <v>7917</v>
      </c>
    </row>
    <row r="5062" spans="1:2" x14ac:dyDescent="0.25">
      <c r="A5062" s="32" t="s">
        <v>297</v>
      </c>
      <c r="B5062" s="33" t="s">
        <v>7918</v>
      </c>
    </row>
    <row r="5063" spans="1:2" x14ac:dyDescent="0.25">
      <c r="A5063" s="30" t="s">
        <v>11061</v>
      </c>
      <c r="B5063" s="31" t="s">
        <v>11061</v>
      </c>
    </row>
    <row r="5064" spans="1:2" x14ac:dyDescent="0.25">
      <c r="A5064" s="32" t="s">
        <v>7919</v>
      </c>
      <c r="B5064" s="33" t="s">
        <v>7920</v>
      </c>
    </row>
    <row r="5065" spans="1:2" x14ac:dyDescent="0.25">
      <c r="A5065" s="30" t="s">
        <v>11062</v>
      </c>
      <c r="B5065" s="31" t="s">
        <v>11062</v>
      </c>
    </row>
    <row r="5066" spans="1:2" x14ac:dyDescent="0.25">
      <c r="A5066" s="32" t="s">
        <v>11063</v>
      </c>
      <c r="B5066" s="33" t="s">
        <v>11063</v>
      </c>
    </row>
    <row r="5067" spans="1:2" x14ac:dyDescent="0.25">
      <c r="A5067" s="30" t="s">
        <v>7921</v>
      </c>
      <c r="B5067" s="31" t="s">
        <v>7922</v>
      </c>
    </row>
    <row r="5068" spans="1:2" x14ac:dyDescent="0.25">
      <c r="A5068" s="32" t="s">
        <v>11064</v>
      </c>
      <c r="B5068" s="33" t="s">
        <v>11064</v>
      </c>
    </row>
    <row r="5069" spans="1:2" x14ac:dyDescent="0.25">
      <c r="A5069" s="30" t="s">
        <v>7923</v>
      </c>
      <c r="B5069" s="31" t="s">
        <v>7924</v>
      </c>
    </row>
    <row r="5070" spans="1:2" x14ac:dyDescent="0.25">
      <c r="A5070" s="32" t="s">
        <v>298</v>
      </c>
      <c r="B5070" s="33" t="s">
        <v>7925</v>
      </c>
    </row>
    <row r="5071" spans="1:2" x14ac:dyDescent="0.25">
      <c r="A5071" s="30" t="s">
        <v>11065</v>
      </c>
      <c r="B5071" s="31" t="s">
        <v>11065</v>
      </c>
    </row>
    <row r="5072" spans="1:2" x14ac:dyDescent="0.25">
      <c r="A5072" s="32" t="s">
        <v>299</v>
      </c>
      <c r="B5072" s="33" t="s">
        <v>7926</v>
      </c>
    </row>
    <row r="5073" spans="1:2" x14ac:dyDescent="0.25">
      <c r="A5073" s="30" t="s">
        <v>300</v>
      </c>
      <c r="B5073" s="31" t="s">
        <v>7927</v>
      </c>
    </row>
    <row r="5074" spans="1:2" x14ac:dyDescent="0.25">
      <c r="A5074" s="32" t="s">
        <v>7928</v>
      </c>
      <c r="B5074" s="33" t="s">
        <v>7929</v>
      </c>
    </row>
    <row r="5075" spans="1:2" x14ac:dyDescent="0.25">
      <c r="A5075" s="30" t="s">
        <v>301</v>
      </c>
      <c r="B5075" s="31" t="s">
        <v>7930</v>
      </c>
    </row>
    <row r="5076" spans="1:2" x14ac:dyDescent="0.25">
      <c r="A5076" s="32" t="s">
        <v>7931</v>
      </c>
      <c r="B5076" s="33" t="s">
        <v>7932</v>
      </c>
    </row>
    <row r="5077" spans="1:2" x14ac:dyDescent="0.25">
      <c r="A5077" s="30" t="s">
        <v>302</v>
      </c>
      <c r="B5077" s="31" t="s">
        <v>7933</v>
      </c>
    </row>
    <row r="5078" spans="1:2" x14ac:dyDescent="0.25">
      <c r="A5078" s="32" t="s">
        <v>303</v>
      </c>
      <c r="B5078" s="33" t="s">
        <v>7934</v>
      </c>
    </row>
    <row r="5079" spans="1:2" x14ac:dyDescent="0.25">
      <c r="A5079" s="30" t="s">
        <v>7935</v>
      </c>
      <c r="B5079" s="31" t="s">
        <v>7936</v>
      </c>
    </row>
    <row r="5080" spans="1:2" x14ac:dyDescent="0.25">
      <c r="A5080" s="32" t="s">
        <v>305</v>
      </c>
      <c r="B5080" s="33" t="s">
        <v>7937</v>
      </c>
    </row>
    <row r="5081" spans="1:2" x14ac:dyDescent="0.25">
      <c r="A5081" s="30" t="s">
        <v>306</v>
      </c>
      <c r="B5081" s="31" t="s">
        <v>7938</v>
      </c>
    </row>
    <row r="5082" spans="1:2" x14ac:dyDescent="0.25">
      <c r="A5082" s="32" t="s">
        <v>307</v>
      </c>
      <c r="B5082" s="33" t="s">
        <v>7939</v>
      </c>
    </row>
    <row r="5083" spans="1:2" x14ac:dyDescent="0.25">
      <c r="A5083" s="30" t="s">
        <v>7940</v>
      </c>
      <c r="B5083" s="31" t="s">
        <v>7941</v>
      </c>
    </row>
    <row r="5084" spans="1:2" x14ac:dyDescent="0.25">
      <c r="A5084" s="32" t="s">
        <v>7942</v>
      </c>
      <c r="B5084" s="33" t="s">
        <v>7943</v>
      </c>
    </row>
    <row r="5085" spans="1:2" x14ac:dyDescent="0.25">
      <c r="A5085" s="30" t="s">
        <v>7944</v>
      </c>
      <c r="B5085" s="31" t="s">
        <v>7945</v>
      </c>
    </row>
    <row r="5086" spans="1:2" x14ac:dyDescent="0.25">
      <c r="A5086" s="32" t="s">
        <v>308</v>
      </c>
      <c r="B5086" s="33" t="s">
        <v>7946</v>
      </c>
    </row>
    <row r="5087" spans="1:2" x14ac:dyDescent="0.25">
      <c r="A5087" s="30" t="s">
        <v>309</v>
      </c>
      <c r="B5087" s="31" t="s">
        <v>7947</v>
      </c>
    </row>
    <row r="5088" spans="1:2" x14ac:dyDescent="0.25">
      <c r="A5088" s="32" t="s">
        <v>310</v>
      </c>
      <c r="B5088" s="33" t="s">
        <v>7948</v>
      </c>
    </row>
    <row r="5089" spans="1:2" x14ac:dyDescent="0.25">
      <c r="A5089" s="30" t="s">
        <v>7949</v>
      </c>
      <c r="B5089" s="31" t="s">
        <v>7950</v>
      </c>
    </row>
    <row r="5090" spans="1:2" x14ac:dyDescent="0.25">
      <c r="A5090" s="32" t="s">
        <v>7951</v>
      </c>
      <c r="B5090" s="33" t="s">
        <v>7952</v>
      </c>
    </row>
    <row r="5091" spans="1:2" x14ac:dyDescent="0.25">
      <c r="A5091" s="30" t="s">
        <v>311</v>
      </c>
      <c r="B5091" s="31" t="s">
        <v>7953</v>
      </c>
    </row>
    <row r="5092" spans="1:2" x14ac:dyDescent="0.25">
      <c r="A5092" s="32" t="s">
        <v>312</v>
      </c>
      <c r="B5092" s="33" t="s">
        <v>312</v>
      </c>
    </row>
    <row r="5093" spans="1:2" x14ac:dyDescent="0.25">
      <c r="A5093" s="30" t="s">
        <v>11066</v>
      </c>
      <c r="B5093" s="31" t="s">
        <v>11066</v>
      </c>
    </row>
    <row r="5094" spans="1:2" x14ac:dyDescent="0.25">
      <c r="A5094" s="32" t="s">
        <v>313</v>
      </c>
      <c r="B5094" s="33" t="s">
        <v>313</v>
      </c>
    </row>
    <row r="5095" spans="1:2" x14ac:dyDescent="0.25">
      <c r="A5095" s="30" t="s">
        <v>314</v>
      </c>
      <c r="B5095" s="31" t="s">
        <v>7954</v>
      </c>
    </row>
    <row r="5096" spans="1:2" x14ac:dyDescent="0.25">
      <c r="A5096" s="32" t="s">
        <v>7955</v>
      </c>
      <c r="B5096" s="33" t="s">
        <v>7956</v>
      </c>
    </row>
    <row r="5097" spans="1:2" x14ac:dyDescent="0.25">
      <c r="A5097" s="30" t="s">
        <v>7957</v>
      </c>
      <c r="B5097" s="31" t="s">
        <v>7958</v>
      </c>
    </row>
    <row r="5098" spans="1:2" x14ac:dyDescent="0.25">
      <c r="A5098" s="32" t="s">
        <v>7959</v>
      </c>
      <c r="B5098" s="33" t="s">
        <v>7960</v>
      </c>
    </row>
    <row r="5099" spans="1:2" x14ac:dyDescent="0.25">
      <c r="A5099" s="30" t="s">
        <v>7961</v>
      </c>
      <c r="B5099" s="31" t="s">
        <v>7962</v>
      </c>
    </row>
    <row r="5100" spans="1:2" x14ac:dyDescent="0.25">
      <c r="A5100" s="32" t="s">
        <v>7963</v>
      </c>
      <c r="B5100" s="33" t="s">
        <v>7964</v>
      </c>
    </row>
    <row r="5101" spans="1:2" x14ac:dyDescent="0.25">
      <c r="A5101" s="30" t="s">
        <v>11067</v>
      </c>
      <c r="B5101" s="31" t="s">
        <v>11067</v>
      </c>
    </row>
    <row r="5102" spans="1:2" x14ac:dyDescent="0.25">
      <c r="A5102" s="32" t="s">
        <v>7965</v>
      </c>
      <c r="B5102" s="33" t="s">
        <v>7966</v>
      </c>
    </row>
    <row r="5103" spans="1:2" x14ac:dyDescent="0.25">
      <c r="A5103" s="30" t="s">
        <v>7967</v>
      </c>
      <c r="B5103" s="31" t="s">
        <v>7968</v>
      </c>
    </row>
    <row r="5104" spans="1:2" x14ac:dyDescent="0.25">
      <c r="A5104" s="32" t="s">
        <v>7969</v>
      </c>
      <c r="B5104" s="33" t="s">
        <v>7970</v>
      </c>
    </row>
    <row r="5105" spans="1:2" x14ac:dyDescent="0.25">
      <c r="A5105" s="30" t="s">
        <v>7971</v>
      </c>
      <c r="B5105" s="31" t="s">
        <v>7972</v>
      </c>
    </row>
    <row r="5106" spans="1:2" x14ac:dyDescent="0.25">
      <c r="A5106" s="32" t="s">
        <v>7973</v>
      </c>
      <c r="B5106" s="33" t="s">
        <v>7974</v>
      </c>
    </row>
    <row r="5107" spans="1:2" x14ac:dyDescent="0.25">
      <c r="A5107" s="30" t="s">
        <v>11068</v>
      </c>
      <c r="B5107" s="31" t="s">
        <v>11068</v>
      </c>
    </row>
    <row r="5108" spans="1:2" x14ac:dyDescent="0.25">
      <c r="A5108" s="32" t="s">
        <v>7975</v>
      </c>
      <c r="B5108" s="33" t="s">
        <v>7976</v>
      </c>
    </row>
    <row r="5109" spans="1:2" x14ac:dyDescent="0.25">
      <c r="A5109" s="30" t="s">
        <v>11069</v>
      </c>
      <c r="B5109" s="31" t="s">
        <v>11069</v>
      </c>
    </row>
    <row r="5110" spans="1:2" x14ac:dyDescent="0.25">
      <c r="A5110" s="32" t="s">
        <v>7977</v>
      </c>
      <c r="B5110" s="33" t="s">
        <v>7978</v>
      </c>
    </row>
    <row r="5111" spans="1:2" x14ac:dyDescent="0.25">
      <c r="A5111" s="30" t="s">
        <v>7979</v>
      </c>
      <c r="B5111" s="31" t="s">
        <v>7980</v>
      </c>
    </row>
    <row r="5112" spans="1:2" x14ac:dyDescent="0.25">
      <c r="A5112" s="32" t="s">
        <v>11070</v>
      </c>
      <c r="B5112" s="33" t="s">
        <v>11070</v>
      </c>
    </row>
    <row r="5113" spans="1:2" x14ac:dyDescent="0.25">
      <c r="A5113" s="30" t="s">
        <v>7981</v>
      </c>
      <c r="B5113" s="31" t="s">
        <v>7982</v>
      </c>
    </row>
    <row r="5114" spans="1:2" x14ac:dyDescent="0.25">
      <c r="A5114" s="32" t="s">
        <v>11071</v>
      </c>
      <c r="B5114" s="33" t="s">
        <v>11071</v>
      </c>
    </row>
    <row r="5115" spans="1:2" x14ac:dyDescent="0.25">
      <c r="A5115" s="30" t="s">
        <v>11072</v>
      </c>
      <c r="B5115" s="31" t="s">
        <v>11072</v>
      </c>
    </row>
    <row r="5116" spans="1:2" x14ac:dyDescent="0.25">
      <c r="A5116" s="32" t="s">
        <v>7983</v>
      </c>
      <c r="B5116" s="33" t="s">
        <v>7984</v>
      </c>
    </row>
    <row r="5117" spans="1:2" x14ac:dyDescent="0.25">
      <c r="A5117" s="30" t="s">
        <v>7985</v>
      </c>
      <c r="B5117" s="31" t="s">
        <v>7986</v>
      </c>
    </row>
    <row r="5118" spans="1:2" x14ac:dyDescent="0.25">
      <c r="A5118" s="32" t="s">
        <v>7987</v>
      </c>
      <c r="B5118" s="33" t="s">
        <v>7988</v>
      </c>
    </row>
    <row r="5119" spans="1:2" x14ac:dyDescent="0.25">
      <c r="A5119" s="30" t="s">
        <v>11073</v>
      </c>
      <c r="B5119" s="31" t="s">
        <v>11073</v>
      </c>
    </row>
    <row r="5120" spans="1:2" x14ac:dyDescent="0.25">
      <c r="A5120" s="32" t="s">
        <v>11074</v>
      </c>
      <c r="B5120" s="33" t="s">
        <v>11074</v>
      </c>
    </row>
    <row r="5121" spans="1:2" x14ac:dyDescent="0.25">
      <c r="A5121" s="30" t="s">
        <v>7989</v>
      </c>
      <c r="B5121" s="31" t="s">
        <v>7990</v>
      </c>
    </row>
    <row r="5122" spans="1:2" x14ac:dyDescent="0.25">
      <c r="A5122" s="32" t="s">
        <v>7991</v>
      </c>
      <c r="B5122" s="33" t="s">
        <v>7992</v>
      </c>
    </row>
    <row r="5123" spans="1:2" x14ac:dyDescent="0.25">
      <c r="A5123" s="30" t="s">
        <v>7993</v>
      </c>
      <c r="B5123" s="31" t="s">
        <v>7994</v>
      </c>
    </row>
    <row r="5124" spans="1:2" x14ac:dyDescent="0.25">
      <c r="A5124" s="32" t="s">
        <v>7995</v>
      </c>
      <c r="B5124" s="33" t="s">
        <v>7996</v>
      </c>
    </row>
    <row r="5125" spans="1:2" x14ac:dyDescent="0.25">
      <c r="A5125" s="30" t="s">
        <v>11075</v>
      </c>
      <c r="B5125" s="31" t="s">
        <v>11075</v>
      </c>
    </row>
    <row r="5126" spans="1:2" x14ac:dyDescent="0.25">
      <c r="A5126" s="32" t="s">
        <v>7997</v>
      </c>
      <c r="B5126" s="33" t="s">
        <v>7998</v>
      </c>
    </row>
    <row r="5127" spans="1:2" x14ac:dyDescent="0.25">
      <c r="A5127" s="30" t="s">
        <v>7999</v>
      </c>
      <c r="B5127" s="31" t="s">
        <v>8000</v>
      </c>
    </row>
    <row r="5128" spans="1:2" x14ac:dyDescent="0.25">
      <c r="A5128" s="32" t="s">
        <v>8001</v>
      </c>
      <c r="B5128" s="33" t="s">
        <v>8002</v>
      </c>
    </row>
    <row r="5129" spans="1:2" x14ac:dyDescent="0.25">
      <c r="A5129" s="30" t="s">
        <v>8003</v>
      </c>
      <c r="B5129" s="31" t="s">
        <v>8004</v>
      </c>
    </row>
    <row r="5130" spans="1:2" x14ac:dyDescent="0.25">
      <c r="A5130" s="32" t="s">
        <v>11076</v>
      </c>
      <c r="B5130" s="33" t="s">
        <v>11076</v>
      </c>
    </row>
    <row r="5131" spans="1:2" x14ac:dyDescent="0.25">
      <c r="A5131" s="30" t="s">
        <v>11077</v>
      </c>
      <c r="B5131" s="31" t="s">
        <v>11077</v>
      </c>
    </row>
    <row r="5132" spans="1:2" x14ac:dyDescent="0.25">
      <c r="A5132" s="32" t="s">
        <v>8005</v>
      </c>
      <c r="B5132" s="33" t="s">
        <v>8006</v>
      </c>
    </row>
    <row r="5133" spans="1:2" x14ac:dyDescent="0.25">
      <c r="A5133" s="30" t="s">
        <v>11078</v>
      </c>
      <c r="B5133" s="31" t="s">
        <v>11078</v>
      </c>
    </row>
    <row r="5134" spans="1:2" x14ac:dyDescent="0.25">
      <c r="A5134" s="32" t="s">
        <v>8007</v>
      </c>
      <c r="B5134" s="33" t="s">
        <v>8008</v>
      </c>
    </row>
    <row r="5135" spans="1:2" x14ac:dyDescent="0.25">
      <c r="A5135" s="30" t="s">
        <v>8009</v>
      </c>
      <c r="B5135" s="31" t="s">
        <v>8010</v>
      </c>
    </row>
    <row r="5136" spans="1:2" x14ac:dyDescent="0.25">
      <c r="A5136" s="32" t="s">
        <v>8011</v>
      </c>
      <c r="B5136" s="33" t="s">
        <v>8012</v>
      </c>
    </row>
    <row r="5137" spans="1:2" x14ac:dyDescent="0.25">
      <c r="A5137" s="30" t="s">
        <v>8013</v>
      </c>
      <c r="B5137" s="31" t="s">
        <v>8014</v>
      </c>
    </row>
    <row r="5138" spans="1:2" x14ac:dyDescent="0.25">
      <c r="A5138" s="32" t="s">
        <v>8015</v>
      </c>
      <c r="B5138" s="33" t="s">
        <v>8016</v>
      </c>
    </row>
    <row r="5139" spans="1:2" x14ac:dyDescent="0.25">
      <c r="A5139" s="30" t="s">
        <v>8017</v>
      </c>
      <c r="B5139" s="31" t="s">
        <v>8018</v>
      </c>
    </row>
    <row r="5140" spans="1:2" x14ac:dyDescent="0.25">
      <c r="A5140" s="32" t="s">
        <v>11079</v>
      </c>
      <c r="B5140" s="33" t="s">
        <v>11079</v>
      </c>
    </row>
    <row r="5141" spans="1:2" x14ac:dyDescent="0.25">
      <c r="A5141" s="30" t="s">
        <v>11080</v>
      </c>
      <c r="B5141" s="31" t="s">
        <v>11080</v>
      </c>
    </row>
    <row r="5142" spans="1:2" x14ac:dyDescent="0.25">
      <c r="A5142" s="32" t="s">
        <v>920</v>
      </c>
      <c r="B5142" s="33" t="s">
        <v>8019</v>
      </c>
    </row>
    <row r="5143" spans="1:2" x14ac:dyDescent="0.25">
      <c r="A5143" s="30" t="s">
        <v>8020</v>
      </c>
      <c r="B5143" s="31" t="s">
        <v>8021</v>
      </c>
    </row>
    <row r="5144" spans="1:2" x14ac:dyDescent="0.25">
      <c r="A5144" s="32" t="s">
        <v>8022</v>
      </c>
      <c r="B5144" s="33" t="s">
        <v>8023</v>
      </c>
    </row>
    <row r="5145" spans="1:2" x14ac:dyDescent="0.25">
      <c r="A5145" s="30" t="s">
        <v>8024</v>
      </c>
      <c r="B5145" s="31" t="s">
        <v>8025</v>
      </c>
    </row>
    <row r="5146" spans="1:2" x14ac:dyDescent="0.25">
      <c r="A5146" s="32" t="s">
        <v>8026</v>
      </c>
      <c r="B5146" s="33" t="s">
        <v>8027</v>
      </c>
    </row>
    <row r="5147" spans="1:2" x14ac:dyDescent="0.25">
      <c r="A5147" s="30" t="s">
        <v>11081</v>
      </c>
      <c r="B5147" s="31" t="s">
        <v>11081</v>
      </c>
    </row>
    <row r="5148" spans="1:2" x14ac:dyDescent="0.25">
      <c r="A5148" s="32" t="s">
        <v>11082</v>
      </c>
      <c r="B5148" s="33" t="s">
        <v>11082</v>
      </c>
    </row>
    <row r="5149" spans="1:2" x14ac:dyDescent="0.25">
      <c r="A5149" s="30" t="s">
        <v>11083</v>
      </c>
      <c r="B5149" s="31" t="s">
        <v>11083</v>
      </c>
    </row>
    <row r="5150" spans="1:2" x14ac:dyDescent="0.25">
      <c r="A5150" s="32" t="s">
        <v>8028</v>
      </c>
      <c r="B5150" s="33" t="s">
        <v>8029</v>
      </c>
    </row>
    <row r="5151" spans="1:2" x14ac:dyDescent="0.25">
      <c r="A5151" s="30" t="s">
        <v>8030</v>
      </c>
      <c r="B5151" s="31" t="s">
        <v>8031</v>
      </c>
    </row>
    <row r="5152" spans="1:2" x14ac:dyDescent="0.25">
      <c r="A5152" s="32" t="s">
        <v>8032</v>
      </c>
      <c r="B5152" s="33" t="s">
        <v>8033</v>
      </c>
    </row>
    <row r="5153" spans="1:2" x14ac:dyDescent="0.25">
      <c r="A5153" s="30" t="s">
        <v>8034</v>
      </c>
      <c r="B5153" s="31" t="s">
        <v>8035</v>
      </c>
    </row>
    <row r="5154" spans="1:2" x14ac:dyDescent="0.25">
      <c r="A5154" s="32" t="s">
        <v>11084</v>
      </c>
      <c r="B5154" s="33" t="s">
        <v>11084</v>
      </c>
    </row>
    <row r="5155" spans="1:2" x14ac:dyDescent="0.25">
      <c r="A5155" s="30" t="s">
        <v>8036</v>
      </c>
      <c r="B5155" s="31" t="s">
        <v>8037</v>
      </c>
    </row>
    <row r="5156" spans="1:2" x14ac:dyDescent="0.25">
      <c r="A5156" s="32" t="s">
        <v>8038</v>
      </c>
      <c r="B5156" s="33" t="s">
        <v>8039</v>
      </c>
    </row>
    <row r="5157" spans="1:2" x14ac:dyDescent="0.25">
      <c r="A5157" s="30" t="s">
        <v>8040</v>
      </c>
      <c r="B5157" s="31" t="s">
        <v>8041</v>
      </c>
    </row>
    <row r="5158" spans="1:2" x14ac:dyDescent="0.25">
      <c r="A5158" s="32" t="s">
        <v>8042</v>
      </c>
      <c r="B5158" s="33" t="s">
        <v>8043</v>
      </c>
    </row>
    <row r="5159" spans="1:2" x14ac:dyDescent="0.25">
      <c r="A5159" s="30" t="s">
        <v>8044</v>
      </c>
      <c r="B5159" s="31" t="s">
        <v>8045</v>
      </c>
    </row>
    <row r="5160" spans="1:2" x14ac:dyDescent="0.25">
      <c r="A5160" s="32" t="s">
        <v>8046</v>
      </c>
      <c r="B5160" s="33" t="s">
        <v>8047</v>
      </c>
    </row>
    <row r="5161" spans="1:2" x14ac:dyDescent="0.25">
      <c r="A5161" s="30" t="s">
        <v>921</v>
      </c>
      <c r="B5161" s="31" t="s">
        <v>8048</v>
      </c>
    </row>
    <row r="5162" spans="1:2" x14ac:dyDescent="0.25">
      <c r="A5162" s="32" t="s">
        <v>8049</v>
      </c>
      <c r="B5162" s="33" t="s">
        <v>8050</v>
      </c>
    </row>
    <row r="5163" spans="1:2" x14ac:dyDescent="0.25">
      <c r="A5163" s="30" t="s">
        <v>8051</v>
      </c>
      <c r="B5163" s="31" t="s">
        <v>8052</v>
      </c>
    </row>
    <row r="5164" spans="1:2" x14ac:dyDescent="0.25">
      <c r="A5164" s="32" t="s">
        <v>8053</v>
      </c>
      <c r="B5164" s="33" t="s">
        <v>8054</v>
      </c>
    </row>
    <row r="5165" spans="1:2" x14ac:dyDescent="0.25">
      <c r="A5165" s="30" t="s">
        <v>11085</v>
      </c>
      <c r="B5165" s="31" t="s">
        <v>11085</v>
      </c>
    </row>
    <row r="5166" spans="1:2" x14ac:dyDescent="0.25">
      <c r="A5166" s="32" t="s">
        <v>8055</v>
      </c>
      <c r="B5166" s="33" t="s">
        <v>8056</v>
      </c>
    </row>
    <row r="5167" spans="1:2" x14ac:dyDescent="0.25">
      <c r="A5167" s="30" t="s">
        <v>11086</v>
      </c>
      <c r="B5167" s="31" t="s">
        <v>11086</v>
      </c>
    </row>
    <row r="5168" spans="1:2" x14ac:dyDescent="0.25">
      <c r="A5168" s="32" t="s">
        <v>8057</v>
      </c>
      <c r="B5168" s="33" t="s">
        <v>8058</v>
      </c>
    </row>
    <row r="5169" spans="1:2" x14ac:dyDescent="0.25">
      <c r="A5169" s="30" t="s">
        <v>11087</v>
      </c>
      <c r="B5169" s="31" t="s">
        <v>11087</v>
      </c>
    </row>
    <row r="5170" spans="1:2" x14ac:dyDescent="0.25">
      <c r="A5170" s="32" t="s">
        <v>8059</v>
      </c>
      <c r="B5170" s="33" t="s">
        <v>8060</v>
      </c>
    </row>
    <row r="5171" spans="1:2" x14ac:dyDescent="0.25">
      <c r="A5171" s="30" t="s">
        <v>11088</v>
      </c>
      <c r="B5171" s="31" t="s">
        <v>11088</v>
      </c>
    </row>
    <row r="5172" spans="1:2" x14ac:dyDescent="0.25">
      <c r="A5172" s="32" t="s">
        <v>8061</v>
      </c>
      <c r="B5172" s="33" t="s">
        <v>8062</v>
      </c>
    </row>
    <row r="5173" spans="1:2" x14ac:dyDescent="0.25">
      <c r="A5173" s="30" t="s">
        <v>8063</v>
      </c>
      <c r="B5173" s="31" t="s">
        <v>8064</v>
      </c>
    </row>
    <row r="5174" spans="1:2" x14ac:dyDescent="0.25">
      <c r="A5174" s="32" t="s">
        <v>11089</v>
      </c>
      <c r="B5174" s="33" t="s">
        <v>11089</v>
      </c>
    </row>
    <row r="5175" spans="1:2" x14ac:dyDescent="0.25">
      <c r="A5175" s="30" t="s">
        <v>8065</v>
      </c>
      <c r="B5175" s="31" t="s">
        <v>8066</v>
      </c>
    </row>
    <row r="5176" spans="1:2" x14ac:dyDescent="0.25">
      <c r="A5176" s="32" t="s">
        <v>11090</v>
      </c>
      <c r="B5176" s="33" t="s">
        <v>11090</v>
      </c>
    </row>
    <row r="5177" spans="1:2" x14ac:dyDescent="0.25">
      <c r="A5177" s="30" t="s">
        <v>8067</v>
      </c>
      <c r="B5177" s="31" t="s">
        <v>8068</v>
      </c>
    </row>
    <row r="5178" spans="1:2" x14ac:dyDescent="0.25">
      <c r="A5178" s="32" t="s">
        <v>8069</v>
      </c>
      <c r="B5178" s="33" t="s">
        <v>8070</v>
      </c>
    </row>
    <row r="5179" spans="1:2" x14ac:dyDescent="0.25">
      <c r="A5179" s="30" t="s">
        <v>8071</v>
      </c>
      <c r="B5179" s="31" t="s">
        <v>8072</v>
      </c>
    </row>
    <row r="5180" spans="1:2" x14ac:dyDescent="0.25">
      <c r="A5180" s="32" t="s">
        <v>11091</v>
      </c>
      <c r="B5180" s="33" t="s">
        <v>11091</v>
      </c>
    </row>
    <row r="5181" spans="1:2" x14ac:dyDescent="0.25">
      <c r="A5181" s="30" t="s">
        <v>11092</v>
      </c>
      <c r="B5181" s="31" t="s">
        <v>11092</v>
      </c>
    </row>
    <row r="5182" spans="1:2" x14ac:dyDescent="0.25">
      <c r="A5182" s="32" t="s">
        <v>8073</v>
      </c>
      <c r="B5182" s="33" t="s">
        <v>8074</v>
      </c>
    </row>
    <row r="5183" spans="1:2" x14ac:dyDescent="0.25">
      <c r="A5183" s="30" t="s">
        <v>11093</v>
      </c>
      <c r="B5183" s="31" t="s">
        <v>11093</v>
      </c>
    </row>
    <row r="5184" spans="1:2" x14ac:dyDescent="0.25">
      <c r="A5184" s="32" t="s">
        <v>8075</v>
      </c>
      <c r="B5184" s="33" t="s">
        <v>8076</v>
      </c>
    </row>
    <row r="5185" spans="1:2" x14ac:dyDescent="0.25">
      <c r="A5185" s="30" t="s">
        <v>8077</v>
      </c>
      <c r="B5185" s="31" t="s">
        <v>8078</v>
      </c>
    </row>
    <row r="5186" spans="1:2" x14ac:dyDescent="0.25">
      <c r="A5186" s="32" t="s">
        <v>8079</v>
      </c>
      <c r="B5186" s="33" t="s">
        <v>8080</v>
      </c>
    </row>
    <row r="5187" spans="1:2" x14ac:dyDescent="0.25">
      <c r="A5187" s="30" t="s">
        <v>8081</v>
      </c>
      <c r="B5187" s="31" t="s">
        <v>8082</v>
      </c>
    </row>
    <row r="5188" spans="1:2" x14ac:dyDescent="0.25">
      <c r="A5188" s="32" t="s">
        <v>11094</v>
      </c>
      <c r="B5188" s="33" t="s">
        <v>11094</v>
      </c>
    </row>
    <row r="5189" spans="1:2" x14ac:dyDescent="0.25">
      <c r="A5189" s="30" t="s">
        <v>922</v>
      </c>
      <c r="B5189" s="31" t="s">
        <v>8083</v>
      </c>
    </row>
    <row r="5190" spans="1:2" x14ac:dyDescent="0.25">
      <c r="A5190" s="32" t="s">
        <v>923</v>
      </c>
      <c r="B5190" s="33" t="s">
        <v>8084</v>
      </c>
    </row>
    <row r="5191" spans="1:2" x14ac:dyDescent="0.25">
      <c r="A5191" s="30" t="s">
        <v>8085</v>
      </c>
      <c r="B5191" s="31" t="s">
        <v>8086</v>
      </c>
    </row>
    <row r="5192" spans="1:2" x14ac:dyDescent="0.25">
      <c r="A5192" s="32" t="s">
        <v>924</v>
      </c>
      <c r="B5192" s="33" t="s">
        <v>924</v>
      </c>
    </row>
    <row r="5193" spans="1:2" x14ac:dyDescent="0.25">
      <c r="A5193" s="30" t="s">
        <v>925</v>
      </c>
      <c r="B5193" s="31" t="s">
        <v>925</v>
      </c>
    </row>
    <row r="5194" spans="1:2" x14ac:dyDescent="0.25">
      <c r="A5194" s="32" t="s">
        <v>8087</v>
      </c>
      <c r="B5194" s="33" t="s">
        <v>8088</v>
      </c>
    </row>
    <row r="5195" spans="1:2" x14ac:dyDescent="0.25">
      <c r="A5195" s="30" t="s">
        <v>11095</v>
      </c>
      <c r="B5195" s="31" t="s">
        <v>11095</v>
      </c>
    </row>
    <row r="5196" spans="1:2" x14ac:dyDescent="0.25">
      <c r="A5196" s="32" t="s">
        <v>8089</v>
      </c>
      <c r="B5196" s="33" t="s">
        <v>8090</v>
      </c>
    </row>
    <row r="5197" spans="1:2" x14ac:dyDescent="0.25">
      <c r="A5197" s="30" t="s">
        <v>8091</v>
      </c>
      <c r="B5197" s="31" t="s">
        <v>8092</v>
      </c>
    </row>
    <row r="5198" spans="1:2" x14ac:dyDescent="0.25">
      <c r="A5198" s="32" t="s">
        <v>8093</v>
      </c>
      <c r="B5198" s="33" t="s">
        <v>8094</v>
      </c>
    </row>
    <row r="5199" spans="1:2" x14ac:dyDescent="0.25">
      <c r="A5199" s="30" t="s">
        <v>11096</v>
      </c>
      <c r="B5199" s="31" t="s">
        <v>11096</v>
      </c>
    </row>
    <row r="5200" spans="1:2" x14ac:dyDescent="0.25">
      <c r="A5200" s="32" t="s">
        <v>11097</v>
      </c>
      <c r="B5200" s="33" t="s">
        <v>11097</v>
      </c>
    </row>
    <row r="5201" spans="1:2" x14ac:dyDescent="0.25">
      <c r="A5201" s="30" t="s">
        <v>11098</v>
      </c>
      <c r="B5201" s="31" t="s">
        <v>11098</v>
      </c>
    </row>
    <row r="5202" spans="1:2" x14ac:dyDescent="0.25">
      <c r="A5202" s="32" t="s">
        <v>8095</v>
      </c>
      <c r="B5202" s="33" t="s">
        <v>8096</v>
      </c>
    </row>
    <row r="5203" spans="1:2" x14ac:dyDescent="0.25">
      <c r="A5203" s="30" t="s">
        <v>11099</v>
      </c>
      <c r="B5203" s="31" t="s">
        <v>11099</v>
      </c>
    </row>
    <row r="5204" spans="1:2" x14ac:dyDescent="0.25">
      <c r="A5204" s="32" t="s">
        <v>8097</v>
      </c>
      <c r="B5204" s="33" t="s">
        <v>8098</v>
      </c>
    </row>
    <row r="5205" spans="1:2" x14ac:dyDescent="0.25">
      <c r="A5205" s="30" t="s">
        <v>8099</v>
      </c>
      <c r="B5205" s="31" t="s">
        <v>8100</v>
      </c>
    </row>
    <row r="5206" spans="1:2" x14ac:dyDescent="0.25">
      <c r="A5206" s="32" t="s">
        <v>8101</v>
      </c>
      <c r="B5206" s="33" t="s">
        <v>8102</v>
      </c>
    </row>
    <row r="5207" spans="1:2" x14ac:dyDescent="0.25">
      <c r="A5207" s="30" t="s">
        <v>8103</v>
      </c>
      <c r="B5207" s="31" t="s">
        <v>8104</v>
      </c>
    </row>
    <row r="5208" spans="1:2" x14ac:dyDescent="0.25">
      <c r="A5208" s="32" t="s">
        <v>8105</v>
      </c>
      <c r="B5208" s="33" t="s">
        <v>8106</v>
      </c>
    </row>
    <row r="5209" spans="1:2" x14ac:dyDescent="0.25">
      <c r="A5209" s="30" t="s">
        <v>926</v>
      </c>
      <c r="B5209" s="31" t="s">
        <v>8107</v>
      </c>
    </row>
    <row r="5210" spans="1:2" x14ac:dyDescent="0.25">
      <c r="A5210" s="32" t="s">
        <v>8108</v>
      </c>
      <c r="B5210" s="33" t="s">
        <v>8109</v>
      </c>
    </row>
    <row r="5211" spans="1:2" x14ac:dyDescent="0.25">
      <c r="A5211" s="30" t="s">
        <v>8110</v>
      </c>
      <c r="B5211" s="31" t="s">
        <v>8111</v>
      </c>
    </row>
    <row r="5212" spans="1:2" x14ac:dyDescent="0.25">
      <c r="A5212" s="32" t="s">
        <v>8112</v>
      </c>
      <c r="B5212" s="33" t="s">
        <v>8113</v>
      </c>
    </row>
    <row r="5213" spans="1:2" x14ac:dyDescent="0.25">
      <c r="A5213" s="30" t="s">
        <v>11100</v>
      </c>
      <c r="B5213" s="31" t="s">
        <v>11100</v>
      </c>
    </row>
    <row r="5214" spans="1:2" x14ac:dyDescent="0.25">
      <c r="A5214" s="32" t="s">
        <v>8114</v>
      </c>
      <c r="B5214" s="33" t="s">
        <v>8115</v>
      </c>
    </row>
    <row r="5215" spans="1:2" x14ac:dyDescent="0.25">
      <c r="A5215" s="30" t="s">
        <v>8116</v>
      </c>
      <c r="B5215" s="31" t="s">
        <v>8117</v>
      </c>
    </row>
    <row r="5216" spans="1:2" x14ac:dyDescent="0.25">
      <c r="A5216" s="32" t="s">
        <v>8118</v>
      </c>
      <c r="B5216" s="33" t="s">
        <v>8119</v>
      </c>
    </row>
    <row r="5217" spans="1:2" x14ac:dyDescent="0.25">
      <c r="A5217" s="30" t="s">
        <v>8120</v>
      </c>
      <c r="B5217" s="31" t="s">
        <v>8121</v>
      </c>
    </row>
    <row r="5218" spans="1:2" x14ac:dyDescent="0.25">
      <c r="A5218" s="32" t="s">
        <v>8122</v>
      </c>
      <c r="B5218" s="33" t="s">
        <v>8123</v>
      </c>
    </row>
    <row r="5219" spans="1:2" x14ac:dyDescent="0.25">
      <c r="A5219" s="30" t="s">
        <v>8124</v>
      </c>
      <c r="B5219" s="31" t="s">
        <v>8125</v>
      </c>
    </row>
    <row r="5220" spans="1:2" x14ac:dyDescent="0.25">
      <c r="A5220" s="32" t="s">
        <v>8126</v>
      </c>
      <c r="B5220" s="33" t="s">
        <v>8127</v>
      </c>
    </row>
    <row r="5221" spans="1:2" x14ac:dyDescent="0.25">
      <c r="A5221" s="30" t="s">
        <v>8128</v>
      </c>
      <c r="B5221" s="31" t="s">
        <v>8129</v>
      </c>
    </row>
    <row r="5222" spans="1:2" x14ac:dyDescent="0.25">
      <c r="A5222" s="32" t="s">
        <v>8130</v>
      </c>
      <c r="B5222" s="33" t="s">
        <v>8131</v>
      </c>
    </row>
    <row r="5223" spans="1:2" x14ac:dyDescent="0.25">
      <c r="A5223" s="30" t="s">
        <v>11101</v>
      </c>
      <c r="B5223" s="31" t="s">
        <v>11101</v>
      </c>
    </row>
    <row r="5224" spans="1:2" x14ac:dyDescent="0.25">
      <c r="A5224" s="32" t="s">
        <v>8132</v>
      </c>
      <c r="B5224" s="33" t="s">
        <v>8133</v>
      </c>
    </row>
    <row r="5225" spans="1:2" x14ac:dyDescent="0.25">
      <c r="A5225" s="30" t="s">
        <v>11102</v>
      </c>
      <c r="B5225" s="31" t="s">
        <v>11102</v>
      </c>
    </row>
    <row r="5226" spans="1:2" x14ac:dyDescent="0.25">
      <c r="A5226" s="32" t="s">
        <v>11103</v>
      </c>
      <c r="B5226" s="33" t="s">
        <v>11103</v>
      </c>
    </row>
    <row r="5227" spans="1:2" x14ac:dyDescent="0.25">
      <c r="A5227" s="30" t="s">
        <v>11104</v>
      </c>
      <c r="B5227" s="31" t="s">
        <v>11104</v>
      </c>
    </row>
    <row r="5228" spans="1:2" x14ac:dyDescent="0.25">
      <c r="A5228" s="32" t="s">
        <v>11105</v>
      </c>
      <c r="B5228" s="33" t="s">
        <v>11105</v>
      </c>
    </row>
    <row r="5229" spans="1:2" x14ac:dyDescent="0.25">
      <c r="A5229" s="30" t="s">
        <v>11106</v>
      </c>
      <c r="B5229" s="31" t="s">
        <v>11106</v>
      </c>
    </row>
    <row r="5230" spans="1:2" x14ac:dyDescent="0.25">
      <c r="A5230" s="32" t="s">
        <v>11107</v>
      </c>
      <c r="B5230" s="33" t="s">
        <v>11107</v>
      </c>
    </row>
    <row r="5231" spans="1:2" x14ac:dyDescent="0.25">
      <c r="A5231" s="30" t="s">
        <v>11108</v>
      </c>
      <c r="B5231" s="31" t="s">
        <v>11108</v>
      </c>
    </row>
    <row r="5232" spans="1:2" x14ac:dyDescent="0.25">
      <c r="A5232" s="32" t="s">
        <v>11109</v>
      </c>
      <c r="B5232" s="33" t="s">
        <v>11109</v>
      </c>
    </row>
    <row r="5233" spans="1:2" x14ac:dyDescent="0.25">
      <c r="A5233" s="30" t="s">
        <v>11110</v>
      </c>
      <c r="B5233" s="31" t="s">
        <v>11110</v>
      </c>
    </row>
    <row r="5234" spans="1:2" x14ac:dyDescent="0.25">
      <c r="A5234" s="32" t="s">
        <v>11111</v>
      </c>
      <c r="B5234" s="33" t="s">
        <v>11111</v>
      </c>
    </row>
    <row r="5235" spans="1:2" x14ac:dyDescent="0.25">
      <c r="A5235" s="30" t="s">
        <v>11112</v>
      </c>
      <c r="B5235" s="31" t="s">
        <v>11112</v>
      </c>
    </row>
    <row r="5236" spans="1:2" x14ac:dyDescent="0.25">
      <c r="A5236" s="32" t="s">
        <v>11113</v>
      </c>
      <c r="B5236" s="33" t="s">
        <v>11113</v>
      </c>
    </row>
    <row r="5237" spans="1:2" x14ac:dyDescent="0.25">
      <c r="A5237" s="30" t="s">
        <v>11114</v>
      </c>
      <c r="B5237" s="31" t="s">
        <v>11114</v>
      </c>
    </row>
    <row r="5238" spans="1:2" x14ac:dyDescent="0.25">
      <c r="A5238" s="32" t="s">
        <v>11115</v>
      </c>
      <c r="B5238" s="33" t="s">
        <v>11115</v>
      </c>
    </row>
    <row r="5239" spans="1:2" x14ac:dyDescent="0.25">
      <c r="A5239" s="30" t="s">
        <v>11116</v>
      </c>
      <c r="B5239" s="31" t="s">
        <v>11116</v>
      </c>
    </row>
    <row r="5240" spans="1:2" x14ac:dyDescent="0.25">
      <c r="A5240" s="32" t="s">
        <v>11117</v>
      </c>
      <c r="B5240" s="33" t="s">
        <v>11117</v>
      </c>
    </row>
    <row r="5241" spans="1:2" x14ac:dyDescent="0.25">
      <c r="A5241" s="30" t="s">
        <v>11118</v>
      </c>
      <c r="B5241" s="31" t="s">
        <v>11118</v>
      </c>
    </row>
    <row r="5242" spans="1:2" x14ac:dyDescent="0.25">
      <c r="A5242" s="32" t="s">
        <v>11119</v>
      </c>
      <c r="B5242" s="33" t="s">
        <v>11119</v>
      </c>
    </row>
    <row r="5243" spans="1:2" x14ac:dyDescent="0.25">
      <c r="A5243" s="30" t="s">
        <v>8134</v>
      </c>
      <c r="B5243" s="31" t="s">
        <v>8135</v>
      </c>
    </row>
    <row r="5244" spans="1:2" x14ac:dyDescent="0.25">
      <c r="A5244" s="32" t="s">
        <v>11120</v>
      </c>
      <c r="B5244" s="33" t="s">
        <v>11120</v>
      </c>
    </row>
    <row r="5245" spans="1:2" x14ac:dyDescent="0.25">
      <c r="A5245" s="30" t="s">
        <v>11121</v>
      </c>
      <c r="B5245" s="31" t="s">
        <v>11121</v>
      </c>
    </row>
    <row r="5246" spans="1:2" x14ac:dyDescent="0.25">
      <c r="A5246" s="32" t="s">
        <v>11122</v>
      </c>
      <c r="B5246" s="33" t="s">
        <v>11122</v>
      </c>
    </row>
    <row r="5247" spans="1:2" x14ac:dyDescent="0.25">
      <c r="A5247" s="30" t="s">
        <v>8136</v>
      </c>
      <c r="B5247" s="31" t="s">
        <v>8137</v>
      </c>
    </row>
    <row r="5248" spans="1:2" x14ac:dyDescent="0.25">
      <c r="A5248" s="32" t="s">
        <v>927</v>
      </c>
      <c r="B5248" s="33" t="s">
        <v>8138</v>
      </c>
    </row>
    <row r="5249" spans="1:2" x14ac:dyDescent="0.25">
      <c r="A5249" s="30" t="s">
        <v>928</v>
      </c>
      <c r="B5249" s="31" t="s">
        <v>8139</v>
      </c>
    </row>
    <row r="5250" spans="1:2" x14ac:dyDescent="0.25">
      <c r="A5250" s="32" t="s">
        <v>11123</v>
      </c>
      <c r="B5250" s="33" t="s">
        <v>11123</v>
      </c>
    </row>
    <row r="5251" spans="1:2" x14ac:dyDescent="0.25">
      <c r="A5251" s="30" t="s">
        <v>11124</v>
      </c>
      <c r="B5251" s="31" t="s">
        <v>11124</v>
      </c>
    </row>
    <row r="5252" spans="1:2" x14ac:dyDescent="0.25">
      <c r="A5252" s="32" t="s">
        <v>8140</v>
      </c>
      <c r="B5252" s="33" t="s">
        <v>8141</v>
      </c>
    </row>
    <row r="5253" spans="1:2" x14ac:dyDescent="0.25">
      <c r="A5253" s="30" t="s">
        <v>8142</v>
      </c>
      <c r="B5253" s="31" t="s">
        <v>8143</v>
      </c>
    </row>
    <row r="5254" spans="1:2" x14ac:dyDescent="0.25">
      <c r="A5254" s="32" t="s">
        <v>929</v>
      </c>
      <c r="B5254" s="33" t="s">
        <v>8144</v>
      </c>
    </row>
    <row r="5255" spans="1:2" x14ac:dyDescent="0.25">
      <c r="A5255" s="30" t="s">
        <v>8145</v>
      </c>
      <c r="B5255" s="31" t="s">
        <v>8146</v>
      </c>
    </row>
    <row r="5256" spans="1:2" x14ac:dyDescent="0.25">
      <c r="A5256" s="32" t="s">
        <v>8147</v>
      </c>
      <c r="B5256" s="33" t="s">
        <v>8148</v>
      </c>
    </row>
    <row r="5257" spans="1:2" x14ac:dyDescent="0.25">
      <c r="A5257" s="30" t="s">
        <v>8149</v>
      </c>
      <c r="B5257" s="31" t="s">
        <v>8150</v>
      </c>
    </row>
    <row r="5258" spans="1:2" x14ac:dyDescent="0.25">
      <c r="A5258" s="32" t="s">
        <v>8151</v>
      </c>
      <c r="B5258" s="33" t="s">
        <v>8152</v>
      </c>
    </row>
    <row r="5259" spans="1:2" x14ac:dyDescent="0.25">
      <c r="A5259" s="30" t="s">
        <v>11125</v>
      </c>
      <c r="B5259" s="31" t="s">
        <v>11125</v>
      </c>
    </row>
    <row r="5260" spans="1:2" x14ac:dyDescent="0.25">
      <c r="A5260" s="32" t="s">
        <v>11126</v>
      </c>
      <c r="B5260" s="33" t="s">
        <v>11126</v>
      </c>
    </row>
    <row r="5261" spans="1:2" x14ac:dyDescent="0.25">
      <c r="A5261" s="30" t="s">
        <v>8153</v>
      </c>
      <c r="B5261" s="31" t="s">
        <v>8154</v>
      </c>
    </row>
    <row r="5262" spans="1:2" x14ac:dyDescent="0.25">
      <c r="A5262" s="32" t="s">
        <v>8155</v>
      </c>
      <c r="B5262" s="33" t="s">
        <v>8156</v>
      </c>
    </row>
    <row r="5263" spans="1:2" x14ac:dyDescent="0.25">
      <c r="A5263" s="30" t="s">
        <v>930</v>
      </c>
      <c r="B5263" s="31" t="s">
        <v>8157</v>
      </c>
    </row>
    <row r="5264" spans="1:2" x14ac:dyDescent="0.25">
      <c r="A5264" s="32" t="s">
        <v>11127</v>
      </c>
      <c r="B5264" s="33" t="s">
        <v>11127</v>
      </c>
    </row>
    <row r="5265" spans="1:2" x14ac:dyDescent="0.25">
      <c r="A5265" s="30" t="s">
        <v>11128</v>
      </c>
      <c r="B5265" s="31" t="s">
        <v>11128</v>
      </c>
    </row>
    <row r="5266" spans="1:2" x14ac:dyDescent="0.25">
      <c r="A5266" s="32" t="s">
        <v>11129</v>
      </c>
      <c r="B5266" s="33" t="s">
        <v>11129</v>
      </c>
    </row>
    <row r="5267" spans="1:2" x14ac:dyDescent="0.25">
      <c r="A5267" s="30" t="s">
        <v>8158</v>
      </c>
      <c r="B5267" s="31" t="s">
        <v>8159</v>
      </c>
    </row>
    <row r="5268" spans="1:2" x14ac:dyDescent="0.25">
      <c r="A5268" s="32" t="s">
        <v>8160</v>
      </c>
      <c r="B5268" s="33" t="s">
        <v>8161</v>
      </c>
    </row>
    <row r="5269" spans="1:2" x14ac:dyDescent="0.25">
      <c r="A5269" s="30" t="s">
        <v>931</v>
      </c>
      <c r="B5269" s="31" t="s">
        <v>8162</v>
      </c>
    </row>
    <row r="5270" spans="1:2" x14ac:dyDescent="0.25">
      <c r="A5270" s="32" t="s">
        <v>8163</v>
      </c>
      <c r="B5270" s="33" t="s">
        <v>8164</v>
      </c>
    </row>
    <row r="5271" spans="1:2" x14ac:dyDescent="0.25">
      <c r="A5271" s="30" t="s">
        <v>11130</v>
      </c>
      <c r="B5271" s="31" t="s">
        <v>11130</v>
      </c>
    </row>
    <row r="5272" spans="1:2" x14ac:dyDescent="0.25">
      <c r="A5272" s="32" t="s">
        <v>8165</v>
      </c>
      <c r="B5272" s="33" t="s">
        <v>8166</v>
      </c>
    </row>
    <row r="5273" spans="1:2" x14ac:dyDescent="0.25">
      <c r="A5273" s="30" t="s">
        <v>8167</v>
      </c>
      <c r="B5273" s="31" t="s">
        <v>8168</v>
      </c>
    </row>
    <row r="5274" spans="1:2" x14ac:dyDescent="0.25">
      <c r="A5274" s="32" t="s">
        <v>8169</v>
      </c>
      <c r="B5274" s="33" t="s">
        <v>8170</v>
      </c>
    </row>
    <row r="5275" spans="1:2" x14ac:dyDescent="0.25">
      <c r="A5275" s="30" t="s">
        <v>8171</v>
      </c>
      <c r="B5275" s="31" t="s">
        <v>8172</v>
      </c>
    </row>
    <row r="5276" spans="1:2" x14ac:dyDescent="0.25">
      <c r="A5276" s="32" t="s">
        <v>8173</v>
      </c>
      <c r="B5276" s="33" t="s">
        <v>8174</v>
      </c>
    </row>
    <row r="5277" spans="1:2" x14ac:dyDescent="0.25">
      <c r="A5277" s="30" t="s">
        <v>8175</v>
      </c>
      <c r="B5277" s="31" t="s">
        <v>8176</v>
      </c>
    </row>
    <row r="5278" spans="1:2" x14ac:dyDescent="0.25">
      <c r="A5278" s="32" t="s">
        <v>8177</v>
      </c>
      <c r="B5278" s="33" t="s">
        <v>8178</v>
      </c>
    </row>
    <row r="5279" spans="1:2" x14ac:dyDescent="0.25">
      <c r="A5279" s="30" t="s">
        <v>11131</v>
      </c>
      <c r="B5279" s="31" t="s">
        <v>11131</v>
      </c>
    </row>
    <row r="5280" spans="1:2" x14ac:dyDescent="0.25">
      <c r="A5280" s="32" t="s">
        <v>8179</v>
      </c>
      <c r="B5280" s="33" t="s">
        <v>8180</v>
      </c>
    </row>
    <row r="5281" spans="1:2" x14ac:dyDescent="0.25">
      <c r="A5281" s="30" t="s">
        <v>8181</v>
      </c>
      <c r="B5281" s="31" t="s">
        <v>8182</v>
      </c>
    </row>
    <row r="5282" spans="1:2" x14ac:dyDescent="0.25">
      <c r="A5282" s="32" t="s">
        <v>11132</v>
      </c>
      <c r="B5282" s="33" t="s">
        <v>11132</v>
      </c>
    </row>
    <row r="5283" spans="1:2" x14ac:dyDescent="0.25">
      <c r="A5283" s="30" t="s">
        <v>8183</v>
      </c>
      <c r="B5283" s="31" t="s">
        <v>8184</v>
      </c>
    </row>
    <row r="5284" spans="1:2" x14ac:dyDescent="0.25">
      <c r="A5284" s="32" t="s">
        <v>11133</v>
      </c>
      <c r="B5284" s="33" t="s">
        <v>11133</v>
      </c>
    </row>
    <row r="5285" spans="1:2" x14ac:dyDescent="0.25">
      <c r="A5285" s="30" t="s">
        <v>11134</v>
      </c>
      <c r="B5285" s="31" t="s">
        <v>11134</v>
      </c>
    </row>
    <row r="5286" spans="1:2" x14ac:dyDescent="0.25">
      <c r="A5286" s="32" t="s">
        <v>8185</v>
      </c>
      <c r="B5286" s="33" t="s">
        <v>8186</v>
      </c>
    </row>
    <row r="5287" spans="1:2" x14ac:dyDescent="0.25">
      <c r="A5287" s="30" t="s">
        <v>8187</v>
      </c>
      <c r="B5287" s="31" t="s">
        <v>8188</v>
      </c>
    </row>
    <row r="5288" spans="1:2" x14ac:dyDescent="0.25">
      <c r="A5288" s="32" t="s">
        <v>8189</v>
      </c>
      <c r="B5288" s="33" t="s">
        <v>8190</v>
      </c>
    </row>
    <row r="5289" spans="1:2" x14ac:dyDescent="0.25">
      <c r="A5289" s="30" t="s">
        <v>8191</v>
      </c>
      <c r="B5289" s="31" t="s">
        <v>8192</v>
      </c>
    </row>
    <row r="5290" spans="1:2" x14ac:dyDescent="0.25">
      <c r="A5290" s="32" t="s">
        <v>8193</v>
      </c>
      <c r="B5290" s="33" t="s">
        <v>8194</v>
      </c>
    </row>
    <row r="5291" spans="1:2" x14ac:dyDescent="0.25">
      <c r="A5291" s="30" t="s">
        <v>8195</v>
      </c>
      <c r="B5291" s="31" t="s">
        <v>8196</v>
      </c>
    </row>
    <row r="5292" spans="1:2" x14ac:dyDescent="0.25">
      <c r="A5292" s="32" t="s">
        <v>8197</v>
      </c>
      <c r="B5292" s="33" t="s">
        <v>8198</v>
      </c>
    </row>
    <row r="5293" spans="1:2" x14ac:dyDescent="0.25">
      <c r="A5293" s="30" t="s">
        <v>8199</v>
      </c>
      <c r="B5293" s="31" t="s">
        <v>8200</v>
      </c>
    </row>
    <row r="5294" spans="1:2" x14ac:dyDescent="0.25">
      <c r="A5294" s="32" t="s">
        <v>8201</v>
      </c>
      <c r="B5294" s="33" t="s">
        <v>8202</v>
      </c>
    </row>
    <row r="5295" spans="1:2" x14ac:dyDescent="0.25">
      <c r="A5295" s="30" t="s">
        <v>8203</v>
      </c>
      <c r="B5295" s="31" t="s">
        <v>8204</v>
      </c>
    </row>
    <row r="5296" spans="1:2" x14ac:dyDescent="0.25">
      <c r="A5296" s="32" t="s">
        <v>8205</v>
      </c>
      <c r="B5296" s="33" t="s">
        <v>8206</v>
      </c>
    </row>
    <row r="5297" spans="1:2" x14ac:dyDescent="0.25">
      <c r="A5297" s="30" t="s">
        <v>8207</v>
      </c>
      <c r="B5297" s="31" t="s">
        <v>8208</v>
      </c>
    </row>
    <row r="5298" spans="1:2" x14ac:dyDescent="0.25">
      <c r="A5298" s="32" t="s">
        <v>8209</v>
      </c>
      <c r="B5298" s="33" t="s">
        <v>8210</v>
      </c>
    </row>
    <row r="5299" spans="1:2" x14ac:dyDescent="0.25">
      <c r="A5299" s="30" t="s">
        <v>11135</v>
      </c>
      <c r="B5299" s="31" t="s">
        <v>11135</v>
      </c>
    </row>
    <row r="5300" spans="1:2" x14ac:dyDescent="0.25">
      <c r="A5300" s="32" t="s">
        <v>8211</v>
      </c>
      <c r="B5300" s="33" t="s">
        <v>8212</v>
      </c>
    </row>
    <row r="5301" spans="1:2" x14ac:dyDescent="0.25">
      <c r="A5301" s="30" t="s">
        <v>11136</v>
      </c>
      <c r="B5301" s="31" t="s">
        <v>11136</v>
      </c>
    </row>
    <row r="5302" spans="1:2" x14ac:dyDescent="0.25">
      <c r="A5302" s="32" t="s">
        <v>11137</v>
      </c>
      <c r="B5302" s="33" t="s">
        <v>11137</v>
      </c>
    </row>
    <row r="5303" spans="1:2" x14ac:dyDescent="0.25">
      <c r="A5303" s="30" t="s">
        <v>8213</v>
      </c>
      <c r="B5303" s="31" t="s">
        <v>8214</v>
      </c>
    </row>
    <row r="5304" spans="1:2" x14ac:dyDescent="0.25">
      <c r="A5304" s="32" t="s">
        <v>8215</v>
      </c>
      <c r="B5304" s="33" t="s">
        <v>8216</v>
      </c>
    </row>
    <row r="5305" spans="1:2" x14ac:dyDescent="0.25">
      <c r="A5305" s="30" t="s">
        <v>8217</v>
      </c>
      <c r="B5305" s="31" t="s">
        <v>8218</v>
      </c>
    </row>
    <row r="5306" spans="1:2" x14ac:dyDescent="0.25">
      <c r="A5306" s="32" t="s">
        <v>8219</v>
      </c>
      <c r="B5306" s="33" t="s">
        <v>8220</v>
      </c>
    </row>
    <row r="5307" spans="1:2" x14ac:dyDescent="0.25">
      <c r="A5307" s="30" t="s">
        <v>8221</v>
      </c>
      <c r="B5307" s="31" t="s">
        <v>8222</v>
      </c>
    </row>
    <row r="5308" spans="1:2" x14ac:dyDescent="0.25">
      <c r="A5308" s="32" t="s">
        <v>8223</v>
      </c>
      <c r="B5308" s="33" t="s">
        <v>8224</v>
      </c>
    </row>
    <row r="5309" spans="1:2" x14ac:dyDescent="0.25">
      <c r="A5309" s="30" t="s">
        <v>11138</v>
      </c>
      <c r="B5309" s="31" t="s">
        <v>11138</v>
      </c>
    </row>
    <row r="5310" spans="1:2" x14ac:dyDescent="0.25">
      <c r="A5310" s="32" t="s">
        <v>8225</v>
      </c>
      <c r="B5310" s="33" t="s">
        <v>8226</v>
      </c>
    </row>
    <row r="5311" spans="1:2" x14ac:dyDescent="0.25">
      <c r="A5311" s="30" t="s">
        <v>8227</v>
      </c>
      <c r="B5311" s="31" t="s">
        <v>8228</v>
      </c>
    </row>
    <row r="5312" spans="1:2" x14ac:dyDescent="0.25">
      <c r="A5312" s="32" t="s">
        <v>11139</v>
      </c>
      <c r="B5312" s="33" t="s">
        <v>11139</v>
      </c>
    </row>
    <row r="5313" spans="1:2" x14ac:dyDescent="0.25">
      <c r="A5313" s="30" t="s">
        <v>8229</v>
      </c>
      <c r="B5313" s="31" t="s">
        <v>8230</v>
      </c>
    </row>
    <row r="5314" spans="1:2" x14ac:dyDescent="0.25">
      <c r="A5314" s="32" t="s">
        <v>8231</v>
      </c>
      <c r="B5314" s="33" t="s">
        <v>8232</v>
      </c>
    </row>
    <row r="5315" spans="1:2" x14ac:dyDescent="0.25">
      <c r="A5315" s="30" t="s">
        <v>8233</v>
      </c>
      <c r="B5315" s="31" t="s">
        <v>8234</v>
      </c>
    </row>
    <row r="5316" spans="1:2" x14ac:dyDescent="0.25">
      <c r="A5316" s="32" t="s">
        <v>8235</v>
      </c>
      <c r="B5316" s="33" t="s">
        <v>8236</v>
      </c>
    </row>
    <row r="5317" spans="1:2" x14ac:dyDescent="0.25">
      <c r="A5317" s="30" t="s">
        <v>8237</v>
      </c>
      <c r="B5317" s="31" t="s">
        <v>8238</v>
      </c>
    </row>
    <row r="5318" spans="1:2" x14ac:dyDescent="0.25">
      <c r="A5318" s="32" t="s">
        <v>8239</v>
      </c>
      <c r="B5318" s="33" t="s">
        <v>8240</v>
      </c>
    </row>
    <row r="5319" spans="1:2" x14ac:dyDescent="0.25">
      <c r="A5319" s="30" t="s">
        <v>11140</v>
      </c>
      <c r="B5319" s="31" t="s">
        <v>11140</v>
      </c>
    </row>
    <row r="5320" spans="1:2" x14ac:dyDescent="0.25">
      <c r="A5320" s="32" t="s">
        <v>11141</v>
      </c>
      <c r="B5320" s="33" t="s">
        <v>11141</v>
      </c>
    </row>
    <row r="5321" spans="1:2" x14ac:dyDescent="0.25">
      <c r="A5321" s="30" t="s">
        <v>8241</v>
      </c>
      <c r="B5321" s="31" t="s">
        <v>8242</v>
      </c>
    </row>
    <row r="5322" spans="1:2" x14ac:dyDescent="0.25">
      <c r="A5322" s="32" t="s">
        <v>11142</v>
      </c>
      <c r="B5322" s="33" t="s">
        <v>11142</v>
      </c>
    </row>
    <row r="5323" spans="1:2" x14ac:dyDescent="0.25">
      <c r="A5323" s="30" t="s">
        <v>8243</v>
      </c>
      <c r="B5323" s="31" t="s">
        <v>8244</v>
      </c>
    </row>
    <row r="5324" spans="1:2" x14ac:dyDescent="0.25">
      <c r="A5324" s="32" t="s">
        <v>8245</v>
      </c>
      <c r="B5324" s="33" t="s">
        <v>8246</v>
      </c>
    </row>
    <row r="5325" spans="1:2" x14ac:dyDescent="0.25">
      <c r="A5325" s="30" t="s">
        <v>8247</v>
      </c>
      <c r="B5325" s="31" t="s">
        <v>8248</v>
      </c>
    </row>
    <row r="5326" spans="1:2" x14ac:dyDescent="0.25">
      <c r="A5326" s="32" t="s">
        <v>932</v>
      </c>
      <c r="B5326" s="33" t="s">
        <v>8249</v>
      </c>
    </row>
    <row r="5327" spans="1:2" x14ac:dyDescent="0.25">
      <c r="A5327" s="30" t="s">
        <v>8250</v>
      </c>
      <c r="B5327" s="31" t="s">
        <v>8251</v>
      </c>
    </row>
    <row r="5328" spans="1:2" x14ac:dyDescent="0.25">
      <c r="A5328" s="32" t="s">
        <v>8252</v>
      </c>
      <c r="B5328" s="33" t="s">
        <v>8253</v>
      </c>
    </row>
    <row r="5329" spans="1:2" x14ac:dyDescent="0.25">
      <c r="A5329" s="30" t="s">
        <v>8254</v>
      </c>
      <c r="B5329" s="31" t="s">
        <v>8255</v>
      </c>
    </row>
    <row r="5330" spans="1:2" x14ac:dyDescent="0.25">
      <c r="A5330" s="32" t="s">
        <v>8256</v>
      </c>
      <c r="B5330" s="33" t="s">
        <v>8257</v>
      </c>
    </row>
    <row r="5331" spans="1:2" x14ac:dyDescent="0.25">
      <c r="A5331" s="30" t="s">
        <v>8258</v>
      </c>
      <c r="B5331" s="31" t="s">
        <v>8259</v>
      </c>
    </row>
    <row r="5332" spans="1:2" x14ac:dyDescent="0.25">
      <c r="A5332" s="32" t="s">
        <v>8260</v>
      </c>
      <c r="B5332" s="33" t="s">
        <v>8261</v>
      </c>
    </row>
    <row r="5333" spans="1:2" x14ac:dyDescent="0.25">
      <c r="A5333" s="30" t="s">
        <v>8262</v>
      </c>
      <c r="B5333" s="31" t="s">
        <v>8263</v>
      </c>
    </row>
    <row r="5334" spans="1:2" x14ac:dyDescent="0.25">
      <c r="A5334" s="32" t="s">
        <v>8264</v>
      </c>
      <c r="B5334" s="33" t="s">
        <v>8265</v>
      </c>
    </row>
    <row r="5335" spans="1:2" x14ac:dyDescent="0.25">
      <c r="A5335" s="30" t="s">
        <v>11143</v>
      </c>
      <c r="B5335" s="31" t="s">
        <v>11143</v>
      </c>
    </row>
    <row r="5336" spans="1:2" x14ac:dyDescent="0.25">
      <c r="A5336" s="32" t="s">
        <v>8266</v>
      </c>
      <c r="B5336" s="33" t="s">
        <v>8267</v>
      </c>
    </row>
    <row r="5337" spans="1:2" x14ac:dyDescent="0.25">
      <c r="A5337" s="30" t="s">
        <v>8268</v>
      </c>
      <c r="B5337" s="31" t="s">
        <v>8269</v>
      </c>
    </row>
    <row r="5338" spans="1:2" x14ac:dyDescent="0.25">
      <c r="A5338" s="32" t="s">
        <v>11144</v>
      </c>
      <c r="B5338" s="33" t="s">
        <v>11144</v>
      </c>
    </row>
    <row r="5339" spans="1:2" x14ac:dyDescent="0.25">
      <c r="A5339" s="30" t="s">
        <v>8270</v>
      </c>
      <c r="B5339" s="31" t="s">
        <v>8271</v>
      </c>
    </row>
    <row r="5340" spans="1:2" x14ac:dyDescent="0.25">
      <c r="A5340" s="32" t="s">
        <v>8272</v>
      </c>
      <c r="B5340" s="33" t="s">
        <v>8273</v>
      </c>
    </row>
    <row r="5341" spans="1:2" x14ac:dyDescent="0.25">
      <c r="A5341" s="30" t="s">
        <v>8274</v>
      </c>
      <c r="B5341" s="31" t="s">
        <v>8275</v>
      </c>
    </row>
    <row r="5342" spans="1:2" x14ac:dyDescent="0.25">
      <c r="A5342" s="32" t="s">
        <v>8276</v>
      </c>
      <c r="B5342" s="33" t="s">
        <v>8277</v>
      </c>
    </row>
    <row r="5343" spans="1:2" x14ac:dyDescent="0.25">
      <c r="A5343" s="30" t="s">
        <v>11145</v>
      </c>
      <c r="B5343" s="31" t="s">
        <v>11145</v>
      </c>
    </row>
    <row r="5344" spans="1:2" x14ac:dyDescent="0.25">
      <c r="A5344" s="32" t="s">
        <v>8278</v>
      </c>
      <c r="B5344" s="33" t="s">
        <v>8279</v>
      </c>
    </row>
    <row r="5345" spans="1:2" x14ac:dyDescent="0.25">
      <c r="A5345" s="30" t="s">
        <v>933</v>
      </c>
      <c r="B5345" s="31" t="s">
        <v>8280</v>
      </c>
    </row>
    <row r="5346" spans="1:2" x14ac:dyDescent="0.25">
      <c r="A5346" s="32" t="s">
        <v>11146</v>
      </c>
      <c r="B5346" s="33" t="s">
        <v>11146</v>
      </c>
    </row>
    <row r="5347" spans="1:2" x14ac:dyDescent="0.25">
      <c r="A5347" s="30" t="s">
        <v>8281</v>
      </c>
      <c r="B5347" s="31" t="s">
        <v>8282</v>
      </c>
    </row>
    <row r="5348" spans="1:2" x14ac:dyDescent="0.25">
      <c r="A5348" s="32" t="s">
        <v>8283</v>
      </c>
      <c r="B5348" s="33" t="s">
        <v>8284</v>
      </c>
    </row>
    <row r="5349" spans="1:2" x14ac:dyDescent="0.25">
      <c r="A5349" s="30" t="s">
        <v>11147</v>
      </c>
      <c r="B5349" s="31" t="s">
        <v>11147</v>
      </c>
    </row>
    <row r="5350" spans="1:2" x14ac:dyDescent="0.25">
      <c r="A5350" s="32" t="s">
        <v>8285</v>
      </c>
      <c r="B5350" s="33" t="s">
        <v>8286</v>
      </c>
    </row>
    <row r="5351" spans="1:2" x14ac:dyDescent="0.25">
      <c r="A5351" s="30" t="s">
        <v>8287</v>
      </c>
      <c r="B5351" s="31" t="s">
        <v>8288</v>
      </c>
    </row>
    <row r="5352" spans="1:2" x14ac:dyDescent="0.25">
      <c r="A5352" s="32" t="s">
        <v>8289</v>
      </c>
      <c r="B5352" s="33" t="s">
        <v>8290</v>
      </c>
    </row>
    <row r="5353" spans="1:2" x14ac:dyDescent="0.25">
      <c r="A5353" s="30" t="s">
        <v>8291</v>
      </c>
      <c r="B5353" s="31" t="s">
        <v>8292</v>
      </c>
    </row>
    <row r="5354" spans="1:2" x14ac:dyDescent="0.25">
      <c r="A5354" s="32" t="s">
        <v>8293</v>
      </c>
      <c r="B5354" s="33" t="s">
        <v>8294</v>
      </c>
    </row>
    <row r="5355" spans="1:2" x14ac:dyDescent="0.25">
      <c r="A5355" s="30" t="s">
        <v>11148</v>
      </c>
      <c r="B5355" s="31" t="s">
        <v>11148</v>
      </c>
    </row>
    <row r="5356" spans="1:2" x14ac:dyDescent="0.25">
      <c r="A5356" s="32" t="s">
        <v>8295</v>
      </c>
      <c r="B5356" s="33" t="s">
        <v>8296</v>
      </c>
    </row>
    <row r="5357" spans="1:2" x14ac:dyDescent="0.25">
      <c r="A5357" s="30" t="s">
        <v>11149</v>
      </c>
      <c r="B5357" s="31" t="s">
        <v>11149</v>
      </c>
    </row>
    <row r="5358" spans="1:2" x14ac:dyDescent="0.25">
      <c r="A5358" s="32" t="s">
        <v>11150</v>
      </c>
      <c r="B5358" s="33" t="s">
        <v>11150</v>
      </c>
    </row>
    <row r="5359" spans="1:2" x14ac:dyDescent="0.25">
      <c r="A5359" s="30" t="s">
        <v>8297</v>
      </c>
      <c r="B5359" s="31" t="s">
        <v>8298</v>
      </c>
    </row>
    <row r="5360" spans="1:2" x14ac:dyDescent="0.25">
      <c r="A5360" s="32" t="s">
        <v>8299</v>
      </c>
      <c r="B5360" s="33" t="s">
        <v>8300</v>
      </c>
    </row>
    <row r="5361" spans="1:2" x14ac:dyDescent="0.25">
      <c r="A5361" s="30" t="s">
        <v>11151</v>
      </c>
      <c r="B5361" s="31" t="s">
        <v>11151</v>
      </c>
    </row>
    <row r="5362" spans="1:2" x14ac:dyDescent="0.25">
      <c r="A5362" s="32" t="s">
        <v>11152</v>
      </c>
      <c r="B5362" s="33" t="s">
        <v>11152</v>
      </c>
    </row>
    <row r="5363" spans="1:2" x14ac:dyDescent="0.25">
      <c r="A5363" s="30" t="s">
        <v>11153</v>
      </c>
      <c r="B5363" s="31" t="s">
        <v>11153</v>
      </c>
    </row>
    <row r="5364" spans="1:2" x14ac:dyDescent="0.25">
      <c r="A5364" s="32" t="s">
        <v>11154</v>
      </c>
      <c r="B5364" s="33" t="s">
        <v>11154</v>
      </c>
    </row>
    <row r="5365" spans="1:2" x14ac:dyDescent="0.25">
      <c r="A5365" s="30" t="s">
        <v>11155</v>
      </c>
      <c r="B5365" s="31" t="s">
        <v>11155</v>
      </c>
    </row>
    <row r="5366" spans="1:2" x14ac:dyDescent="0.25">
      <c r="A5366" s="32" t="s">
        <v>11156</v>
      </c>
      <c r="B5366" s="33" t="s">
        <v>11156</v>
      </c>
    </row>
    <row r="5367" spans="1:2" x14ac:dyDescent="0.25">
      <c r="A5367" s="30" t="s">
        <v>8301</v>
      </c>
      <c r="B5367" s="31" t="s">
        <v>8302</v>
      </c>
    </row>
    <row r="5368" spans="1:2" x14ac:dyDescent="0.25">
      <c r="A5368" s="32" t="s">
        <v>8303</v>
      </c>
      <c r="B5368" s="33" t="s">
        <v>8304</v>
      </c>
    </row>
    <row r="5369" spans="1:2" x14ac:dyDescent="0.25">
      <c r="A5369" s="30" t="s">
        <v>8305</v>
      </c>
      <c r="B5369" s="31" t="s">
        <v>8306</v>
      </c>
    </row>
    <row r="5370" spans="1:2" x14ac:dyDescent="0.25">
      <c r="A5370" s="32" t="s">
        <v>8307</v>
      </c>
      <c r="B5370" s="33" t="s">
        <v>8308</v>
      </c>
    </row>
    <row r="5371" spans="1:2" x14ac:dyDescent="0.25">
      <c r="A5371" s="30" t="s">
        <v>11157</v>
      </c>
      <c r="B5371" s="31" t="s">
        <v>11157</v>
      </c>
    </row>
    <row r="5372" spans="1:2" x14ac:dyDescent="0.25">
      <c r="A5372" s="32" t="s">
        <v>11158</v>
      </c>
      <c r="B5372" s="33" t="s">
        <v>11158</v>
      </c>
    </row>
    <row r="5373" spans="1:2" x14ac:dyDescent="0.25">
      <c r="A5373" s="30" t="s">
        <v>11159</v>
      </c>
      <c r="B5373" s="31" t="s">
        <v>11159</v>
      </c>
    </row>
    <row r="5374" spans="1:2" x14ac:dyDescent="0.25">
      <c r="A5374" s="32" t="s">
        <v>934</v>
      </c>
      <c r="B5374" s="33" t="s">
        <v>8309</v>
      </c>
    </row>
    <row r="5375" spans="1:2" x14ac:dyDescent="0.25">
      <c r="A5375" s="30" t="s">
        <v>8310</v>
      </c>
      <c r="B5375" s="31" t="s">
        <v>8311</v>
      </c>
    </row>
    <row r="5376" spans="1:2" x14ac:dyDescent="0.25">
      <c r="A5376" s="32" t="s">
        <v>11160</v>
      </c>
      <c r="B5376" s="33" t="s">
        <v>11160</v>
      </c>
    </row>
    <row r="5377" spans="1:2" x14ac:dyDescent="0.25">
      <c r="A5377" s="30" t="s">
        <v>8312</v>
      </c>
      <c r="B5377" s="31" t="s">
        <v>8313</v>
      </c>
    </row>
    <row r="5378" spans="1:2" x14ac:dyDescent="0.25">
      <c r="A5378" s="32" t="s">
        <v>11161</v>
      </c>
      <c r="B5378" s="33" t="s">
        <v>11161</v>
      </c>
    </row>
    <row r="5379" spans="1:2" x14ac:dyDescent="0.25">
      <c r="A5379" s="30" t="s">
        <v>11162</v>
      </c>
      <c r="B5379" s="31" t="s">
        <v>11162</v>
      </c>
    </row>
    <row r="5380" spans="1:2" x14ac:dyDescent="0.25">
      <c r="A5380" s="32" t="s">
        <v>11163</v>
      </c>
      <c r="B5380" s="33" t="s">
        <v>11163</v>
      </c>
    </row>
    <row r="5381" spans="1:2" x14ac:dyDescent="0.25">
      <c r="A5381" s="30" t="s">
        <v>8314</v>
      </c>
      <c r="B5381" s="31" t="s">
        <v>8315</v>
      </c>
    </row>
    <row r="5382" spans="1:2" x14ac:dyDescent="0.25">
      <c r="A5382" s="32" t="s">
        <v>8316</v>
      </c>
      <c r="B5382" s="33" t="s">
        <v>8317</v>
      </c>
    </row>
    <row r="5383" spans="1:2" x14ac:dyDescent="0.25">
      <c r="A5383" s="30" t="s">
        <v>11164</v>
      </c>
      <c r="B5383" s="31" t="s">
        <v>11164</v>
      </c>
    </row>
    <row r="5384" spans="1:2" x14ac:dyDescent="0.25">
      <c r="A5384" s="32" t="s">
        <v>11165</v>
      </c>
      <c r="B5384" s="33" t="s">
        <v>11165</v>
      </c>
    </row>
    <row r="5385" spans="1:2" x14ac:dyDescent="0.25">
      <c r="A5385" s="30" t="s">
        <v>8318</v>
      </c>
      <c r="B5385" s="31" t="s">
        <v>8319</v>
      </c>
    </row>
    <row r="5386" spans="1:2" x14ac:dyDescent="0.25">
      <c r="A5386" s="32" t="s">
        <v>8320</v>
      </c>
      <c r="B5386" s="33" t="s">
        <v>8321</v>
      </c>
    </row>
    <row r="5387" spans="1:2" x14ac:dyDescent="0.25">
      <c r="A5387" s="30" t="s">
        <v>935</v>
      </c>
      <c r="B5387" s="31" t="s">
        <v>8322</v>
      </c>
    </row>
    <row r="5388" spans="1:2" x14ac:dyDescent="0.25">
      <c r="A5388" s="32" t="s">
        <v>8323</v>
      </c>
      <c r="B5388" s="33" t="s">
        <v>8324</v>
      </c>
    </row>
    <row r="5389" spans="1:2" x14ac:dyDescent="0.25">
      <c r="A5389" s="30" t="s">
        <v>11166</v>
      </c>
      <c r="B5389" s="31" t="s">
        <v>11166</v>
      </c>
    </row>
    <row r="5390" spans="1:2" x14ac:dyDescent="0.25">
      <c r="A5390" s="32" t="s">
        <v>8325</v>
      </c>
      <c r="B5390" s="33" t="s">
        <v>8326</v>
      </c>
    </row>
    <row r="5391" spans="1:2" x14ac:dyDescent="0.25">
      <c r="A5391" s="30" t="s">
        <v>11167</v>
      </c>
      <c r="B5391" s="31" t="s">
        <v>11167</v>
      </c>
    </row>
    <row r="5392" spans="1:2" x14ac:dyDescent="0.25">
      <c r="A5392" s="32" t="s">
        <v>11168</v>
      </c>
      <c r="B5392" s="33" t="s">
        <v>11168</v>
      </c>
    </row>
    <row r="5393" spans="1:2" x14ac:dyDescent="0.25">
      <c r="A5393" s="30" t="s">
        <v>8327</v>
      </c>
      <c r="B5393" s="31" t="s">
        <v>8328</v>
      </c>
    </row>
    <row r="5394" spans="1:2" x14ac:dyDescent="0.25">
      <c r="A5394" s="32" t="s">
        <v>11169</v>
      </c>
      <c r="B5394" s="33" t="s">
        <v>11169</v>
      </c>
    </row>
    <row r="5395" spans="1:2" x14ac:dyDescent="0.25">
      <c r="A5395" s="30" t="s">
        <v>8329</v>
      </c>
      <c r="B5395" s="31" t="s">
        <v>8330</v>
      </c>
    </row>
    <row r="5396" spans="1:2" x14ac:dyDescent="0.25">
      <c r="A5396" s="32" t="s">
        <v>8331</v>
      </c>
      <c r="B5396" s="33" t="s">
        <v>8332</v>
      </c>
    </row>
    <row r="5397" spans="1:2" x14ac:dyDescent="0.25">
      <c r="A5397" s="30" t="s">
        <v>11170</v>
      </c>
      <c r="B5397" s="31" t="s">
        <v>11170</v>
      </c>
    </row>
    <row r="5398" spans="1:2" x14ac:dyDescent="0.25">
      <c r="A5398" s="32" t="s">
        <v>11171</v>
      </c>
      <c r="B5398" s="33" t="s">
        <v>11171</v>
      </c>
    </row>
    <row r="5399" spans="1:2" x14ac:dyDescent="0.25">
      <c r="A5399" s="30" t="s">
        <v>11172</v>
      </c>
      <c r="B5399" s="31" t="s">
        <v>11172</v>
      </c>
    </row>
    <row r="5400" spans="1:2" x14ac:dyDescent="0.25">
      <c r="A5400" s="32" t="s">
        <v>11173</v>
      </c>
      <c r="B5400" s="33" t="s">
        <v>11173</v>
      </c>
    </row>
    <row r="5401" spans="1:2" x14ac:dyDescent="0.25">
      <c r="A5401" s="30" t="s">
        <v>11174</v>
      </c>
      <c r="B5401" s="31" t="s">
        <v>11174</v>
      </c>
    </row>
    <row r="5402" spans="1:2" x14ac:dyDescent="0.25">
      <c r="A5402" s="32" t="s">
        <v>8333</v>
      </c>
      <c r="B5402" s="33" t="s">
        <v>8334</v>
      </c>
    </row>
    <row r="5403" spans="1:2" x14ac:dyDescent="0.25">
      <c r="A5403" s="30" t="s">
        <v>8335</v>
      </c>
      <c r="B5403" s="31" t="s">
        <v>8336</v>
      </c>
    </row>
    <row r="5404" spans="1:2" x14ac:dyDescent="0.25">
      <c r="A5404" s="32" t="s">
        <v>936</v>
      </c>
      <c r="B5404" s="33" t="s">
        <v>8337</v>
      </c>
    </row>
    <row r="5405" spans="1:2" x14ac:dyDescent="0.25">
      <c r="A5405" s="30" t="s">
        <v>8338</v>
      </c>
      <c r="B5405" s="31" t="s">
        <v>8339</v>
      </c>
    </row>
    <row r="5406" spans="1:2" x14ac:dyDescent="0.25">
      <c r="A5406" s="32" t="s">
        <v>8340</v>
      </c>
      <c r="B5406" s="33" t="s">
        <v>8341</v>
      </c>
    </row>
    <row r="5407" spans="1:2" x14ac:dyDescent="0.25">
      <c r="A5407" s="30" t="s">
        <v>11175</v>
      </c>
      <c r="B5407" s="31" t="s">
        <v>11175</v>
      </c>
    </row>
    <row r="5408" spans="1:2" x14ac:dyDescent="0.25">
      <c r="A5408" s="32" t="s">
        <v>11176</v>
      </c>
      <c r="B5408" s="33" t="s">
        <v>11176</v>
      </c>
    </row>
    <row r="5409" spans="1:2" x14ac:dyDescent="0.25">
      <c r="A5409" s="30" t="s">
        <v>11177</v>
      </c>
      <c r="B5409" s="31" t="s">
        <v>11177</v>
      </c>
    </row>
    <row r="5410" spans="1:2" x14ac:dyDescent="0.25">
      <c r="A5410" s="32" t="s">
        <v>11178</v>
      </c>
      <c r="B5410" s="33" t="s">
        <v>11178</v>
      </c>
    </row>
    <row r="5411" spans="1:2" x14ac:dyDescent="0.25">
      <c r="A5411" s="30" t="s">
        <v>11179</v>
      </c>
      <c r="B5411" s="31" t="s">
        <v>11179</v>
      </c>
    </row>
    <row r="5412" spans="1:2" x14ac:dyDescent="0.25">
      <c r="A5412" s="32" t="s">
        <v>8342</v>
      </c>
      <c r="B5412" s="33" t="s">
        <v>8341</v>
      </c>
    </row>
    <row r="5413" spans="1:2" x14ac:dyDescent="0.25">
      <c r="A5413" s="30" t="s">
        <v>11180</v>
      </c>
      <c r="B5413" s="31" t="s">
        <v>11180</v>
      </c>
    </row>
    <row r="5414" spans="1:2" x14ac:dyDescent="0.25">
      <c r="A5414" s="32" t="s">
        <v>11181</v>
      </c>
      <c r="B5414" s="33" t="s">
        <v>11181</v>
      </c>
    </row>
    <row r="5415" spans="1:2" x14ac:dyDescent="0.25">
      <c r="A5415" s="30" t="s">
        <v>8343</v>
      </c>
      <c r="B5415" s="31" t="s">
        <v>8344</v>
      </c>
    </row>
    <row r="5416" spans="1:2" x14ac:dyDescent="0.25">
      <c r="A5416" s="32" t="s">
        <v>8345</v>
      </c>
      <c r="B5416" s="33" t="s">
        <v>8346</v>
      </c>
    </row>
    <row r="5417" spans="1:2" x14ac:dyDescent="0.25">
      <c r="A5417" s="30" t="s">
        <v>8347</v>
      </c>
      <c r="B5417" s="31" t="s">
        <v>8348</v>
      </c>
    </row>
    <row r="5418" spans="1:2" x14ac:dyDescent="0.25">
      <c r="A5418" s="32" t="s">
        <v>937</v>
      </c>
      <c r="B5418" s="33" t="s">
        <v>8349</v>
      </c>
    </row>
    <row r="5419" spans="1:2" x14ac:dyDescent="0.25">
      <c r="A5419" s="30" t="s">
        <v>938</v>
      </c>
      <c r="B5419" s="31" t="s">
        <v>8350</v>
      </c>
    </row>
    <row r="5420" spans="1:2" x14ac:dyDescent="0.25">
      <c r="A5420" s="32" t="s">
        <v>8351</v>
      </c>
      <c r="B5420" s="33" t="s">
        <v>8352</v>
      </c>
    </row>
    <row r="5421" spans="1:2" x14ac:dyDescent="0.25">
      <c r="A5421" s="30" t="s">
        <v>8353</v>
      </c>
      <c r="B5421" s="31" t="s">
        <v>8354</v>
      </c>
    </row>
    <row r="5422" spans="1:2" x14ac:dyDescent="0.25">
      <c r="A5422" s="32" t="s">
        <v>1241</v>
      </c>
      <c r="B5422" s="33" t="s">
        <v>1241</v>
      </c>
    </row>
    <row r="5423" spans="1:2" x14ac:dyDescent="0.25">
      <c r="A5423" s="30" t="s">
        <v>939</v>
      </c>
      <c r="B5423" s="31" t="s">
        <v>8362</v>
      </c>
    </row>
    <row r="5424" spans="1:2" x14ac:dyDescent="0.25">
      <c r="A5424" s="32" t="s">
        <v>11182</v>
      </c>
      <c r="B5424" s="33" t="s">
        <v>11182</v>
      </c>
    </row>
    <row r="5425" spans="1:2" x14ac:dyDescent="0.25">
      <c r="A5425" s="30" t="s">
        <v>8363</v>
      </c>
      <c r="B5425" s="31" t="s">
        <v>2681</v>
      </c>
    </row>
    <row r="5426" spans="1:2" x14ac:dyDescent="0.25">
      <c r="A5426" s="32" t="s">
        <v>8364</v>
      </c>
      <c r="B5426" s="33" t="s">
        <v>8365</v>
      </c>
    </row>
    <row r="5427" spans="1:2" x14ac:dyDescent="0.25">
      <c r="A5427" s="30" t="s">
        <v>940</v>
      </c>
      <c r="B5427" s="31" t="s">
        <v>8365</v>
      </c>
    </row>
    <row r="5428" spans="1:2" x14ac:dyDescent="0.25">
      <c r="A5428" s="32" t="s">
        <v>8366</v>
      </c>
      <c r="B5428" s="33" t="s">
        <v>8367</v>
      </c>
    </row>
    <row r="5429" spans="1:2" x14ac:dyDescent="0.25">
      <c r="A5429" s="30" t="s">
        <v>941</v>
      </c>
      <c r="B5429" s="31" t="s">
        <v>8367</v>
      </c>
    </row>
    <row r="5430" spans="1:2" x14ac:dyDescent="0.25">
      <c r="A5430" s="32" t="s">
        <v>8368</v>
      </c>
      <c r="B5430" s="33" t="s">
        <v>8367</v>
      </c>
    </row>
    <row r="5431" spans="1:2" x14ac:dyDescent="0.25">
      <c r="A5431" s="30" t="s">
        <v>942</v>
      </c>
      <c r="B5431" s="31" t="s">
        <v>942</v>
      </c>
    </row>
    <row r="5432" spans="1:2" x14ac:dyDescent="0.25">
      <c r="A5432" s="32" t="s">
        <v>11183</v>
      </c>
      <c r="B5432" s="33" t="s">
        <v>11183</v>
      </c>
    </row>
    <row r="5433" spans="1:2" x14ac:dyDescent="0.25">
      <c r="A5433" s="30" t="s">
        <v>11184</v>
      </c>
      <c r="B5433" s="31" t="s">
        <v>11184</v>
      </c>
    </row>
    <row r="5434" spans="1:2" x14ac:dyDescent="0.25">
      <c r="A5434" s="32" t="s">
        <v>11185</v>
      </c>
      <c r="B5434" s="33" t="s">
        <v>11185</v>
      </c>
    </row>
    <row r="5435" spans="1:2" x14ac:dyDescent="0.25">
      <c r="A5435" s="30" t="s">
        <v>11186</v>
      </c>
      <c r="B5435" s="31" t="s">
        <v>11186</v>
      </c>
    </row>
    <row r="5436" spans="1:2" x14ac:dyDescent="0.25">
      <c r="A5436" s="32" t="s">
        <v>11187</v>
      </c>
      <c r="B5436" s="33" t="s">
        <v>11187</v>
      </c>
    </row>
    <row r="5437" spans="1:2" x14ac:dyDescent="0.25">
      <c r="A5437" s="30" t="s">
        <v>11188</v>
      </c>
      <c r="B5437" s="31" t="s">
        <v>11188</v>
      </c>
    </row>
    <row r="5438" spans="1:2" x14ac:dyDescent="0.25">
      <c r="A5438" s="32" t="s">
        <v>11189</v>
      </c>
      <c r="B5438" s="33" t="s">
        <v>11189</v>
      </c>
    </row>
    <row r="5439" spans="1:2" x14ac:dyDescent="0.25">
      <c r="A5439" s="30" t="s">
        <v>11190</v>
      </c>
      <c r="B5439" s="31" t="s">
        <v>11190</v>
      </c>
    </row>
    <row r="5440" spans="1:2" x14ac:dyDescent="0.25">
      <c r="A5440" s="32" t="s">
        <v>11191</v>
      </c>
      <c r="B5440" s="33" t="s">
        <v>11191</v>
      </c>
    </row>
    <row r="5441" spans="1:2" x14ac:dyDescent="0.25">
      <c r="A5441" s="30" t="s">
        <v>11192</v>
      </c>
      <c r="B5441" s="31" t="s">
        <v>11192</v>
      </c>
    </row>
    <row r="5442" spans="1:2" x14ac:dyDescent="0.25">
      <c r="A5442" s="32" t="s">
        <v>943</v>
      </c>
      <c r="B5442" s="33" t="s">
        <v>943</v>
      </c>
    </row>
    <row r="5443" spans="1:2" x14ac:dyDescent="0.25">
      <c r="A5443" s="30" t="s">
        <v>944</v>
      </c>
      <c r="B5443" s="31" t="s">
        <v>944</v>
      </c>
    </row>
    <row r="5444" spans="1:2" x14ac:dyDescent="0.25">
      <c r="A5444" s="32" t="s">
        <v>11193</v>
      </c>
      <c r="B5444" s="33" t="s">
        <v>11193</v>
      </c>
    </row>
    <row r="5445" spans="1:2" x14ac:dyDescent="0.25">
      <c r="A5445" s="30" t="s">
        <v>11194</v>
      </c>
      <c r="B5445" s="31" t="s">
        <v>11194</v>
      </c>
    </row>
    <row r="5446" spans="1:2" x14ac:dyDescent="0.25">
      <c r="A5446" s="32" t="s">
        <v>945</v>
      </c>
      <c r="B5446" s="33" t="s">
        <v>945</v>
      </c>
    </row>
    <row r="5447" spans="1:2" x14ac:dyDescent="0.25">
      <c r="A5447" s="30" t="s">
        <v>946</v>
      </c>
      <c r="B5447" s="31" t="s">
        <v>946</v>
      </c>
    </row>
    <row r="5448" spans="1:2" x14ac:dyDescent="0.25">
      <c r="A5448" s="32" t="s">
        <v>947</v>
      </c>
      <c r="B5448" s="33" t="s">
        <v>947</v>
      </c>
    </row>
    <row r="5449" spans="1:2" x14ac:dyDescent="0.25">
      <c r="A5449" s="30" t="s">
        <v>11195</v>
      </c>
      <c r="B5449" s="31" t="s">
        <v>11195</v>
      </c>
    </row>
    <row r="5450" spans="1:2" x14ac:dyDescent="0.25">
      <c r="A5450" s="32" t="s">
        <v>948</v>
      </c>
      <c r="B5450" s="33" t="s">
        <v>948</v>
      </c>
    </row>
    <row r="5451" spans="1:2" x14ac:dyDescent="0.25">
      <c r="A5451" s="30" t="s">
        <v>949</v>
      </c>
      <c r="B5451" s="31" t="s">
        <v>949</v>
      </c>
    </row>
    <row r="5452" spans="1:2" x14ac:dyDescent="0.25">
      <c r="A5452" s="32" t="s">
        <v>11196</v>
      </c>
      <c r="B5452" s="33" t="s">
        <v>11196</v>
      </c>
    </row>
    <row r="5453" spans="1:2" x14ac:dyDescent="0.25">
      <c r="A5453" s="30" t="s">
        <v>950</v>
      </c>
      <c r="B5453" s="31" t="s">
        <v>950</v>
      </c>
    </row>
    <row r="5454" spans="1:2" x14ac:dyDescent="0.25">
      <c r="A5454" s="32" t="s">
        <v>11197</v>
      </c>
      <c r="B5454" s="33" t="s">
        <v>11197</v>
      </c>
    </row>
    <row r="5455" spans="1:2" x14ac:dyDescent="0.25">
      <c r="A5455" s="30" t="s">
        <v>11198</v>
      </c>
      <c r="B5455" s="31" t="s">
        <v>11198</v>
      </c>
    </row>
    <row r="5456" spans="1:2" x14ac:dyDescent="0.25">
      <c r="A5456" s="32" t="s">
        <v>11199</v>
      </c>
      <c r="B5456" s="33" t="s">
        <v>11199</v>
      </c>
    </row>
    <row r="5457" spans="1:2" x14ac:dyDescent="0.25">
      <c r="A5457" s="30" t="s">
        <v>11200</v>
      </c>
      <c r="B5457" s="31" t="s">
        <v>11200</v>
      </c>
    </row>
    <row r="5458" spans="1:2" x14ac:dyDescent="0.25">
      <c r="A5458" s="32" t="s">
        <v>11201</v>
      </c>
      <c r="B5458" s="33" t="s">
        <v>11201</v>
      </c>
    </row>
    <row r="5459" spans="1:2" x14ac:dyDescent="0.25">
      <c r="A5459" s="30" t="s">
        <v>11202</v>
      </c>
      <c r="B5459" s="31" t="s">
        <v>11202</v>
      </c>
    </row>
    <row r="5460" spans="1:2" x14ac:dyDescent="0.25">
      <c r="A5460" s="32" t="s">
        <v>11203</v>
      </c>
      <c r="B5460" s="33" t="s">
        <v>11203</v>
      </c>
    </row>
    <row r="5461" spans="1:2" x14ac:dyDescent="0.25">
      <c r="A5461" s="30" t="s">
        <v>11204</v>
      </c>
      <c r="B5461" s="31" t="s">
        <v>11204</v>
      </c>
    </row>
    <row r="5462" spans="1:2" x14ac:dyDescent="0.25">
      <c r="A5462" s="32" t="s">
        <v>11205</v>
      </c>
      <c r="B5462" s="33" t="s">
        <v>11205</v>
      </c>
    </row>
    <row r="5463" spans="1:2" x14ac:dyDescent="0.25">
      <c r="A5463" s="30" t="s">
        <v>11206</v>
      </c>
      <c r="B5463" s="31" t="s">
        <v>11206</v>
      </c>
    </row>
    <row r="5464" spans="1:2" x14ac:dyDescent="0.25">
      <c r="A5464" s="32" t="s">
        <v>11207</v>
      </c>
      <c r="B5464" s="33" t="s">
        <v>11207</v>
      </c>
    </row>
    <row r="5465" spans="1:2" x14ac:dyDescent="0.25">
      <c r="A5465" s="30" t="s">
        <v>11208</v>
      </c>
      <c r="B5465" s="31" t="s">
        <v>11208</v>
      </c>
    </row>
    <row r="5466" spans="1:2" x14ac:dyDescent="0.25">
      <c r="A5466" s="32" t="s">
        <v>11209</v>
      </c>
      <c r="B5466" s="33" t="s">
        <v>11209</v>
      </c>
    </row>
    <row r="5467" spans="1:2" x14ac:dyDescent="0.25">
      <c r="A5467" s="30" t="s">
        <v>11210</v>
      </c>
      <c r="B5467" s="31" t="s">
        <v>11210</v>
      </c>
    </row>
    <row r="5468" spans="1:2" x14ac:dyDescent="0.25">
      <c r="A5468" s="32" t="s">
        <v>11211</v>
      </c>
      <c r="B5468" s="33" t="s">
        <v>11211</v>
      </c>
    </row>
    <row r="5469" spans="1:2" x14ac:dyDescent="0.25">
      <c r="A5469" s="30" t="s">
        <v>11212</v>
      </c>
      <c r="B5469" s="31" t="s">
        <v>11212</v>
      </c>
    </row>
    <row r="5470" spans="1:2" x14ac:dyDescent="0.25">
      <c r="A5470" s="32" t="s">
        <v>951</v>
      </c>
      <c r="B5470" s="33" t="s">
        <v>8369</v>
      </c>
    </row>
    <row r="5471" spans="1:2" x14ac:dyDescent="0.25">
      <c r="A5471" s="30" t="s">
        <v>11213</v>
      </c>
      <c r="B5471" s="31" t="s">
        <v>11213</v>
      </c>
    </row>
    <row r="5472" spans="1:2" x14ac:dyDescent="0.25">
      <c r="A5472" s="32" t="s">
        <v>11214</v>
      </c>
      <c r="B5472" s="33" t="s">
        <v>11214</v>
      </c>
    </row>
    <row r="5473" spans="1:2" x14ac:dyDescent="0.25">
      <c r="A5473" s="30" t="s">
        <v>11215</v>
      </c>
      <c r="B5473" s="31" t="s">
        <v>11215</v>
      </c>
    </row>
    <row r="5474" spans="1:2" x14ac:dyDescent="0.25">
      <c r="A5474" s="32" t="s">
        <v>11216</v>
      </c>
      <c r="B5474" s="33" t="s">
        <v>11216</v>
      </c>
    </row>
    <row r="5475" spans="1:2" x14ac:dyDescent="0.25">
      <c r="A5475" s="30" t="s">
        <v>11217</v>
      </c>
      <c r="B5475" s="31" t="s">
        <v>11217</v>
      </c>
    </row>
    <row r="5476" spans="1:2" x14ac:dyDescent="0.25">
      <c r="A5476" s="32" t="s">
        <v>11218</v>
      </c>
      <c r="B5476" s="33" t="s">
        <v>11218</v>
      </c>
    </row>
    <row r="5477" spans="1:2" x14ac:dyDescent="0.25">
      <c r="A5477" s="30" t="s">
        <v>1238</v>
      </c>
      <c r="B5477" s="31" t="s">
        <v>1238</v>
      </c>
    </row>
    <row r="5478" spans="1:2" x14ac:dyDescent="0.25">
      <c r="A5478" s="32" t="s">
        <v>11219</v>
      </c>
      <c r="B5478" s="33" t="s">
        <v>11219</v>
      </c>
    </row>
    <row r="5479" spans="1:2" x14ac:dyDescent="0.25">
      <c r="A5479" s="30" t="s">
        <v>11220</v>
      </c>
      <c r="B5479" s="31" t="s">
        <v>11220</v>
      </c>
    </row>
    <row r="5480" spans="1:2" x14ac:dyDescent="0.25">
      <c r="A5480" s="32" t="s">
        <v>11221</v>
      </c>
      <c r="B5480" s="33" t="s">
        <v>11221</v>
      </c>
    </row>
    <row r="5481" spans="1:2" x14ac:dyDescent="0.25">
      <c r="A5481" s="30" t="s">
        <v>11222</v>
      </c>
      <c r="B5481" s="31" t="s">
        <v>11222</v>
      </c>
    </row>
    <row r="5482" spans="1:2" x14ac:dyDescent="0.25">
      <c r="A5482" s="32" t="s">
        <v>11223</v>
      </c>
      <c r="B5482" s="33" t="s">
        <v>11223</v>
      </c>
    </row>
    <row r="5483" spans="1:2" x14ac:dyDescent="0.25">
      <c r="A5483" s="30" t="s">
        <v>11224</v>
      </c>
      <c r="B5483" s="31" t="s">
        <v>11224</v>
      </c>
    </row>
    <row r="5484" spans="1:2" x14ac:dyDescent="0.25">
      <c r="A5484" s="32" t="s">
        <v>11225</v>
      </c>
      <c r="B5484" s="33" t="s">
        <v>11225</v>
      </c>
    </row>
    <row r="5485" spans="1:2" x14ac:dyDescent="0.25">
      <c r="A5485" s="30" t="s">
        <v>11226</v>
      </c>
      <c r="B5485" s="31" t="s">
        <v>11226</v>
      </c>
    </row>
    <row r="5486" spans="1:2" x14ac:dyDescent="0.25">
      <c r="A5486" s="32" t="s">
        <v>11227</v>
      </c>
      <c r="B5486" s="33" t="s">
        <v>11227</v>
      </c>
    </row>
    <row r="5487" spans="1:2" x14ac:dyDescent="0.25">
      <c r="A5487" s="30" t="s">
        <v>952</v>
      </c>
      <c r="B5487" s="31" t="s">
        <v>952</v>
      </c>
    </row>
    <row r="5488" spans="1:2" x14ac:dyDescent="0.25">
      <c r="A5488" s="32" t="s">
        <v>11228</v>
      </c>
      <c r="B5488" s="33" t="s">
        <v>11228</v>
      </c>
    </row>
    <row r="5489" spans="1:2" x14ac:dyDescent="0.25">
      <c r="A5489" s="30" t="s">
        <v>11229</v>
      </c>
      <c r="B5489" s="31" t="s">
        <v>11229</v>
      </c>
    </row>
    <row r="5490" spans="1:2" x14ac:dyDescent="0.25">
      <c r="A5490" s="32" t="s">
        <v>11230</v>
      </c>
      <c r="B5490" s="33" t="s">
        <v>11230</v>
      </c>
    </row>
    <row r="5491" spans="1:2" x14ac:dyDescent="0.25">
      <c r="A5491" s="30" t="s">
        <v>1239</v>
      </c>
      <c r="B5491" s="31" t="s">
        <v>1239</v>
      </c>
    </row>
    <row r="5492" spans="1:2" x14ac:dyDescent="0.25">
      <c r="A5492" s="32" t="s">
        <v>11231</v>
      </c>
      <c r="B5492" s="33" t="s">
        <v>11231</v>
      </c>
    </row>
    <row r="5493" spans="1:2" x14ac:dyDescent="0.25">
      <c r="A5493" s="30" t="s">
        <v>11232</v>
      </c>
      <c r="B5493" s="31" t="s">
        <v>11232</v>
      </c>
    </row>
    <row r="5494" spans="1:2" x14ac:dyDescent="0.25">
      <c r="A5494" s="32" t="s">
        <v>11233</v>
      </c>
      <c r="B5494" s="33" t="s">
        <v>11233</v>
      </c>
    </row>
    <row r="5495" spans="1:2" x14ac:dyDescent="0.25">
      <c r="A5495" s="30" t="s">
        <v>11234</v>
      </c>
      <c r="B5495" s="31" t="s">
        <v>11234</v>
      </c>
    </row>
    <row r="5496" spans="1:2" x14ac:dyDescent="0.25">
      <c r="A5496" s="32" t="s">
        <v>953</v>
      </c>
      <c r="B5496" s="33" t="s">
        <v>953</v>
      </c>
    </row>
    <row r="5497" spans="1:2" x14ac:dyDescent="0.25">
      <c r="A5497" s="30" t="s">
        <v>11235</v>
      </c>
      <c r="B5497" s="31" t="s">
        <v>11235</v>
      </c>
    </row>
    <row r="5498" spans="1:2" x14ac:dyDescent="0.25">
      <c r="A5498" s="32" t="s">
        <v>11236</v>
      </c>
      <c r="B5498" s="33" t="s">
        <v>11236</v>
      </c>
    </row>
    <row r="5499" spans="1:2" x14ac:dyDescent="0.25">
      <c r="A5499" s="30" t="s">
        <v>11237</v>
      </c>
      <c r="B5499" s="31" t="s">
        <v>11237</v>
      </c>
    </row>
    <row r="5500" spans="1:2" x14ac:dyDescent="0.25">
      <c r="A5500" s="32" t="s">
        <v>954</v>
      </c>
      <c r="B5500" s="33" t="s">
        <v>954</v>
      </c>
    </row>
    <row r="5501" spans="1:2" x14ac:dyDescent="0.25">
      <c r="A5501" s="30" t="s">
        <v>11238</v>
      </c>
      <c r="B5501" s="31" t="s">
        <v>11238</v>
      </c>
    </row>
    <row r="5502" spans="1:2" x14ac:dyDescent="0.25">
      <c r="A5502" s="32" t="s">
        <v>11239</v>
      </c>
      <c r="B5502" s="33" t="s">
        <v>11239</v>
      </c>
    </row>
    <row r="5503" spans="1:2" x14ac:dyDescent="0.25">
      <c r="A5503" s="30" t="s">
        <v>11240</v>
      </c>
      <c r="B5503" s="31" t="s">
        <v>11240</v>
      </c>
    </row>
    <row r="5504" spans="1:2" x14ac:dyDescent="0.25">
      <c r="A5504" s="32" t="s">
        <v>11241</v>
      </c>
      <c r="B5504" s="33" t="s">
        <v>11241</v>
      </c>
    </row>
    <row r="5505" spans="1:2" x14ac:dyDescent="0.25">
      <c r="A5505" s="30" t="s">
        <v>955</v>
      </c>
      <c r="B5505" s="31" t="s">
        <v>955</v>
      </c>
    </row>
    <row r="5506" spans="1:2" x14ac:dyDescent="0.25">
      <c r="A5506" s="32" t="s">
        <v>11242</v>
      </c>
      <c r="B5506" s="33" t="s">
        <v>11242</v>
      </c>
    </row>
    <row r="5507" spans="1:2" x14ac:dyDescent="0.25">
      <c r="A5507" s="30" t="s">
        <v>957</v>
      </c>
      <c r="B5507" s="31" t="s">
        <v>957</v>
      </c>
    </row>
    <row r="5508" spans="1:2" x14ac:dyDescent="0.25">
      <c r="A5508" s="32" t="s">
        <v>958</v>
      </c>
      <c r="B5508" s="33" t="s">
        <v>958</v>
      </c>
    </row>
    <row r="5509" spans="1:2" x14ac:dyDescent="0.25">
      <c r="A5509" s="30" t="s">
        <v>959</v>
      </c>
      <c r="B5509" s="31" t="s">
        <v>959</v>
      </c>
    </row>
    <row r="5510" spans="1:2" x14ac:dyDescent="0.25">
      <c r="A5510" s="32" t="s">
        <v>960</v>
      </c>
      <c r="B5510" s="33" t="s">
        <v>960</v>
      </c>
    </row>
    <row r="5511" spans="1:2" x14ac:dyDescent="0.25">
      <c r="A5511" s="30" t="s">
        <v>961</v>
      </c>
      <c r="B5511" s="31" t="s">
        <v>961</v>
      </c>
    </row>
    <row r="5512" spans="1:2" x14ac:dyDescent="0.25">
      <c r="A5512" s="32" t="s">
        <v>962</v>
      </c>
      <c r="B5512" s="33" t="s">
        <v>962</v>
      </c>
    </row>
    <row r="5513" spans="1:2" x14ac:dyDescent="0.25">
      <c r="A5513" s="30" t="s">
        <v>963</v>
      </c>
      <c r="B5513" s="31" t="s">
        <v>963</v>
      </c>
    </row>
    <row r="5514" spans="1:2" x14ac:dyDescent="0.25">
      <c r="A5514" s="32" t="s">
        <v>1240</v>
      </c>
      <c r="B5514" s="33" t="s">
        <v>1240</v>
      </c>
    </row>
    <row r="5515" spans="1:2" x14ac:dyDescent="0.25">
      <c r="A5515" s="30" t="s">
        <v>11243</v>
      </c>
      <c r="B5515" s="31" t="s">
        <v>11243</v>
      </c>
    </row>
    <row r="5516" spans="1:2" x14ac:dyDescent="0.25">
      <c r="A5516" s="32" t="s">
        <v>11244</v>
      </c>
      <c r="B5516" s="33" t="s">
        <v>11244</v>
      </c>
    </row>
    <row r="5517" spans="1:2" x14ac:dyDescent="0.25">
      <c r="A5517" s="30" t="s">
        <v>11245</v>
      </c>
      <c r="B5517" s="31" t="s">
        <v>11245</v>
      </c>
    </row>
    <row r="5518" spans="1:2" x14ac:dyDescent="0.25">
      <c r="A5518" s="32" t="s">
        <v>11246</v>
      </c>
      <c r="B5518" s="33" t="s">
        <v>11246</v>
      </c>
    </row>
    <row r="5519" spans="1:2" x14ac:dyDescent="0.25">
      <c r="A5519" s="30" t="s">
        <v>964</v>
      </c>
      <c r="B5519" s="31" t="s">
        <v>964</v>
      </c>
    </row>
    <row r="5520" spans="1:2" x14ac:dyDescent="0.25">
      <c r="A5520" s="32" t="s">
        <v>966</v>
      </c>
      <c r="B5520" s="33" t="s">
        <v>966</v>
      </c>
    </row>
    <row r="5521" spans="1:2" x14ac:dyDescent="0.25">
      <c r="A5521" s="30" t="s">
        <v>967</v>
      </c>
      <c r="B5521" s="31" t="s">
        <v>967</v>
      </c>
    </row>
    <row r="5522" spans="1:2" x14ac:dyDescent="0.25">
      <c r="A5522" s="32" t="s">
        <v>11247</v>
      </c>
      <c r="B5522" s="33" t="s">
        <v>11247</v>
      </c>
    </row>
    <row r="5523" spans="1:2" x14ac:dyDescent="0.25">
      <c r="A5523" s="30" t="s">
        <v>11248</v>
      </c>
      <c r="B5523" s="31" t="s">
        <v>11248</v>
      </c>
    </row>
    <row r="5524" spans="1:2" x14ac:dyDescent="0.25">
      <c r="A5524" s="32" t="s">
        <v>11249</v>
      </c>
      <c r="B5524" s="33" t="s">
        <v>11249</v>
      </c>
    </row>
    <row r="5525" spans="1:2" x14ac:dyDescent="0.25">
      <c r="A5525" s="30" t="s">
        <v>11250</v>
      </c>
      <c r="B5525" s="31" t="s">
        <v>11250</v>
      </c>
    </row>
    <row r="5526" spans="1:2" x14ac:dyDescent="0.25">
      <c r="A5526" s="32" t="s">
        <v>980</v>
      </c>
      <c r="B5526" s="33" t="s">
        <v>980</v>
      </c>
    </row>
    <row r="5527" spans="1:2" x14ac:dyDescent="0.25">
      <c r="A5527" s="30" t="s">
        <v>981</v>
      </c>
      <c r="B5527" s="31" t="s">
        <v>981</v>
      </c>
    </row>
    <row r="5528" spans="1:2" x14ac:dyDescent="0.25">
      <c r="A5528" s="32" t="s">
        <v>983</v>
      </c>
      <c r="B5528" s="33" t="s">
        <v>983</v>
      </c>
    </row>
    <row r="5529" spans="1:2" x14ac:dyDescent="0.25">
      <c r="A5529" s="30" t="s">
        <v>968</v>
      </c>
      <c r="B5529" s="31" t="s">
        <v>968</v>
      </c>
    </row>
    <row r="5530" spans="1:2" x14ac:dyDescent="0.25">
      <c r="A5530" s="32" t="s">
        <v>969</v>
      </c>
      <c r="B5530" s="33" t="s">
        <v>969</v>
      </c>
    </row>
    <row r="5531" spans="1:2" x14ac:dyDescent="0.25">
      <c r="A5531" s="30" t="s">
        <v>11251</v>
      </c>
      <c r="B5531" s="31" t="s">
        <v>11251</v>
      </c>
    </row>
    <row r="5532" spans="1:2" x14ac:dyDescent="0.25">
      <c r="A5532" s="32" t="s">
        <v>11252</v>
      </c>
      <c r="B5532" s="33" t="s">
        <v>11252</v>
      </c>
    </row>
    <row r="5533" spans="1:2" x14ac:dyDescent="0.25">
      <c r="A5533" s="30" t="s">
        <v>11253</v>
      </c>
      <c r="B5533" s="31" t="s">
        <v>11253</v>
      </c>
    </row>
    <row r="5534" spans="1:2" x14ac:dyDescent="0.25">
      <c r="A5534" s="32" t="s">
        <v>11254</v>
      </c>
      <c r="B5534" s="33" t="s">
        <v>11254</v>
      </c>
    </row>
    <row r="5535" spans="1:2" x14ac:dyDescent="0.25">
      <c r="A5535" s="30" t="s">
        <v>11255</v>
      </c>
      <c r="B5535" s="31" t="s">
        <v>11255</v>
      </c>
    </row>
    <row r="5536" spans="1:2" x14ac:dyDescent="0.25">
      <c r="A5536" s="32" t="s">
        <v>11256</v>
      </c>
      <c r="B5536" s="33" t="s">
        <v>11256</v>
      </c>
    </row>
    <row r="5537" spans="1:2" x14ac:dyDescent="0.25">
      <c r="A5537" s="30" t="s">
        <v>11257</v>
      </c>
      <c r="B5537" s="31" t="s">
        <v>11257</v>
      </c>
    </row>
    <row r="5538" spans="1:2" x14ac:dyDescent="0.25">
      <c r="A5538" s="32" t="s">
        <v>970</v>
      </c>
      <c r="B5538" s="33" t="s">
        <v>970</v>
      </c>
    </row>
    <row r="5539" spans="1:2" x14ac:dyDescent="0.25">
      <c r="A5539" s="30" t="s">
        <v>11258</v>
      </c>
      <c r="B5539" s="31" t="s">
        <v>11258</v>
      </c>
    </row>
    <row r="5540" spans="1:2" x14ac:dyDescent="0.25">
      <c r="A5540" s="32" t="s">
        <v>971</v>
      </c>
      <c r="B5540" s="33" t="s">
        <v>971</v>
      </c>
    </row>
    <row r="5541" spans="1:2" x14ac:dyDescent="0.25">
      <c r="A5541" s="30" t="s">
        <v>11259</v>
      </c>
      <c r="B5541" s="31" t="s">
        <v>11259</v>
      </c>
    </row>
    <row r="5542" spans="1:2" x14ac:dyDescent="0.25">
      <c r="A5542" s="32" t="s">
        <v>11260</v>
      </c>
      <c r="B5542" s="33" t="s">
        <v>11260</v>
      </c>
    </row>
    <row r="5543" spans="1:2" x14ac:dyDescent="0.25">
      <c r="A5543" s="30" t="s">
        <v>11261</v>
      </c>
      <c r="B5543" s="31" t="s">
        <v>11261</v>
      </c>
    </row>
    <row r="5544" spans="1:2" x14ac:dyDescent="0.25">
      <c r="A5544" s="32" t="s">
        <v>11262</v>
      </c>
      <c r="B5544" s="33" t="s">
        <v>11262</v>
      </c>
    </row>
    <row r="5545" spans="1:2" x14ac:dyDescent="0.25">
      <c r="A5545" s="30" t="s">
        <v>11263</v>
      </c>
      <c r="B5545" s="31" t="s">
        <v>11263</v>
      </c>
    </row>
    <row r="5546" spans="1:2" x14ac:dyDescent="0.25">
      <c r="A5546" s="32" t="s">
        <v>11264</v>
      </c>
      <c r="B5546" s="33" t="s">
        <v>11264</v>
      </c>
    </row>
    <row r="5547" spans="1:2" x14ac:dyDescent="0.25">
      <c r="A5547" s="30" t="s">
        <v>11265</v>
      </c>
      <c r="B5547" s="31" t="s">
        <v>11265</v>
      </c>
    </row>
    <row r="5548" spans="1:2" x14ac:dyDescent="0.25">
      <c r="A5548" s="32" t="s">
        <v>11266</v>
      </c>
      <c r="B5548" s="33" t="s">
        <v>11266</v>
      </c>
    </row>
    <row r="5549" spans="1:2" x14ac:dyDescent="0.25">
      <c r="A5549" s="30" t="s">
        <v>11267</v>
      </c>
      <c r="B5549" s="31" t="s">
        <v>11267</v>
      </c>
    </row>
    <row r="5550" spans="1:2" x14ac:dyDescent="0.25">
      <c r="A5550" s="32" t="s">
        <v>11268</v>
      </c>
      <c r="B5550" s="33" t="s">
        <v>11268</v>
      </c>
    </row>
    <row r="5551" spans="1:2" x14ac:dyDescent="0.25">
      <c r="A5551" s="30" t="s">
        <v>11269</v>
      </c>
      <c r="B5551" s="31" t="s">
        <v>11269</v>
      </c>
    </row>
    <row r="5552" spans="1:2" x14ac:dyDescent="0.25">
      <c r="A5552" s="32" t="s">
        <v>11270</v>
      </c>
      <c r="B5552" s="33" t="s">
        <v>11270</v>
      </c>
    </row>
    <row r="5553" spans="1:2" x14ac:dyDescent="0.25">
      <c r="A5553" s="30" t="s">
        <v>11271</v>
      </c>
      <c r="B5553" s="31" t="s">
        <v>11271</v>
      </c>
    </row>
    <row r="5554" spans="1:2" x14ac:dyDescent="0.25">
      <c r="A5554" s="32" t="s">
        <v>11272</v>
      </c>
      <c r="B5554" s="33" t="s">
        <v>11272</v>
      </c>
    </row>
    <row r="5555" spans="1:2" x14ac:dyDescent="0.25">
      <c r="A5555" s="30" t="s">
        <v>11273</v>
      </c>
      <c r="B5555" s="31" t="s">
        <v>11273</v>
      </c>
    </row>
    <row r="5556" spans="1:2" x14ac:dyDescent="0.25">
      <c r="A5556" s="32" t="s">
        <v>11274</v>
      </c>
      <c r="B5556" s="33" t="s">
        <v>11274</v>
      </c>
    </row>
    <row r="5557" spans="1:2" x14ac:dyDescent="0.25">
      <c r="A5557" s="30" t="s">
        <v>11275</v>
      </c>
      <c r="B5557" s="31" t="s">
        <v>11275</v>
      </c>
    </row>
    <row r="5558" spans="1:2" x14ac:dyDescent="0.25">
      <c r="A5558" s="32" t="s">
        <v>11276</v>
      </c>
      <c r="B5558" s="33" t="s">
        <v>11276</v>
      </c>
    </row>
    <row r="5559" spans="1:2" x14ac:dyDescent="0.25">
      <c r="A5559" s="30" t="s">
        <v>11277</v>
      </c>
      <c r="B5559" s="31" t="s">
        <v>11277</v>
      </c>
    </row>
    <row r="5560" spans="1:2" x14ac:dyDescent="0.25">
      <c r="A5560" s="32" t="s">
        <v>11278</v>
      </c>
      <c r="B5560" s="33" t="s">
        <v>11278</v>
      </c>
    </row>
    <row r="5561" spans="1:2" x14ac:dyDescent="0.25">
      <c r="A5561" s="30" t="s">
        <v>974</v>
      </c>
      <c r="B5561" s="31" t="s">
        <v>974</v>
      </c>
    </row>
    <row r="5562" spans="1:2" x14ac:dyDescent="0.25">
      <c r="A5562" s="32" t="s">
        <v>11279</v>
      </c>
      <c r="B5562" s="33" t="s">
        <v>11279</v>
      </c>
    </row>
    <row r="5563" spans="1:2" x14ac:dyDescent="0.25">
      <c r="A5563" s="30" t="s">
        <v>11280</v>
      </c>
      <c r="B5563" s="31" t="s">
        <v>11280</v>
      </c>
    </row>
    <row r="5564" spans="1:2" x14ac:dyDescent="0.25">
      <c r="A5564" s="32" t="s">
        <v>11281</v>
      </c>
      <c r="B5564" s="33" t="s">
        <v>11281</v>
      </c>
    </row>
    <row r="5565" spans="1:2" x14ac:dyDescent="0.25">
      <c r="A5565" s="30" t="s">
        <v>11282</v>
      </c>
      <c r="B5565" s="31" t="s">
        <v>11282</v>
      </c>
    </row>
    <row r="5566" spans="1:2" x14ac:dyDescent="0.25">
      <c r="A5566" s="32" t="s">
        <v>11283</v>
      </c>
      <c r="B5566" s="33" t="s">
        <v>11283</v>
      </c>
    </row>
    <row r="5567" spans="1:2" x14ac:dyDescent="0.25">
      <c r="A5567" s="30" t="s">
        <v>11284</v>
      </c>
      <c r="B5567" s="31" t="s">
        <v>11284</v>
      </c>
    </row>
    <row r="5568" spans="1:2" x14ac:dyDescent="0.25">
      <c r="A5568" s="32" t="s">
        <v>975</v>
      </c>
      <c r="B5568" s="33" t="s">
        <v>975</v>
      </c>
    </row>
    <row r="5569" spans="1:2" x14ac:dyDescent="0.25">
      <c r="A5569" s="30" t="s">
        <v>976</v>
      </c>
      <c r="B5569" s="31" t="s">
        <v>976</v>
      </c>
    </row>
    <row r="5570" spans="1:2" x14ac:dyDescent="0.25">
      <c r="A5570" s="32" t="s">
        <v>977</v>
      </c>
      <c r="B5570" s="33" t="s">
        <v>977</v>
      </c>
    </row>
    <row r="5571" spans="1:2" x14ac:dyDescent="0.25">
      <c r="A5571" s="30" t="s">
        <v>8355</v>
      </c>
      <c r="B5571" s="31" t="s">
        <v>7548</v>
      </c>
    </row>
    <row r="5572" spans="1:2" x14ac:dyDescent="0.25">
      <c r="A5572" s="32" t="s">
        <v>984</v>
      </c>
      <c r="B5572" s="33" t="s">
        <v>8356</v>
      </c>
    </row>
    <row r="5573" spans="1:2" x14ac:dyDescent="0.25">
      <c r="A5573" s="30" t="s">
        <v>985</v>
      </c>
      <c r="B5573" s="31" t="s">
        <v>8357</v>
      </c>
    </row>
    <row r="5574" spans="1:2" x14ac:dyDescent="0.25">
      <c r="A5574" s="32" t="s">
        <v>986</v>
      </c>
      <c r="B5574" s="33" t="s">
        <v>8358</v>
      </c>
    </row>
    <row r="5575" spans="1:2" x14ac:dyDescent="0.25">
      <c r="A5575" s="30" t="s">
        <v>987</v>
      </c>
      <c r="B5575" s="31" t="s">
        <v>7550</v>
      </c>
    </row>
    <row r="5576" spans="1:2" x14ac:dyDescent="0.25">
      <c r="A5576" s="32" t="s">
        <v>988</v>
      </c>
      <c r="B5576" s="33" t="s">
        <v>8360</v>
      </c>
    </row>
    <row r="5577" spans="1:2" x14ac:dyDescent="0.25">
      <c r="A5577" s="30" t="s">
        <v>989</v>
      </c>
      <c r="B5577" s="31" t="s">
        <v>8359</v>
      </c>
    </row>
    <row r="5578" spans="1:2" x14ac:dyDescent="0.25">
      <c r="A5578" s="32" t="s">
        <v>990</v>
      </c>
      <c r="B5578" s="33" t="s">
        <v>990</v>
      </c>
    </row>
    <row r="5579" spans="1:2" x14ac:dyDescent="0.25">
      <c r="A5579" s="30" t="s">
        <v>991</v>
      </c>
      <c r="B5579" s="31" t="s">
        <v>8361</v>
      </c>
    </row>
    <row r="5580" spans="1:2" x14ac:dyDescent="0.25">
      <c r="A5580" s="32" t="s">
        <v>992</v>
      </c>
      <c r="B5580" s="33" t="s">
        <v>992</v>
      </c>
    </row>
    <row r="5581" spans="1:2" x14ac:dyDescent="0.25">
      <c r="A5581" s="30" t="s">
        <v>11285</v>
      </c>
      <c r="B5581" s="31" t="s">
        <v>11285</v>
      </c>
    </row>
    <row r="5582" spans="1:2" x14ac:dyDescent="0.25">
      <c r="A5582" s="32" t="s">
        <v>11286</v>
      </c>
      <c r="B5582" s="33" t="s">
        <v>11286</v>
      </c>
    </row>
    <row r="5583" spans="1:2" x14ac:dyDescent="0.25">
      <c r="A5583" s="30" t="s">
        <v>11287</v>
      </c>
      <c r="B5583" s="31" t="s">
        <v>11287</v>
      </c>
    </row>
    <row r="5584" spans="1:2" x14ac:dyDescent="0.25">
      <c r="A5584" s="32" t="s">
        <v>993</v>
      </c>
      <c r="B5584" s="33" t="s">
        <v>993</v>
      </c>
    </row>
    <row r="5585" spans="1:2" x14ac:dyDescent="0.25">
      <c r="A5585" s="30" t="s">
        <v>11288</v>
      </c>
      <c r="B5585" s="31" t="s">
        <v>11288</v>
      </c>
    </row>
    <row r="5586" spans="1:2" x14ac:dyDescent="0.25">
      <c r="A5586" s="32" t="s">
        <v>994</v>
      </c>
      <c r="B5586" s="33" t="s">
        <v>994</v>
      </c>
    </row>
    <row r="5587" spans="1:2" x14ac:dyDescent="0.25">
      <c r="A5587" s="30" t="s">
        <v>995</v>
      </c>
      <c r="B5587" s="31" t="s">
        <v>995</v>
      </c>
    </row>
    <row r="5588" spans="1:2" x14ac:dyDescent="0.25">
      <c r="A5588" s="32" t="s">
        <v>996</v>
      </c>
      <c r="B5588" s="33" t="s">
        <v>996</v>
      </c>
    </row>
    <row r="5589" spans="1:2" x14ac:dyDescent="0.25">
      <c r="A5589" s="30" t="s">
        <v>11289</v>
      </c>
      <c r="B5589" s="31" t="s">
        <v>11289</v>
      </c>
    </row>
    <row r="5590" spans="1:2" x14ac:dyDescent="0.25">
      <c r="A5590" s="32" t="s">
        <v>11290</v>
      </c>
      <c r="B5590" s="33" t="s">
        <v>11290</v>
      </c>
    </row>
    <row r="5591" spans="1:2" x14ac:dyDescent="0.25">
      <c r="A5591" s="30" t="s">
        <v>11291</v>
      </c>
      <c r="B5591" s="31" t="s">
        <v>11291</v>
      </c>
    </row>
    <row r="5592" spans="1:2" x14ac:dyDescent="0.25">
      <c r="A5592" s="32" t="s">
        <v>11292</v>
      </c>
      <c r="B5592" s="33" t="s">
        <v>11292</v>
      </c>
    </row>
    <row r="5593" spans="1:2" x14ac:dyDescent="0.25">
      <c r="A5593" s="30" t="s">
        <v>11293</v>
      </c>
      <c r="B5593" s="31" t="s">
        <v>11293</v>
      </c>
    </row>
    <row r="5594" spans="1:2" x14ac:dyDescent="0.25">
      <c r="A5594" s="32" t="s">
        <v>997</v>
      </c>
      <c r="B5594" s="33" t="s">
        <v>997</v>
      </c>
    </row>
    <row r="5595" spans="1:2" x14ac:dyDescent="0.25">
      <c r="A5595" s="30" t="s">
        <v>11294</v>
      </c>
      <c r="B5595" s="31" t="s">
        <v>11294</v>
      </c>
    </row>
    <row r="5596" spans="1:2" x14ac:dyDescent="0.25">
      <c r="A5596" s="32" t="s">
        <v>11295</v>
      </c>
      <c r="B5596" s="33" t="s">
        <v>11295</v>
      </c>
    </row>
    <row r="5597" spans="1:2" x14ac:dyDescent="0.25">
      <c r="A5597" s="30" t="s">
        <v>998</v>
      </c>
      <c r="B5597" s="31" t="s">
        <v>998</v>
      </c>
    </row>
    <row r="5598" spans="1:2" x14ac:dyDescent="0.25">
      <c r="A5598" s="32" t="s">
        <v>999</v>
      </c>
      <c r="B5598" s="33" t="s">
        <v>999</v>
      </c>
    </row>
    <row r="5599" spans="1:2" x14ac:dyDescent="0.25">
      <c r="A5599" s="30" t="s">
        <v>11296</v>
      </c>
      <c r="B5599" s="31" t="s">
        <v>11296</v>
      </c>
    </row>
    <row r="5600" spans="1:2" x14ac:dyDescent="0.25">
      <c r="A5600" s="32" t="s">
        <v>11297</v>
      </c>
      <c r="B5600" s="33" t="s">
        <v>11297</v>
      </c>
    </row>
    <row r="5601" spans="1:2" x14ac:dyDescent="0.25">
      <c r="A5601" s="30" t="s">
        <v>11298</v>
      </c>
      <c r="B5601" s="31" t="s">
        <v>11298</v>
      </c>
    </row>
    <row r="5602" spans="1:2" x14ac:dyDescent="0.25">
      <c r="A5602" s="32" t="s">
        <v>1000</v>
      </c>
      <c r="B5602" s="33" t="s">
        <v>1000</v>
      </c>
    </row>
    <row r="5603" spans="1:2" x14ac:dyDescent="0.25">
      <c r="A5603" s="30" t="s">
        <v>1001</v>
      </c>
      <c r="B5603" s="31" t="s">
        <v>1001</v>
      </c>
    </row>
    <row r="5604" spans="1:2" x14ac:dyDescent="0.25">
      <c r="A5604" s="32" t="s">
        <v>11299</v>
      </c>
      <c r="B5604" s="33" t="s">
        <v>11299</v>
      </c>
    </row>
    <row r="5605" spans="1:2" x14ac:dyDescent="0.25">
      <c r="A5605" s="30" t="s">
        <v>1015</v>
      </c>
      <c r="B5605" s="31" t="s">
        <v>1015</v>
      </c>
    </row>
    <row r="5606" spans="1:2" x14ac:dyDescent="0.25">
      <c r="A5606" s="32" t="s">
        <v>1016</v>
      </c>
      <c r="B5606" s="33" t="s">
        <v>1016</v>
      </c>
    </row>
    <row r="5607" spans="1:2" x14ac:dyDescent="0.25">
      <c r="A5607" s="30" t="s">
        <v>11300</v>
      </c>
      <c r="B5607" s="31" t="s">
        <v>11300</v>
      </c>
    </row>
    <row r="5608" spans="1:2" x14ac:dyDescent="0.25">
      <c r="A5608" s="32" t="s">
        <v>11301</v>
      </c>
      <c r="B5608" s="33" t="s">
        <v>11301</v>
      </c>
    </row>
    <row r="5609" spans="1:2" x14ac:dyDescent="0.25">
      <c r="A5609" s="30" t="s">
        <v>11302</v>
      </c>
      <c r="B5609" s="31" t="s">
        <v>11302</v>
      </c>
    </row>
    <row r="5610" spans="1:2" x14ac:dyDescent="0.25">
      <c r="A5610" s="32" t="s">
        <v>11303</v>
      </c>
      <c r="B5610" s="33" t="s">
        <v>11303</v>
      </c>
    </row>
    <row r="5611" spans="1:2" x14ac:dyDescent="0.25">
      <c r="A5611" s="30" t="s">
        <v>8370</v>
      </c>
      <c r="B5611" s="31" t="s">
        <v>8370</v>
      </c>
    </row>
    <row r="5612" spans="1:2" x14ac:dyDescent="0.25">
      <c r="A5612" s="32" t="s">
        <v>8371</v>
      </c>
      <c r="B5612" s="33" t="s">
        <v>8371</v>
      </c>
    </row>
    <row r="5613" spans="1:2" x14ac:dyDescent="0.25">
      <c r="A5613" s="30" t="s">
        <v>8372</v>
      </c>
      <c r="B5613" s="31" t="s">
        <v>8372</v>
      </c>
    </row>
    <row r="5614" spans="1:2" x14ac:dyDescent="0.25">
      <c r="A5614" s="32" t="s">
        <v>8373</v>
      </c>
      <c r="B5614" s="33" t="s">
        <v>8373</v>
      </c>
    </row>
    <row r="5615" spans="1:2" x14ac:dyDescent="0.25">
      <c r="A5615" s="30" t="s">
        <v>8374</v>
      </c>
      <c r="B5615" s="31" t="s">
        <v>8374</v>
      </c>
    </row>
    <row r="5616" spans="1:2" x14ac:dyDescent="0.25">
      <c r="A5616" s="32" t="s">
        <v>8375</v>
      </c>
      <c r="B5616" s="33" t="s">
        <v>8375</v>
      </c>
    </row>
    <row r="5617" spans="1:2" x14ac:dyDescent="0.25">
      <c r="A5617" s="30" t="s">
        <v>8376</v>
      </c>
      <c r="B5617" s="31" t="s">
        <v>8376</v>
      </c>
    </row>
    <row r="5618" spans="1:2" x14ac:dyDescent="0.25">
      <c r="A5618" s="32" t="s">
        <v>8377</v>
      </c>
      <c r="B5618" s="33" t="s">
        <v>8377</v>
      </c>
    </row>
    <row r="5619" spans="1:2" x14ac:dyDescent="0.25">
      <c r="A5619" s="30" t="s">
        <v>7</v>
      </c>
      <c r="B5619" s="31" t="s">
        <v>7</v>
      </c>
    </row>
    <row r="5620" spans="1:2" x14ac:dyDescent="0.25">
      <c r="A5620" s="32" t="s">
        <v>8378</v>
      </c>
      <c r="B5620" s="33" t="s">
        <v>8378</v>
      </c>
    </row>
    <row r="5621" spans="1:2" x14ac:dyDescent="0.25">
      <c r="A5621" s="30" t="s">
        <v>8379</v>
      </c>
      <c r="B5621" s="31" t="s">
        <v>8379</v>
      </c>
    </row>
    <row r="5622" spans="1:2" x14ac:dyDescent="0.25">
      <c r="A5622" s="32" t="s">
        <v>8380</v>
      </c>
      <c r="B5622" s="33" t="s">
        <v>8380</v>
      </c>
    </row>
    <row r="5623" spans="1:2" x14ac:dyDescent="0.25">
      <c r="A5623" s="30" t="s">
        <v>8381</v>
      </c>
      <c r="B5623" s="31" t="s">
        <v>8381</v>
      </c>
    </row>
    <row r="5624" spans="1:2" x14ac:dyDescent="0.25">
      <c r="A5624" s="32" t="s">
        <v>8382</v>
      </c>
      <c r="B5624" s="33" t="s">
        <v>8382</v>
      </c>
    </row>
    <row r="5625" spans="1:2" x14ac:dyDescent="0.25">
      <c r="A5625" s="30" t="s">
        <v>8383</v>
      </c>
      <c r="B5625" s="31" t="s">
        <v>8383</v>
      </c>
    </row>
    <row r="5626" spans="1:2" x14ac:dyDescent="0.25">
      <c r="A5626" s="32" t="s">
        <v>8384</v>
      </c>
      <c r="B5626" s="33" t="s">
        <v>8384</v>
      </c>
    </row>
    <row r="5627" spans="1:2" x14ac:dyDescent="0.25">
      <c r="A5627" s="30" t="s">
        <v>8385</v>
      </c>
      <c r="B5627" s="31" t="s">
        <v>8385</v>
      </c>
    </row>
    <row r="5628" spans="1:2" x14ac:dyDescent="0.25">
      <c r="A5628" s="32" t="s">
        <v>8386</v>
      </c>
      <c r="B5628" s="33" t="s">
        <v>8386</v>
      </c>
    </row>
    <row r="5629" spans="1:2" x14ac:dyDescent="0.25">
      <c r="A5629" s="30" t="s">
        <v>8387</v>
      </c>
      <c r="B5629" s="31" t="s">
        <v>8387</v>
      </c>
    </row>
    <row r="5630" spans="1:2" x14ac:dyDescent="0.25">
      <c r="A5630" s="32" t="s">
        <v>8</v>
      </c>
      <c r="B5630" s="33" t="s">
        <v>8</v>
      </c>
    </row>
    <row r="5631" spans="1:2" x14ac:dyDescent="0.25">
      <c r="A5631" s="30" t="s">
        <v>10</v>
      </c>
      <c r="B5631" s="31" t="s">
        <v>10</v>
      </c>
    </row>
    <row r="5632" spans="1:2" x14ac:dyDescent="0.25">
      <c r="A5632" s="32" t="s">
        <v>8388</v>
      </c>
      <c r="B5632" s="33" t="s">
        <v>8388</v>
      </c>
    </row>
    <row r="5633" spans="1:2" x14ac:dyDescent="0.25">
      <c r="A5633" s="30" t="s">
        <v>8389</v>
      </c>
      <c r="B5633" s="31" t="s">
        <v>8389</v>
      </c>
    </row>
    <row r="5634" spans="1:2" x14ac:dyDescent="0.25">
      <c r="A5634" s="32" t="s">
        <v>8390</v>
      </c>
      <c r="B5634" s="33" t="s">
        <v>8390</v>
      </c>
    </row>
    <row r="5635" spans="1:2" x14ac:dyDescent="0.25">
      <c r="A5635" s="30" t="s">
        <v>8391</v>
      </c>
      <c r="B5635" s="31" t="s">
        <v>8391</v>
      </c>
    </row>
    <row r="5636" spans="1:2" x14ac:dyDescent="0.25">
      <c r="A5636" s="32" t="s">
        <v>8392</v>
      </c>
      <c r="B5636" s="33" t="s">
        <v>8392</v>
      </c>
    </row>
    <row r="5637" spans="1:2" x14ac:dyDescent="0.25">
      <c r="A5637" s="30" t="s">
        <v>8393</v>
      </c>
      <c r="B5637" s="31" t="s">
        <v>8393</v>
      </c>
    </row>
    <row r="5638" spans="1:2" x14ac:dyDescent="0.25">
      <c r="A5638" s="32" t="s">
        <v>12</v>
      </c>
      <c r="B5638" s="33" t="s">
        <v>12</v>
      </c>
    </row>
    <row r="5639" spans="1:2" x14ac:dyDescent="0.25">
      <c r="A5639" s="30" t="s">
        <v>8394</v>
      </c>
      <c r="B5639" s="31" t="s">
        <v>8394</v>
      </c>
    </row>
    <row r="5640" spans="1:2" x14ac:dyDescent="0.25">
      <c r="A5640" s="32" t="s">
        <v>8395</v>
      </c>
      <c r="B5640" s="33" t="s">
        <v>8395</v>
      </c>
    </row>
    <row r="5641" spans="1:2" x14ac:dyDescent="0.25">
      <c r="A5641" s="30" t="s">
        <v>8396</v>
      </c>
      <c r="B5641" s="31" t="s">
        <v>8396</v>
      </c>
    </row>
    <row r="5642" spans="1:2" x14ac:dyDescent="0.25">
      <c r="A5642" s="32" t="s">
        <v>8397</v>
      </c>
      <c r="B5642" s="33" t="s">
        <v>8397</v>
      </c>
    </row>
    <row r="5643" spans="1:2" x14ac:dyDescent="0.25">
      <c r="A5643" s="30" t="s">
        <v>1246</v>
      </c>
      <c r="B5643" s="31" t="s">
        <v>1246</v>
      </c>
    </row>
    <row r="5644" spans="1:2" x14ac:dyDescent="0.25">
      <c r="A5644" s="32" t="s">
        <v>8398</v>
      </c>
      <c r="B5644" s="33" t="s">
        <v>8398</v>
      </c>
    </row>
    <row r="5645" spans="1:2" x14ac:dyDescent="0.25">
      <c r="A5645" s="30" t="s">
        <v>8399</v>
      </c>
      <c r="B5645" s="31" t="s">
        <v>8399</v>
      </c>
    </row>
    <row r="5646" spans="1:2" x14ac:dyDescent="0.25">
      <c r="A5646" s="32" t="s">
        <v>8400</v>
      </c>
      <c r="B5646" s="33" t="s">
        <v>8400</v>
      </c>
    </row>
    <row r="5647" spans="1:2" x14ac:dyDescent="0.25">
      <c r="A5647" s="30" t="s">
        <v>8401</v>
      </c>
      <c r="B5647" s="31" t="s">
        <v>8401</v>
      </c>
    </row>
    <row r="5648" spans="1:2" x14ac:dyDescent="0.25">
      <c r="A5648" s="32" t="s">
        <v>1247</v>
      </c>
      <c r="B5648" s="33" t="s">
        <v>1247</v>
      </c>
    </row>
    <row r="5649" spans="1:2" x14ac:dyDescent="0.25">
      <c r="A5649" s="30" t="s">
        <v>8402</v>
      </c>
      <c r="B5649" s="31" t="s">
        <v>8402</v>
      </c>
    </row>
    <row r="5650" spans="1:2" x14ac:dyDescent="0.25">
      <c r="A5650" s="32" t="s">
        <v>8403</v>
      </c>
      <c r="B5650" s="33" t="s">
        <v>8403</v>
      </c>
    </row>
    <row r="5651" spans="1:2" x14ac:dyDescent="0.25">
      <c r="A5651" s="30" t="s">
        <v>8404</v>
      </c>
      <c r="B5651" s="31" t="s">
        <v>8404</v>
      </c>
    </row>
    <row r="5652" spans="1:2" x14ac:dyDescent="0.25">
      <c r="A5652" s="32" t="s">
        <v>8405</v>
      </c>
      <c r="B5652" s="33" t="s">
        <v>8405</v>
      </c>
    </row>
    <row r="5653" spans="1:2" x14ac:dyDescent="0.25">
      <c r="A5653" s="30" t="s">
        <v>8406</v>
      </c>
      <c r="B5653" s="31" t="s">
        <v>8406</v>
      </c>
    </row>
    <row r="5654" spans="1:2" x14ac:dyDescent="0.25">
      <c r="A5654" s="32" t="s">
        <v>8407</v>
      </c>
      <c r="B5654" s="33" t="s">
        <v>8407</v>
      </c>
    </row>
    <row r="5655" spans="1:2" x14ac:dyDescent="0.25">
      <c r="A5655" s="30" t="s">
        <v>8408</v>
      </c>
      <c r="B5655" s="31" t="s">
        <v>8408</v>
      </c>
    </row>
    <row r="5656" spans="1:2" x14ac:dyDescent="0.25">
      <c r="A5656" s="32" t="s">
        <v>8409</v>
      </c>
      <c r="B5656" s="33" t="s">
        <v>8409</v>
      </c>
    </row>
    <row r="5657" spans="1:2" x14ac:dyDescent="0.25">
      <c r="A5657" s="30" t="s">
        <v>8410</v>
      </c>
      <c r="B5657" s="31" t="s">
        <v>8410</v>
      </c>
    </row>
    <row r="5658" spans="1:2" x14ac:dyDescent="0.25">
      <c r="A5658" s="32" t="s">
        <v>8411</v>
      </c>
      <c r="B5658" s="33" t="s">
        <v>8411</v>
      </c>
    </row>
    <row r="5659" spans="1:2" x14ac:dyDescent="0.25">
      <c r="A5659" s="30" t="s">
        <v>8412</v>
      </c>
      <c r="B5659" s="31" t="s">
        <v>8412</v>
      </c>
    </row>
    <row r="5660" spans="1:2" x14ac:dyDescent="0.25">
      <c r="A5660" s="32" t="s">
        <v>8413</v>
      </c>
      <c r="B5660" s="33" t="s">
        <v>8413</v>
      </c>
    </row>
    <row r="5661" spans="1:2" x14ac:dyDescent="0.25">
      <c r="A5661" s="30" t="s">
        <v>8414</v>
      </c>
      <c r="B5661" s="31" t="s">
        <v>8414</v>
      </c>
    </row>
    <row r="5662" spans="1:2" x14ac:dyDescent="0.25">
      <c r="A5662" s="32" t="s">
        <v>8415</v>
      </c>
      <c r="B5662" s="33" t="s">
        <v>8415</v>
      </c>
    </row>
    <row r="5663" spans="1:2" x14ac:dyDescent="0.25">
      <c r="A5663" s="30" t="s">
        <v>8416</v>
      </c>
      <c r="B5663" s="31" t="s">
        <v>8416</v>
      </c>
    </row>
    <row r="5664" spans="1:2" x14ac:dyDescent="0.25">
      <c r="A5664" s="32" t="s">
        <v>1248</v>
      </c>
      <c r="B5664" s="33" t="s">
        <v>1248</v>
      </c>
    </row>
    <row r="5665" spans="1:2" x14ac:dyDescent="0.25">
      <c r="A5665" s="30" t="s">
        <v>8417</v>
      </c>
      <c r="B5665" s="31" t="s">
        <v>8417</v>
      </c>
    </row>
    <row r="5666" spans="1:2" x14ac:dyDescent="0.25">
      <c r="A5666" s="32" t="s">
        <v>8418</v>
      </c>
      <c r="B5666" s="33" t="s">
        <v>8418</v>
      </c>
    </row>
    <row r="5667" spans="1:2" x14ac:dyDescent="0.25">
      <c r="A5667" s="30" t="s">
        <v>8419</v>
      </c>
      <c r="B5667" s="31" t="s">
        <v>8419</v>
      </c>
    </row>
    <row r="5668" spans="1:2" x14ac:dyDescent="0.25">
      <c r="A5668" s="32" t="s">
        <v>1250</v>
      </c>
      <c r="B5668" s="33" t="s">
        <v>1250</v>
      </c>
    </row>
    <row r="5669" spans="1:2" x14ac:dyDescent="0.25">
      <c r="A5669" s="30" t="s">
        <v>8420</v>
      </c>
      <c r="B5669" s="31" t="s">
        <v>8420</v>
      </c>
    </row>
    <row r="5670" spans="1:2" x14ac:dyDescent="0.25">
      <c r="A5670" s="32" t="s">
        <v>8421</v>
      </c>
      <c r="B5670" s="33" t="s">
        <v>8421</v>
      </c>
    </row>
    <row r="5671" spans="1:2" x14ac:dyDescent="0.25">
      <c r="A5671" s="30" t="s">
        <v>8422</v>
      </c>
      <c r="B5671" s="31" t="s">
        <v>8422</v>
      </c>
    </row>
    <row r="5672" spans="1:2" x14ac:dyDescent="0.25">
      <c r="A5672" s="32" t="s">
        <v>19</v>
      </c>
      <c r="B5672" s="33" t="s">
        <v>19</v>
      </c>
    </row>
    <row r="5673" spans="1:2" x14ac:dyDescent="0.25">
      <c r="A5673" s="30" t="s">
        <v>8423</v>
      </c>
      <c r="B5673" s="31" t="s">
        <v>8423</v>
      </c>
    </row>
    <row r="5674" spans="1:2" x14ac:dyDescent="0.25">
      <c r="A5674" s="32" t="s">
        <v>8424</v>
      </c>
      <c r="B5674" s="33" t="s">
        <v>8424</v>
      </c>
    </row>
    <row r="5675" spans="1:2" x14ac:dyDescent="0.25">
      <c r="A5675" s="30" t="s">
        <v>8425</v>
      </c>
      <c r="B5675" s="31" t="s">
        <v>8425</v>
      </c>
    </row>
    <row r="5676" spans="1:2" x14ac:dyDescent="0.25">
      <c r="A5676" s="32" t="s">
        <v>8426</v>
      </c>
      <c r="B5676" s="33" t="s">
        <v>8426</v>
      </c>
    </row>
    <row r="5677" spans="1:2" x14ac:dyDescent="0.25">
      <c r="A5677" s="30" t="s">
        <v>8427</v>
      </c>
      <c r="B5677" s="31" t="s">
        <v>8427</v>
      </c>
    </row>
    <row r="5678" spans="1:2" x14ac:dyDescent="0.25">
      <c r="A5678" s="32" t="s">
        <v>8428</v>
      </c>
      <c r="B5678" s="33" t="s">
        <v>8428</v>
      </c>
    </row>
    <row r="5679" spans="1:2" x14ac:dyDescent="0.25">
      <c r="A5679" s="30" t="s">
        <v>8429</v>
      </c>
      <c r="B5679" s="31" t="s">
        <v>8429</v>
      </c>
    </row>
    <row r="5680" spans="1:2" x14ac:dyDescent="0.25">
      <c r="A5680" s="32" t="s">
        <v>8430</v>
      </c>
      <c r="B5680" s="33" t="s">
        <v>8430</v>
      </c>
    </row>
    <row r="5681" spans="1:2" x14ac:dyDescent="0.25">
      <c r="A5681" s="30" t="s">
        <v>8431</v>
      </c>
      <c r="B5681" s="31" t="s">
        <v>8431</v>
      </c>
    </row>
    <row r="5682" spans="1:2" x14ac:dyDescent="0.25">
      <c r="A5682" s="32" t="s">
        <v>8432</v>
      </c>
      <c r="B5682" s="33" t="s">
        <v>8432</v>
      </c>
    </row>
    <row r="5683" spans="1:2" x14ac:dyDescent="0.25">
      <c r="A5683" s="30" t="s">
        <v>8433</v>
      </c>
      <c r="B5683" s="31" t="s">
        <v>8433</v>
      </c>
    </row>
    <row r="5684" spans="1:2" x14ac:dyDescent="0.25">
      <c r="A5684" s="32" t="s">
        <v>26</v>
      </c>
      <c r="B5684" s="33" t="s">
        <v>26</v>
      </c>
    </row>
    <row r="5685" spans="1:2" x14ac:dyDescent="0.25">
      <c r="A5685" s="30" t="s">
        <v>27</v>
      </c>
      <c r="B5685" s="31" t="s">
        <v>27</v>
      </c>
    </row>
    <row r="5686" spans="1:2" x14ac:dyDescent="0.25">
      <c r="A5686" s="32" t="s">
        <v>28</v>
      </c>
      <c r="B5686" s="33" t="s">
        <v>28</v>
      </c>
    </row>
    <row r="5687" spans="1:2" x14ac:dyDescent="0.25">
      <c r="A5687" s="30" t="s">
        <v>29</v>
      </c>
      <c r="B5687" s="31" t="s">
        <v>29</v>
      </c>
    </row>
    <row r="5688" spans="1:2" x14ac:dyDescent="0.25">
      <c r="A5688" s="32" t="s">
        <v>9824</v>
      </c>
      <c r="B5688" s="33" t="s">
        <v>9824</v>
      </c>
    </row>
    <row r="5689" spans="1:2" x14ac:dyDescent="0.25">
      <c r="A5689" s="30" t="s">
        <v>9825</v>
      </c>
      <c r="B5689" s="31" t="s">
        <v>9825</v>
      </c>
    </row>
    <row r="5690" spans="1:2" x14ac:dyDescent="0.25">
      <c r="A5690" s="32" t="s">
        <v>9826</v>
      </c>
      <c r="B5690" s="33" t="s">
        <v>9826</v>
      </c>
    </row>
    <row r="5691" spans="1:2" x14ac:dyDescent="0.25">
      <c r="A5691" s="30" t="s">
        <v>139</v>
      </c>
      <c r="B5691" s="31" t="s">
        <v>1768</v>
      </c>
    </row>
    <row r="5692" spans="1:2" x14ac:dyDescent="0.25">
      <c r="A5692" s="32" t="s">
        <v>140</v>
      </c>
      <c r="B5692" s="33" t="s">
        <v>1769</v>
      </c>
    </row>
    <row r="5693" spans="1:2" x14ac:dyDescent="0.25">
      <c r="A5693" s="30" t="s">
        <v>141</v>
      </c>
      <c r="B5693" s="31" t="s">
        <v>1770</v>
      </c>
    </row>
    <row r="5694" spans="1:2" x14ac:dyDescent="0.25">
      <c r="A5694" s="32" t="s">
        <v>1771</v>
      </c>
      <c r="B5694" s="33" t="s">
        <v>1772</v>
      </c>
    </row>
    <row r="5695" spans="1:2" x14ac:dyDescent="0.25">
      <c r="A5695" s="30" t="s">
        <v>8514</v>
      </c>
      <c r="B5695" s="31" t="s">
        <v>8514</v>
      </c>
    </row>
    <row r="5696" spans="1:2" x14ac:dyDescent="0.25">
      <c r="A5696" s="32" t="s">
        <v>142</v>
      </c>
      <c r="B5696" s="33" t="s">
        <v>142</v>
      </c>
    </row>
    <row r="5697" spans="1:2" x14ac:dyDescent="0.25">
      <c r="A5697" s="30" t="s">
        <v>312</v>
      </c>
      <c r="B5697" s="31" t="s">
        <v>312</v>
      </c>
    </row>
    <row r="5698" spans="1:2" x14ac:dyDescent="0.25">
      <c r="A5698" s="32" t="s">
        <v>11304</v>
      </c>
      <c r="B5698" s="33" t="s">
        <v>11304</v>
      </c>
    </row>
    <row r="5699" spans="1:2" x14ac:dyDescent="0.25">
      <c r="A5699" s="30" t="s">
        <v>10827</v>
      </c>
      <c r="B5699" s="31" t="s">
        <v>10827</v>
      </c>
    </row>
    <row r="5700" spans="1:2" x14ac:dyDescent="0.25">
      <c r="A5700" s="32" t="s">
        <v>10829</v>
      </c>
      <c r="B5700" s="33" t="s">
        <v>10829</v>
      </c>
    </row>
    <row r="5701" spans="1:2" x14ac:dyDescent="0.25">
      <c r="A5701" s="30" t="s">
        <v>877</v>
      </c>
      <c r="B5701" s="31" t="s">
        <v>877</v>
      </c>
    </row>
    <row r="5702" spans="1:2" x14ac:dyDescent="0.25">
      <c r="A5702" s="32" t="s">
        <v>10845</v>
      </c>
      <c r="B5702" s="33" t="s">
        <v>10845</v>
      </c>
    </row>
    <row r="5703" spans="1:2" x14ac:dyDescent="0.25">
      <c r="A5703" s="30" t="s">
        <v>900</v>
      </c>
      <c r="B5703" s="31" t="s">
        <v>900</v>
      </c>
    </row>
    <row r="5704" spans="1:2" x14ac:dyDescent="0.25">
      <c r="A5704" s="32" t="s">
        <v>10846</v>
      </c>
      <c r="B5704" s="33" t="s">
        <v>10846</v>
      </c>
    </row>
    <row r="5705" spans="1:2" x14ac:dyDescent="0.25">
      <c r="A5705" s="30" t="s">
        <v>901</v>
      </c>
      <c r="B5705" s="31" t="s">
        <v>901</v>
      </c>
    </row>
    <row r="5706" spans="1:2" x14ac:dyDescent="0.25">
      <c r="A5706" s="32" t="s">
        <v>10847</v>
      </c>
      <c r="B5706" s="33" t="s">
        <v>10847</v>
      </c>
    </row>
    <row r="5707" spans="1:2" x14ac:dyDescent="0.25">
      <c r="A5707" s="30" t="s">
        <v>10848</v>
      </c>
      <c r="B5707" s="31" t="s">
        <v>10848</v>
      </c>
    </row>
    <row r="5708" spans="1:2" x14ac:dyDescent="0.25">
      <c r="A5708" s="32" t="s">
        <v>902</v>
      </c>
      <c r="B5708" s="33" t="s">
        <v>902</v>
      </c>
    </row>
    <row r="5709" spans="1:2" x14ac:dyDescent="0.25">
      <c r="A5709" s="30" t="s">
        <v>1256</v>
      </c>
      <c r="B5709" s="31" t="s">
        <v>1256</v>
      </c>
    </row>
    <row r="5710" spans="1:2" x14ac:dyDescent="0.25">
      <c r="A5710" s="32" t="s">
        <v>10849</v>
      </c>
      <c r="B5710" s="33" t="s">
        <v>10849</v>
      </c>
    </row>
    <row r="5711" spans="1:2" x14ac:dyDescent="0.25">
      <c r="A5711" s="30" t="s">
        <v>903</v>
      </c>
      <c r="B5711" s="31" t="s">
        <v>903</v>
      </c>
    </row>
    <row r="5712" spans="1:2" x14ac:dyDescent="0.25">
      <c r="A5712" s="32" t="s">
        <v>10850</v>
      </c>
      <c r="B5712" s="33" t="s">
        <v>10850</v>
      </c>
    </row>
    <row r="5713" spans="1:2" x14ac:dyDescent="0.25">
      <c r="A5713" s="30" t="s">
        <v>904</v>
      </c>
      <c r="B5713" s="31" t="s">
        <v>904</v>
      </c>
    </row>
    <row r="5714" spans="1:2" x14ac:dyDescent="0.25">
      <c r="A5714" s="32" t="s">
        <v>10851</v>
      </c>
      <c r="B5714" s="33" t="s">
        <v>10851</v>
      </c>
    </row>
    <row r="5715" spans="1:2" x14ac:dyDescent="0.25">
      <c r="A5715" s="30" t="s">
        <v>1257</v>
      </c>
      <c r="B5715" s="31" t="s">
        <v>1257</v>
      </c>
    </row>
    <row r="5716" spans="1:2" x14ac:dyDescent="0.25">
      <c r="A5716" s="32" t="s">
        <v>10852</v>
      </c>
      <c r="B5716" s="33" t="s">
        <v>10852</v>
      </c>
    </row>
    <row r="5717" spans="1:2" x14ac:dyDescent="0.25">
      <c r="A5717" s="30" t="s">
        <v>10853</v>
      </c>
      <c r="B5717" s="31" t="s">
        <v>10853</v>
      </c>
    </row>
    <row r="5718" spans="1:2" x14ac:dyDescent="0.25">
      <c r="A5718" s="32" t="s">
        <v>10854</v>
      </c>
      <c r="B5718" s="33" t="s">
        <v>10854</v>
      </c>
    </row>
    <row r="5719" spans="1:2" x14ac:dyDescent="0.25">
      <c r="A5719" s="30" t="s">
        <v>905</v>
      </c>
      <c r="B5719" s="31" t="s">
        <v>905</v>
      </c>
    </row>
    <row r="5720" spans="1:2" x14ac:dyDescent="0.25">
      <c r="A5720" s="32" t="s">
        <v>11305</v>
      </c>
      <c r="B5720" s="33" t="s">
        <v>11305</v>
      </c>
    </row>
    <row r="5721" spans="1:2" x14ac:dyDescent="0.25">
      <c r="A5721" s="30" t="s">
        <v>10855</v>
      </c>
      <c r="B5721" s="31" t="s">
        <v>10855</v>
      </c>
    </row>
    <row r="5722" spans="1:2" x14ac:dyDescent="0.25">
      <c r="A5722" s="32" t="s">
        <v>1258</v>
      </c>
      <c r="B5722" s="33" t="s">
        <v>1258</v>
      </c>
    </row>
    <row r="5723" spans="1:2" x14ac:dyDescent="0.25">
      <c r="A5723" s="30" t="s">
        <v>10856</v>
      </c>
      <c r="B5723" s="31" t="s">
        <v>10856</v>
      </c>
    </row>
    <row r="5724" spans="1:2" x14ac:dyDescent="0.25">
      <c r="A5724" s="32" t="s">
        <v>10857</v>
      </c>
      <c r="B5724" s="33" t="s">
        <v>10857</v>
      </c>
    </row>
    <row r="5725" spans="1:2" x14ac:dyDescent="0.25">
      <c r="A5725" s="30" t="s">
        <v>10858</v>
      </c>
      <c r="B5725" s="31" t="s">
        <v>10858</v>
      </c>
    </row>
    <row r="5726" spans="1:2" x14ac:dyDescent="0.25">
      <c r="A5726" s="32" t="s">
        <v>906</v>
      </c>
      <c r="B5726" s="33" t="s">
        <v>906</v>
      </c>
    </row>
    <row r="5727" spans="1:2" x14ac:dyDescent="0.25">
      <c r="A5727" s="30" t="s">
        <v>907</v>
      </c>
      <c r="B5727" s="31" t="s">
        <v>907</v>
      </c>
    </row>
    <row r="5728" spans="1:2" x14ac:dyDescent="0.25">
      <c r="A5728" s="32" t="s">
        <v>908</v>
      </c>
      <c r="B5728" s="33" t="s">
        <v>908</v>
      </c>
    </row>
    <row r="5729" spans="1:2" x14ac:dyDescent="0.25">
      <c r="A5729" s="30" t="s">
        <v>10859</v>
      </c>
      <c r="B5729" s="31" t="s">
        <v>10859</v>
      </c>
    </row>
    <row r="5730" spans="1:2" x14ac:dyDescent="0.25">
      <c r="A5730" s="32" t="s">
        <v>909</v>
      </c>
      <c r="B5730" s="33" t="s">
        <v>909</v>
      </c>
    </row>
    <row r="5731" spans="1:2" x14ac:dyDescent="0.25">
      <c r="A5731" s="30" t="s">
        <v>10860</v>
      </c>
      <c r="B5731" s="31" t="s">
        <v>10860</v>
      </c>
    </row>
    <row r="5732" spans="1:2" x14ac:dyDescent="0.25">
      <c r="A5732" s="32" t="s">
        <v>10861</v>
      </c>
      <c r="B5732" s="33" t="s">
        <v>10861</v>
      </c>
    </row>
    <row r="5733" spans="1:2" x14ac:dyDescent="0.25">
      <c r="A5733" s="30" t="s">
        <v>910</v>
      </c>
      <c r="B5733" s="31" t="s">
        <v>910</v>
      </c>
    </row>
    <row r="5734" spans="1:2" x14ac:dyDescent="0.25">
      <c r="A5734" s="32" t="s">
        <v>911</v>
      </c>
      <c r="B5734" s="33" t="s">
        <v>911</v>
      </c>
    </row>
    <row r="5735" spans="1:2" x14ac:dyDescent="0.25">
      <c r="A5735" s="30" t="s">
        <v>304</v>
      </c>
      <c r="B5735" s="31" t="s">
        <v>304</v>
      </c>
    </row>
    <row r="5736" spans="1:2" x14ac:dyDescent="0.25">
      <c r="A5736" s="32" t="s">
        <v>10862</v>
      </c>
      <c r="B5736" s="33" t="s">
        <v>10862</v>
      </c>
    </row>
    <row r="5737" spans="1:2" x14ac:dyDescent="0.25">
      <c r="A5737" s="30" t="s">
        <v>10863</v>
      </c>
      <c r="B5737" s="31" t="s">
        <v>10863</v>
      </c>
    </row>
    <row r="5738" spans="1:2" x14ac:dyDescent="0.25">
      <c r="A5738" s="32" t="s">
        <v>10864</v>
      </c>
      <c r="B5738" s="33" t="s">
        <v>10864</v>
      </c>
    </row>
    <row r="5739" spans="1:2" x14ac:dyDescent="0.25">
      <c r="A5739" s="30" t="s">
        <v>912</v>
      </c>
      <c r="B5739" s="31" t="s">
        <v>912</v>
      </c>
    </row>
    <row r="5740" spans="1:2" x14ac:dyDescent="0.25">
      <c r="A5740" s="32" t="s">
        <v>10865</v>
      </c>
      <c r="B5740" s="33" t="s">
        <v>10865</v>
      </c>
    </row>
    <row r="5741" spans="1:2" x14ac:dyDescent="0.25">
      <c r="A5741" s="30" t="s">
        <v>10866</v>
      </c>
      <c r="B5741" s="31" t="s">
        <v>10866</v>
      </c>
    </row>
    <row r="5742" spans="1:2" x14ac:dyDescent="0.25">
      <c r="A5742" s="32" t="s">
        <v>11306</v>
      </c>
      <c r="B5742" s="33" t="s">
        <v>11306</v>
      </c>
    </row>
    <row r="5743" spans="1:2" x14ac:dyDescent="0.25">
      <c r="A5743" s="30" t="s">
        <v>1259</v>
      </c>
      <c r="B5743" s="31" t="s">
        <v>1259</v>
      </c>
    </row>
    <row r="5744" spans="1:2" x14ac:dyDescent="0.25">
      <c r="A5744" s="32" t="s">
        <v>913</v>
      </c>
      <c r="B5744" s="33" t="s">
        <v>913</v>
      </c>
    </row>
    <row r="5745" spans="1:2" x14ac:dyDescent="0.25">
      <c r="A5745" s="30" t="s">
        <v>10867</v>
      </c>
      <c r="B5745" s="31" t="s">
        <v>10867</v>
      </c>
    </row>
    <row r="5746" spans="1:2" x14ac:dyDescent="0.25">
      <c r="A5746" s="32" t="s">
        <v>10868</v>
      </c>
      <c r="B5746" s="33" t="s">
        <v>10868</v>
      </c>
    </row>
    <row r="5747" spans="1:2" x14ac:dyDescent="0.25">
      <c r="A5747" s="30" t="s">
        <v>10869</v>
      </c>
      <c r="B5747" s="31" t="s">
        <v>10869</v>
      </c>
    </row>
    <row r="5748" spans="1:2" x14ac:dyDescent="0.25">
      <c r="A5748" s="32" t="s">
        <v>914</v>
      </c>
      <c r="B5748" s="33" t="s">
        <v>914</v>
      </c>
    </row>
    <row r="5749" spans="1:2" x14ac:dyDescent="0.25">
      <c r="A5749" s="30" t="s">
        <v>915</v>
      </c>
      <c r="B5749" s="31" t="s">
        <v>915</v>
      </c>
    </row>
    <row r="5750" spans="1:2" x14ac:dyDescent="0.25">
      <c r="A5750" s="32" t="s">
        <v>10870</v>
      </c>
      <c r="B5750" s="33" t="s">
        <v>10870</v>
      </c>
    </row>
    <row r="5751" spans="1:2" x14ac:dyDescent="0.25">
      <c r="A5751" s="30" t="s">
        <v>10871</v>
      </c>
      <c r="B5751" s="31" t="s">
        <v>10871</v>
      </c>
    </row>
    <row r="5752" spans="1:2" x14ac:dyDescent="0.25">
      <c r="A5752" s="32" t="s">
        <v>916</v>
      </c>
      <c r="B5752" s="33" t="s">
        <v>916</v>
      </c>
    </row>
    <row r="5753" spans="1:2" x14ac:dyDescent="0.25">
      <c r="A5753" s="30" t="s">
        <v>1260</v>
      </c>
      <c r="B5753" s="31" t="s">
        <v>1260</v>
      </c>
    </row>
    <row r="5754" spans="1:2" x14ac:dyDescent="0.25">
      <c r="A5754" s="32" t="s">
        <v>10872</v>
      </c>
      <c r="B5754" s="33" t="s">
        <v>10872</v>
      </c>
    </row>
    <row r="5755" spans="1:2" x14ac:dyDescent="0.25">
      <c r="A5755" s="30" t="s">
        <v>917</v>
      </c>
      <c r="B5755" s="31" t="s">
        <v>917</v>
      </c>
    </row>
    <row r="5756" spans="1:2" x14ac:dyDescent="0.25">
      <c r="A5756" s="32" t="s">
        <v>10873</v>
      </c>
      <c r="B5756" s="33" t="s">
        <v>10873</v>
      </c>
    </row>
    <row r="5757" spans="1:2" x14ac:dyDescent="0.25">
      <c r="A5757" s="30" t="s">
        <v>918</v>
      </c>
      <c r="B5757" s="31" t="s">
        <v>918</v>
      </c>
    </row>
    <row r="5758" spans="1:2" x14ac:dyDescent="0.25">
      <c r="A5758" s="32" t="s">
        <v>10874</v>
      </c>
      <c r="B5758" s="33" t="s">
        <v>10874</v>
      </c>
    </row>
    <row r="5759" spans="1:2" x14ac:dyDescent="0.25">
      <c r="A5759" s="30" t="s">
        <v>10875</v>
      </c>
      <c r="B5759" s="31" t="s">
        <v>10875</v>
      </c>
    </row>
    <row r="5760" spans="1:2" x14ac:dyDescent="0.25">
      <c r="A5760" s="32" t="s">
        <v>10876</v>
      </c>
      <c r="B5760" s="33" t="s">
        <v>10876</v>
      </c>
    </row>
    <row r="5761" spans="1:2" x14ac:dyDescent="0.25">
      <c r="A5761" s="30" t="s">
        <v>919</v>
      </c>
      <c r="B5761" s="31" t="s">
        <v>919</v>
      </c>
    </row>
    <row r="5762" spans="1:2" x14ac:dyDescent="0.25">
      <c r="A5762" s="32" t="s">
        <v>10877</v>
      </c>
      <c r="B5762" s="33" t="s">
        <v>10877</v>
      </c>
    </row>
    <row r="5763" spans="1:2" x14ac:dyDescent="0.25">
      <c r="A5763" s="30" t="s">
        <v>10878</v>
      </c>
      <c r="B5763" s="31" t="s">
        <v>10878</v>
      </c>
    </row>
    <row r="5764" spans="1:2" x14ac:dyDescent="0.25">
      <c r="A5764" s="32" t="s">
        <v>10879</v>
      </c>
      <c r="B5764" s="33" t="s">
        <v>10879</v>
      </c>
    </row>
    <row r="5765" spans="1:2" x14ac:dyDescent="0.25">
      <c r="A5765" s="30" t="s">
        <v>10880</v>
      </c>
      <c r="B5765" s="31" t="s">
        <v>10880</v>
      </c>
    </row>
    <row r="5766" spans="1:2" x14ac:dyDescent="0.25">
      <c r="A5766" s="32" t="s">
        <v>10881</v>
      </c>
      <c r="B5766" s="33" t="s">
        <v>10881</v>
      </c>
    </row>
    <row r="5767" spans="1:2" x14ac:dyDescent="0.25">
      <c r="A5767" s="30" t="s">
        <v>10882</v>
      </c>
      <c r="B5767" s="31" t="s">
        <v>10882</v>
      </c>
    </row>
    <row r="5768" spans="1:2" x14ac:dyDescent="0.25">
      <c r="A5768" s="32" t="s">
        <v>10883</v>
      </c>
      <c r="B5768" s="33" t="s">
        <v>10883</v>
      </c>
    </row>
    <row r="5769" spans="1:2" x14ac:dyDescent="0.25">
      <c r="A5769" s="30" t="s">
        <v>10884</v>
      </c>
      <c r="B5769" s="31" t="s">
        <v>10884</v>
      </c>
    </row>
    <row r="5770" spans="1:2" x14ac:dyDescent="0.25">
      <c r="A5770" s="32" t="s">
        <v>10885</v>
      </c>
      <c r="B5770" s="33" t="s">
        <v>10885</v>
      </c>
    </row>
    <row r="5771" spans="1:2" x14ac:dyDescent="0.25">
      <c r="A5771" s="30" t="s">
        <v>10886</v>
      </c>
      <c r="B5771" s="31" t="s">
        <v>10886</v>
      </c>
    </row>
    <row r="5772" spans="1:2" x14ac:dyDescent="0.25">
      <c r="A5772" s="32" t="s">
        <v>10887</v>
      </c>
      <c r="B5772" s="33" t="s">
        <v>10887</v>
      </c>
    </row>
    <row r="5773" spans="1:2" x14ac:dyDescent="0.25">
      <c r="A5773" s="30" t="s">
        <v>10888</v>
      </c>
      <c r="B5773" s="31" t="s">
        <v>10888</v>
      </c>
    </row>
    <row r="5774" spans="1:2" x14ac:dyDescent="0.25">
      <c r="A5774" s="32" t="s">
        <v>10889</v>
      </c>
      <c r="B5774" s="33" t="s">
        <v>10889</v>
      </c>
    </row>
    <row r="5775" spans="1:2" x14ac:dyDescent="0.25">
      <c r="A5775" s="30" t="s">
        <v>10890</v>
      </c>
      <c r="B5775" s="31" t="s">
        <v>10890</v>
      </c>
    </row>
  </sheetData>
  <autoFilter ref="A1:B4347" xr:uid="{BA854769-B39E-4D32-9576-8D0B5625DB34}">
    <sortState xmlns:xlrd2="http://schemas.microsoft.com/office/spreadsheetml/2017/richdata2" ref="A2:B3985">
      <sortCondition sortBy="cellColor" ref="A1:A3985" dxfId="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WCT-PTFE-RUBR</vt:lpstr>
      <vt:lpstr>Part# with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Kaufman</dc:creator>
  <cp:lastModifiedBy>Mike Kaufman</cp:lastModifiedBy>
  <dcterms:created xsi:type="dcterms:W3CDTF">2025-04-22T16:50:21Z</dcterms:created>
  <dcterms:modified xsi:type="dcterms:W3CDTF">2025-04-28T10:15:56Z</dcterms:modified>
</cp:coreProperties>
</file>