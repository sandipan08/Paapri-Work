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Functional\Next Meters Global\"/>
    </mc:Choice>
  </mc:AlternateContent>
  <bookViews>
    <workbookView xWindow="0" yWindow="0" windowWidth="23040" windowHeight="9264"/>
  </bookViews>
  <sheets>
    <sheet name="Vendor Bill" sheetId="2" r:id="rId1"/>
    <sheet name="Sheet1" sheetId="4" r:id="rId2"/>
    <sheet name="Vendor Credit" sheetId="3" r:id="rId3"/>
  </sheets>
  <externalReferences>
    <externalReference r:id="rId4"/>
    <externalReference r:id="rId5"/>
  </externalReferences>
  <definedNames>
    <definedName name="_xlnm._FilterDatabase" localSheetId="0" hidden="1">'Vendor Bill'!$A$1:$AA$243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E3" i="2" s="1"/>
  <c r="D4" i="2"/>
  <c r="D5" i="2"/>
  <c r="D6" i="2"/>
  <c r="D7" i="2"/>
  <c r="D8" i="2"/>
  <c r="D9" i="2"/>
  <c r="E9" i="2" s="1"/>
  <c r="D10" i="2"/>
  <c r="E10" i="2" s="1"/>
  <c r="D11" i="2"/>
  <c r="E11" i="2" s="1"/>
  <c r="D12" i="2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D20" i="2"/>
  <c r="D21" i="2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D52" i="2"/>
  <c r="D53" i="2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E67" i="2" s="1"/>
  <c r="D68" i="2"/>
  <c r="D69" i="2"/>
  <c r="D70" i="2"/>
  <c r="E70" i="2" s="1"/>
  <c r="D71" i="2"/>
  <c r="E71" i="2" s="1"/>
  <c r="D72" i="2"/>
  <c r="E72" i="2" s="1"/>
  <c r="D73" i="2"/>
  <c r="E73" i="2" s="1"/>
  <c r="D74" i="2"/>
  <c r="E74" i="2" s="1"/>
  <c r="D75" i="2"/>
  <c r="D76" i="2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E83" i="2" s="1"/>
  <c r="D84" i="2"/>
  <c r="D85" i="2"/>
  <c r="E85" i="2" s="1"/>
  <c r="D86" i="2"/>
  <c r="E86" i="2" s="1"/>
  <c r="D87" i="2"/>
  <c r="E87" i="2" s="1"/>
  <c r="D88" i="2"/>
  <c r="E88" i="2" s="1"/>
  <c r="D89" i="2"/>
  <c r="E89" i="2" s="1"/>
  <c r="D90" i="2"/>
  <c r="E90" i="2" s="1"/>
  <c r="D91" i="2"/>
  <c r="D92" i="2"/>
  <c r="D93" i="2"/>
  <c r="D94" i="2"/>
  <c r="E94" i="2" s="1"/>
  <c r="D95" i="2"/>
  <c r="E95" i="2" s="1"/>
  <c r="D96" i="2"/>
  <c r="E96" i="2" s="1"/>
  <c r="D97" i="2"/>
  <c r="E97" i="2" s="1"/>
  <c r="D98" i="2"/>
  <c r="E98" i="2" s="1"/>
  <c r="D99" i="2"/>
  <c r="E99" i="2" s="1"/>
  <c r="D100" i="2"/>
  <c r="E100" i="2" s="1"/>
  <c r="D101" i="2"/>
  <c r="E101" i="2" s="1"/>
  <c r="D102" i="2"/>
  <c r="E102" i="2" s="1"/>
  <c r="D103" i="2"/>
  <c r="E103" i="2" s="1"/>
  <c r="D104" i="2"/>
  <c r="E104" i="2" s="1"/>
  <c r="D105" i="2"/>
  <c r="E105" i="2" s="1"/>
  <c r="D106" i="2"/>
  <c r="E106" i="2" s="1"/>
  <c r="D107" i="2"/>
  <c r="D108" i="2"/>
  <c r="D109" i="2"/>
  <c r="D110" i="2"/>
  <c r="E110" i="2" s="1"/>
  <c r="D111" i="2"/>
  <c r="E111" i="2" s="1"/>
  <c r="D112" i="2"/>
  <c r="E112" i="2" s="1"/>
  <c r="D113" i="2"/>
  <c r="E113" i="2" s="1"/>
  <c r="D114" i="2"/>
  <c r="E114" i="2" s="1"/>
  <c r="D115" i="2"/>
  <c r="E115" i="2" s="1"/>
  <c r="D116" i="2"/>
  <c r="E116" i="2" s="1"/>
  <c r="D117" i="2"/>
  <c r="E117" i="2" s="1"/>
  <c r="D118" i="2"/>
  <c r="E118" i="2" s="1"/>
  <c r="D119" i="2"/>
  <c r="E119" i="2" s="1"/>
  <c r="D120" i="2"/>
  <c r="E120" i="2" s="1"/>
  <c r="D121" i="2"/>
  <c r="E121" i="2" s="1"/>
  <c r="D122" i="2"/>
  <c r="E122" i="2" s="1"/>
  <c r="D123" i="2"/>
  <c r="D124" i="2"/>
  <c r="D125" i="2"/>
  <c r="D126" i="2"/>
  <c r="E126" i="2" s="1"/>
  <c r="D127" i="2"/>
  <c r="E127" i="2" s="1"/>
  <c r="D128" i="2"/>
  <c r="E128" i="2" s="1"/>
  <c r="D129" i="2"/>
  <c r="E129" i="2" s="1"/>
  <c r="D130" i="2"/>
  <c r="E130" i="2" s="1"/>
  <c r="D131" i="2"/>
  <c r="E131" i="2" s="1"/>
  <c r="D132" i="2"/>
  <c r="D133" i="2"/>
  <c r="E133" i="2" s="1"/>
  <c r="D134" i="2"/>
  <c r="E134" i="2" s="1"/>
  <c r="D135" i="2"/>
  <c r="E135" i="2" s="1"/>
  <c r="D136" i="2"/>
  <c r="E136" i="2" s="1"/>
  <c r="D137" i="2"/>
  <c r="E137" i="2" s="1"/>
  <c r="D138" i="2"/>
  <c r="E138" i="2" s="1"/>
  <c r="D139" i="2"/>
  <c r="E139" i="2" s="1"/>
  <c r="D140" i="2"/>
  <c r="D141" i="2"/>
  <c r="E141" i="2" s="1"/>
  <c r="D142" i="2"/>
  <c r="E142" i="2" s="1"/>
  <c r="D143" i="2"/>
  <c r="E143" i="2" s="1"/>
  <c r="D144" i="2"/>
  <c r="E144" i="2" s="1"/>
  <c r="D145" i="2"/>
  <c r="E145" i="2" s="1"/>
  <c r="D146" i="2"/>
  <c r="E146" i="2" s="1"/>
  <c r="D147" i="2"/>
  <c r="E147" i="2" s="1"/>
  <c r="D148" i="2"/>
  <c r="D149" i="2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E162" i="2" s="1"/>
  <c r="D163" i="2"/>
  <c r="D164" i="2"/>
  <c r="E164" i="2" s="1"/>
  <c r="D165" i="2"/>
  <c r="E165" i="2" s="1"/>
  <c r="D166" i="2"/>
  <c r="E166" i="2" s="1"/>
  <c r="D167" i="2"/>
  <c r="E167" i="2" s="1"/>
  <c r="D168" i="2"/>
  <c r="E168" i="2" s="1"/>
  <c r="D169" i="2"/>
  <c r="E169" i="2" s="1"/>
  <c r="D170" i="2"/>
  <c r="E170" i="2" s="1"/>
  <c r="D171" i="2"/>
  <c r="E171" i="2" s="1"/>
  <c r="D172" i="2"/>
  <c r="D173" i="2"/>
  <c r="D174" i="2"/>
  <c r="E174" i="2" s="1"/>
  <c r="D175" i="2"/>
  <c r="E175" i="2" s="1"/>
  <c r="D176" i="2"/>
  <c r="E176" i="2" s="1"/>
  <c r="D177" i="2"/>
  <c r="E177" i="2" s="1"/>
  <c r="D178" i="2"/>
  <c r="E178" i="2" s="1"/>
  <c r="D179" i="2"/>
  <c r="D180" i="2"/>
  <c r="D181" i="2"/>
  <c r="D182" i="2"/>
  <c r="E182" i="2" s="1"/>
  <c r="D183" i="2"/>
  <c r="E183" i="2" s="1"/>
  <c r="D184" i="2"/>
  <c r="E184" i="2" s="1"/>
  <c r="D185" i="2"/>
  <c r="E185" i="2" s="1"/>
  <c r="D186" i="2"/>
  <c r="E186" i="2" s="1"/>
  <c r="D187" i="2"/>
  <c r="E187" i="2" s="1"/>
  <c r="D188" i="2"/>
  <c r="E188" i="2" s="1"/>
  <c r="D189" i="2"/>
  <c r="E189" i="2" s="1"/>
  <c r="D190" i="2"/>
  <c r="E190" i="2" s="1"/>
  <c r="D191" i="2"/>
  <c r="E191" i="2" s="1"/>
  <c r="D192" i="2"/>
  <c r="E192" i="2" s="1"/>
  <c r="D193" i="2"/>
  <c r="E193" i="2" s="1"/>
  <c r="D194" i="2"/>
  <c r="E194" i="2" s="1"/>
  <c r="D195" i="2"/>
  <c r="D196" i="2"/>
  <c r="D197" i="2"/>
  <c r="D198" i="2"/>
  <c r="E198" i="2" s="1"/>
  <c r="D199" i="2"/>
  <c r="E199" i="2" s="1"/>
  <c r="D200" i="2"/>
  <c r="E200" i="2" s="1"/>
  <c r="D201" i="2"/>
  <c r="E201" i="2" s="1"/>
  <c r="D202" i="2"/>
  <c r="E202" i="2" s="1"/>
  <c r="D203" i="2"/>
  <c r="E203" i="2" s="1"/>
  <c r="D204" i="2"/>
  <c r="D205" i="2"/>
  <c r="E205" i="2" s="1"/>
  <c r="D206" i="2"/>
  <c r="E206" i="2" s="1"/>
  <c r="D207" i="2"/>
  <c r="E207" i="2" s="1"/>
  <c r="D208" i="2"/>
  <c r="E208" i="2" s="1"/>
  <c r="D209" i="2"/>
  <c r="E209" i="2" s="1"/>
  <c r="D210" i="2"/>
  <c r="E210" i="2" s="1"/>
  <c r="D211" i="2"/>
  <c r="E211" i="2" s="1"/>
  <c r="D212" i="2"/>
  <c r="E212" i="2" s="1"/>
  <c r="D213" i="2"/>
  <c r="E213" i="2" s="1"/>
  <c r="D214" i="2"/>
  <c r="E214" i="2" s="1"/>
  <c r="D215" i="2"/>
  <c r="E215" i="2" s="1"/>
  <c r="D216" i="2"/>
  <c r="E216" i="2" s="1"/>
  <c r="D217" i="2"/>
  <c r="E217" i="2" s="1"/>
  <c r="D218" i="2"/>
  <c r="E218" i="2" s="1"/>
  <c r="D219" i="2"/>
  <c r="E219" i="2" s="1"/>
  <c r="D220" i="2"/>
  <c r="D221" i="2"/>
  <c r="D222" i="2"/>
  <c r="E222" i="2" s="1"/>
  <c r="D223" i="2"/>
  <c r="E223" i="2" s="1"/>
  <c r="D224" i="2"/>
  <c r="E224" i="2" s="1"/>
  <c r="D225" i="2"/>
  <c r="E225" i="2" s="1"/>
  <c r="D226" i="2"/>
  <c r="E226" i="2" s="1"/>
  <c r="D227" i="2"/>
  <c r="E227" i="2" s="1"/>
  <c r="D228" i="2"/>
  <c r="E228" i="2" s="1"/>
  <c r="D229" i="2"/>
  <c r="E229" i="2" s="1"/>
  <c r="D230" i="2"/>
  <c r="E230" i="2" s="1"/>
  <c r="D231" i="2"/>
  <c r="E231" i="2" s="1"/>
  <c r="D232" i="2"/>
  <c r="E232" i="2" s="1"/>
  <c r="D233" i="2"/>
  <c r="E233" i="2" s="1"/>
  <c r="D234" i="2"/>
  <c r="E234" i="2" s="1"/>
  <c r="D235" i="2"/>
  <c r="E235" i="2" s="1"/>
  <c r="D236" i="2"/>
  <c r="D237" i="2"/>
  <c r="E237" i="2" s="1"/>
  <c r="D238" i="2"/>
  <c r="E238" i="2" s="1"/>
  <c r="D239" i="2"/>
  <c r="E239" i="2" s="1"/>
  <c r="D240" i="2"/>
  <c r="E240" i="2" s="1"/>
  <c r="D241" i="2"/>
  <c r="E241" i="2" s="1"/>
  <c r="D242" i="2"/>
  <c r="E242" i="2" s="1"/>
  <c r="D243" i="2"/>
  <c r="E4" i="2"/>
  <c r="E5" i="2"/>
  <c r="E6" i="2"/>
  <c r="E7" i="2"/>
  <c r="E8" i="2"/>
  <c r="E12" i="2"/>
  <c r="E19" i="2"/>
  <c r="E20" i="2"/>
  <c r="E21" i="2"/>
  <c r="E28" i="2"/>
  <c r="E51" i="2"/>
  <c r="E52" i="2"/>
  <c r="E53" i="2"/>
  <c r="E60" i="2"/>
  <c r="E68" i="2"/>
  <c r="E69" i="2"/>
  <c r="E75" i="2"/>
  <c r="E76" i="2"/>
  <c r="E84" i="2"/>
  <c r="E91" i="2"/>
  <c r="E92" i="2"/>
  <c r="E93" i="2"/>
  <c r="E107" i="2"/>
  <c r="E108" i="2"/>
  <c r="E109" i="2"/>
  <c r="E123" i="2"/>
  <c r="E124" i="2"/>
  <c r="E125" i="2"/>
  <c r="E132" i="2"/>
  <c r="E140" i="2"/>
  <c r="E148" i="2"/>
  <c r="E156" i="2"/>
  <c r="E163" i="2"/>
  <c r="E172" i="2"/>
  <c r="E173" i="2"/>
  <c r="E179" i="2"/>
  <c r="E180" i="2"/>
  <c r="E181" i="2"/>
  <c r="E195" i="2"/>
  <c r="E196" i="2"/>
  <c r="E197" i="2"/>
  <c r="E204" i="2"/>
  <c r="E220" i="2"/>
  <c r="E221" i="2"/>
  <c r="E236" i="2"/>
  <c r="E243" i="2"/>
  <c r="P243" i="2"/>
  <c r="Q243" i="2" s="1"/>
  <c r="M243" i="2"/>
  <c r="C243" i="2"/>
  <c r="B243" i="2"/>
  <c r="A243" i="2"/>
  <c r="P242" i="2"/>
  <c r="Q242" i="2" s="1"/>
  <c r="M242" i="2"/>
  <c r="C242" i="2"/>
  <c r="B242" i="2"/>
  <c r="A242" i="2"/>
  <c r="P241" i="2"/>
  <c r="Q241" i="2" s="1"/>
  <c r="M241" i="2"/>
  <c r="C241" i="2"/>
  <c r="B241" i="2"/>
  <c r="A241" i="2"/>
  <c r="P240" i="2"/>
  <c r="Q240" i="2" s="1"/>
  <c r="M240" i="2"/>
  <c r="C240" i="2"/>
  <c r="B240" i="2"/>
  <c r="A240" i="2"/>
  <c r="P239" i="2"/>
  <c r="Q239" i="2" s="1"/>
  <c r="M239" i="2"/>
  <c r="C239" i="2"/>
  <c r="B239" i="2"/>
  <c r="A239" i="2"/>
  <c r="P238" i="2"/>
  <c r="Q238" i="2" s="1"/>
  <c r="M238" i="2"/>
  <c r="C238" i="2"/>
  <c r="B238" i="2"/>
  <c r="A238" i="2"/>
  <c r="P237" i="2"/>
  <c r="Q237" i="2" s="1"/>
  <c r="M237" i="2"/>
  <c r="C237" i="2"/>
  <c r="B237" i="2"/>
  <c r="A237" i="2"/>
  <c r="P236" i="2"/>
  <c r="Q236" i="2" s="1"/>
  <c r="M236" i="2"/>
  <c r="C236" i="2"/>
  <c r="B236" i="2"/>
  <c r="A236" i="2"/>
  <c r="P235" i="2"/>
  <c r="Q235" i="2" s="1"/>
  <c r="M235" i="2"/>
  <c r="C235" i="2"/>
  <c r="B235" i="2"/>
  <c r="A235" i="2"/>
  <c r="P234" i="2"/>
  <c r="Q234" i="2" s="1"/>
  <c r="M234" i="2"/>
  <c r="C234" i="2"/>
  <c r="B234" i="2"/>
  <c r="A234" i="2"/>
  <c r="P233" i="2"/>
  <c r="Q233" i="2" s="1"/>
  <c r="M233" i="2"/>
  <c r="C233" i="2"/>
  <c r="B233" i="2"/>
  <c r="A233" i="2"/>
  <c r="P232" i="2"/>
  <c r="Q232" i="2" s="1"/>
  <c r="M232" i="2"/>
  <c r="C232" i="2"/>
  <c r="B232" i="2"/>
  <c r="A232" i="2"/>
  <c r="P231" i="2"/>
  <c r="Q231" i="2" s="1"/>
  <c r="M231" i="2"/>
  <c r="J231" i="2"/>
  <c r="C231" i="2"/>
  <c r="B231" i="2"/>
  <c r="A231" i="2"/>
  <c r="P230" i="2"/>
  <c r="Q230" i="2" s="1"/>
  <c r="M230" i="2"/>
  <c r="J230" i="2"/>
  <c r="C230" i="2"/>
  <c r="B230" i="2"/>
  <c r="A230" i="2"/>
  <c r="P229" i="2"/>
  <c r="Q229" i="2" s="1"/>
  <c r="M229" i="2"/>
  <c r="J229" i="2"/>
  <c r="C229" i="2"/>
  <c r="B229" i="2"/>
  <c r="A229" i="2"/>
  <c r="P228" i="2"/>
  <c r="Q228" i="2" s="1"/>
  <c r="M228" i="2"/>
  <c r="J228" i="2"/>
  <c r="C228" i="2"/>
  <c r="B228" i="2"/>
  <c r="A228" i="2"/>
  <c r="P227" i="2"/>
  <c r="Q227" i="2" s="1"/>
  <c r="M227" i="2"/>
  <c r="J227" i="2"/>
  <c r="C227" i="2"/>
  <c r="B227" i="2"/>
  <c r="A227" i="2"/>
  <c r="P226" i="2"/>
  <c r="Q226" i="2" s="1"/>
  <c r="M226" i="2"/>
  <c r="J226" i="2"/>
  <c r="C226" i="2"/>
  <c r="B226" i="2"/>
  <c r="A226" i="2"/>
  <c r="P225" i="2"/>
  <c r="Q225" i="2" s="1"/>
  <c r="M225" i="2"/>
  <c r="J225" i="2"/>
  <c r="C225" i="2"/>
  <c r="B225" i="2"/>
  <c r="A225" i="2"/>
  <c r="P224" i="2"/>
  <c r="Q224" i="2" s="1"/>
  <c r="M224" i="2"/>
  <c r="J224" i="2"/>
  <c r="C224" i="2"/>
  <c r="B224" i="2"/>
  <c r="A224" i="2"/>
  <c r="P223" i="2"/>
  <c r="Q223" i="2" s="1"/>
  <c r="M223" i="2"/>
  <c r="J223" i="2"/>
  <c r="C223" i="2"/>
  <c r="B223" i="2"/>
  <c r="A223" i="2"/>
  <c r="P222" i="2"/>
  <c r="Q222" i="2" s="1"/>
  <c r="M222" i="2"/>
  <c r="J222" i="2"/>
  <c r="C222" i="2"/>
  <c r="B222" i="2"/>
  <c r="A222" i="2"/>
  <c r="P221" i="2"/>
  <c r="Q221" i="2" s="1"/>
  <c r="M221" i="2"/>
  <c r="J221" i="2"/>
  <c r="C221" i="2"/>
  <c r="B221" i="2"/>
  <c r="A221" i="2"/>
  <c r="P220" i="2"/>
  <c r="Q220" i="2" s="1"/>
  <c r="M220" i="2"/>
  <c r="J220" i="2"/>
  <c r="C220" i="2"/>
  <c r="B220" i="2"/>
  <c r="A220" i="2"/>
  <c r="P219" i="2"/>
  <c r="Q219" i="2" s="1"/>
  <c r="M219" i="2"/>
  <c r="J219" i="2"/>
  <c r="C219" i="2"/>
  <c r="B219" i="2"/>
  <c r="A219" i="2"/>
  <c r="P218" i="2"/>
  <c r="Q218" i="2" s="1"/>
  <c r="M218" i="2"/>
  <c r="J218" i="2"/>
  <c r="C218" i="2"/>
  <c r="B218" i="2"/>
  <c r="A218" i="2"/>
  <c r="P217" i="2"/>
  <c r="Q217" i="2" s="1"/>
  <c r="M217" i="2"/>
  <c r="J217" i="2"/>
  <c r="C217" i="2"/>
  <c r="B217" i="2"/>
  <c r="A217" i="2"/>
  <c r="P216" i="2"/>
  <c r="Q216" i="2" s="1"/>
  <c r="M216" i="2"/>
  <c r="J216" i="2"/>
  <c r="C216" i="2"/>
  <c r="B216" i="2"/>
  <c r="A216" i="2"/>
  <c r="P215" i="2"/>
  <c r="Q215" i="2" s="1"/>
  <c r="M215" i="2"/>
  <c r="J215" i="2"/>
  <c r="C215" i="2"/>
  <c r="B215" i="2"/>
  <c r="A215" i="2"/>
  <c r="P214" i="2"/>
  <c r="Q214" i="2" s="1"/>
  <c r="M214" i="2"/>
  <c r="J214" i="2"/>
  <c r="C214" i="2"/>
  <c r="B214" i="2"/>
  <c r="A214" i="2"/>
  <c r="P213" i="2"/>
  <c r="Q213" i="2" s="1"/>
  <c r="M213" i="2"/>
  <c r="J213" i="2"/>
  <c r="C213" i="2"/>
  <c r="B213" i="2"/>
  <c r="A213" i="2"/>
  <c r="P212" i="2"/>
  <c r="Q212" i="2" s="1"/>
  <c r="M212" i="2"/>
  <c r="J212" i="2"/>
  <c r="C212" i="2"/>
  <c r="B212" i="2"/>
  <c r="A212" i="2"/>
  <c r="P211" i="2"/>
  <c r="Q211" i="2" s="1"/>
  <c r="M211" i="2"/>
  <c r="J211" i="2"/>
  <c r="C211" i="2"/>
  <c r="B211" i="2"/>
  <c r="A211" i="2"/>
  <c r="P210" i="2"/>
  <c r="Q210" i="2" s="1"/>
  <c r="M210" i="2"/>
  <c r="J210" i="2"/>
  <c r="C210" i="2"/>
  <c r="B210" i="2"/>
  <c r="A210" i="2"/>
  <c r="P209" i="2"/>
  <c r="Q209" i="2" s="1"/>
  <c r="M209" i="2"/>
  <c r="J209" i="2"/>
  <c r="C209" i="2"/>
  <c r="B209" i="2"/>
  <c r="A209" i="2"/>
  <c r="P208" i="2"/>
  <c r="Q208" i="2" s="1"/>
  <c r="M208" i="2"/>
  <c r="J208" i="2"/>
  <c r="C208" i="2"/>
  <c r="B208" i="2"/>
  <c r="A208" i="2"/>
  <c r="P207" i="2"/>
  <c r="Q207" i="2" s="1"/>
  <c r="M207" i="2"/>
  <c r="J207" i="2"/>
  <c r="C207" i="2"/>
  <c r="B207" i="2"/>
  <c r="A207" i="2"/>
  <c r="P206" i="2"/>
  <c r="Q206" i="2" s="1"/>
  <c r="M206" i="2"/>
  <c r="J206" i="2"/>
  <c r="C206" i="2"/>
  <c r="B206" i="2"/>
  <c r="A206" i="2"/>
  <c r="P205" i="2"/>
  <c r="Q205" i="2" s="1"/>
  <c r="M205" i="2"/>
  <c r="J205" i="2"/>
  <c r="C205" i="2"/>
  <c r="B205" i="2"/>
  <c r="A205" i="2"/>
  <c r="P204" i="2"/>
  <c r="Q204" i="2" s="1"/>
  <c r="M204" i="2"/>
  <c r="J204" i="2"/>
  <c r="C204" i="2"/>
  <c r="B204" i="2"/>
  <c r="A204" i="2"/>
  <c r="P203" i="2"/>
  <c r="Q203" i="2" s="1"/>
  <c r="M203" i="2"/>
  <c r="J203" i="2"/>
  <c r="C203" i="2"/>
  <c r="B203" i="2"/>
  <c r="A203" i="2"/>
  <c r="P202" i="2"/>
  <c r="Q202" i="2" s="1"/>
  <c r="M202" i="2"/>
  <c r="J202" i="2"/>
  <c r="C202" i="2"/>
  <c r="B202" i="2"/>
  <c r="A202" i="2"/>
  <c r="P201" i="2"/>
  <c r="Q201" i="2" s="1"/>
  <c r="M201" i="2"/>
  <c r="J201" i="2"/>
  <c r="C201" i="2"/>
  <c r="B201" i="2"/>
  <c r="A201" i="2"/>
  <c r="P200" i="2"/>
  <c r="Q200" i="2" s="1"/>
  <c r="M200" i="2"/>
  <c r="J200" i="2"/>
  <c r="C200" i="2"/>
  <c r="B200" i="2"/>
  <c r="A200" i="2"/>
  <c r="P199" i="2"/>
  <c r="Q199" i="2" s="1"/>
  <c r="M199" i="2"/>
  <c r="J199" i="2"/>
  <c r="C199" i="2"/>
  <c r="B199" i="2"/>
  <c r="A199" i="2"/>
  <c r="P198" i="2"/>
  <c r="Q198" i="2" s="1"/>
  <c r="M198" i="2"/>
  <c r="J198" i="2"/>
  <c r="C198" i="2"/>
  <c r="B198" i="2"/>
  <c r="A198" i="2"/>
  <c r="P197" i="2"/>
  <c r="Q197" i="2" s="1"/>
  <c r="M197" i="2"/>
  <c r="J197" i="2"/>
  <c r="C197" i="2"/>
  <c r="B197" i="2"/>
  <c r="A197" i="2"/>
  <c r="P196" i="2"/>
  <c r="Q196" i="2" s="1"/>
  <c r="M196" i="2"/>
  <c r="J196" i="2"/>
  <c r="C196" i="2"/>
  <c r="B196" i="2"/>
  <c r="A196" i="2"/>
  <c r="P195" i="2"/>
  <c r="Q195" i="2" s="1"/>
  <c r="M195" i="2"/>
  <c r="J195" i="2"/>
  <c r="C195" i="2"/>
  <c r="B195" i="2"/>
  <c r="A195" i="2"/>
  <c r="P194" i="2"/>
  <c r="Q194" i="2" s="1"/>
  <c r="M194" i="2"/>
  <c r="J194" i="2"/>
  <c r="C194" i="2"/>
  <c r="B194" i="2"/>
  <c r="A194" i="2"/>
  <c r="P193" i="2"/>
  <c r="Q193" i="2" s="1"/>
  <c r="M193" i="2"/>
  <c r="J193" i="2"/>
  <c r="C193" i="2"/>
  <c r="B193" i="2"/>
  <c r="A193" i="2"/>
  <c r="P192" i="2"/>
  <c r="Q192" i="2" s="1"/>
  <c r="M192" i="2"/>
  <c r="J192" i="2"/>
  <c r="C192" i="2"/>
  <c r="B192" i="2"/>
  <c r="A192" i="2"/>
  <c r="P191" i="2"/>
  <c r="Q191" i="2" s="1"/>
  <c r="M191" i="2"/>
  <c r="J191" i="2"/>
  <c r="C191" i="2"/>
  <c r="B191" i="2"/>
  <c r="A191" i="2"/>
  <c r="P190" i="2"/>
  <c r="Q190" i="2" s="1"/>
  <c r="M190" i="2"/>
  <c r="J190" i="2"/>
  <c r="C190" i="2"/>
  <c r="B190" i="2"/>
  <c r="A190" i="2"/>
  <c r="P189" i="2"/>
  <c r="Q189" i="2" s="1"/>
  <c r="M189" i="2"/>
  <c r="J189" i="2"/>
  <c r="C189" i="2"/>
  <c r="B189" i="2"/>
  <c r="A189" i="2"/>
  <c r="P188" i="2"/>
  <c r="Q188" i="2" s="1"/>
  <c r="M188" i="2"/>
  <c r="J188" i="2"/>
  <c r="C188" i="2"/>
  <c r="B188" i="2"/>
  <c r="A188" i="2"/>
  <c r="P187" i="2"/>
  <c r="Q187" i="2" s="1"/>
  <c r="M187" i="2"/>
  <c r="J187" i="2"/>
  <c r="C187" i="2"/>
  <c r="B187" i="2"/>
  <c r="A187" i="2"/>
  <c r="P186" i="2"/>
  <c r="Q186" i="2" s="1"/>
  <c r="M186" i="2"/>
  <c r="J186" i="2"/>
  <c r="C186" i="2"/>
  <c r="B186" i="2"/>
  <c r="A186" i="2"/>
  <c r="P185" i="2"/>
  <c r="Q185" i="2" s="1"/>
  <c r="M185" i="2"/>
  <c r="J185" i="2"/>
  <c r="C185" i="2"/>
  <c r="B185" i="2"/>
  <c r="A185" i="2"/>
  <c r="P184" i="2"/>
  <c r="Q184" i="2" s="1"/>
  <c r="M184" i="2"/>
  <c r="J184" i="2"/>
  <c r="C184" i="2"/>
  <c r="B184" i="2"/>
  <c r="A184" i="2"/>
  <c r="P183" i="2"/>
  <c r="Q183" i="2" s="1"/>
  <c r="M183" i="2"/>
  <c r="J183" i="2"/>
  <c r="C183" i="2"/>
  <c r="B183" i="2"/>
  <c r="A183" i="2"/>
  <c r="P182" i="2"/>
  <c r="Q182" i="2" s="1"/>
  <c r="M182" i="2"/>
  <c r="J182" i="2"/>
  <c r="C182" i="2"/>
  <c r="B182" i="2"/>
  <c r="A182" i="2"/>
  <c r="P181" i="2"/>
  <c r="Q181" i="2" s="1"/>
  <c r="M181" i="2"/>
  <c r="J181" i="2"/>
  <c r="C181" i="2"/>
  <c r="B181" i="2"/>
  <c r="A181" i="2"/>
  <c r="P180" i="2"/>
  <c r="Q180" i="2" s="1"/>
  <c r="M180" i="2"/>
  <c r="J180" i="2"/>
  <c r="C180" i="2"/>
  <c r="B180" i="2"/>
  <c r="A180" i="2"/>
  <c r="P179" i="2"/>
  <c r="Q179" i="2" s="1"/>
  <c r="M179" i="2"/>
  <c r="J179" i="2"/>
  <c r="C179" i="2"/>
  <c r="B179" i="2"/>
  <c r="A179" i="2"/>
  <c r="P178" i="2"/>
  <c r="Q178" i="2" s="1"/>
  <c r="M178" i="2"/>
  <c r="J178" i="2"/>
  <c r="C178" i="2"/>
  <c r="B178" i="2"/>
  <c r="A178" i="2"/>
  <c r="P177" i="2"/>
  <c r="Q177" i="2" s="1"/>
  <c r="M177" i="2"/>
  <c r="J177" i="2"/>
  <c r="C177" i="2"/>
  <c r="B177" i="2"/>
  <c r="A177" i="2"/>
  <c r="P176" i="2"/>
  <c r="Q176" i="2" s="1"/>
  <c r="M176" i="2"/>
  <c r="J176" i="2"/>
  <c r="C176" i="2"/>
  <c r="B176" i="2"/>
  <c r="A176" i="2"/>
  <c r="P175" i="2"/>
  <c r="Q175" i="2" s="1"/>
  <c r="M175" i="2"/>
  <c r="J175" i="2"/>
  <c r="C175" i="2"/>
  <c r="B175" i="2"/>
  <c r="A175" i="2"/>
  <c r="P174" i="2"/>
  <c r="Q174" i="2" s="1"/>
  <c r="M174" i="2"/>
  <c r="J174" i="2"/>
  <c r="C174" i="2"/>
  <c r="B174" i="2"/>
  <c r="A174" i="2"/>
  <c r="P173" i="2"/>
  <c r="Q173" i="2" s="1"/>
  <c r="M173" i="2"/>
  <c r="J173" i="2"/>
  <c r="C173" i="2"/>
  <c r="B173" i="2"/>
  <c r="A173" i="2"/>
  <c r="P172" i="2"/>
  <c r="Q172" i="2" s="1"/>
  <c r="M172" i="2"/>
  <c r="J172" i="2"/>
  <c r="C172" i="2"/>
  <c r="B172" i="2"/>
  <c r="A172" i="2"/>
  <c r="P171" i="2"/>
  <c r="Q171" i="2" s="1"/>
  <c r="M171" i="2"/>
  <c r="J171" i="2"/>
  <c r="C171" i="2"/>
  <c r="B171" i="2"/>
  <c r="A171" i="2"/>
  <c r="P170" i="2"/>
  <c r="Q170" i="2" s="1"/>
  <c r="M170" i="2"/>
  <c r="J170" i="2"/>
  <c r="C170" i="2"/>
  <c r="B170" i="2"/>
  <c r="A170" i="2"/>
  <c r="P169" i="2"/>
  <c r="Q169" i="2" s="1"/>
  <c r="M169" i="2"/>
  <c r="J169" i="2"/>
  <c r="C169" i="2"/>
  <c r="B169" i="2"/>
  <c r="A169" i="2"/>
  <c r="P168" i="2"/>
  <c r="Q168" i="2" s="1"/>
  <c r="M168" i="2"/>
  <c r="J168" i="2"/>
  <c r="C168" i="2"/>
  <c r="B168" i="2"/>
  <c r="A168" i="2"/>
  <c r="P167" i="2"/>
  <c r="Q167" i="2" s="1"/>
  <c r="M167" i="2"/>
  <c r="J167" i="2"/>
  <c r="C167" i="2"/>
  <c r="B167" i="2"/>
  <c r="A167" i="2"/>
  <c r="P166" i="2"/>
  <c r="Q166" i="2" s="1"/>
  <c r="M166" i="2"/>
  <c r="J166" i="2"/>
  <c r="C166" i="2"/>
  <c r="B166" i="2"/>
  <c r="A166" i="2"/>
  <c r="P165" i="2"/>
  <c r="Q165" i="2" s="1"/>
  <c r="M165" i="2"/>
  <c r="J165" i="2"/>
  <c r="C165" i="2"/>
  <c r="B165" i="2"/>
  <c r="A165" i="2"/>
  <c r="P164" i="2"/>
  <c r="Q164" i="2" s="1"/>
  <c r="M164" i="2"/>
  <c r="J164" i="2"/>
  <c r="C164" i="2"/>
  <c r="B164" i="2"/>
  <c r="A164" i="2"/>
  <c r="P163" i="2"/>
  <c r="Q163" i="2" s="1"/>
  <c r="M163" i="2"/>
  <c r="J163" i="2"/>
  <c r="C163" i="2"/>
  <c r="B163" i="2"/>
  <c r="A163" i="2"/>
  <c r="P162" i="2"/>
  <c r="Q162" i="2" s="1"/>
  <c r="M162" i="2"/>
  <c r="J162" i="2"/>
  <c r="C162" i="2"/>
  <c r="B162" i="2"/>
  <c r="A162" i="2"/>
  <c r="P161" i="2"/>
  <c r="Q161" i="2" s="1"/>
  <c r="M161" i="2"/>
  <c r="J161" i="2"/>
  <c r="C161" i="2"/>
  <c r="B161" i="2"/>
  <c r="A161" i="2"/>
  <c r="P160" i="2"/>
  <c r="Q160" i="2" s="1"/>
  <c r="M160" i="2"/>
  <c r="J160" i="2"/>
  <c r="C160" i="2"/>
  <c r="B160" i="2"/>
  <c r="A160" i="2"/>
  <c r="P159" i="2"/>
  <c r="Q159" i="2" s="1"/>
  <c r="M159" i="2"/>
  <c r="J159" i="2"/>
  <c r="C159" i="2"/>
  <c r="B159" i="2"/>
  <c r="A159" i="2"/>
  <c r="P158" i="2"/>
  <c r="Q158" i="2" s="1"/>
  <c r="M158" i="2"/>
  <c r="J158" i="2"/>
  <c r="C158" i="2"/>
  <c r="B158" i="2"/>
  <c r="A158" i="2"/>
  <c r="P157" i="2"/>
  <c r="Q157" i="2" s="1"/>
  <c r="M157" i="2"/>
  <c r="J157" i="2"/>
  <c r="C157" i="2"/>
  <c r="B157" i="2"/>
  <c r="A157" i="2"/>
  <c r="P156" i="2"/>
  <c r="Q156" i="2" s="1"/>
  <c r="M156" i="2"/>
  <c r="J156" i="2"/>
  <c r="C156" i="2"/>
  <c r="B156" i="2"/>
  <c r="A156" i="2"/>
  <c r="P155" i="2"/>
  <c r="Q155" i="2" s="1"/>
  <c r="M155" i="2"/>
  <c r="J155" i="2"/>
  <c r="C155" i="2"/>
  <c r="B155" i="2"/>
  <c r="A155" i="2"/>
  <c r="P154" i="2"/>
  <c r="Q154" i="2" s="1"/>
  <c r="M154" i="2"/>
  <c r="J154" i="2"/>
  <c r="C154" i="2"/>
  <c r="B154" i="2"/>
  <c r="A154" i="2"/>
  <c r="P153" i="2"/>
  <c r="Q153" i="2" s="1"/>
  <c r="M153" i="2"/>
  <c r="J153" i="2"/>
  <c r="C153" i="2"/>
  <c r="B153" i="2"/>
  <c r="A153" i="2"/>
  <c r="P152" i="2"/>
  <c r="Q152" i="2" s="1"/>
  <c r="M152" i="2"/>
  <c r="J152" i="2"/>
  <c r="C152" i="2"/>
  <c r="B152" i="2"/>
  <c r="A152" i="2"/>
  <c r="P151" i="2"/>
  <c r="Q151" i="2" s="1"/>
  <c r="M151" i="2"/>
  <c r="J151" i="2"/>
  <c r="C151" i="2"/>
  <c r="B151" i="2"/>
  <c r="A151" i="2"/>
  <c r="P150" i="2"/>
  <c r="Q150" i="2" s="1"/>
  <c r="M150" i="2"/>
  <c r="J150" i="2"/>
  <c r="C150" i="2"/>
  <c r="B150" i="2"/>
  <c r="A150" i="2"/>
  <c r="P149" i="2"/>
  <c r="Q149" i="2" s="1"/>
  <c r="M149" i="2"/>
  <c r="J149" i="2"/>
  <c r="C149" i="2"/>
  <c r="B149" i="2"/>
  <c r="A149" i="2"/>
  <c r="P148" i="2"/>
  <c r="Q148" i="2" s="1"/>
  <c r="M148" i="2"/>
  <c r="J148" i="2"/>
  <c r="C148" i="2"/>
  <c r="B148" i="2"/>
  <c r="A148" i="2"/>
  <c r="P147" i="2"/>
  <c r="Q147" i="2" s="1"/>
  <c r="M147" i="2"/>
  <c r="J147" i="2"/>
  <c r="C147" i="2"/>
  <c r="B147" i="2"/>
  <c r="A147" i="2"/>
  <c r="P146" i="2"/>
  <c r="Q146" i="2" s="1"/>
  <c r="M146" i="2"/>
  <c r="J146" i="2"/>
  <c r="C146" i="2"/>
  <c r="B146" i="2"/>
  <c r="A146" i="2"/>
  <c r="P145" i="2"/>
  <c r="Q145" i="2" s="1"/>
  <c r="M145" i="2"/>
  <c r="J145" i="2"/>
  <c r="C145" i="2"/>
  <c r="B145" i="2"/>
  <c r="A145" i="2"/>
  <c r="P144" i="2"/>
  <c r="Q144" i="2" s="1"/>
  <c r="M144" i="2"/>
  <c r="J144" i="2"/>
  <c r="C144" i="2"/>
  <c r="B144" i="2"/>
  <c r="A144" i="2"/>
  <c r="P143" i="2"/>
  <c r="Q143" i="2" s="1"/>
  <c r="M143" i="2"/>
  <c r="J143" i="2"/>
  <c r="C143" i="2"/>
  <c r="B143" i="2"/>
  <c r="A143" i="2"/>
  <c r="P142" i="2"/>
  <c r="Q142" i="2" s="1"/>
  <c r="M142" i="2"/>
  <c r="J142" i="2"/>
  <c r="C142" i="2"/>
  <c r="B142" i="2"/>
  <c r="A142" i="2"/>
  <c r="P141" i="2"/>
  <c r="Q141" i="2" s="1"/>
  <c r="M141" i="2"/>
  <c r="J141" i="2"/>
  <c r="C141" i="2"/>
  <c r="B141" i="2"/>
  <c r="A141" i="2"/>
  <c r="P140" i="2"/>
  <c r="Q140" i="2" s="1"/>
  <c r="M140" i="2"/>
  <c r="J140" i="2"/>
  <c r="C140" i="2"/>
  <c r="B140" i="2"/>
  <c r="A140" i="2"/>
  <c r="P139" i="2"/>
  <c r="Q139" i="2" s="1"/>
  <c r="M139" i="2"/>
  <c r="J139" i="2"/>
  <c r="C139" i="2"/>
  <c r="B139" i="2"/>
  <c r="A139" i="2"/>
  <c r="P138" i="2"/>
  <c r="Q138" i="2" s="1"/>
  <c r="M138" i="2"/>
  <c r="J138" i="2"/>
  <c r="C138" i="2"/>
  <c r="B138" i="2"/>
  <c r="A138" i="2"/>
  <c r="P137" i="2"/>
  <c r="Q137" i="2" s="1"/>
  <c r="M137" i="2"/>
  <c r="J137" i="2"/>
  <c r="C137" i="2"/>
  <c r="B137" i="2"/>
  <c r="A137" i="2"/>
  <c r="P136" i="2"/>
  <c r="Q136" i="2" s="1"/>
  <c r="M136" i="2"/>
  <c r="J136" i="2"/>
  <c r="C136" i="2"/>
  <c r="B136" i="2"/>
  <c r="A136" i="2"/>
  <c r="P135" i="2"/>
  <c r="Q135" i="2" s="1"/>
  <c r="M135" i="2"/>
  <c r="J135" i="2"/>
  <c r="C135" i="2"/>
  <c r="B135" i="2"/>
  <c r="A135" i="2"/>
  <c r="P134" i="2"/>
  <c r="Q134" i="2" s="1"/>
  <c r="M134" i="2"/>
  <c r="J134" i="2"/>
  <c r="C134" i="2"/>
  <c r="B134" i="2"/>
  <c r="A134" i="2"/>
  <c r="P133" i="2"/>
  <c r="Q133" i="2" s="1"/>
  <c r="M133" i="2"/>
  <c r="J133" i="2"/>
  <c r="C133" i="2"/>
  <c r="B133" i="2"/>
  <c r="A133" i="2"/>
  <c r="P132" i="2"/>
  <c r="Q132" i="2" s="1"/>
  <c r="M132" i="2"/>
  <c r="J132" i="2"/>
  <c r="C132" i="2"/>
  <c r="B132" i="2"/>
  <c r="A132" i="2"/>
  <c r="P131" i="2"/>
  <c r="Q131" i="2" s="1"/>
  <c r="M131" i="2"/>
  <c r="J131" i="2"/>
  <c r="C131" i="2"/>
  <c r="B131" i="2"/>
  <c r="A131" i="2"/>
  <c r="P130" i="2"/>
  <c r="Q130" i="2" s="1"/>
  <c r="M130" i="2"/>
  <c r="J130" i="2"/>
  <c r="C130" i="2"/>
  <c r="B130" i="2"/>
  <c r="A130" i="2"/>
  <c r="P129" i="2"/>
  <c r="Q129" i="2" s="1"/>
  <c r="M129" i="2"/>
  <c r="J129" i="2"/>
  <c r="C129" i="2"/>
  <c r="B129" i="2"/>
  <c r="A129" i="2"/>
  <c r="P128" i="2"/>
  <c r="Q128" i="2" s="1"/>
  <c r="M128" i="2"/>
  <c r="J128" i="2"/>
  <c r="C128" i="2"/>
  <c r="B128" i="2"/>
  <c r="A128" i="2"/>
  <c r="P127" i="2"/>
  <c r="Q127" i="2" s="1"/>
  <c r="M127" i="2"/>
  <c r="J127" i="2"/>
  <c r="C127" i="2"/>
  <c r="B127" i="2"/>
  <c r="A127" i="2"/>
  <c r="P126" i="2"/>
  <c r="Q126" i="2" s="1"/>
  <c r="M126" i="2"/>
  <c r="J126" i="2"/>
  <c r="C126" i="2"/>
  <c r="B126" i="2"/>
  <c r="A126" i="2"/>
  <c r="P125" i="2"/>
  <c r="Q125" i="2" s="1"/>
  <c r="M125" i="2"/>
  <c r="J125" i="2"/>
  <c r="C125" i="2"/>
  <c r="B125" i="2"/>
  <c r="A125" i="2"/>
  <c r="P124" i="2"/>
  <c r="Q124" i="2" s="1"/>
  <c r="M124" i="2"/>
  <c r="J124" i="2"/>
  <c r="C124" i="2"/>
  <c r="B124" i="2"/>
  <c r="A124" i="2"/>
  <c r="P123" i="2"/>
  <c r="Q123" i="2" s="1"/>
  <c r="M123" i="2"/>
  <c r="J123" i="2"/>
  <c r="C123" i="2"/>
  <c r="B123" i="2"/>
  <c r="A123" i="2"/>
  <c r="P122" i="2"/>
  <c r="Q122" i="2" s="1"/>
  <c r="M122" i="2"/>
  <c r="J122" i="2"/>
  <c r="C122" i="2"/>
  <c r="B122" i="2"/>
  <c r="A122" i="2"/>
  <c r="P121" i="2"/>
  <c r="Q121" i="2" s="1"/>
  <c r="M121" i="2"/>
  <c r="J121" i="2"/>
  <c r="C121" i="2"/>
  <c r="B121" i="2"/>
  <c r="A121" i="2"/>
  <c r="P120" i="2"/>
  <c r="Q120" i="2" s="1"/>
  <c r="M120" i="2"/>
  <c r="J120" i="2"/>
  <c r="C120" i="2"/>
  <c r="B120" i="2"/>
  <c r="A120" i="2"/>
  <c r="P119" i="2"/>
  <c r="Q119" i="2" s="1"/>
  <c r="M119" i="2"/>
  <c r="J119" i="2"/>
  <c r="C119" i="2"/>
  <c r="B119" i="2"/>
  <c r="A119" i="2"/>
  <c r="P118" i="2"/>
  <c r="Q118" i="2" s="1"/>
  <c r="M118" i="2"/>
  <c r="J118" i="2"/>
  <c r="C118" i="2"/>
  <c r="B118" i="2"/>
  <c r="A118" i="2"/>
  <c r="P117" i="2"/>
  <c r="Q117" i="2" s="1"/>
  <c r="M117" i="2"/>
  <c r="J117" i="2"/>
  <c r="C117" i="2"/>
  <c r="B117" i="2"/>
  <c r="A117" i="2"/>
  <c r="P116" i="2"/>
  <c r="Q116" i="2" s="1"/>
  <c r="M116" i="2"/>
  <c r="J116" i="2"/>
  <c r="C116" i="2"/>
  <c r="B116" i="2"/>
  <c r="A116" i="2"/>
  <c r="P115" i="2"/>
  <c r="Q115" i="2" s="1"/>
  <c r="M115" i="2"/>
  <c r="J115" i="2"/>
  <c r="C115" i="2"/>
  <c r="B115" i="2"/>
  <c r="A115" i="2"/>
  <c r="P114" i="2"/>
  <c r="Q114" i="2" s="1"/>
  <c r="M114" i="2"/>
  <c r="J114" i="2"/>
  <c r="C114" i="2"/>
  <c r="B114" i="2"/>
  <c r="A114" i="2"/>
  <c r="P113" i="2"/>
  <c r="Q113" i="2" s="1"/>
  <c r="M113" i="2"/>
  <c r="J113" i="2"/>
  <c r="C113" i="2"/>
  <c r="B113" i="2"/>
  <c r="A113" i="2"/>
  <c r="P112" i="2"/>
  <c r="Q112" i="2" s="1"/>
  <c r="M112" i="2"/>
  <c r="J112" i="2"/>
  <c r="C112" i="2"/>
  <c r="B112" i="2"/>
  <c r="A112" i="2"/>
  <c r="P111" i="2"/>
  <c r="Q111" i="2" s="1"/>
  <c r="M111" i="2"/>
  <c r="J111" i="2"/>
  <c r="C111" i="2"/>
  <c r="B111" i="2"/>
  <c r="A111" i="2"/>
  <c r="P110" i="2"/>
  <c r="Q110" i="2" s="1"/>
  <c r="M110" i="2"/>
  <c r="J110" i="2"/>
  <c r="C110" i="2"/>
  <c r="B110" i="2"/>
  <c r="A110" i="2"/>
  <c r="P109" i="2"/>
  <c r="Q109" i="2" s="1"/>
  <c r="M109" i="2"/>
  <c r="J109" i="2"/>
  <c r="C109" i="2"/>
  <c r="B109" i="2"/>
  <c r="A109" i="2"/>
  <c r="P108" i="2"/>
  <c r="Q108" i="2" s="1"/>
  <c r="M108" i="2"/>
  <c r="J108" i="2"/>
  <c r="C108" i="2"/>
  <c r="B108" i="2"/>
  <c r="A108" i="2"/>
  <c r="P107" i="2"/>
  <c r="Q107" i="2" s="1"/>
  <c r="M107" i="2"/>
  <c r="J107" i="2"/>
  <c r="C107" i="2"/>
  <c r="B107" i="2"/>
  <c r="A107" i="2"/>
  <c r="P106" i="2"/>
  <c r="Q106" i="2" s="1"/>
  <c r="M106" i="2"/>
  <c r="J106" i="2"/>
  <c r="C106" i="2"/>
  <c r="B106" i="2"/>
  <c r="A106" i="2"/>
  <c r="P105" i="2"/>
  <c r="Q105" i="2" s="1"/>
  <c r="M105" i="2"/>
  <c r="J105" i="2"/>
  <c r="C105" i="2"/>
  <c r="B105" i="2"/>
  <c r="A105" i="2"/>
  <c r="P104" i="2"/>
  <c r="Q104" i="2" s="1"/>
  <c r="M104" i="2"/>
  <c r="J104" i="2"/>
  <c r="C104" i="2"/>
  <c r="B104" i="2"/>
  <c r="A104" i="2"/>
  <c r="P103" i="2"/>
  <c r="Q103" i="2" s="1"/>
  <c r="M103" i="2"/>
  <c r="J103" i="2"/>
  <c r="C103" i="2"/>
  <c r="B103" i="2"/>
  <c r="A103" i="2"/>
  <c r="P102" i="2"/>
  <c r="Q102" i="2" s="1"/>
  <c r="M102" i="2"/>
  <c r="J102" i="2"/>
  <c r="C102" i="2"/>
  <c r="B102" i="2"/>
  <c r="A102" i="2"/>
  <c r="P101" i="2"/>
  <c r="Q101" i="2" s="1"/>
  <c r="M101" i="2"/>
  <c r="J101" i="2"/>
  <c r="C101" i="2"/>
  <c r="B101" i="2"/>
  <c r="A101" i="2"/>
  <c r="P100" i="2"/>
  <c r="Q100" i="2" s="1"/>
  <c r="M100" i="2"/>
  <c r="J100" i="2"/>
  <c r="C100" i="2"/>
  <c r="B100" i="2"/>
  <c r="A100" i="2"/>
  <c r="P99" i="2"/>
  <c r="Q99" i="2" s="1"/>
  <c r="M99" i="2"/>
  <c r="J99" i="2"/>
  <c r="C99" i="2"/>
  <c r="B99" i="2"/>
  <c r="A99" i="2"/>
  <c r="P98" i="2"/>
  <c r="Q98" i="2" s="1"/>
  <c r="M98" i="2"/>
  <c r="J98" i="2"/>
  <c r="C98" i="2"/>
  <c r="B98" i="2"/>
  <c r="A98" i="2"/>
  <c r="P97" i="2"/>
  <c r="Q97" i="2" s="1"/>
  <c r="M97" i="2"/>
  <c r="J97" i="2"/>
  <c r="C97" i="2"/>
  <c r="B97" i="2"/>
  <c r="A97" i="2"/>
  <c r="P96" i="2"/>
  <c r="Q96" i="2" s="1"/>
  <c r="M96" i="2"/>
  <c r="J96" i="2"/>
  <c r="C96" i="2"/>
  <c r="B96" i="2"/>
  <c r="A96" i="2"/>
  <c r="P95" i="2"/>
  <c r="Q95" i="2" s="1"/>
  <c r="M95" i="2"/>
  <c r="J95" i="2"/>
  <c r="C95" i="2"/>
  <c r="B95" i="2"/>
  <c r="A95" i="2"/>
  <c r="P94" i="2"/>
  <c r="Q94" i="2" s="1"/>
  <c r="M94" i="2"/>
  <c r="J94" i="2"/>
  <c r="C94" i="2"/>
  <c r="B94" i="2"/>
  <c r="A94" i="2"/>
  <c r="P93" i="2"/>
  <c r="Q93" i="2" s="1"/>
  <c r="M93" i="2"/>
  <c r="J93" i="2"/>
  <c r="C93" i="2"/>
  <c r="B93" i="2"/>
  <c r="A93" i="2"/>
  <c r="P92" i="2"/>
  <c r="Q92" i="2" s="1"/>
  <c r="M92" i="2"/>
  <c r="J92" i="2"/>
  <c r="C92" i="2"/>
  <c r="B92" i="2"/>
  <c r="A92" i="2"/>
  <c r="P91" i="2"/>
  <c r="Q91" i="2" s="1"/>
  <c r="M91" i="2"/>
  <c r="J91" i="2"/>
  <c r="C91" i="2"/>
  <c r="B91" i="2"/>
  <c r="A91" i="2"/>
  <c r="P90" i="2"/>
  <c r="Q90" i="2" s="1"/>
  <c r="M90" i="2"/>
  <c r="J90" i="2"/>
  <c r="C90" i="2"/>
  <c r="B90" i="2"/>
  <c r="A90" i="2"/>
  <c r="P89" i="2"/>
  <c r="Q89" i="2" s="1"/>
  <c r="M89" i="2"/>
  <c r="J89" i="2"/>
  <c r="C89" i="2"/>
  <c r="B89" i="2"/>
  <c r="A89" i="2"/>
  <c r="P88" i="2"/>
  <c r="Q88" i="2" s="1"/>
  <c r="M88" i="2"/>
  <c r="J88" i="2"/>
  <c r="C88" i="2"/>
  <c r="B88" i="2"/>
  <c r="A88" i="2"/>
  <c r="P87" i="2"/>
  <c r="Q87" i="2" s="1"/>
  <c r="M87" i="2"/>
  <c r="J87" i="2"/>
  <c r="C87" i="2"/>
  <c r="B87" i="2"/>
  <c r="A87" i="2"/>
  <c r="P86" i="2"/>
  <c r="Q86" i="2" s="1"/>
  <c r="M86" i="2"/>
  <c r="J86" i="2"/>
  <c r="C86" i="2"/>
  <c r="B86" i="2"/>
  <c r="A86" i="2"/>
  <c r="P85" i="2"/>
  <c r="Q85" i="2" s="1"/>
  <c r="M85" i="2"/>
  <c r="J85" i="2"/>
  <c r="C85" i="2"/>
  <c r="B85" i="2"/>
  <c r="A85" i="2"/>
  <c r="P84" i="2"/>
  <c r="Q84" i="2" s="1"/>
  <c r="M84" i="2"/>
  <c r="J84" i="2"/>
  <c r="C84" i="2"/>
  <c r="B84" i="2"/>
  <c r="A84" i="2"/>
  <c r="P83" i="2"/>
  <c r="Q83" i="2" s="1"/>
  <c r="M83" i="2"/>
  <c r="J83" i="2"/>
  <c r="C83" i="2"/>
  <c r="B83" i="2"/>
  <c r="A83" i="2"/>
  <c r="P82" i="2"/>
  <c r="Q82" i="2" s="1"/>
  <c r="M82" i="2"/>
  <c r="J82" i="2"/>
  <c r="C82" i="2"/>
  <c r="B82" i="2"/>
  <c r="A82" i="2"/>
  <c r="P81" i="2"/>
  <c r="Q81" i="2" s="1"/>
  <c r="M81" i="2"/>
  <c r="J81" i="2"/>
  <c r="C81" i="2"/>
  <c r="B81" i="2"/>
  <c r="A81" i="2"/>
  <c r="P80" i="2"/>
  <c r="Q80" i="2" s="1"/>
  <c r="M80" i="2"/>
  <c r="J80" i="2"/>
  <c r="C80" i="2"/>
  <c r="B80" i="2"/>
  <c r="A80" i="2"/>
  <c r="P79" i="2"/>
  <c r="Q79" i="2" s="1"/>
  <c r="M79" i="2"/>
  <c r="J79" i="2"/>
  <c r="C79" i="2"/>
  <c r="B79" i="2"/>
  <c r="A79" i="2"/>
  <c r="P78" i="2"/>
  <c r="Q78" i="2" s="1"/>
  <c r="M78" i="2"/>
  <c r="J78" i="2"/>
  <c r="C78" i="2"/>
  <c r="B78" i="2"/>
  <c r="A78" i="2"/>
  <c r="P77" i="2"/>
  <c r="Q77" i="2" s="1"/>
  <c r="M77" i="2"/>
  <c r="J77" i="2"/>
  <c r="C77" i="2"/>
  <c r="B77" i="2"/>
  <c r="A77" i="2"/>
  <c r="P76" i="2"/>
  <c r="Q76" i="2" s="1"/>
  <c r="M76" i="2"/>
  <c r="J76" i="2"/>
  <c r="C76" i="2"/>
  <c r="B76" i="2"/>
  <c r="A76" i="2"/>
  <c r="P75" i="2"/>
  <c r="Q75" i="2" s="1"/>
  <c r="M75" i="2"/>
  <c r="J75" i="2"/>
  <c r="C75" i="2"/>
  <c r="B75" i="2"/>
  <c r="A75" i="2"/>
  <c r="P74" i="2"/>
  <c r="Q74" i="2" s="1"/>
  <c r="M74" i="2"/>
  <c r="J74" i="2"/>
  <c r="C74" i="2"/>
  <c r="B74" i="2"/>
  <c r="A74" i="2"/>
  <c r="P73" i="2"/>
  <c r="Q73" i="2" s="1"/>
  <c r="M73" i="2"/>
  <c r="J73" i="2"/>
  <c r="C73" i="2"/>
  <c r="B73" i="2"/>
  <c r="A73" i="2"/>
  <c r="P72" i="2"/>
  <c r="Q72" i="2" s="1"/>
  <c r="M72" i="2"/>
  <c r="J72" i="2"/>
  <c r="C72" i="2"/>
  <c r="B72" i="2"/>
  <c r="A72" i="2"/>
  <c r="P71" i="2"/>
  <c r="Q71" i="2" s="1"/>
  <c r="M71" i="2"/>
  <c r="J71" i="2"/>
  <c r="C71" i="2"/>
  <c r="B71" i="2"/>
  <c r="A71" i="2"/>
  <c r="P70" i="2"/>
  <c r="Q70" i="2" s="1"/>
  <c r="M70" i="2"/>
  <c r="J70" i="2"/>
  <c r="C70" i="2"/>
  <c r="B70" i="2"/>
  <c r="A70" i="2"/>
  <c r="P69" i="2"/>
  <c r="Q69" i="2" s="1"/>
  <c r="M69" i="2"/>
  <c r="J69" i="2"/>
  <c r="C69" i="2"/>
  <c r="B69" i="2"/>
  <c r="A69" i="2"/>
  <c r="P68" i="2"/>
  <c r="Q68" i="2" s="1"/>
  <c r="M68" i="2"/>
  <c r="J68" i="2"/>
  <c r="C68" i="2"/>
  <c r="B68" i="2"/>
  <c r="A68" i="2"/>
  <c r="P67" i="2"/>
  <c r="Q67" i="2" s="1"/>
  <c r="M67" i="2"/>
  <c r="J67" i="2"/>
  <c r="C67" i="2"/>
  <c r="B67" i="2"/>
  <c r="A67" i="2"/>
  <c r="P66" i="2"/>
  <c r="Q66" i="2" s="1"/>
  <c r="M66" i="2"/>
  <c r="J66" i="2"/>
  <c r="C66" i="2"/>
  <c r="B66" i="2"/>
  <c r="A66" i="2"/>
  <c r="P65" i="2"/>
  <c r="Q65" i="2" s="1"/>
  <c r="M65" i="2"/>
  <c r="J65" i="2"/>
  <c r="C65" i="2"/>
  <c r="B65" i="2"/>
  <c r="A65" i="2"/>
  <c r="P64" i="2"/>
  <c r="Q64" i="2" s="1"/>
  <c r="M64" i="2"/>
  <c r="J64" i="2"/>
  <c r="C64" i="2"/>
  <c r="B64" i="2"/>
  <c r="A64" i="2"/>
  <c r="P63" i="2"/>
  <c r="Q63" i="2" s="1"/>
  <c r="M63" i="2"/>
  <c r="J63" i="2"/>
  <c r="C63" i="2"/>
  <c r="B63" i="2"/>
  <c r="A63" i="2"/>
  <c r="P62" i="2"/>
  <c r="Q62" i="2" s="1"/>
  <c r="M62" i="2"/>
  <c r="J62" i="2"/>
  <c r="C62" i="2"/>
  <c r="B62" i="2"/>
  <c r="A62" i="2"/>
  <c r="P61" i="2"/>
  <c r="Q61" i="2" s="1"/>
  <c r="M61" i="2"/>
  <c r="J61" i="2"/>
  <c r="C61" i="2"/>
  <c r="B61" i="2"/>
  <c r="A61" i="2"/>
  <c r="P60" i="2"/>
  <c r="Q60" i="2" s="1"/>
  <c r="M60" i="2"/>
  <c r="J60" i="2"/>
  <c r="C60" i="2"/>
  <c r="B60" i="2"/>
  <c r="A60" i="2"/>
  <c r="P59" i="2"/>
  <c r="Q59" i="2" s="1"/>
  <c r="M59" i="2"/>
  <c r="J59" i="2"/>
  <c r="C59" i="2"/>
  <c r="B59" i="2"/>
  <c r="A59" i="2"/>
  <c r="P58" i="2"/>
  <c r="Q58" i="2" s="1"/>
  <c r="M58" i="2"/>
  <c r="J58" i="2"/>
  <c r="C58" i="2"/>
  <c r="B58" i="2"/>
  <c r="A58" i="2"/>
  <c r="P57" i="2"/>
  <c r="Q57" i="2" s="1"/>
  <c r="M57" i="2"/>
  <c r="J57" i="2"/>
  <c r="C57" i="2"/>
  <c r="B57" i="2"/>
  <c r="A57" i="2"/>
  <c r="P56" i="2"/>
  <c r="Q56" i="2" s="1"/>
  <c r="M56" i="2"/>
  <c r="J56" i="2"/>
  <c r="C56" i="2"/>
  <c r="B56" i="2"/>
  <c r="A56" i="2"/>
  <c r="P55" i="2"/>
  <c r="Q55" i="2" s="1"/>
  <c r="M55" i="2"/>
  <c r="J55" i="2"/>
  <c r="C55" i="2"/>
  <c r="B55" i="2"/>
  <c r="A55" i="2"/>
  <c r="P54" i="2"/>
  <c r="Q54" i="2" s="1"/>
  <c r="M54" i="2"/>
  <c r="J54" i="2"/>
  <c r="C54" i="2"/>
  <c r="B54" i="2"/>
  <c r="A54" i="2"/>
  <c r="P53" i="2"/>
  <c r="Q53" i="2" s="1"/>
  <c r="M53" i="2"/>
  <c r="J53" i="2"/>
  <c r="C53" i="2"/>
  <c r="B53" i="2"/>
  <c r="A53" i="2"/>
  <c r="P52" i="2"/>
  <c r="Q52" i="2" s="1"/>
  <c r="M52" i="2"/>
  <c r="J52" i="2"/>
  <c r="C52" i="2"/>
  <c r="B52" i="2"/>
  <c r="A52" i="2"/>
  <c r="P51" i="2"/>
  <c r="Q51" i="2" s="1"/>
  <c r="M51" i="2"/>
  <c r="J51" i="2"/>
  <c r="C51" i="2"/>
  <c r="B51" i="2"/>
  <c r="A51" i="2"/>
  <c r="P50" i="2"/>
  <c r="Q50" i="2" s="1"/>
  <c r="M50" i="2"/>
  <c r="J50" i="2"/>
  <c r="C50" i="2"/>
  <c r="B50" i="2"/>
  <c r="A50" i="2"/>
  <c r="P49" i="2"/>
  <c r="Q49" i="2" s="1"/>
  <c r="M49" i="2"/>
  <c r="J49" i="2"/>
  <c r="C49" i="2"/>
  <c r="B49" i="2"/>
  <c r="A49" i="2"/>
  <c r="P48" i="2"/>
  <c r="Q48" i="2" s="1"/>
  <c r="M48" i="2"/>
  <c r="J48" i="2"/>
  <c r="C48" i="2"/>
  <c r="B48" i="2"/>
  <c r="A48" i="2"/>
  <c r="P47" i="2"/>
  <c r="Q47" i="2" s="1"/>
  <c r="M47" i="2"/>
  <c r="J47" i="2"/>
  <c r="C47" i="2"/>
  <c r="B47" i="2"/>
  <c r="A47" i="2"/>
  <c r="P46" i="2"/>
  <c r="Q46" i="2" s="1"/>
  <c r="M46" i="2"/>
  <c r="J46" i="2"/>
  <c r="C46" i="2"/>
  <c r="B46" i="2"/>
  <c r="A46" i="2"/>
  <c r="P45" i="2"/>
  <c r="Q45" i="2" s="1"/>
  <c r="M45" i="2"/>
  <c r="J45" i="2"/>
  <c r="C45" i="2"/>
  <c r="B45" i="2"/>
  <c r="A45" i="2"/>
  <c r="P44" i="2"/>
  <c r="Q44" i="2" s="1"/>
  <c r="M44" i="2"/>
  <c r="J44" i="2"/>
  <c r="C44" i="2"/>
  <c r="B44" i="2"/>
  <c r="A44" i="2"/>
  <c r="P43" i="2"/>
  <c r="Q43" i="2" s="1"/>
  <c r="M43" i="2"/>
  <c r="J43" i="2"/>
  <c r="C43" i="2"/>
  <c r="B43" i="2"/>
  <c r="A43" i="2"/>
  <c r="P42" i="2"/>
  <c r="Q42" i="2" s="1"/>
  <c r="M42" i="2"/>
  <c r="J42" i="2"/>
  <c r="C42" i="2"/>
  <c r="B42" i="2"/>
  <c r="A42" i="2"/>
  <c r="P41" i="2"/>
  <c r="Q41" i="2" s="1"/>
  <c r="M41" i="2"/>
  <c r="J41" i="2"/>
  <c r="C41" i="2"/>
  <c r="B41" i="2"/>
  <c r="A41" i="2"/>
  <c r="P40" i="2"/>
  <c r="Q40" i="2" s="1"/>
  <c r="M40" i="2"/>
  <c r="J40" i="2"/>
  <c r="C40" i="2"/>
  <c r="B40" i="2"/>
  <c r="A40" i="2"/>
  <c r="P39" i="2"/>
  <c r="Q39" i="2" s="1"/>
  <c r="M39" i="2"/>
  <c r="J39" i="2"/>
  <c r="C39" i="2"/>
  <c r="B39" i="2"/>
  <c r="A39" i="2"/>
  <c r="P38" i="2"/>
  <c r="Q38" i="2" s="1"/>
  <c r="M38" i="2"/>
  <c r="J38" i="2"/>
  <c r="C38" i="2"/>
  <c r="B38" i="2"/>
  <c r="A38" i="2"/>
  <c r="P37" i="2"/>
  <c r="Q37" i="2" s="1"/>
  <c r="M37" i="2"/>
  <c r="J37" i="2"/>
  <c r="C37" i="2"/>
  <c r="B37" i="2"/>
  <c r="A37" i="2"/>
  <c r="P36" i="2"/>
  <c r="Q36" i="2" s="1"/>
  <c r="M36" i="2"/>
  <c r="J36" i="2"/>
  <c r="C36" i="2"/>
  <c r="B36" i="2"/>
  <c r="A36" i="2"/>
  <c r="P35" i="2"/>
  <c r="Q35" i="2" s="1"/>
  <c r="M35" i="2"/>
  <c r="J35" i="2"/>
  <c r="C35" i="2"/>
  <c r="B35" i="2"/>
  <c r="A35" i="2"/>
  <c r="P34" i="2"/>
  <c r="Q34" i="2" s="1"/>
  <c r="M34" i="2"/>
  <c r="J34" i="2"/>
  <c r="C34" i="2"/>
  <c r="B34" i="2"/>
  <c r="A34" i="2"/>
  <c r="P33" i="2"/>
  <c r="Q33" i="2" s="1"/>
  <c r="M33" i="2"/>
  <c r="J33" i="2"/>
  <c r="C33" i="2"/>
  <c r="B33" i="2"/>
  <c r="A33" i="2"/>
  <c r="P32" i="2"/>
  <c r="Q32" i="2" s="1"/>
  <c r="M32" i="2"/>
  <c r="J32" i="2"/>
  <c r="C32" i="2"/>
  <c r="B32" i="2"/>
  <c r="A32" i="2"/>
  <c r="P31" i="2"/>
  <c r="Q31" i="2" s="1"/>
  <c r="M31" i="2"/>
  <c r="J31" i="2"/>
  <c r="C31" i="2"/>
  <c r="B31" i="2"/>
  <c r="A31" i="2"/>
  <c r="P30" i="2"/>
  <c r="Q30" i="2" s="1"/>
  <c r="M30" i="2"/>
  <c r="J30" i="2"/>
  <c r="C30" i="2"/>
  <c r="B30" i="2"/>
  <c r="A30" i="2"/>
  <c r="P29" i="2"/>
  <c r="Q29" i="2" s="1"/>
  <c r="M29" i="2"/>
  <c r="J29" i="2"/>
  <c r="C29" i="2"/>
  <c r="B29" i="2"/>
  <c r="A29" i="2"/>
  <c r="P28" i="2"/>
  <c r="Q28" i="2" s="1"/>
  <c r="M28" i="2"/>
  <c r="J28" i="2"/>
  <c r="C28" i="2"/>
  <c r="B28" i="2"/>
  <c r="A28" i="2"/>
  <c r="P27" i="2"/>
  <c r="Q27" i="2" s="1"/>
  <c r="M27" i="2"/>
  <c r="J27" i="2"/>
  <c r="C27" i="2"/>
  <c r="B27" i="2"/>
  <c r="A27" i="2"/>
  <c r="P26" i="2"/>
  <c r="Q26" i="2" s="1"/>
  <c r="M26" i="2"/>
  <c r="J26" i="2"/>
  <c r="C26" i="2"/>
  <c r="B26" i="2"/>
  <c r="A26" i="2"/>
  <c r="P25" i="2"/>
  <c r="Q25" i="2" s="1"/>
  <c r="M25" i="2"/>
  <c r="J25" i="2"/>
  <c r="C25" i="2"/>
  <c r="B25" i="2"/>
  <c r="A25" i="2"/>
  <c r="P24" i="2"/>
  <c r="Q24" i="2" s="1"/>
  <c r="M24" i="2"/>
  <c r="J24" i="2"/>
  <c r="C24" i="2"/>
  <c r="B24" i="2"/>
  <c r="A24" i="2"/>
  <c r="P23" i="2"/>
  <c r="Q23" i="2" s="1"/>
  <c r="M23" i="2"/>
  <c r="J23" i="2"/>
  <c r="C23" i="2"/>
  <c r="B23" i="2"/>
  <c r="A23" i="2"/>
  <c r="P22" i="2"/>
  <c r="Q22" i="2" s="1"/>
  <c r="M22" i="2"/>
  <c r="J22" i="2"/>
  <c r="C22" i="2"/>
  <c r="B22" i="2"/>
  <c r="A22" i="2"/>
  <c r="P21" i="2"/>
  <c r="Q21" i="2" s="1"/>
  <c r="M21" i="2"/>
  <c r="J21" i="2"/>
  <c r="C21" i="2"/>
  <c r="B21" i="2"/>
  <c r="A21" i="2"/>
  <c r="P20" i="2"/>
  <c r="Q20" i="2" s="1"/>
  <c r="M20" i="2"/>
  <c r="J20" i="2"/>
  <c r="C20" i="2"/>
  <c r="B20" i="2"/>
  <c r="A20" i="2"/>
  <c r="P19" i="2"/>
  <c r="Q19" i="2" s="1"/>
  <c r="M19" i="2"/>
  <c r="J19" i="2"/>
  <c r="C19" i="2"/>
  <c r="B19" i="2"/>
  <c r="A19" i="2"/>
  <c r="P18" i="2"/>
  <c r="Q18" i="2" s="1"/>
  <c r="M18" i="2"/>
  <c r="J18" i="2"/>
  <c r="C18" i="2"/>
  <c r="B18" i="2"/>
  <c r="A18" i="2"/>
  <c r="P17" i="2"/>
  <c r="Q17" i="2" s="1"/>
  <c r="M17" i="2"/>
  <c r="J17" i="2"/>
  <c r="C17" i="2"/>
  <c r="B17" i="2"/>
  <c r="A17" i="2"/>
  <c r="P16" i="2"/>
  <c r="Q16" i="2" s="1"/>
  <c r="M16" i="2"/>
  <c r="J16" i="2"/>
  <c r="C16" i="2"/>
  <c r="B16" i="2"/>
  <c r="A16" i="2"/>
  <c r="P15" i="2"/>
  <c r="Q15" i="2" s="1"/>
  <c r="M15" i="2"/>
  <c r="J15" i="2"/>
  <c r="C15" i="2"/>
  <c r="B15" i="2"/>
  <c r="A15" i="2"/>
  <c r="P14" i="2"/>
  <c r="Q14" i="2" s="1"/>
  <c r="M14" i="2"/>
  <c r="J14" i="2"/>
  <c r="C14" i="2"/>
  <c r="B14" i="2"/>
  <c r="A14" i="2"/>
  <c r="P13" i="2"/>
  <c r="Q13" i="2" s="1"/>
  <c r="M13" i="2"/>
  <c r="J13" i="2"/>
  <c r="C13" i="2"/>
  <c r="B13" i="2"/>
  <c r="A13" i="2"/>
  <c r="P12" i="2"/>
  <c r="Q12" i="2" s="1"/>
  <c r="M12" i="2"/>
  <c r="J12" i="2"/>
  <c r="C12" i="2"/>
  <c r="B12" i="2"/>
  <c r="A12" i="2"/>
  <c r="P11" i="2"/>
  <c r="Q11" i="2" s="1"/>
  <c r="M11" i="2"/>
  <c r="J11" i="2"/>
  <c r="C11" i="2"/>
  <c r="B11" i="2"/>
  <c r="A11" i="2"/>
  <c r="P10" i="2"/>
  <c r="Q10" i="2" s="1"/>
  <c r="M10" i="2"/>
  <c r="J10" i="2"/>
  <c r="C10" i="2"/>
  <c r="B10" i="2"/>
  <c r="A10" i="2"/>
  <c r="P9" i="2"/>
  <c r="Q9" i="2" s="1"/>
  <c r="M9" i="2"/>
  <c r="J9" i="2"/>
  <c r="C9" i="2"/>
  <c r="B9" i="2"/>
  <c r="A9" i="2"/>
  <c r="P8" i="2"/>
  <c r="Q8" i="2" s="1"/>
  <c r="M8" i="2"/>
  <c r="J8" i="2"/>
  <c r="C8" i="2"/>
  <c r="B8" i="2"/>
  <c r="A8" i="2"/>
  <c r="P7" i="2"/>
  <c r="Q7" i="2" s="1"/>
  <c r="M7" i="2"/>
  <c r="J7" i="2"/>
  <c r="C7" i="2"/>
  <c r="B7" i="2"/>
  <c r="A7" i="2"/>
  <c r="P6" i="2"/>
  <c r="Q6" i="2" s="1"/>
  <c r="M6" i="2"/>
  <c r="J6" i="2"/>
  <c r="C6" i="2"/>
  <c r="B6" i="2"/>
  <c r="A6" i="2"/>
  <c r="P5" i="2"/>
  <c r="Q5" i="2" s="1"/>
  <c r="M5" i="2"/>
  <c r="J5" i="2"/>
  <c r="C5" i="2"/>
  <c r="B5" i="2"/>
  <c r="A5" i="2"/>
  <c r="P4" i="2"/>
  <c r="Q4" i="2" s="1"/>
  <c r="M4" i="2"/>
  <c r="J4" i="2"/>
  <c r="C4" i="2"/>
  <c r="B4" i="2"/>
  <c r="A4" i="2"/>
  <c r="P3" i="2"/>
  <c r="Q3" i="2" s="1"/>
  <c r="M3" i="2"/>
  <c r="J3" i="2"/>
  <c r="C3" i="2"/>
  <c r="B3" i="2"/>
  <c r="A3" i="2"/>
</calcChain>
</file>

<file path=xl/sharedStrings.xml><?xml version="1.0" encoding="utf-8"?>
<sst xmlns="http://schemas.openxmlformats.org/spreadsheetml/2006/main" count="547" uniqueCount="43">
  <si>
    <t>Type</t>
  </si>
  <si>
    <t>tranid</t>
  </si>
  <si>
    <t>entity</t>
  </si>
  <si>
    <t>Vendor Internal Id</t>
  </si>
  <si>
    <t>reference no</t>
  </si>
  <si>
    <t>terms</t>
  </si>
  <si>
    <t>Currency</t>
  </si>
  <si>
    <t>exchangerate</t>
  </si>
  <si>
    <t>duedate</t>
  </si>
  <si>
    <t>subsidiary</t>
  </si>
  <si>
    <t>memo</t>
  </si>
  <si>
    <t>trandate</t>
  </si>
  <si>
    <t>purchaseItemline_itemRef</t>
  </si>
  <si>
    <t>purchaseItemline_quantity</t>
  </si>
  <si>
    <t>purchaseItemLine_rate</t>
  </si>
  <si>
    <t>usertotal</t>
  </si>
  <si>
    <t>purchaseItemLine_location</t>
  </si>
  <si>
    <t>Bill/Vendor Credit</t>
  </si>
  <si>
    <t>Reference No.</t>
  </si>
  <si>
    <t>Vendor</t>
  </si>
  <si>
    <t>Reference No</t>
  </si>
  <si>
    <t>Terms</t>
  </si>
  <si>
    <t>Exchange Rate</t>
  </si>
  <si>
    <t>Due Date</t>
  </si>
  <si>
    <t>Primary Subsidiary</t>
  </si>
  <si>
    <t>Memo</t>
  </si>
  <si>
    <t>Date</t>
  </si>
  <si>
    <t>Item</t>
  </si>
  <si>
    <t>Quantity</t>
  </si>
  <si>
    <t>Rate</t>
  </si>
  <si>
    <t>Amount</t>
  </si>
  <si>
    <t>Location</t>
  </si>
  <si>
    <t>USD</t>
  </si>
  <si>
    <t>Next Meters Global</t>
  </si>
  <si>
    <t>Credit</t>
  </si>
  <si>
    <t>Jan 2023 FG Adj</t>
  </si>
  <si>
    <t>Cape Holdings (S) PTE LTD</t>
  </si>
  <si>
    <t>VEN008</t>
  </si>
  <si>
    <t>Net 30</t>
  </si>
  <si>
    <t>CM2023-001</t>
  </si>
  <si>
    <t>SoQ Sourcing, LLC</t>
  </si>
  <si>
    <t>VEN026</t>
  </si>
  <si>
    <t>V Internal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</si>
</sst>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A5A5A5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4" fontId="4" fillId="0" borderId="0" xfId="0" applyNumberFormat="1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14" fontId="2" fillId="0" borderId="0" xfId="0" applyNumberFormat="1" applyFont="1" applyAlignment="1">
      <alignment vertical="top" wrapText="1"/>
    </xf>
    <xf numFmtId="2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MG%20Work%20Open%20AP%20(Vendor%20Bills%20and%20Vendor%20Credits)%20Templa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apr\Downloads\Vendors93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eld Restrictions"/>
      <sheetName val="VendorBillPurchaseItemLine"/>
      <sheetName val="QB Pull"/>
      <sheetName val="QB Key"/>
    </sheetNames>
    <sheetDataSet>
      <sheetData sheetId="0"/>
      <sheetData sheetId="1"/>
      <sheetData sheetId="2">
        <row r="2">
          <cell r="B2" t="str">
            <v>Bill</v>
          </cell>
          <cell r="C2">
            <v>2748</v>
          </cell>
          <cell r="F2">
            <v>44990</v>
          </cell>
          <cell r="H2">
            <v>44960</v>
          </cell>
          <cell r="L2">
            <v>12075</v>
          </cell>
          <cell r="O2" t="str">
            <v>VEN046</v>
          </cell>
          <cell r="P2" t="str">
            <v>Aerel Design, Inc</v>
          </cell>
        </row>
        <row r="3">
          <cell r="B3" t="str">
            <v>Bill</v>
          </cell>
          <cell r="C3" t="str">
            <v>S01544604</v>
          </cell>
          <cell r="F3">
            <v>44995</v>
          </cell>
          <cell r="H3">
            <v>44965</v>
          </cell>
          <cell r="L3">
            <v>1409.9</v>
          </cell>
          <cell r="O3" t="str">
            <v>VEN036</v>
          </cell>
          <cell r="P3" t="str">
            <v>AIT Worldwide Logistics, Inc</v>
          </cell>
        </row>
        <row r="4">
          <cell r="B4" t="str">
            <v>Bill</v>
          </cell>
          <cell r="C4" t="str">
            <v>S01547530</v>
          </cell>
          <cell r="F4">
            <v>45001</v>
          </cell>
          <cell r="H4">
            <v>44971</v>
          </cell>
          <cell r="L4">
            <v>844.1</v>
          </cell>
          <cell r="O4" t="str">
            <v>VEN036</v>
          </cell>
          <cell r="P4" t="str">
            <v>AIT Worldwide Logistics, Inc</v>
          </cell>
        </row>
        <row r="5">
          <cell r="B5" t="str">
            <v>Bill</v>
          </cell>
          <cell r="C5">
            <v>107843</v>
          </cell>
          <cell r="F5">
            <v>45001</v>
          </cell>
          <cell r="H5">
            <v>44971</v>
          </cell>
          <cell r="L5">
            <v>9119.42</v>
          </cell>
          <cell r="O5" t="str">
            <v>VEN048</v>
          </cell>
          <cell r="P5" t="str">
            <v>ARCCA</v>
          </cell>
        </row>
        <row r="6">
          <cell r="B6" t="str">
            <v>Bill</v>
          </cell>
          <cell r="C6">
            <v>1627018876</v>
          </cell>
          <cell r="F6">
            <v>44983</v>
          </cell>
          <cell r="H6">
            <v>44868</v>
          </cell>
          <cell r="L6">
            <v>3864.57</v>
          </cell>
          <cell r="O6" t="str">
            <v>VEN006</v>
          </cell>
          <cell r="P6" t="str">
            <v>Arrow Electronics, Inc</v>
          </cell>
        </row>
        <row r="7">
          <cell r="B7" t="str">
            <v>Bill</v>
          </cell>
          <cell r="C7">
            <v>1627019098</v>
          </cell>
          <cell r="F7">
            <v>44983</v>
          </cell>
          <cell r="H7">
            <v>44868</v>
          </cell>
          <cell r="L7">
            <v>713.83</v>
          </cell>
          <cell r="O7" t="str">
            <v>VEN006</v>
          </cell>
          <cell r="P7" t="str">
            <v>Arrow Electronics, Inc</v>
          </cell>
        </row>
        <row r="8">
          <cell r="B8" t="str">
            <v>Bill</v>
          </cell>
          <cell r="C8">
            <v>1627027192</v>
          </cell>
          <cell r="F8">
            <v>44987</v>
          </cell>
          <cell r="H8">
            <v>44872</v>
          </cell>
          <cell r="L8">
            <v>642</v>
          </cell>
          <cell r="O8" t="str">
            <v>VEN006</v>
          </cell>
          <cell r="P8" t="str">
            <v>Arrow Electronics, Inc</v>
          </cell>
        </row>
        <row r="9">
          <cell r="B9" t="str">
            <v>Bill</v>
          </cell>
          <cell r="C9">
            <v>1627027193</v>
          </cell>
          <cell r="F9">
            <v>44987</v>
          </cell>
          <cell r="H9">
            <v>44872</v>
          </cell>
          <cell r="L9">
            <v>642</v>
          </cell>
          <cell r="O9" t="str">
            <v>VEN006</v>
          </cell>
          <cell r="P9" t="str">
            <v>Arrow Electronics, Inc</v>
          </cell>
        </row>
        <row r="10">
          <cell r="B10" t="str">
            <v>Bill</v>
          </cell>
          <cell r="C10">
            <v>1627027194</v>
          </cell>
          <cell r="F10">
            <v>44987</v>
          </cell>
          <cell r="H10">
            <v>44872</v>
          </cell>
          <cell r="L10">
            <v>14782.46</v>
          </cell>
          <cell r="O10" t="str">
            <v>VEN006</v>
          </cell>
          <cell r="P10" t="str">
            <v>Arrow Electronics, Inc</v>
          </cell>
        </row>
        <row r="11">
          <cell r="B11" t="str">
            <v>Bill</v>
          </cell>
          <cell r="C11">
            <v>1627030069</v>
          </cell>
          <cell r="F11">
            <v>44988</v>
          </cell>
          <cell r="H11">
            <v>44873</v>
          </cell>
          <cell r="L11">
            <v>672.07</v>
          </cell>
          <cell r="O11" t="str">
            <v>VEN006</v>
          </cell>
          <cell r="P11" t="str">
            <v>Arrow Electronics, Inc</v>
          </cell>
        </row>
        <row r="12">
          <cell r="B12" t="str">
            <v>Bill</v>
          </cell>
          <cell r="C12">
            <v>1627030587</v>
          </cell>
          <cell r="F12">
            <v>44988</v>
          </cell>
          <cell r="H12">
            <v>44873</v>
          </cell>
          <cell r="L12">
            <v>31.57</v>
          </cell>
          <cell r="O12" t="str">
            <v>VEN006</v>
          </cell>
          <cell r="P12" t="str">
            <v>Arrow Electronics, Inc</v>
          </cell>
        </row>
        <row r="13">
          <cell r="B13" t="str">
            <v>Bill</v>
          </cell>
          <cell r="C13">
            <v>1627059542</v>
          </cell>
          <cell r="F13">
            <v>44997</v>
          </cell>
          <cell r="H13">
            <v>44882</v>
          </cell>
          <cell r="L13">
            <v>793.49</v>
          </cell>
          <cell r="O13" t="str">
            <v>VEN006</v>
          </cell>
          <cell r="P13" t="str">
            <v>Arrow Electronics, Inc</v>
          </cell>
        </row>
        <row r="14">
          <cell r="B14" t="str">
            <v>Bill</v>
          </cell>
          <cell r="C14">
            <v>1627060668</v>
          </cell>
          <cell r="F14">
            <v>45001</v>
          </cell>
          <cell r="H14">
            <v>44886</v>
          </cell>
          <cell r="L14">
            <v>350.61</v>
          </cell>
          <cell r="O14" t="str">
            <v>VEN006</v>
          </cell>
          <cell r="P14" t="str">
            <v>Arrow Electronics, Inc</v>
          </cell>
        </row>
        <row r="15">
          <cell r="B15" t="str">
            <v>Bill</v>
          </cell>
          <cell r="C15">
            <v>1626994955</v>
          </cell>
          <cell r="F15">
            <v>45001</v>
          </cell>
          <cell r="H15">
            <v>44886</v>
          </cell>
          <cell r="L15">
            <v>75.099999999999994</v>
          </cell>
          <cell r="O15" t="str">
            <v>VEN006</v>
          </cell>
          <cell r="P15" t="str">
            <v>Arrow Electronics, Inc</v>
          </cell>
        </row>
        <row r="16">
          <cell r="B16" t="str">
            <v>Bill</v>
          </cell>
          <cell r="C16">
            <v>1627085130</v>
          </cell>
          <cell r="F16">
            <v>45008</v>
          </cell>
          <cell r="H16">
            <v>44893</v>
          </cell>
          <cell r="L16">
            <v>43.5</v>
          </cell>
          <cell r="O16" t="str">
            <v>VEN006</v>
          </cell>
          <cell r="P16" t="str">
            <v>Arrow Electronics, Inc</v>
          </cell>
        </row>
        <row r="17">
          <cell r="B17" t="str">
            <v>Bill</v>
          </cell>
          <cell r="C17">
            <v>1627085147</v>
          </cell>
          <cell r="F17">
            <v>45008</v>
          </cell>
          <cell r="H17">
            <v>44893</v>
          </cell>
          <cell r="L17">
            <v>44550.93</v>
          </cell>
          <cell r="O17" t="str">
            <v>VEN006</v>
          </cell>
          <cell r="P17" t="str">
            <v>Arrow Electronics, Inc</v>
          </cell>
        </row>
        <row r="18">
          <cell r="B18" t="str">
            <v>Bill</v>
          </cell>
          <cell r="C18">
            <v>1627095201</v>
          </cell>
          <cell r="F18">
            <v>45010</v>
          </cell>
          <cell r="H18">
            <v>44895</v>
          </cell>
          <cell r="L18">
            <v>2755.71</v>
          </cell>
          <cell r="O18" t="str">
            <v>VEN006</v>
          </cell>
          <cell r="P18" t="str">
            <v>Arrow Electronics, Inc</v>
          </cell>
        </row>
        <row r="19">
          <cell r="B19" t="str">
            <v>Bill</v>
          </cell>
          <cell r="C19">
            <v>1627106266</v>
          </cell>
          <cell r="F19">
            <v>45016</v>
          </cell>
          <cell r="H19">
            <v>44901</v>
          </cell>
          <cell r="L19">
            <v>793.43</v>
          </cell>
          <cell r="O19" t="str">
            <v>VEN006</v>
          </cell>
          <cell r="P19" t="str">
            <v>Arrow Electronics, Inc</v>
          </cell>
        </row>
        <row r="20">
          <cell r="B20" t="str">
            <v>Bill</v>
          </cell>
          <cell r="C20">
            <v>1627107052</v>
          </cell>
          <cell r="F20">
            <v>45015</v>
          </cell>
          <cell r="H20">
            <v>44900</v>
          </cell>
          <cell r="L20">
            <v>1720.9</v>
          </cell>
          <cell r="O20" t="str">
            <v>VEN006</v>
          </cell>
          <cell r="P20" t="str">
            <v>Arrow Electronics, Inc</v>
          </cell>
        </row>
        <row r="21">
          <cell r="B21" t="str">
            <v>Bill</v>
          </cell>
          <cell r="C21">
            <v>1627110824</v>
          </cell>
          <cell r="F21">
            <v>45016</v>
          </cell>
          <cell r="H21">
            <v>44901</v>
          </cell>
          <cell r="L21">
            <v>14669.74</v>
          </cell>
          <cell r="O21" t="str">
            <v>VEN006</v>
          </cell>
          <cell r="P21" t="str">
            <v>Arrow Electronics, Inc</v>
          </cell>
        </row>
        <row r="22">
          <cell r="B22" t="str">
            <v>Bill</v>
          </cell>
          <cell r="C22">
            <v>1627128044</v>
          </cell>
          <cell r="F22">
            <v>45022</v>
          </cell>
          <cell r="H22">
            <v>44907</v>
          </cell>
          <cell r="L22">
            <v>8757.89</v>
          </cell>
          <cell r="O22" t="str">
            <v>VEN006</v>
          </cell>
          <cell r="P22" t="str">
            <v>Arrow Electronics, Inc</v>
          </cell>
        </row>
        <row r="23">
          <cell r="B23" t="str">
            <v>Bill</v>
          </cell>
          <cell r="C23">
            <v>1627076705</v>
          </cell>
          <cell r="F23">
            <v>45011</v>
          </cell>
          <cell r="H23">
            <v>44896</v>
          </cell>
          <cell r="L23">
            <v>9284.91</v>
          </cell>
          <cell r="O23" t="str">
            <v>VEN006</v>
          </cell>
          <cell r="P23" t="str">
            <v>Arrow Electronics, Inc</v>
          </cell>
        </row>
        <row r="24">
          <cell r="B24" t="str">
            <v>Bill</v>
          </cell>
          <cell r="C24">
            <v>1627153343</v>
          </cell>
          <cell r="F24">
            <v>45031</v>
          </cell>
          <cell r="H24">
            <v>44916</v>
          </cell>
          <cell r="L24">
            <v>314.95999999999998</v>
          </cell>
          <cell r="O24" t="str">
            <v>VEN006</v>
          </cell>
          <cell r="P24" t="str">
            <v>Arrow Electronics, Inc</v>
          </cell>
        </row>
        <row r="25">
          <cell r="B25" t="str">
            <v>Bill</v>
          </cell>
          <cell r="C25">
            <v>1627155032</v>
          </cell>
          <cell r="F25">
            <v>45031</v>
          </cell>
          <cell r="H25">
            <v>44916</v>
          </cell>
          <cell r="L25">
            <v>415.42</v>
          </cell>
          <cell r="O25" t="str">
            <v>VEN006</v>
          </cell>
          <cell r="P25" t="str">
            <v>Arrow Electronics, Inc</v>
          </cell>
        </row>
        <row r="26">
          <cell r="B26" t="str">
            <v>Bill</v>
          </cell>
          <cell r="C26">
            <v>1627155154</v>
          </cell>
          <cell r="F26">
            <v>45030</v>
          </cell>
          <cell r="H26">
            <v>44915</v>
          </cell>
          <cell r="L26">
            <v>31759.93</v>
          </cell>
          <cell r="O26" t="str">
            <v>VEN006</v>
          </cell>
          <cell r="P26" t="str">
            <v>Arrow Electronics, Inc</v>
          </cell>
        </row>
        <row r="27">
          <cell r="B27" t="str">
            <v>Bill</v>
          </cell>
          <cell r="C27">
            <v>1627170130</v>
          </cell>
          <cell r="F27">
            <v>45036</v>
          </cell>
          <cell r="H27">
            <v>44921</v>
          </cell>
          <cell r="L27">
            <v>34706.53</v>
          </cell>
          <cell r="O27" t="str">
            <v>VEN006</v>
          </cell>
          <cell r="P27" t="str">
            <v>Arrow Electronics, Inc</v>
          </cell>
        </row>
        <row r="28">
          <cell r="B28" t="str">
            <v>Bill</v>
          </cell>
          <cell r="C28">
            <v>1627164958</v>
          </cell>
          <cell r="F28">
            <v>45036</v>
          </cell>
          <cell r="H28">
            <v>44921</v>
          </cell>
          <cell r="L28">
            <v>823.71</v>
          </cell>
          <cell r="O28" t="str">
            <v>VEN006</v>
          </cell>
          <cell r="P28" t="str">
            <v>Arrow Electronics, Inc</v>
          </cell>
        </row>
        <row r="29">
          <cell r="B29" t="str">
            <v>Bill</v>
          </cell>
          <cell r="C29">
            <v>1627176964</v>
          </cell>
          <cell r="F29">
            <v>45038</v>
          </cell>
          <cell r="H29">
            <v>44923</v>
          </cell>
          <cell r="L29">
            <v>9438.25</v>
          </cell>
          <cell r="O29" t="str">
            <v>VEN006</v>
          </cell>
          <cell r="P29" t="str">
            <v>Arrow Electronics, Inc</v>
          </cell>
        </row>
        <row r="30">
          <cell r="B30" t="str">
            <v>Bill</v>
          </cell>
          <cell r="C30">
            <v>1627177435</v>
          </cell>
          <cell r="F30">
            <v>45038</v>
          </cell>
          <cell r="H30">
            <v>44923</v>
          </cell>
          <cell r="L30">
            <v>91.43</v>
          </cell>
          <cell r="O30" t="str">
            <v>VEN006</v>
          </cell>
          <cell r="P30" t="str">
            <v>Arrow Electronics, Inc</v>
          </cell>
        </row>
        <row r="31">
          <cell r="B31" t="str">
            <v>Bill</v>
          </cell>
          <cell r="C31">
            <v>1627177427</v>
          </cell>
          <cell r="F31">
            <v>45039</v>
          </cell>
          <cell r="H31">
            <v>44924</v>
          </cell>
          <cell r="L31">
            <v>5990.73</v>
          </cell>
          <cell r="O31" t="str">
            <v>VEN006</v>
          </cell>
          <cell r="P31" t="str">
            <v>Arrow Electronics, Inc</v>
          </cell>
        </row>
        <row r="32">
          <cell r="B32" t="str">
            <v>Bill</v>
          </cell>
          <cell r="C32">
            <v>1627177436</v>
          </cell>
          <cell r="F32">
            <v>45039</v>
          </cell>
          <cell r="H32">
            <v>44924</v>
          </cell>
          <cell r="L32">
            <v>277.8</v>
          </cell>
          <cell r="O32" t="str">
            <v>VEN006</v>
          </cell>
          <cell r="P32" t="str">
            <v>Arrow Electronics, Inc</v>
          </cell>
        </row>
        <row r="33">
          <cell r="B33" t="str">
            <v>Bill</v>
          </cell>
          <cell r="C33">
            <v>1627185762</v>
          </cell>
          <cell r="F33">
            <v>45039</v>
          </cell>
          <cell r="H33">
            <v>44924</v>
          </cell>
          <cell r="L33">
            <v>8581.6</v>
          </cell>
          <cell r="O33" t="str">
            <v>VEN006</v>
          </cell>
          <cell r="P33" t="str">
            <v>Arrow Electronics, Inc</v>
          </cell>
        </row>
        <row r="34">
          <cell r="B34" t="str">
            <v>Bill</v>
          </cell>
          <cell r="C34">
            <v>1627185763</v>
          </cell>
          <cell r="F34">
            <v>45039</v>
          </cell>
          <cell r="H34">
            <v>44924</v>
          </cell>
          <cell r="L34">
            <v>660</v>
          </cell>
          <cell r="O34" t="str">
            <v>VEN006</v>
          </cell>
          <cell r="P34" t="str">
            <v>Arrow Electronics, Inc</v>
          </cell>
        </row>
        <row r="35">
          <cell r="B35" t="str">
            <v>Bill</v>
          </cell>
          <cell r="C35">
            <v>1627195572</v>
          </cell>
          <cell r="F35">
            <v>45041</v>
          </cell>
          <cell r="H35">
            <v>44926</v>
          </cell>
          <cell r="L35">
            <v>9539.4599999999991</v>
          </cell>
          <cell r="O35" t="str">
            <v>VEN006</v>
          </cell>
          <cell r="P35" t="str">
            <v>Arrow Electronics, Inc</v>
          </cell>
        </row>
        <row r="36">
          <cell r="B36" t="str">
            <v>Bill</v>
          </cell>
          <cell r="C36">
            <v>1627185764</v>
          </cell>
          <cell r="F36">
            <v>45039</v>
          </cell>
          <cell r="H36">
            <v>44924</v>
          </cell>
          <cell r="L36">
            <v>7851</v>
          </cell>
          <cell r="O36" t="str">
            <v>VEN006</v>
          </cell>
          <cell r="P36" t="str">
            <v>Arrow Electronics, Inc</v>
          </cell>
        </row>
        <row r="37">
          <cell r="B37" t="str">
            <v>Bill</v>
          </cell>
          <cell r="C37">
            <v>1627185766</v>
          </cell>
          <cell r="F37">
            <v>45039</v>
          </cell>
          <cell r="H37">
            <v>44924</v>
          </cell>
          <cell r="L37">
            <v>1500</v>
          </cell>
          <cell r="O37" t="str">
            <v>VEN006</v>
          </cell>
          <cell r="P37" t="str">
            <v>Arrow Electronics, Inc</v>
          </cell>
        </row>
        <row r="38">
          <cell r="B38" t="str">
            <v>Bill</v>
          </cell>
          <cell r="C38">
            <v>1627185765</v>
          </cell>
          <cell r="F38">
            <v>45039</v>
          </cell>
          <cell r="H38">
            <v>44924</v>
          </cell>
          <cell r="L38">
            <v>2428</v>
          </cell>
          <cell r="O38" t="str">
            <v>VEN006</v>
          </cell>
          <cell r="P38" t="str">
            <v>Arrow Electronics, Inc</v>
          </cell>
        </row>
        <row r="39">
          <cell r="B39" t="str">
            <v>Bill</v>
          </cell>
          <cell r="C39">
            <v>1627185767</v>
          </cell>
          <cell r="F39">
            <v>45039</v>
          </cell>
          <cell r="H39">
            <v>44924</v>
          </cell>
          <cell r="L39">
            <v>2430</v>
          </cell>
          <cell r="O39" t="str">
            <v>VEN006</v>
          </cell>
          <cell r="P39" t="str">
            <v>Arrow Electronics, Inc</v>
          </cell>
        </row>
        <row r="40">
          <cell r="B40" t="str">
            <v>Bill</v>
          </cell>
          <cell r="C40">
            <v>1627185768</v>
          </cell>
          <cell r="F40">
            <v>45039</v>
          </cell>
          <cell r="H40">
            <v>44924</v>
          </cell>
          <cell r="L40">
            <v>13951.72</v>
          </cell>
          <cell r="O40" t="str">
            <v>VEN006</v>
          </cell>
          <cell r="P40" t="str">
            <v>Arrow Electronics, Inc</v>
          </cell>
        </row>
        <row r="41">
          <cell r="B41" t="str">
            <v>Bill</v>
          </cell>
          <cell r="C41">
            <v>1627191203</v>
          </cell>
          <cell r="F41">
            <v>45040</v>
          </cell>
          <cell r="H41">
            <v>44925</v>
          </cell>
          <cell r="L41">
            <v>64104.13</v>
          </cell>
          <cell r="O41" t="str">
            <v>VEN006</v>
          </cell>
          <cell r="P41" t="str">
            <v>Arrow Electronics, Inc</v>
          </cell>
        </row>
        <row r="42">
          <cell r="B42" t="str">
            <v>Bill</v>
          </cell>
          <cell r="C42">
            <v>1627194901</v>
          </cell>
          <cell r="F42">
            <v>45041</v>
          </cell>
          <cell r="H42">
            <v>44926</v>
          </cell>
          <cell r="L42">
            <v>94879.95</v>
          </cell>
          <cell r="O42" t="str">
            <v>VEN006</v>
          </cell>
          <cell r="P42" t="str">
            <v>Arrow Electronics, Inc</v>
          </cell>
        </row>
        <row r="43">
          <cell r="B43" t="str">
            <v>Bill</v>
          </cell>
          <cell r="C43">
            <v>1627194969</v>
          </cell>
          <cell r="F43">
            <v>45041</v>
          </cell>
          <cell r="H43">
            <v>44926</v>
          </cell>
          <cell r="L43">
            <v>66720</v>
          </cell>
          <cell r="O43" t="str">
            <v>VEN006</v>
          </cell>
          <cell r="P43" t="str">
            <v>Arrow Electronics, Inc</v>
          </cell>
        </row>
        <row r="44">
          <cell r="B44" t="str">
            <v>Bill</v>
          </cell>
          <cell r="C44">
            <v>1627194972</v>
          </cell>
          <cell r="F44">
            <v>45041</v>
          </cell>
          <cell r="H44">
            <v>44926</v>
          </cell>
          <cell r="L44">
            <v>216.93</v>
          </cell>
          <cell r="O44" t="str">
            <v>VEN006</v>
          </cell>
          <cell r="P44" t="str">
            <v>Arrow Electronics, Inc</v>
          </cell>
        </row>
        <row r="45">
          <cell r="B45" t="str">
            <v>Bill</v>
          </cell>
          <cell r="C45">
            <v>1627195179</v>
          </cell>
          <cell r="F45">
            <v>45041</v>
          </cell>
          <cell r="H45">
            <v>44926</v>
          </cell>
          <cell r="L45">
            <v>269818.38</v>
          </cell>
          <cell r="O45" t="str">
            <v>VEN006</v>
          </cell>
          <cell r="P45" t="str">
            <v>Arrow Electronics, Inc</v>
          </cell>
        </row>
        <row r="46">
          <cell r="B46" t="str">
            <v>Bill</v>
          </cell>
          <cell r="C46">
            <v>1627199933</v>
          </cell>
          <cell r="F46">
            <v>45045</v>
          </cell>
          <cell r="H46">
            <v>44930</v>
          </cell>
          <cell r="L46">
            <v>822.71</v>
          </cell>
          <cell r="O46" t="str">
            <v>VEN006</v>
          </cell>
          <cell r="P46" t="str">
            <v>Arrow Electronics, Inc</v>
          </cell>
        </row>
        <row r="47">
          <cell r="B47" t="str">
            <v>Bill</v>
          </cell>
          <cell r="C47">
            <v>1627206134</v>
          </cell>
          <cell r="F47">
            <v>45047</v>
          </cell>
          <cell r="H47">
            <v>44932</v>
          </cell>
          <cell r="L47">
            <v>8584.1200000000008</v>
          </cell>
          <cell r="O47" t="str">
            <v>VEN006</v>
          </cell>
          <cell r="P47" t="str">
            <v>Arrow Electronics, Inc</v>
          </cell>
        </row>
        <row r="48">
          <cell r="B48" t="str">
            <v>Bill</v>
          </cell>
          <cell r="C48">
            <v>1627206125</v>
          </cell>
          <cell r="F48">
            <v>45047</v>
          </cell>
          <cell r="H48">
            <v>44932</v>
          </cell>
          <cell r="L48">
            <v>20</v>
          </cell>
          <cell r="O48" t="str">
            <v>VEN006</v>
          </cell>
          <cell r="P48" t="str">
            <v>Arrow Electronics, Inc</v>
          </cell>
        </row>
        <row r="49">
          <cell r="B49" t="str">
            <v>Bill</v>
          </cell>
          <cell r="C49">
            <v>1627206136</v>
          </cell>
          <cell r="F49">
            <v>45046</v>
          </cell>
          <cell r="H49">
            <v>44931</v>
          </cell>
          <cell r="L49">
            <v>3500</v>
          </cell>
          <cell r="O49" t="str">
            <v>VEN006</v>
          </cell>
          <cell r="P49" t="str">
            <v>Arrow Electronics, Inc</v>
          </cell>
        </row>
        <row r="50">
          <cell r="B50" t="str">
            <v>Bill</v>
          </cell>
          <cell r="C50">
            <v>1627214830</v>
          </cell>
          <cell r="F50">
            <v>45050</v>
          </cell>
          <cell r="H50">
            <v>44935</v>
          </cell>
          <cell r="L50">
            <v>116.92</v>
          </cell>
          <cell r="O50" t="str">
            <v>VEN006</v>
          </cell>
          <cell r="P50" t="str">
            <v>Arrow Electronics, Inc</v>
          </cell>
        </row>
        <row r="51">
          <cell r="B51" t="str">
            <v>Bill</v>
          </cell>
          <cell r="C51">
            <v>1627214831</v>
          </cell>
          <cell r="F51">
            <v>45051</v>
          </cell>
          <cell r="H51">
            <v>44936</v>
          </cell>
          <cell r="L51">
            <v>34.200000000000003</v>
          </cell>
          <cell r="O51" t="str">
            <v>VEN006</v>
          </cell>
          <cell r="P51" t="str">
            <v>Arrow Electronics, Inc</v>
          </cell>
        </row>
        <row r="52">
          <cell r="B52" t="str">
            <v>Bill</v>
          </cell>
          <cell r="C52">
            <v>1627218548</v>
          </cell>
          <cell r="F52">
            <v>45054</v>
          </cell>
          <cell r="H52">
            <v>44939</v>
          </cell>
          <cell r="L52">
            <v>165.29</v>
          </cell>
          <cell r="O52" t="str">
            <v>VEN006</v>
          </cell>
          <cell r="P52" t="str">
            <v>Arrow Electronics, Inc</v>
          </cell>
        </row>
        <row r="53">
          <cell r="B53" t="str">
            <v>Bill</v>
          </cell>
          <cell r="C53">
            <v>1627227338</v>
          </cell>
          <cell r="F53">
            <v>45053</v>
          </cell>
          <cell r="H53">
            <v>44938</v>
          </cell>
          <cell r="L53">
            <v>2430</v>
          </cell>
          <cell r="O53" t="str">
            <v>VEN006</v>
          </cell>
          <cell r="P53" t="str">
            <v>Arrow Electronics, Inc</v>
          </cell>
        </row>
        <row r="54">
          <cell r="B54" t="str">
            <v>Bill</v>
          </cell>
          <cell r="C54">
            <v>1627227587</v>
          </cell>
          <cell r="F54">
            <v>45053</v>
          </cell>
          <cell r="H54">
            <v>44938</v>
          </cell>
          <cell r="L54">
            <v>21847.66</v>
          </cell>
          <cell r="O54" t="str">
            <v>VEN006</v>
          </cell>
          <cell r="P54" t="str">
            <v>Arrow Electronics, Inc</v>
          </cell>
        </row>
        <row r="55">
          <cell r="B55" t="str">
            <v>Bill</v>
          </cell>
          <cell r="C55">
            <v>1627233243</v>
          </cell>
          <cell r="F55">
            <v>45057</v>
          </cell>
          <cell r="H55">
            <v>44942</v>
          </cell>
          <cell r="L55">
            <v>6078.11</v>
          </cell>
          <cell r="O55" t="str">
            <v>VEN006</v>
          </cell>
          <cell r="P55" t="str">
            <v>Arrow Electronics, Inc</v>
          </cell>
        </row>
        <row r="56">
          <cell r="B56" t="str">
            <v>Bill</v>
          </cell>
          <cell r="C56">
            <v>1627233298</v>
          </cell>
          <cell r="F56">
            <v>45057</v>
          </cell>
          <cell r="H56">
            <v>44942</v>
          </cell>
          <cell r="L56">
            <v>30337.16</v>
          </cell>
          <cell r="O56" t="str">
            <v>VEN006</v>
          </cell>
          <cell r="P56" t="str">
            <v>Arrow Electronics, Inc</v>
          </cell>
        </row>
        <row r="57">
          <cell r="B57" t="str">
            <v>Bill</v>
          </cell>
          <cell r="C57">
            <v>1627243961</v>
          </cell>
          <cell r="F57">
            <v>45060</v>
          </cell>
          <cell r="H57">
            <v>44945</v>
          </cell>
          <cell r="L57">
            <v>152.54</v>
          </cell>
          <cell r="O57" t="str">
            <v>VEN006</v>
          </cell>
          <cell r="P57" t="str">
            <v>Arrow Electronics, Inc</v>
          </cell>
        </row>
        <row r="58">
          <cell r="B58" t="str">
            <v>Bill</v>
          </cell>
          <cell r="C58">
            <v>1627244477</v>
          </cell>
          <cell r="F58">
            <v>45060</v>
          </cell>
          <cell r="H58">
            <v>44945</v>
          </cell>
          <cell r="L58">
            <v>6021.61</v>
          </cell>
          <cell r="O58" t="str">
            <v>VEN006</v>
          </cell>
          <cell r="P58" t="str">
            <v>Arrow Electronics, Inc</v>
          </cell>
        </row>
        <row r="59">
          <cell r="B59" t="str">
            <v>Bill</v>
          </cell>
          <cell r="C59">
            <v>1627249006</v>
          </cell>
          <cell r="F59">
            <v>45061</v>
          </cell>
          <cell r="H59">
            <v>44946</v>
          </cell>
          <cell r="L59">
            <v>26930.95</v>
          </cell>
          <cell r="O59" t="str">
            <v>VEN006</v>
          </cell>
          <cell r="P59" t="str">
            <v>Arrow Electronics, Inc</v>
          </cell>
        </row>
        <row r="60">
          <cell r="B60" t="str">
            <v>Bill</v>
          </cell>
          <cell r="C60">
            <v>1627247956</v>
          </cell>
          <cell r="F60">
            <v>45061</v>
          </cell>
          <cell r="H60">
            <v>44946</v>
          </cell>
          <cell r="L60">
            <v>432.14</v>
          </cell>
          <cell r="O60" t="str">
            <v>VEN006</v>
          </cell>
          <cell r="P60" t="str">
            <v>Arrow Electronics, Inc</v>
          </cell>
        </row>
        <row r="61">
          <cell r="B61" t="str">
            <v>Bill</v>
          </cell>
          <cell r="C61">
            <v>1627256017</v>
          </cell>
          <cell r="F61">
            <v>45065</v>
          </cell>
          <cell r="H61">
            <v>44950</v>
          </cell>
          <cell r="L61">
            <v>581</v>
          </cell>
          <cell r="O61" t="str">
            <v>VEN006</v>
          </cell>
          <cell r="P61" t="str">
            <v>Arrow Electronics, Inc</v>
          </cell>
        </row>
        <row r="62">
          <cell r="B62" t="str">
            <v>Bill</v>
          </cell>
          <cell r="C62">
            <v>1627256018</v>
          </cell>
          <cell r="F62">
            <v>45065</v>
          </cell>
          <cell r="H62">
            <v>44950</v>
          </cell>
          <cell r="L62">
            <v>557.28</v>
          </cell>
          <cell r="O62" t="str">
            <v>VEN006</v>
          </cell>
          <cell r="P62" t="str">
            <v>Arrow Electronics, Inc</v>
          </cell>
        </row>
        <row r="63">
          <cell r="B63" t="str">
            <v>Bill</v>
          </cell>
          <cell r="C63">
            <v>1627260545</v>
          </cell>
          <cell r="F63">
            <v>45066</v>
          </cell>
          <cell r="H63">
            <v>44951</v>
          </cell>
          <cell r="L63">
            <v>29507.71</v>
          </cell>
          <cell r="O63" t="str">
            <v>VEN006</v>
          </cell>
          <cell r="P63" t="str">
            <v>Arrow Electronics, Inc</v>
          </cell>
        </row>
        <row r="64">
          <cell r="B64" t="str">
            <v>Bill</v>
          </cell>
          <cell r="C64">
            <v>1627260688</v>
          </cell>
          <cell r="F64">
            <v>45066</v>
          </cell>
          <cell r="H64">
            <v>44951</v>
          </cell>
          <cell r="L64">
            <v>556.24</v>
          </cell>
          <cell r="O64" t="str">
            <v>VEN006</v>
          </cell>
          <cell r="P64" t="str">
            <v>Arrow Electronics, Inc</v>
          </cell>
        </row>
        <row r="65">
          <cell r="B65" t="str">
            <v>Bill</v>
          </cell>
          <cell r="C65">
            <v>1627265230</v>
          </cell>
          <cell r="F65">
            <v>45067</v>
          </cell>
          <cell r="H65">
            <v>44952</v>
          </cell>
          <cell r="L65">
            <v>759.56</v>
          </cell>
          <cell r="O65" t="str">
            <v>VEN006</v>
          </cell>
          <cell r="P65" t="str">
            <v>Arrow Electronics, Inc</v>
          </cell>
        </row>
        <row r="66">
          <cell r="B66" t="str">
            <v>Bill</v>
          </cell>
          <cell r="C66">
            <v>1627266444</v>
          </cell>
          <cell r="F66">
            <v>45067</v>
          </cell>
          <cell r="H66">
            <v>44952</v>
          </cell>
          <cell r="L66">
            <v>649.36</v>
          </cell>
          <cell r="O66" t="str">
            <v>VEN006</v>
          </cell>
          <cell r="P66" t="str">
            <v>Arrow Electronics, Inc</v>
          </cell>
        </row>
        <row r="67">
          <cell r="B67" t="str">
            <v>Bill</v>
          </cell>
          <cell r="C67">
            <v>1627266445</v>
          </cell>
          <cell r="F67">
            <v>45067</v>
          </cell>
          <cell r="H67">
            <v>44952</v>
          </cell>
          <cell r="L67">
            <v>3260.06</v>
          </cell>
          <cell r="O67" t="str">
            <v>VEN006</v>
          </cell>
          <cell r="P67" t="str">
            <v>Arrow Electronics, Inc</v>
          </cell>
        </row>
        <row r="68">
          <cell r="B68" t="str">
            <v>Bill</v>
          </cell>
          <cell r="C68">
            <v>1627273760</v>
          </cell>
          <cell r="F68">
            <v>45071</v>
          </cell>
          <cell r="H68">
            <v>44956</v>
          </cell>
          <cell r="L68">
            <v>740</v>
          </cell>
          <cell r="O68" t="str">
            <v>VEN006</v>
          </cell>
          <cell r="P68" t="str">
            <v>Arrow Electronics, Inc</v>
          </cell>
        </row>
        <row r="69">
          <cell r="B69" t="str">
            <v>Bill</v>
          </cell>
          <cell r="C69">
            <v>1627273761</v>
          </cell>
          <cell r="F69">
            <v>45071</v>
          </cell>
          <cell r="H69">
            <v>44956</v>
          </cell>
          <cell r="L69">
            <v>1184</v>
          </cell>
          <cell r="O69" t="str">
            <v>VEN006</v>
          </cell>
          <cell r="P69" t="str">
            <v>Arrow Electronics, Inc</v>
          </cell>
        </row>
        <row r="70">
          <cell r="B70" t="str">
            <v>Bill</v>
          </cell>
          <cell r="C70">
            <v>1627273762</v>
          </cell>
          <cell r="F70">
            <v>45071</v>
          </cell>
          <cell r="H70">
            <v>44956</v>
          </cell>
          <cell r="L70">
            <v>26283.57</v>
          </cell>
          <cell r="O70" t="str">
            <v>VEN006</v>
          </cell>
          <cell r="P70" t="str">
            <v>Arrow Electronics, Inc</v>
          </cell>
        </row>
        <row r="71">
          <cell r="B71" t="str">
            <v>Bill</v>
          </cell>
          <cell r="C71">
            <v>1627277294</v>
          </cell>
          <cell r="F71">
            <v>45072</v>
          </cell>
          <cell r="H71">
            <v>44957</v>
          </cell>
          <cell r="L71">
            <v>4524.78</v>
          </cell>
          <cell r="O71" t="str">
            <v>VEN006</v>
          </cell>
          <cell r="P71" t="str">
            <v>Arrow Electronics, Inc</v>
          </cell>
        </row>
        <row r="72">
          <cell r="B72" t="str">
            <v>Bill</v>
          </cell>
          <cell r="C72">
            <v>44896</v>
          </cell>
          <cell r="F72">
            <v>44984</v>
          </cell>
          <cell r="H72">
            <v>44922</v>
          </cell>
          <cell r="L72">
            <v>214170</v>
          </cell>
          <cell r="O72" t="str">
            <v>VEN008</v>
          </cell>
          <cell r="P72" t="str">
            <v>Cape Holdings (S) PTE LTD</v>
          </cell>
        </row>
        <row r="73">
          <cell r="B73" t="str">
            <v>Bill</v>
          </cell>
          <cell r="C73" t="str">
            <v>CAS 202301002</v>
          </cell>
          <cell r="F73">
            <v>45005</v>
          </cell>
          <cell r="H73">
            <v>44945</v>
          </cell>
          <cell r="L73">
            <v>15746.4</v>
          </cell>
          <cell r="O73" t="str">
            <v>VEN008</v>
          </cell>
          <cell r="P73" t="str">
            <v>Cape Holdings (S) PTE LTD</v>
          </cell>
        </row>
        <row r="74">
          <cell r="B74" t="str">
            <v>Bill</v>
          </cell>
          <cell r="C74" t="str">
            <v>CAS K202301002</v>
          </cell>
          <cell r="F74">
            <v>45004</v>
          </cell>
          <cell r="H74">
            <v>44953</v>
          </cell>
          <cell r="L74">
            <v>7994.16</v>
          </cell>
          <cell r="O74" t="str">
            <v>VEN008</v>
          </cell>
          <cell r="P74" t="str">
            <v>Cape Holdings (S) PTE LTD</v>
          </cell>
        </row>
        <row r="75">
          <cell r="B75" t="str">
            <v>Bill</v>
          </cell>
          <cell r="C75" t="str">
            <v>CAS K202301002</v>
          </cell>
          <cell r="F75">
            <v>45004</v>
          </cell>
          <cell r="H75">
            <v>44953</v>
          </cell>
          <cell r="L75">
            <v>7994.16</v>
          </cell>
          <cell r="O75" t="str">
            <v>VEN008</v>
          </cell>
          <cell r="P75" t="str">
            <v>Cape Holdings (S) PTE LTD</v>
          </cell>
        </row>
        <row r="76">
          <cell r="B76" t="str">
            <v>Bill</v>
          </cell>
          <cell r="C76" t="str">
            <v>CAS K202301002</v>
          </cell>
          <cell r="F76">
            <v>45013</v>
          </cell>
          <cell r="H76">
            <v>44953</v>
          </cell>
          <cell r="L76">
            <v>7105.92</v>
          </cell>
          <cell r="O76" t="str">
            <v>VEN008</v>
          </cell>
          <cell r="P76" t="str">
            <v>Cape Holdings (S) PTE LTD</v>
          </cell>
        </row>
        <row r="77">
          <cell r="B77" t="str">
            <v>Bill</v>
          </cell>
          <cell r="C77" t="str">
            <v>CAS K202301002</v>
          </cell>
          <cell r="F77">
            <v>45004</v>
          </cell>
          <cell r="H77">
            <v>44953</v>
          </cell>
          <cell r="L77">
            <v>3790.8</v>
          </cell>
          <cell r="O77" t="str">
            <v>VEN008</v>
          </cell>
          <cell r="P77" t="str">
            <v>Cape Holdings (S) PTE LTD</v>
          </cell>
        </row>
        <row r="78">
          <cell r="B78" t="str">
            <v>Bill</v>
          </cell>
          <cell r="C78" t="str">
            <v>CAS K202301002</v>
          </cell>
          <cell r="F78">
            <v>45004</v>
          </cell>
          <cell r="H78">
            <v>44953</v>
          </cell>
          <cell r="L78">
            <v>291.60000000000002</v>
          </cell>
          <cell r="O78" t="str">
            <v>VEN008</v>
          </cell>
          <cell r="P78" t="str">
            <v>Cape Holdings (S) PTE LTD</v>
          </cell>
        </row>
        <row r="79">
          <cell r="B79" t="str">
            <v>Bill</v>
          </cell>
          <cell r="C79">
            <v>44927</v>
          </cell>
          <cell r="F79">
            <v>45017</v>
          </cell>
          <cell r="H79">
            <v>44957</v>
          </cell>
          <cell r="L79">
            <v>140820</v>
          </cell>
          <cell r="O79" t="str">
            <v>VEN008</v>
          </cell>
          <cell r="P79" t="str">
            <v>Cape Holdings (S) PTE LTD</v>
          </cell>
        </row>
        <row r="80">
          <cell r="B80" t="str">
            <v>Bill</v>
          </cell>
          <cell r="C80" t="str">
            <v>SDN-K2023014</v>
          </cell>
          <cell r="F80">
            <v>45025</v>
          </cell>
          <cell r="H80">
            <v>44965</v>
          </cell>
          <cell r="L80">
            <v>110.64</v>
          </cell>
          <cell r="O80" t="str">
            <v>VEN008</v>
          </cell>
          <cell r="P80" t="str">
            <v>Cape Holdings (S) PTE LTD</v>
          </cell>
        </row>
        <row r="81">
          <cell r="B81" t="str">
            <v>Bill</v>
          </cell>
          <cell r="C81" t="str">
            <v>PO 1952</v>
          </cell>
          <cell r="F81">
            <v>45030</v>
          </cell>
          <cell r="H81">
            <v>44970</v>
          </cell>
          <cell r="L81">
            <v>4082.4</v>
          </cell>
          <cell r="O81" t="str">
            <v>VEN008</v>
          </cell>
          <cell r="P81" t="str">
            <v>Cape Holdings (S) PTE LTD</v>
          </cell>
        </row>
        <row r="82">
          <cell r="B82" t="str">
            <v>Bill</v>
          </cell>
          <cell r="C82">
            <v>9374867</v>
          </cell>
          <cell r="F82">
            <v>44984</v>
          </cell>
          <cell r="H82">
            <v>44804</v>
          </cell>
          <cell r="L82">
            <v>926</v>
          </cell>
          <cell r="O82" t="str">
            <v>VEN007</v>
          </cell>
          <cell r="P82" t="str">
            <v>Future Electronics Corp</v>
          </cell>
        </row>
        <row r="83">
          <cell r="B83" t="str">
            <v>Bill</v>
          </cell>
          <cell r="C83">
            <v>9374868</v>
          </cell>
          <cell r="F83">
            <v>44984</v>
          </cell>
          <cell r="H83">
            <v>44804</v>
          </cell>
          <cell r="L83">
            <v>294.52</v>
          </cell>
          <cell r="O83" t="str">
            <v>VEN007</v>
          </cell>
          <cell r="P83" t="str">
            <v>Future Electronics Corp</v>
          </cell>
        </row>
        <row r="84">
          <cell r="B84" t="str">
            <v>Bill</v>
          </cell>
          <cell r="C84">
            <v>9374869</v>
          </cell>
          <cell r="F84">
            <v>44984</v>
          </cell>
          <cell r="H84">
            <v>44804</v>
          </cell>
          <cell r="L84">
            <v>384</v>
          </cell>
          <cell r="O84" t="str">
            <v>VEN007</v>
          </cell>
          <cell r="P84" t="str">
            <v>Future Electronics Corp</v>
          </cell>
        </row>
        <row r="85">
          <cell r="B85" t="str">
            <v>Bill</v>
          </cell>
          <cell r="C85">
            <v>9374870</v>
          </cell>
          <cell r="F85">
            <v>44984</v>
          </cell>
          <cell r="H85">
            <v>44804</v>
          </cell>
          <cell r="L85">
            <v>2841.6</v>
          </cell>
          <cell r="O85" t="str">
            <v>VEN007</v>
          </cell>
          <cell r="P85" t="str">
            <v>Future Electronics Corp</v>
          </cell>
        </row>
        <row r="86">
          <cell r="B86" t="str">
            <v>Bill</v>
          </cell>
          <cell r="C86">
            <v>3938585</v>
          </cell>
          <cell r="F86">
            <v>44986</v>
          </cell>
          <cell r="H86">
            <v>44806</v>
          </cell>
          <cell r="L86">
            <v>933.31</v>
          </cell>
          <cell r="O86" t="str">
            <v>VEN007</v>
          </cell>
          <cell r="P86" t="str">
            <v>Future Electronics Corp</v>
          </cell>
        </row>
        <row r="87">
          <cell r="B87" t="str">
            <v>Bill</v>
          </cell>
          <cell r="C87">
            <v>3943465</v>
          </cell>
          <cell r="F87">
            <v>44986</v>
          </cell>
          <cell r="H87">
            <v>44806</v>
          </cell>
          <cell r="L87">
            <v>296.95</v>
          </cell>
          <cell r="O87" t="str">
            <v>VEN007</v>
          </cell>
          <cell r="P87" t="str">
            <v>Future Electronics Corp</v>
          </cell>
        </row>
        <row r="88">
          <cell r="B88" t="str">
            <v>Bill</v>
          </cell>
          <cell r="C88">
            <v>9386929</v>
          </cell>
          <cell r="F88">
            <v>44991</v>
          </cell>
          <cell r="H88">
            <v>44811</v>
          </cell>
          <cell r="L88">
            <v>947.27</v>
          </cell>
          <cell r="O88" t="str">
            <v>VEN007</v>
          </cell>
          <cell r="P88" t="str">
            <v>Future Electronics Corp</v>
          </cell>
        </row>
        <row r="89">
          <cell r="B89" t="str">
            <v>Bill</v>
          </cell>
          <cell r="C89">
            <v>9386930</v>
          </cell>
          <cell r="F89">
            <v>44991</v>
          </cell>
          <cell r="H89">
            <v>44811</v>
          </cell>
          <cell r="L89">
            <v>3480</v>
          </cell>
          <cell r="O89" t="str">
            <v>VEN007</v>
          </cell>
          <cell r="P89" t="str">
            <v>Future Electronics Corp</v>
          </cell>
        </row>
        <row r="90">
          <cell r="B90" t="str">
            <v>Bill</v>
          </cell>
          <cell r="C90">
            <v>9386931</v>
          </cell>
          <cell r="F90">
            <v>44991</v>
          </cell>
          <cell r="H90">
            <v>44811</v>
          </cell>
          <cell r="L90">
            <v>15000</v>
          </cell>
          <cell r="O90" t="str">
            <v>VEN007</v>
          </cell>
          <cell r="P90" t="str">
            <v>Future Electronics Corp</v>
          </cell>
        </row>
        <row r="91">
          <cell r="B91" t="str">
            <v>Bill</v>
          </cell>
          <cell r="C91">
            <v>3955646</v>
          </cell>
          <cell r="F91">
            <v>44993</v>
          </cell>
          <cell r="H91">
            <v>44813</v>
          </cell>
          <cell r="L91">
            <v>384.55</v>
          </cell>
          <cell r="O91" t="str">
            <v>VEN007</v>
          </cell>
          <cell r="P91" t="str">
            <v>Future Electronics Corp</v>
          </cell>
        </row>
        <row r="92">
          <cell r="B92" t="str">
            <v>Bill</v>
          </cell>
          <cell r="C92">
            <v>3955647</v>
          </cell>
          <cell r="F92">
            <v>44993</v>
          </cell>
          <cell r="H92">
            <v>44813</v>
          </cell>
          <cell r="L92">
            <v>180</v>
          </cell>
          <cell r="O92" t="str">
            <v>VEN007</v>
          </cell>
          <cell r="P92" t="str">
            <v>Future Electronics Corp</v>
          </cell>
        </row>
        <row r="93">
          <cell r="B93" t="str">
            <v>Bill</v>
          </cell>
          <cell r="C93">
            <v>3958919</v>
          </cell>
          <cell r="F93">
            <v>44996</v>
          </cell>
          <cell r="H93">
            <v>44816</v>
          </cell>
          <cell r="L93">
            <v>118.28</v>
          </cell>
          <cell r="O93" t="str">
            <v>VEN007</v>
          </cell>
          <cell r="P93" t="str">
            <v>Future Electronics Corp</v>
          </cell>
        </row>
        <row r="94">
          <cell r="B94" t="str">
            <v>Bill</v>
          </cell>
          <cell r="C94">
            <v>3959660</v>
          </cell>
          <cell r="F94">
            <v>44997</v>
          </cell>
          <cell r="H94">
            <v>44817</v>
          </cell>
          <cell r="L94">
            <v>2164.29</v>
          </cell>
          <cell r="O94" t="str">
            <v>VEN007</v>
          </cell>
          <cell r="P94" t="str">
            <v>Future Electronics Corp</v>
          </cell>
        </row>
        <row r="95">
          <cell r="B95" t="str">
            <v>Bill</v>
          </cell>
          <cell r="C95">
            <v>9404857</v>
          </cell>
          <cell r="F95">
            <v>45003</v>
          </cell>
          <cell r="H95">
            <v>44823</v>
          </cell>
          <cell r="L95">
            <v>1583.71</v>
          </cell>
          <cell r="O95" t="str">
            <v>VEN007</v>
          </cell>
          <cell r="P95" t="str">
            <v>Future Electronics Corp</v>
          </cell>
        </row>
        <row r="96">
          <cell r="B96" t="str">
            <v>Bill</v>
          </cell>
          <cell r="C96">
            <v>9404858</v>
          </cell>
          <cell r="F96">
            <v>45003</v>
          </cell>
          <cell r="H96">
            <v>44823</v>
          </cell>
          <cell r="L96">
            <v>440</v>
          </cell>
          <cell r="O96" t="str">
            <v>VEN007</v>
          </cell>
          <cell r="P96" t="str">
            <v>Future Electronics Corp</v>
          </cell>
        </row>
        <row r="97">
          <cell r="B97" t="str">
            <v>Bill</v>
          </cell>
          <cell r="C97">
            <v>9404859</v>
          </cell>
          <cell r="F97">
            <v>45003</v>
          </cell>
          <cell r="H97">
            <v>44823</v>
          </cell>
          <cell r="L97">
            <v>6000</v>
          </cell>
          <cell r="O97" t="str">
            <v>VEN007</v>
          </cell>
          <cell r="P97" t="str">
            <v>Future Electronics Corp</v>
          </cell>
        </row>
        <row r="98">
          <cell r="B98" t="str">
            <v>Bill</v>
          </cell>
          <cell r="C98">
            <v>9404860</v>
          </cell>
          <cell r="F98">
            <v>45003</v>
          </cell>
          <cell r="H98">
            <v>44823</v>
          </cell>
          <cell r="L98">
            <v>1815</v>
          </cell>
          <cell r="O98" t="str">
            <v>VEN007</v>
          </cell>
          <cell r="P98" t="str">
            <v>Future Electronics Corp</v>
          </cell>
        </row>
        <row r="99">
          <cell r="B99" t="str">
            <v>Bill</v>
          </cell>
          <cell r="C99">
            <v>9404861</v>
          </cell>
          <cell r="F99">
            <v>45003</v>
          </cell>
          <cell r="H99">
            <v>44823</v>
          </cell>
          <cell r="L99">
            <v>659.1</v>
          </cell>
          <cell r="O99" t="str">
            <v>VEN007</v>
          </cell>
          <cell r="P99" t="str">
            <v>Future Electronics Corp</v>
          </cell>
        </row>
        <row r="100">
          <cell r="B100" t="str">
            <v>Bill</v>
          </cell>
          <cell r="C100">
            <v>3978372</v>
          </cell>
          <cell r="F100">
            <v>45003</v>
          </cell>
          <cell r="H100">
            <v>44823</v>
          </cell>
          <cell r="L100">
            <v>437.79</v>
          </cell>
          <cell r="O100" t="str">
            <v>VEN007</v>
          </cell>
          <cell r="P100" t="str">
            <v>Future Electronics Corp</v>
          </cell>
        </row>
        <row r="101">
          <cell r="B101" t="str">
            <v>Bill</v>
          </cell>
          <cell r="C101">
            <v>3993636</v>
          </cell>
          <cell r="F101">
            <v>45007</v>
          </cell>
          <cell r="H101">
            <v>44827</v>
          </cell>
          <cell r="L101">
            <v>2923.32</v>
          </cell>
          <cell r="O101" t="str">
            <v>VEN007</v>
          </cell>
          <cell r="P101" t="str">
            <v>Future Electronics Corp</v>
          </cell>
        </row>
        <row r="102">
          <cell r="B102" t="str">
            <v>Bill</v>
          </cell>
          <cell r="C102">
            <v>9416001</v>
          </cell>
          <cell r="F102">
            <v>45007</v>
          </cell>
          <cell r="H102">
            <v>44827</v>
          </cell>
          <cell r="L102">
            <v>4735</v>
          </cell>
          <cell r="O102" t="str">
            <v>VEN007</v>
          </cell>
          <cell r="P102" t="str">
            <v>Future Electronics Corp</v>
          </cell>
        </row>
        <row r="103">
          <cell r="B103" t="str">
            <v>Bill</v>
          </cell>
          <cell r="C103">
            <v>9416000</v>
          </cell>
          <cell r="F103">
            <v>45007</v>
          </cell>
          <cell r="H103">
            <v>44827</v>
          </cell>
          <cell r="L103">
            <v>806.4</v>
          </cell>
          <cell r="O103" t="str">
            <v>VEN007</v>
          </cell>
          <cell r="P103" t="str">
            <v>Future Electronics Corp</v>
          </cell>
        </row>
        <row r="104">
          <cell r="B104" t="str">
            <v>Bill</v>
          </cell>
          <cell r="C104">
            <v>9415999</v>
          </cell>
          <cell r="F104">
            <v>45007</v>
          </cell>
          <cell r="H104">
            <v>44827</v>
          </cell>
          <cell r="L104">
            <v>2400</v>
          </cell>
          <cell r="O104" t="str">
            <v>VEN007</v>
          </cell>
          <cell r="P104" t="str">
            <v>Future Electronics Corp</v>
          </cell>
        </row>
        <row r="105">
          <cell r="B105" t="str">
            <v>Bill</v>
          </cell>
          <cell r="C105">
            <v>9415998</v>
          </cell>
          <cell r="F105">
            <v>45007</v>
          </cell>
          <cell r="H105">
            <v>44827</v>
          </cell>
          <cell r="L105">
            <v>82.41</v>
          </cell>
          <cell r="O105" t="str">
            <v>VEN007</v>
          </cell>
          <cell r="P105" t="str">
            <v>Future Electronics Corp</v>
          </cell>
        </row>
        <row r="106">
          <cell r="B106" t="str">
            <v>Bill</v>
          </cell>
          <cell r="C106">
            <v>9425097</v>
          </cell>
          <cell r="F106">
            <v>45012</v>
          </cell>
          <cell r="H106">
            <v>44832</v>
          </cell>
          <cell r="L106">
            <v>3690.77</v>
          </cell>
          <cell r="O106" t="str">
            <v>VEN007</v>
          </cell>
          <cell r="P106" t="str">
            <v>Future Electronics Corp</v>
          </cell>
        </row>
        <row r="107">
          <cell r="B107" t="str">
            <v>Bill</v>
          </cell>
          <cell r="C107">
            <v>9425098</v>
          </cell>
          <cell r="F107">
            <v>45012</v>
          </cell>
          <cell r="H107">
            <v>44832</v>
          </cell>
          <cell r="L107">
            <v>7</v>
          </cell>
          <cell r="O107" t="str">
            <v>VEN007</v>
          </cell>
          <cell r="P107" t="str">
            <v>Future Electronics Corp</v>
          </cell>
        </row>
        <row r="108">
          <cell r="B108" t="str">
            <v>Bill</v>
          </cell>
          <cell r="C108">
            <v>9425099</v>
          </cell>
          <cell r="F108">
            <v>45012</v>
          </cell>
          <cell r="H108">
            <v>44832</v>
          </cell>
          <cell r="L108">
            <v>780</v>
          </cell>
          <cell r="O108" t="str">
            <v>VEN007</v>
          </cell>
          <cell r="P108" t="str">
            <v>Future Electronics Corp</v>
          </cell>
        </row>
        <row r="109">
          <cell r="B109" t="str">
            <v>Bill</v>
          </cell>
          <cell r="C109">
            <v>4002046</v>
          </cell>
          <cell r="F109">
            <v>45012</v>
          </cell>
          <cell r="H109">
            <v>44832</v>
          </cell>
          <cell r="L109">
            <v>134.41999999999999</v>
          </cell>
          <cell r="O109" t="str">
            <v>VEN007</v>
          </cell>
          <cell r="P109" t="str">
            <v>Future Electronics Corp</v>
          </cell>
        </row>
        <row r="110">
          <cell r="B110" t="str">
            <v>Bill</v>
          </cell>
          <cell r="C110">
            <v>9440086</v>
          </cell>
          <cell r="F110">
            <v>45019</v>
          </cell>
          <cell r="H110">
            <v>44839</v>
          </cell>
          <cell r="L110">
            <v>8.6</v>
          </cell>
          <cell r="O110" t="str">
            <v>VEN007</v>
          </cell>
          <cell r="P110" t="str">
            <v>Future Electronics Corp</v>
          </cell>
        </row>
        <row r="111">
          <cell r="B111" t="str">
            <v>Bill</v>
          </cell>
          <cell r="C111">
            <v>9440087</v>
          </cell>
          <cell r="F111">
            <v>45019</v>
          </cell>
          <cell r="H111">
            <v>44839</v>
          </cell>
          <cell r="L111">
            <v>143.38</v>
          </cell>
          <cell r="O111" t="str">
            <v>VEN007</v>
          </cell>
          <cell r="P111" t="str">
            <v>Future Electronics Corp</v>
          </cell>
        </row>
        <row r="112">
          <cell r="B112" t="str">
            <v>Bill</v>
          </cell>
          <cell r="C112">
            <v>9443697</v>
          </cell>
          <cell r="F112">
            <v>45024</v>
          </cell>
          <cell r="H112">
            <v>44844</v>
          </cell>
          <cell r="L112">
            <v>691.2</v>
          </cell>
          <cell r="O112" t="str">
            <v>VEN007</v>
          </cell>
          <cell r="P112" t="str">
            <v>Future Electronics Corp</v>
          </cell>
        </row>
        <row r="113">
          <cell r="B113" t="str">
            <v>Bill</v>
          </cell>
          <cell r="C113">
            <v>9443698</v>
          </cell>
          <cell r="F113">
            <v>45024</v>
          </cell>
          <cell r="H113">
            <v>44844</v>
          </cell>
          <cell r="L113">
            <v>1728</v>
          </cell>
          <cell r="O113" t="str">
            <v>VEN007</v>
          </cell>
          <cell r="P113" t="str">
            <v>Future Electronics Corp</v>
          </cell>
        </row>
        <row r="114">
          <cell r="B114" t="str">
            <v>Bill</v>
          </cell>
          <cell r="C114">
            <v>9443699</v>
          </cell>
          <cell r="F114">
            <v>45024</v>
          </cell>
          <cell r="H114">
            <v>44844</v>
          </cell>
          <cell r="L114">
            <v>1013.87</v>
          </cell>
          <cell r="O114" t="str">
            <v>VEN007</v>
          </cell>
          <cell r="P114" t="str">
            <v>Future Electronics Corp</v>
          </cell>
        </row>
        <row r="115">
          <cell r="B115" t="str">
            <v>Bill</v>
          </cell>
          <cell r="C115">
            <v>4040462</v>
          </cell>
          <cell r="F115">
            <v>45026</v>
          </cell>
          <cell r="H115">
            <v>44846</v>
          </cell>
          <cell r="L115">
            <v>807.98</v>
          </cell>
          <cell r="O115" t="str">
            <v>VEN007</v>
          </cell>
          <cell r="P115" t="str">
            <v>Future Electronics Corp</v>
          </cell>
        </row>
        <row r="116">
          <cell r="B116" t="str">
            <v>Bill</v>
          </cell>
          <cell r="C116">
            <v>4040463</v>
          </cell>
          <cell r="F116">
            <v>45026</v>
          </cell>
          <cell r="H116">
            <v>44846</v>
          </cell>
          <cell r="L116">
            <v>1810</v>
          </cell>
          <cell r="O116" t="str">
            <v>VEN007</v>
          </cell>
          <cell r="P116" t="str">
            <v>Future Electronics Corp</v>
          </cell>
        </row>
        <row r="117">
          <cell r="B117" t="str">
            <v>Bill</v>
          </cell>
          <cell r="C117">
            <v>9456884</v>
          </cell>
          <cell r="F117">
            <v>45031</v>
          </cell>
          <cell r="H117">
            <v>44851</v>
          </cell>
          <cell r="L117">
            <v>2418.36</v>
          </cell>
          <cell r="O117" t="str">
            <v>VEN007</v>
          </cell>
          <cell r="P117" t="str">
            <v>Future Electronics Corp</v>
          </cell>
        </row>
        <row r="118">
          <cell r="B118" t="str">
            <v>Bill</v>
          </cell>
          <cell r="C118">
            <v>9461723</v>
          </cell>
          <cell r="F118">
            <v>45033</v>
          </cell>
          <cell r="H118">
            <v>44853</v>
          </cell>
          <cell r="L118">
            <v>23622.94</v>
          </cell>
          <cell r="O118" t="str">
            <v>VEN007</v>
          </cell>
          <cell r="P118" t="str">
            <v>Future Electronics Corp</v>
          </cell>
        </row>
        <row r="119">
          <cell r="B119" t="str">
            <v>Bill</v>
          </cell>
          <cell r="C119">
            <v>4073329</v>
          </cell>
          <cell r="F119">
            <v>45039</v>
          </cell>
          <cell r="H119">
            <v>44859</v>
          </cell>
          <cell r="L119">
            <v>20172.650000000001</v>
          </cell>
          <cell r="O119" t="str">
            <v>VEN007</v>
          </cell>
          <cell r="P119" t="str">
            <v>Future Electronics Corp</v>
          </cell>
        </row>
        <row r="120">
          <cell r="B120" t="str">
            <v>Bill</v>
          </cell>
          <cell r="C120">
            <v>9470313</v>
          </cell>
          <cell r="F120">
            <v>45039</v>
          </cell>
          <cell r="H120">
            <v>44859</v>
          </cell>
          <cell r="L120">
            <v>7058.93</v>
          </cell>
          <cell r="O120" t="str">
            <v>VEN007</v>
          </cell>
          <cell r="P120" t="str">
            <v>Future Electronics Corp</v>
          </cell>
        </row>
        <row r="121">
          <cell r="B121" t="str">
            <v>Bill</v>
          </cell>
          <cell r="C121">
            <v>4080298</v>
          </cell>
          <cell r="F121">
            <v>45040</v>
          </cell>
          <cell r="H121">
            <v>44860</v>
          </cell>
          <cell r="L121">
            <v>13641.68</v>
          </cell>
          <cell r="O121" t="str">
            <v>VEN007</v>
          </cell>
          <cell r="P121" t="str">
            <v>Future Electronics Corp</v>
          </cell>
        </row>
        <row r="122">
          <cell r="B122" t="str">
            <v>Bill</v>
          </cell>
          <cell r="C122">
            <v>4085095</v>
          </cell>
          <cell r="F122">
            <v>45042</v>
          </cell>
          <cell r="H122">
            <v>44862</v>
          </cell>
          <cell r="L122">
            <v>27349.61</v>
          </cell>
          <cell r="O122" t="str">
            <v>VEN007</v>
          </cell>
          <cell r="P122" t="str">
            <v>Future Electronics Corp</v>
          </cell>
        </row>
        <row r="123">
          <cell r="B123" t="str">
            <v>Bill</v>
          </cell>
          <cell r="C123">
            <v>4085094</v>
          </cell>
          <cell r="F123">
            <v>45043</v>
          </cell>
          <cell r="H123">
            <v>44863</v>
          </cell>
          <cell r="L123">
            <v>5376</v>
          </cell>
          <cell r="O123" t="str">
            <v>VEN007</v>
          </cell>
          <cell r="P123" t="str">
            <v>Future Electronics Corp</v>
          </cell>
        </row>
        <row r="124">
          <cell r="B124" t="str">
            <v>Bill</v>
          </cell>
          <cell r="C124">
            <v>9481902</v>
          </cell>
          <cell r="F124">
            <v>45042</v>
          </cell>
          <cell r="H124">
            <v>44862</v>
          </cell>
          <cell r="L124">
            <v>27.3</v>
          </cell>
          <cell r="O124" t="str">
            <v>VEN007</v>
          </cell>
          <cell r="P124" t="str">
            <v>Future Electronics Corp</v>
          </cell>
        </row>
        <row r="125">
          <cell r="B125" t="str">
            <v>Bill</v>
          </cell>
          <cell r="C125">
            <v>9489205</v>
          </cell>
          <cell r="F125">
            <v>45046</v>
          </cell>
          <cell r="H125">
            <v>44866</v>
          </cell>
          <cell r="L125">
            <v>1825.05</v>
          </cell>
          <cell r="O125" t="str">
            <v>VEN007</v>
          </cell>
          <cell r="P125" t="str">
            <v>Future Electronics Corp</v>
          </cell>
        </row>
        <row r="126">
          <cell r="B126" t="str">
            <v>Bill</v>
          </cell>
          <cell r="C126">
            <v>4096825</v>
          </cell>
          <cell r="F126">
            <v>45046</v>
          </cell>
          <cell r="H126">
            <v>44866</v>
          </cell>
          <cell r="L126">
            <v>892.5</v>
          </cell>
          <cell r="O126" t="str">
            <v>VEN007</v>
          </cell>
          <cell r="P126" t="str">
            <v>Future Electronics Corp</v>
          </cell>
        </row>
        <row r="127">
          <cell r="B127" t="str">
            <v>Bill</v>
          </cell>
          <cell r="C127">
            <v>4100312</v>
          </cell>
          <cell r="F127">
            <v>45035</v>
          </cell>
          <cell r="H127">
            <v>44855</v>
          </cell>
          <cell r="L127">
            <v>29875.9</v>
          </cell>
          <cell r="O127" t="str">
            <v>VEN007</v>
          </cell>
          <cell r="P127" t="str">
            <v>Future Electronics Corp</v>
          </cell>
        </row>
        <row r="128">
          <cell r="B128" t="str">
            <v>Bill</v>
          </cell>
          <cell r="C128">
            <v>4104822</v>
          </cell>
          <cell r="F128">
            <v>45049</v>
          </cell>
          <cell r="H128">
            <v>44869</v>
          </cell>
          <cell r="L128">
            <v>15808.92</v>
          </cell>
          <cell r="O128" t="str">
            <v>VEN007</v>
          </cell>
          <cell r="P128" t="str">
            <v>Future Electronics Corp</v>
          </cell>
        </row>
        <row r="129">
          <cell r="B129" t="str">
            <v>Bill</v>
          </cell>
          <cell r="C129">
            <v>4104823</v>
          </cell>
          <cell r="F129">
            <v>45049</v>
          </cell>
          <cell r="H129">
            <v>44869</v>
          </cell>
          <cell r="L129">
            <v>93310</v>
          </cell>
          <cell r="O129" t="str">
            <v>VEN007</v>
          </cell>
          <cell r="P129" t="str">
            <v>Future Electronics Corp</v>
          </cell>
        </row>
        <row r="130">
          <cell r="B130" t="str">
            <v>Bill</v>
          </cell>
          <cell r="C130">
            <v>4121744</v>
          </cell>
          <cell r="F130">
            <v>45055</v>
          </cell>
          <cell r="H130">
            <v>44875</v>
          </cell>
          <cell r="L130">
            <v>4549.3999999999996</v>
          </cell>
          <cell r="O130" t="str">
            <v>VEN007</v>
          </cell>
          <cell r="P130" t="str">
            <v>Future Electronics Corp</v>
          </cell>
        </row>
        <row r="131">
          <cell r="B131" t="str">
            <v>Bill</v>
          </cell>
          <cell r="C131">
            <v>4130073</v>
          </cell>
          <cell r="F131">
            <v>45059</v>
          </cell>
          <cell r="H131">
            <v>44879</v>
          </cell>
          <cell r="L131">
            <v>203635.83</v>
          </cell>
          <cell r="O131" t="str">
            <v>VEN007</v>
          </cell>
          <cell r="P131" t="str">
            <v>Future Electronics Corp</v>
          </cell>
        </row>
        <row r="132">
          <cell r="B132" t="str">
            <v>Bill</v>
          </cell>
          <cell r="C132">
            <v>9510492</v>
          </cell>
          <cell r="F132">
            <v>45056</v>
          </cell>
          <cell r="H132">
            <v>44876</v>
          </cell>
          <cell r="L132">
            <v>60</v>
          </cell>
          <cell r="O132" t="str">
            <v>VEN007</v>
          </cell>
          <cell r="P132" t="str">
            <v>Future Electronics Corp</v>
          </cell>
        </row>
        <row r="133">
          <cell r="B133" t="str">
            <v>Bill</v>
          </cell>
          <cell r="C133">
            <v>9510493</v>
          </cell>
          <cell r="F133">
            <v>45056</v>
          </cell>
          <cell r="H133">
            <v>44876</v>
          </cell>
          <cell r="L133">
            <v>8264</v>
          </cell>
          <cell r="O133" t="str">
            <v>VEN007</v>
          </cell>
          <cell r="P133" t="str">
            <v>Future Electronics Corp</v>
          </cell>
        </row>
        <row r="134">
          <cell r="B134" t="str">
            <v>Bill</v>
          </cell>
          <cell r="C134">
            <v>9510494</v>
          </cell>
          <cell r="F134">
            <v>45056</v>
          </cell>
          <cell r="H134">
            <v>44876</v>
          </cell>
          <cell r="L134">
            <v>256.99</v>
          </cell>
          <cell r="O134" t="str">
            <v>VEN007</v>
          </cell>
          <cell r="P134" t="str">
            <v>Future Electronics Corp</v>
          </cell>
        </row>
        <row r="135">
          <cell r="B135" t="str">
            <v>Bill</v>
          </cell>
          <cell r="C135">
            <v>9510495</v>
          </cell>
          <cell r="F135">
            <v>45063</v>
          </cell>
          <cell r="H135">
            <v>44883</v>
          </cell>
          <cell r="L135">
            <v>616</v>
          </cell>
          <cell r="O135" t="str">
            <v>VEN007</v>
          </cell>
          <cell r="P135" t="str">
            <v>Future Electronics Corp</v>
          </cell>
        </row>
        <row r="136">
          <cell r="B136" t="str">
            <v>Bill</v>
          </cell>
          <cell r="C136">
            <v>9513820</v>
          </cell>
          <cell r="F136">
            <v>45060</v>
          </cell>
          <cell r="H136">
            <v>44880</v>
          </cell>
          <cell r="L136">
            <v>140.68</v>
          </cell>
          <cell r="O136" t="str">
            <v>VEN007</v>
          </cell>
          <cell r="P136" t="str">
            <v>Future Electronics Corp</v>
          </cell>
        </row>
        <row r="137">
          <cell r="B137" t="str">
            <v>Bill</v>
          </cell>
          <cell r="C137">
            <v>9213521</v>
          </cell>
          <cell r="F137">
            <v>45060</v>
          </cell>
          <cell r="H137">
            <v>44880</v>
          </cell>
          <cell r="L137">
            <v>28</v>
          </cell>
          <cell r="O137" t="str">
            <v>VEN007</v>
          </cell>
          <cell r="P137" t="str">
            <v>Future Electronics Corp</v>
          </cell>
        </row>
        <row r="138">
          <cell r="B138" t="str">
            <v>Bill</v>
          </cell>
          <cell r="C138">
            <v>9513822</v>
          </cell>
          <cell r="F138">
            <v>45060</v>
          </cell>
          <cell r="H138">
            <v>44880</v>
          </cell>
          <cell r="L138">
            <v>16422</v>
          </cell>
          <cell r="O138" t="str">
            <v>VEN007</v>
          </cell>
          <cell r="P138" t="str">
            <v>Future Electronics Corp</v>
          </cell>
        </row>
        <row r="139">
          <cell r="B139" t="str">
            <v>Bill</v>
          </cell>
          <cell r="C139">
            <v>9513823</v>
          </cell>
          <cell r="F139">
            <v>45060</v>
          </cell>
          <cell r="H139">
            <v>44880</v>
          </cell>
          <cell r="L139">
            <v>323.5</v>
          </cell>
          <cell r="O139" t="str">
            <v>VEN007</v>
          </cell>
          <cell r="P139" t="str">
            <v>Future Electronics Corp</v>
          </cell>
        </row>
        <row r="140">
          <cell r="B140" t="str">
            <v>Bill</v>
          </cell>
          <cell r="C140">
            <v>9519873</v>
          </cell>
          <cell r="F140">
            <v>45062</v>
          </cell>
          <cell r="H140">
            <v>44882</v>
          </cell>
          <cell r="L140">
            <v>102.69</v>
          </cell>
          <cell r="O140" t="str">
            <v>VEN007</v>
          </cell>
          <cell r="P140" t="str">
            <v>Future Electronics Corp</v>
          </cell>
        </row>
        <row r="141">
          <cell r="B141" t="str">
            <v>Bill</v>
          </cell>
          <cell r="C141">
            <v>9519874</v>
          </cell>
          <cell r="F141">
            <v>45062</v>
          </cell>
          <cell r="H141">
            <v>44882</v>
          </cell>
          <cell r="L141">
            <v>989.7</v>
          </cell>
          <cell r="O141" t="str">
            <v>VEN007</v>
          </cell>
          <cell r="P141" t="str">
            <v>Future Electronics Corp</v>
          </cell>
        </row>
        <row r="142">
          <cell r="B142" t="str">
            <v>Bill</v>
          </cell>
          <cell r="F142">
            <v>45066</v>
          </cell>
          <cell r="H142">
            <v>44886</v>
          </cell>
          <cell r="L142">
            <v>145</v>
          </cell>
          <cell r="O142" t="str">
            <v>VEN007</v>
          </cell>
          <cell r="P142" t="str">
            <v>Future Electronics Corp</v>
          </cell>
        </row>
        <row r="143">
          <cell r="B143" t="str">
            <v>Bill</v>
          </cell>
          <cell r="C143">
            <v>9519876</v>
          </cell>
          <cell r="F143">
            <v>45062</v>
          </cell>
          <cell r="H143">
            <v>44882</v>
          </cell>
          <cell r="L143">
            <v>3816.5</v>
          </cell>
          <cell r="O143" t="str">
            <v>VEN007</v>
          </cell>
          <cell r="P143" t="str">
            <v>Future Electronics Corp</v>
          </cell>
        </row>
        <row r="144">
          <cell r="B144" t="str">
            <v>Bill</v>
          </cell>
          <cell r="C144">
            <v>4144877</v>
          </cell>
          <cell r="F144">
            <v>45063</v>
          </cell>
          <cell r="H144">
            <v>44883</v>
          </cell>
          <cell r="L144">
            <v>1784.71</v>
          </cell>
          <cell r="O144" t="str">
            <v>VEN007</v>
          </cell>
          <cell r="P144" t="str">
            <v>Future Electronics Corp</v>
          </cell>
        </row>
        <row r="145">
          <cell r="B145" t="str">
            <v>Bill</v>
          </cell>
          <cell r="C145">
            <v>4141648</v>
          </cell>
          <cell r="F145">
            <v>45066</v>
          </cell>
          <cell r="H145">
            <v>44886</v>
          </cell>
          <cell r="L145">
            <v>705.97</v>
          </cell>
          <cell r="O145" t="str">
            <v>VEN007</v>
          </cell>
          <cell r="P145" t="str">
            <v>Future Electronics Corp</v>
          </cell>
        </row>
        <row r="146">
          <cell r="B146" t="str">
            <v>Bill</v>
          </cell>
          <cell r="C146">
            <v>9523275</v>
          </cell>
          <cell r="F146">
            <v>45067</v>
          </cell>
          <cell r="H146">
            <v>44887</v>
          </cell>
          <cell r="L146">
            <v>9277.39</v>
          </cell>
          <cell r="O146" t="str">
            <v>VEN007</v>
          </cell>
          <cell r="P146" t="str">
            <v>Future Electronics Corp</v>
          </cell>
        </row>
        <row r="147">
          <cell r="B147" t="str">
            <v>Bill</v>
          </cell>
          <cell r="C147">
            <v>9523276</v>
          </cell>
          <cell r="F147">
            <v>45067</v>
          </cell>
          <cell r="H147">
            <v>44887</v>
          </cell>
          <cell r="L147">
            <v>2300</v>
          </cell>
          <cell r="O147" t="str">
            <v>VEN007</v>
          </cell>
          <cell r="P147" t="str">
            <v>Future Electronics Corp</v>
          </cell>
        </row>
        <row r="148">
          <cell r="B148" t="str">
            <v>Bill</v>
          </cell>
          <cell r="C148">
            <v>9529969</v>
          </cell>
          <cell r="F148">
            <v>45068</v>
          </cell>
          <cell r="H148">
            <v>44888</v>
          </cell>
          <cell r="L148">
            <v>3556.91</v>
          </cell>
          <cell r="O148" t="str">
            <v>VEN007</v>
          </cell>
          <cell r="P148" t="str">
            <v>Future Electronics Corp</v>
          </cell>
        </row>
        <row r="149">
          <cell r="B149" t="str">
            <v>Bill</v>
          </cell>
          <cell r="C149">
            <v>4157470</v>
          </cell>
          <cell r="F149">
            <v>45069</v>
          </cell>
          <cell r="H149">
            <v>44889</v>
          </cell>
          <cell r="L149">
            <v>25419.74</v>
          </cell>
          <cell r="O149" t="str">
            <v>VEN007</v>
          </cell>
          <cell r="P149" t="str">
            <v>Future Electronics Corp</v>
          </cell>
        </row>
        <row r="150">
          <cell r="B150" t="str">
            <v>Bill</v>
          </cell>
          <cell r="C150">
            <v>4171593</v>
          </cell>
          <cell r="F150">
            <v>45075</v>
          </cell>
          <cell r="H150">
            <v>44895</v>
          </cell>
          <cell r="L150">
            <v>827.42</v>
          </cell>
          <cell r="O150" t="str">
            <v>VEN007</v>
          </cell>
          <cell r="P150" t="str">
            <v>Future Electronics Corp</v>
          </cell>
        </row>
        <row r="151">
          <cell r="B151" t="str">
            <v>Bill</v>
          </cell>
          <cell r="C151">
            <v>9548721</v>
          </cell>
          <cell r="F151">
            <v>45076</v>
          </cell>
          <cell r="H151">
            <v>44896</v>
          </cell>
          <cell r="L151">
            <v>5624.77</v>
          </cell>
          <cell r="O151" t="str">
            <v>VEN007</v>
          </cell>
          <cell r="P151" t="str">
            <v>Future Electronics Corp</v>
          </cell>
        </row>
        <row r="152">
          <cell r="B152" t="str">
            <v>Bill</v>
          </cell>
          <cell r="C152">
            <v>9548722</v>
          </cell>
          <cell r="F152">
            <v>45076</v>
          </cell>
          <cell r="H152">
            <v>44896</v>
          </cell>
          <cell r="L152">
            <v>2700</v>
          </cell>
          <cell r="O152" t="str">
            <v>VEN007</v>
          </cell>
          <cell r="P152" t="str">
            <v>Future Electronics Corp</v>
          </cell>
        </row>
        <row r="153">
          <cell r="B153" t="str">
            <v>Bill</v>
          </cell>
          <cell r="C153">
            <v>9552781</v>
          </cell>
          <cell r="F153">
            <v>45080</v>
          </cell>
          <cell r="H153">
            <v>44900</v>
          </cell>
          <cell r="L153">
            <v>159.16</v>
          </cell>
          <cell r="O153" t="str">
            <v>VEN007</v>
          </cell>
          <cell r="P153" t="str">
            <v>Future Electronics Corp</v>
          </cell>
        </row>
        <row r="154">
          <cell r="B154" t="str">
            <v>Bill</v>
          </cell>
          <cell r="C154">
            <v>9552782</v>
          </cell>
          <cell r="F154">
            <v>45080</v>
          </cell>
          <cell r="H154">
            <v>44900</v>
          </cell>
          <cell r="L154">
            <v>525.4</v>
          </cell>
          <cell r="O154" t="str">
            <v>VEN007</v>
          </cell>
          <cell r="P154" t="str">
            <v>Future Electronics Corp</v>
          </cell>
        </row>
        <row r="155">
          <cell r="B155" t="str">
            <v>Bill</v>
          </cell>
          <cell r="C155">
            <v>9552783</v>
          </cell>
          <cell r="F155">
            <v>45080</v>
          </cell>
          <cell r="H155">
            <v>44900</v>
          </cell>
          <cell r="L155">
            <v>140.4</v>
          </cell>
          <cell r="O155" t="str">
            <v>VEN007</v>
          </cell>
          <cell r="P155" t="str">
            <v>Future Electronics Corp</v>
          </cell>
        </row>
        <row r="156">
          <cell r="B156" t="str">
            <v>Bill</v>
          </cell>
          <cell r="C156">
            <v>4181876</v>
          </cell>
          <cell r="F156">
            <v>45080</v>
          </cell>
          <cell r="H156">
            <v>44900</v>
          </cell>
          <cell r="L156">
            <v>82.94</v>
          </cell>
          <cell r="O156" t="str">
            <v>VEN007</v>
          </cell>
          <cell r="P156" t="str">
            <v>Future Electronics Corp</v>
          </cell>
        </row>
        <row r="157">
          <cell r="B157" t="str">
            <v>Bill</v>
          </cell>
          <cell r="C157">
            <v>9567603</v>
          </cell>
          <cell r="F157">
            <v>45088</v>
          </cell>
          <cell r="H157">
            <v>44908</v>
          </cell>
          <cell r="L157">
            <v>315</v>
          </cell>
          <cell r="O157" t="str">
            <v>VEN007</v>
          </cell>
          <cell r="P157" t="str">
            <v>Future Electronics Corp</v>
          </cell>
        </row>
        <row r="158">
          <cell r="B158" t="str">
            <v>Bill</v>
          </cell>
          <cell r="C158">
            <v>9567604</v>
          </cell>
          <cell r="F158">
            <v>45088</v>
          </cell>
          <cell r="H158">
            <v>44908</v>
          </cell>
          <cell r="L158">
            <v>1525</v>
          </cell>
          <cell r="O158" t="str">
            <v>VEN007</v>
          </cell>
          <cell r="P158" t="str">
            <v>Future Electronics Corp</v>
          </cell>
        </row>
        <row r="159">
          <cell r="B159" t="str">
            <v>Bill</v>
          </cell>
          <cell r="C159">
            <v>9567605</v>
          </cell>
          <cell r="F159">
            <v>45088</v>
          </cell>
          <cell r="H159">
            <v>44908</v>
          </cell>
          <cell r="L159">
            <v>60</v>
          </cell>
          <cell r="O159" t="str">
            <v>VEN007</v>
          </cell>
          <cell r="P159" t="str">
            <v>Future Electronics Corp</v>
          </cell>
        </row>
        <row r="160">
          <cell r="B160" t="str">
            <v>Bill</v>
          </cell>
          <cell r="C160">
            <v>9567606</v>
          </cell>
          <cell r="F160">
            <v>45088</v>
          </cell>
          <cell r="H160">
            <v>44908</v>
          </cell>
          <cell r="L160">
            <v>49</v>
          </cell>
          <cell r="O160" t="str">
            <v>VEN007</v>
          </cell>
          <cell r="P160" t="str">
            <v>Future Electronics Corp</v>
          </cell>
        </row>
        <row r="161">
          <cell r="B161" t="str">
            <v>Bill</v>
          </cell>
          <cell r="C161">
            <v>9569257</v>
          </cell>
          <cell r="F161">
            <v>45089</v>
          </cell>
          <cell r="H161">
            <v>44909</v>
          </cell>
          <cell r="L161">
            <v>45.97</v>
          </cell>
          <cell r="O161" t="str">
            <v>VEN007</v>
          </cell>
          <cell r="P161" t="str">
            <v>Future Electronics Corp</v>
          </cell>
        </row>
        <row r="162">
          <cell r="B162" t="str">
            <v>Bill</v>
          </cell>
          <cell r="C162">
            <v>4223525</v>
          </cell>
          <cell r="F162">
            <v>45097</v>
          </cell>
          <cell r="H162">
            <v>44917</v>
          </cell>
          <cell r="L162">
            <v>1650.29</v>
          </cell>
          <cell r="O162" t="str">
            <v>VEN007</v>
          </cell>
          <cell r="P162" t="str">
            <v>Future Electronics Corp</v>
          </cell>
        </row>
        <row r="163">
          <cell r="B163" t="str">
            <v>Bill</v>
          </cell>
          <cell r="C163">
            <v>4223526</v>
          </cell>
          <cell r="F163">
            <v>45097</v>
          </cell>
          <cell r="H163">
            <v>44917</v>
          </cell>
          <cell r="L163">
            <v>1560</v>
          </cell>
          <cell r="O163" t="str">
            <v>VEN007</v>
          </cell>
          <cell r="P163" t="str">
            <v>Future Electronics Corp</v>
          </cell>
        </row>
        <row r="164">
          <cell r="B164" t="str">
            <v>Bill</v>
          </cell>
          <cell r="C164">
            <v>4230007</v>
          </cell>
          <cell r="F164">
            <v>45102</v>
          </cell>
          <cell r="H164">
            <v>44922</v>
          </cell>
          <cell r="L164">
            <v>29934.77</v>
          </cell>
          <cell r="O164" t="str">
            <v>VEN007</v>
          </cell>
          <cell r="P164" t="str">
            <v>Future Electronics Corp</v>
          </cell>
        </row>
        <row r="165">
          <cell r="B165" t="str">
            <v>Bill</v>
          </cell>
          <cell r="C165">
            <v>9602810</v>
          </cell>
          <cell r="F165">
            <v>45111</v>
          </cell>
          <cell r="H165">
            <v>44931</v>
          </cell>
          <cell r="L165">
            <v>4462.5</v>
          </cell>
          <cell r="O165" t="str">
            <v>VEN007</v>
          </cell>
          <cell r="P165" t="str">
            <v>Future Electronics Corp</v>
          </cell>
        </row>
        <row r="166">
          <cell r="B166" t="str">
            <v>Bill</v>
          </cell>
          <cell r="C166">
            <v>9602789</v>
          </cell>
          <cell r="F166">
            <v>45109</v>
          </cell>
          <cell r="H166">
            <v>44929</v>
          </cell>
          <cell r="L166">
            <v>7500</v>
          </cell>
          <cell r="O166" t="str">
            <v>VEN007</v>
          </cell>
          <cell r="P166" t="str">
            <v>Future Electronics Corp</v>
          </cell>
        </row>
        <row r="167">
          <cell r="B167" t="str">
            <v>Bill</v>
          </cell>
          <cell r="C167">
            <v>9602811</v>
          </cell>
          <cell r="F167">
            <v>45109</v>
          </cell>
          <cell r="H167">
            <v>44929</v>
          </cell>
          <cell r="L167">
            <v>28843.54</v>
          </cell>
          <cell r="O167" t="str">
            <v>VEN007</v>
          </cell>
          <cell r="P167" t="str">
            <v>Future Electronics Corp</v>
          </cell>
        </row>
        <row r="168">
          <cell r="B168" t="str">
            <v>Bill</v>
          </cell>
          <cell r="C168">
            <v>9602812</v>
          </cell>
          <cell r="F168">
            <v>45109</v>
          </cell>
          <cell r="H168">
            <v>44929</v>
          </cell>
          <cell r="L168">
            <v>14875</v>
          </cell>
          <cell r="O168" t="str">
            <v>VEN007</v>
          </cell>
          <cell r="P168" t="str">
            <v>Future Electronics Corp</v>
          </cell>
        </row>
        <row r="169">
          <cell r="B169" t="str">
            <v>Bill</v>
          </cell>
          <cell r="C169">
            <v>4268288</v>
          </cell>
          <cell r="F169">
            <v>45118</v>
          </cell>
          <cell r="H169">
            <v>44938</v>
          </cell>
          <cell r="L169">
            <v>35394.269999999997</v>
          </cell>
          <cell r="O169" t="str">
            <v>VEN007</v>
          </cell>
          <cell r="P169" t="str">
            <v>Future Electronics Corp</v>
          </cell>
        </row>
        <row r="170">
          <cell r="B170" t="str">
            <v>Bill</v>
          </cell>
          <cell r="C170">
            <v>4275797</v>
          </cell>
          <cell r="F170">
            <v>45119</v>
          </cell>
          <cell r="H170">
            <v>44939</v>
          </cell>
          <cell r="L170">
            <v>2666.23</v>
          </cell>
          <cell r="O170" t="str">
            <v>VEN007</v>
          </cell>
          <cell r="P170" t="str">
            <v>Future Electronics Corp</v>
          </cell>
        </row>
        <row r="171">
          <cell r="B171" t="str">
            <v>Bill</v>
          </cell>
          <cell r="C171">
            <v>9628531</v>
          </cell>
          <cell r="F171">
            <v>45122</v>
          </cell>
          <cell r="H171">
            <v>44942</v>
          </cell>
          <cell r="L171">
            <v>1400</v>
          </cell>
          <cell r="O171" t="str">
            <v>VEN007</v>
          </cell>
          <cell r="P171" t="str">
            <v>Future Electronics Corp</v>
          </cell>
        </row>
        <row r="172">
          <cell r="B172" t="str">
            <v>Bill</v>
          </cell>
          <cell r="C172">
            <v>9628532</v>
          </cell>
          <cell r="F172">
            <v>45123</v>
          </cell>
          <cell r="H172">
            <v>44943</v>
          </cell>
          <cell r="L172">
            <v>44255</v>
          </cell>
          <cell r="O172" t="str">
            <v>VEN007</v>
          </cell>
          <cell r="P172" t="str">
            <v>Future Electronics Corp</v>
          </cell>
        </row>
        <row r="173">
          <cell r="B173" t="str">
            <v>Bill</v>
          </cell>
          <cell r="C173">
            <v>9628533</v>
          </cell>
          <cell r="F173">
            <v>45122</v>
          </cell>
          <cell r="H173">
            <v>44942</v>
          </cell>
          <cell r="L173">
            <v>5380</v>
          </cell>
          <cell r="O173" t="str">
            <v>VEN007</v>
          </cell>
          <cell r="P173" t="str">
            <v>Future Electronics Corp</v>
          </cell>
        </row>
        <row r="174">
          <cell r="B174" t="str">
            <v>Bill</v>
          </cell>
          <cell r="C174">
            <v>9628534</v>
          </cell>
          <cell r="F174">
            <v>45122</v>
          </cell>
          <cell r="H174">
            <v>44942</v>
          </cell>
          <cell r="L174">
            <v>240</v>
          </cell>
          <cell r="O174" t="str">
            <v>VEN007</v>
          </cell>
          <cell r="P174" t="str">
            <v>Future Electronics Corp</v>
          </cell>
        </row>
        <row r="175">
          <cell r="B175" t="str">
            <v>Bill</v>
          </cell>
          <cell r="C175">
            <v>9628535</v>
          </cell>
          <cell r="F175">
            <v>45122</v>
          </cell>
          <cell r="H175">
            <v>44942</v>
          </cell>
          <cell r="L175">
            <v>7860</v>
          </cell>
          <cell r="O175" t="str">
            <v>VEN007</v>
          </cell>
          <cell r="P175" t="str">
            <v>Future Electronics Corp</v>
          </cell>
        </row>
        <row r="176">
          <cell r="B176" t="str">
            <v>Bill</v>
          </cell>
          <cell r="C176">
            <v>9628536</v>
          </cell>
          <cell r="F176">
            <v>45122</v>
          </cell>
          <cell r="H176">
            <v>44942</v>
          </cell>
          <cell r="L176">
            <v>14400</v>
          </cell>
          <cell r="O176" t="str">
            <v>VEN007</v>
          </cell>
          <cell r="P176" t="str">
            <v>Future Electronics Corp</v>
          </cell>
        </row>
        <row r="177">
          <cell r="B177" t="str">
            <v>Bill</v>
          </cell>
          <cell r="C177">
            <v>9628715</v>
          </cell>
          <cell r="F177">
            <v>45122</v>
          </cell>
          <cell r="H177">
            <v>44942</v>
          </cell>
          <cell r="L177">
            <v>780</v>
          </cell>
          <cell r="O177" t="str">
            <v>VEN007</v>
          </cell>
          <cell r="P177" t="str">
            <v>Future Electronics Corp</v>
          </cell>
        </row>
        <row r="178">
          <cell r="B178" t="str">
            <v>Bill</v>
          </cell>
          <cell r="C178">
            <v>9628716</v>
          </cell>
          <cell r="F178">
            <v>45122</v>
          </cell>
          <cell r="H178">
            <v>44942</v>
          </cell>
          <cell r="L178">
            <v>33150</v>
          </cell>
          <cell r="O178" t="str">
            <v>VEN007</v>
          </cell>
          <cell r="P178" t="str">
            <v>Future Electronics Corp</v>
          </cell>
        </row>
        <row r="179">
          <cell r="B179" t="str">
            <v>Bill</v>
          </cell>
          <cell r="C179">
            <v>9628537</v>
          </cell>
          <cell r="F179">
            <v>45123</v>
          </cell>
          <cell r="H179">
            <v>44943</v>
          </cell>
          <cell r="L179">
            <v>2619.2399999999998</v>
          </cell>
          <cell r="O179" t="str">
            <v>VEN007</v>
          </cell>
          <cell r="P179" t="str">
            <v>Future Electronics Corp</v>
          </cell>
        </row>
        <row r="180">
          <cell r="B180" t="str">
            <v>Bill</v>
          </cell>
          <cell r="C180">
            <v>9629476</v>
          </cell>
          <cell r="F180">
            <v>45123</v>
          </cell>
          <cell r="H180">
            <v>44943</v>
          </cell>
          <cell r="L180">
            <v>139.38999999999999</v>
          </cell>
          <cell r="O180" t="str">
            <v>VEN007</v>
          </cell>
          <cell r="P180" t="str">
            <v>Future Electronics Corp</v>
          </cell>
        </row>
        <row r="181">
          <cell r="B181" t="str">
            <v>Bill</v>
          </cell>
          <cell r="C181">
            <v>9633859</v>
          </cell>
          <cell r="F181">
            <v>45125</v>
          </cell>
          <cell r="H181">
            <v>44945</v>
          </cell>
          <cell r="L181">
            <v>478.36</v>
          </cell>
          <cell r="O181" t="str">
            <v>VEN007</v>
          </cell>
          <cell r="P181" t="str">
            <v>Future Electronics Corp</v>
          </cell>
        </row>
        <row r="182">
          <cell r="B182" t="str">
            <v>Bill</v>
          </cell>
          <cell r="C182">
            <v>9633860</v>
          </cell>
          <cell r="F182">
            <v>45125</v>
          </cell>
          <cell r="H182">
            <v>44945</v>
          </cell>
          <cell r="L182">
            <v>800</v>
          </cell>
          <cell r="O182" t="str">
            <v>VEN007</v>
          </cell>
          <cell r="P182" t="str">
            <v>Future Electronics Corp</v>
          </cell>
        </row>
        <row r="183">
          <cell r="B183" t="str">
            <v>Bill</v>
          </cell>
          <cell r="C183">
            <v>9633861</v>
          </cell>
          <cell r="F183">
            <v>45126</v>
          </cell>
          <cell r="H183">
            <v>44946</v>
          </cell>
          <cell r="L183">
            <v>810</v>
          </cell>
          <cell r="O183" t="str">
            <v>VEN007</v>
          </cell>
          <cell r="P183" t="str">
            <v>Future Electronics Corp</v>
          </cell>
        </row>
        <row r="184">
          <cell r="B184" t="str">
            <v>Bill</v>
          </cell>
          <cell r="C184">
            <v>9633862</v>
          </cell>
          <cell r="F184">
            <v>45126</v>
          </cell>
          <cell r="H184">
            <v>44946</v>
          </cell>
          <cell r="L184">
            <v>140</v>
          </cell>
          <cell r="O184" t="str">
            <v>VEN007</v>
          </cell>
          <cell r="P184" t="str">
            <v>Future Electronics Corp</v>
          </cell>
        </row>
        <row r="185">
          <cell r="B185" t="str">
            <v>Bill</v>
          </cell>
          <cell r="C185">
            <v>4305530</v>
          </cell>
          <cell r="F185">
            <v>45133</v>
          </cell>
          <cell r="H185">
            <v>44953</v>
          </cell>
          <cell r="L185">
            <v>29979.24</v>
          </cell>
          <cell r="O185" t="str">
            <v>VEN007</v>
          </cell>
          <cell r="P185" t="str">
            <v>Future Electronics Corp</v>
          </cell>
        </row>
        <row r="186">
          <cell r="B186" t="str">
            <v>Bill</v>
          </cell>
          <cell r="C186">
            <v>9637543</v>
          </cell>
          <cell r="F186">
            <v>45132</v>
          </cell>
          <cell r="H186">
            <v>44952</v>
          </cell>
          <cell r="L186">
            <v>57.5</v>
          </cell>
          <cell r="O186" t="str">
            <v>VEN007</v>
          </cell>
          <cell r="P186" t="str">
            <v>Future Electronics Corp</v>
          </cell>
        </row>
        <row r="187">
          <cell r="B187" t="str">
            <v>Bill</v>
          </cell>
          <cell r="C187">
            <v>9637544</v>
          </cell>
          <cell r="F187">
            <v>45132</v>
          </cell>
          <cell r="H187">
            <v>44952</v>
          </cell>
          <cell r="L187">
            <v>6070.16</v>
          </cell>
          <cell r="O187" t="str">
            <v>VEN007</v>
          </cell>
          <cell r="P187" t="str">
            <v>Future Electronics Corp</v>
          </cell>
        </row>
        <row r="188">
          <cell r="B188" t="str">
            <v>Bill</v>
          </cell>
          <cell r="C188">
            <v>9637545</v>
          </cell>
          <cell r="F188">
            <v>45132</v>
          </cell>
          <cell r="H188">
            <v>44952</v>
          </cell>
          <cell r="L188">
            <v>643.1</v>
          </cell>
          <cell r="O188" t="str">
            <v>VEN007</v>
          </cell>
          <cell r="P188" t="str">
            <v>Future Electronics Corp</v>
          </cell>
        </row>
        <row r="189">
          <cell r="B189" t="str">
            <v>Bill</v>
          </cell>
          <cell r="C189">
            <v>9637546</v>
          </cell>
          <cell r="F189">
            <v>45132</v>
          </cell>
          <cell r="H189">
            <v>44952</v>
          </cell>
          <cell r="L189">
            <v>261.2</v>
          </cell>
          <cell r="O189" t="str">
            <v>VEN007</v>
          </cell>
          <cell r="P189" t="str">
            <v>Future Electronics Corp</v>
          </cell>
        </row>
        <row r="190">
          <cell r="B190" t="str">
            <v>Bill</v>
          </cell>
          <cell r="C190">
            <v>9645181</v>
          </cell>
          <cell r="F190">
            <v>45137</v>
          </cell>
          <cell r="H190">
            <v>44957</v>
          </cell>
          <cell r="L190">
            <v>37.369999999999997</v>
          </cell>
          <cell r="O190" t="str">
            <v>VEN007</v>
          </cell>
          <cell r="P190" t="str">
            <v>Future Electronics Corp</v>
          </cell>
        </row>
        <row r="191">
          <cell r="B191" t="str">
            <v>Bill</v>
          </cell>
          <cell r="C191">
            <v>4336595</v>
          </cell>
          <cell r="F191">
            <v>45145</v>
          </cell>
          <cell r="H191">
            <v>44965</v>
          </cell>
          <cell r="L191">
            <v>3844.2</v>
          </cell>
          <cell r="O191" t="str">
            <v>VEN007</v>
          </cell>
          <cell r="P191" t="str">
            <v>Future Electronics Corp</v>
          </cell>
        </row>
        <row r="192">
          <cell r="B192" t="str">
            <v>Bill</v>
          </cell>
          <cell r="C192">
            <v>9660777</v>
          </cell>
          <cell r="F192">
            <v>45146</v>
          </cell>
          <cell r="H192">
            <v>44966</v>
          </cell>
          <cell r="L192">
            <v>201.92</v>
          </cell>
          <cell r="O192" t="str">
            <v>VEN007</v>
          </cell>
          <cell r="P192" t="str">
            <v>Future Electronics Corp</v>
          </cell>
        </row>
        <row r="193">
          <cell r="B193" t="str">
            <v>Bill</v>
          </cell>
          <cell r="C193">
            <v>9660778</v>
          </cell>
          <cell r="F193">
            <v>45146</v>
          </cell>
          <cell r="H193">
            <v>44966</v>
          </cell>
          <cell r="L193">
            <v>444</v>
          </cell>
          <cell r="O193" t="str">
            <v>VEN007</v>
          </cell>
          <cell r="P193" t="str">
            <v>Future Electronics Corp</v>
          </cell>
        </row>
        <row r="194">
          <cell r="B194" t="str">
            <v>Bill</v>
          </cell>
          <cell r="C194">
            <v>9660779</v>
          </cell>
          <cell r="F194">
            <v>45146</v>
          </cell>
          <cell r="H194">
            <v>44966</v>
          </cell>
          <cell r="L194">
            <v>148</v>
          </cell>
          <cell r="O194" t="str">
            <v>VEN007</v>
          </cell>
          <cell r="P194" t="str">
            <v>Future Electronics Corp</v>
          </cell>
        </row>
        <row r="195">
          <cell r="B195" t="str">
            <v>Bill</v>
          </cell>
          <cell r="C195">
            <v>9660780</v>
          </cell>
          <cell r="F195">
            <v>45146</v>
          </cell>
          <cell r="H195">
            <v>44966</v>
          </cell>
          <cell r="L195">
            <v>7.4</v>
          </cell>
          <cell r="O195" t="str">
            <v>VEN007</v>
          </cell>
          <cell r="P195" t="str">
            <v>Future Electronics Corp</v>
          </cell>
        </row>
        <row r="196">
          <cell r="B196" t="str">
            <v>Bill</v>
          </cell>
          <cell r="C196">
            <v>4343458</v>
          </cell>
          <cell r="F196">
            <v>45146</v>
          </cell>
          <cell r="H196">
            <v>44966</v>
          </cell>
          <cell r="L196">
            <v>2326.1999999999998</v>
          </cell>
          <cell r="O196" t="str">
            <v>VEN007</v>
          </cell>
          <cell r="P196" t="str">
            <v>Future Electronics Corp</v>
          </cell>
        </row>
        <row r="197">
          <cell r="B197" t="str">
            <v>Bill</v>
          </cell>
          <cell r="C197">
            <v>9666641</v>
          </cell>
          <cell r="F197">
            <v>45147</v>
          </cell>
          <cell r="H197">
            <v>44967</v>
          </cell>
          <cell r="L197">
            <v>919.89</v>
          </cell>
          <cell r="O197" t="str">
            <v>VEN007</v>
          </cell>
          <cell r="P197" t="str">
            <v>Future Electronics Corp</v>
          </cell>
        </row>
        <row r="198">
          <cell r="B198" t="str">
            <v>Bill</v>
          </cell>
          <cell r="C198">
            <v>9666642</v>
          </cell>
          <cell r="F198">
            <v>45150</v>
          </cell>
          <cell r="H198">
            <v>44970</v>
          </cell>
          <cell r="L198">
            <v>3240</v>
          </cell>
          <cell r="O198" t="str">
            <v>VEN007</v>
          </cell>
          <cell r="P198" t="str">
            <v>Future Electronics Corp</v>
          </cell>
        </row>
        <row r="199">
          <cell r="B199" t="str">
            <v>Bill</v>
          </cell>
          <cell r="C199">
            <v>9666643</v>
          </cell>
          <cell r="F199">
            <v>45150</v>
          </cell>
          <cell r="H199">
            <v>44970</v>
          </cell>
          <cell r="L199">
            <v>2000</v>
          </cell>
          <cell r="O199" t="str">
            <v>VEN007</v>
          </cell>
          <cell r="P199" t="str">
            <v>Future Electronics Corp</v>
          </cell>
        </row>
        <row r="200">
          <cell r="B200" t="str">
            <v>Bill</v>
          </cell>
          <cell r="C200">
            <v>4351771</v>
          </cell>
          <cell r="F200">
            <v>45151</v>
          </cell>
          <cell r="H200">
            <v>44971</v>
          </cell>
          <cell r="L200">
            <v>3844.2</v>
          </cell>
          <cell r="O200" t="str">
            <v>VEN007</v>
          </cell>
          <cell r="P200" t="str">
            <v>Future Electronics Corp</v>
          </cell>
        </row>
        <row r="201">
          <cell r="B201" t="str">
            <v>Bill</v>
          </cell>
          <cell r="C201" t="str">
            <v>WCW-326485FI</v>
          </cell>
          <cell r="F201">
            <v>44982</v>
          </cell>
          <cell r="H201">
            <v>44952</v>
          </cell>
          <cell r="L201">
            <v>21363.41</v>
          </cell>
          <cell r="O201" t="str">
            <v>VEN034</v>
          </cell>
          <cell r="P201" t="str">
            <v>Landstar Global Logistics, Inc</v>
          </cell>
        </row>
        <row r="202">
          <cell r="B202" t="str">
            <v>Bill</v>
          </cell>
          <cell r="C202" t="str">
            <v>WCW-327478FI</v>
          </cell>
          <cell r="F202">
            <v>44991</v>
          </cell>
          <cell r="H202">
            <v>44957</v>
          </cell>
          <cell r="L202">
            <v>17168.52</v>
          </cell>
          <cell r="O202" t="str">
            <v>VEN034</v>
          </cell>
          <cell r="P202" t="str">
            <v>Landstar Global Logistics, Inc</v>
          </cell>
        </row>
        <row r="203">
          <cell r="B203" t="str">
            <v>Bill</v>
          </cell>
          <cell r="C203" t="str">
            <v>WCA-328654FI</v>
          </cell>
          <cell r="F203">
            <v>45003</v>
          </cell>
          <cell r="H203">
            <v>44973</v>
          </cell>
          <cell r="L203">
            <v>3760</v>
          </cell>
          <cell r="O203" t="str">
            <v>VEN034</v>
          </cell>
          <cell r="P203" t="str">
            <v>Landstar Global Logistics, Inc</v>
          </cell>
        </row>
        <row r="204">
          <cell r="B204" t="str">
            <v>Bill</v>
          </cell>
          <cell r="C204" t="str">
            <v>MYPM23-02-002</v>
          </cell>
          <cell r="F204">
            <v>44997</v>
          </cell>
          <cell r="H204">
            <v>44967</v>
          </cell>
          <cell r="L204">
            <v>1052</v>
          </cell>
          <cell r="O204" t="str">
            <v>VEN035</v>
          </cell>
          <cell r="P204" t="str">
            <v>Matsuki-YPM Sinapore Pte LTD</v>
          </cell>
        </row>
        <row r="205">
          <cell r="B205" t="str">
            <v>Bill</v>
          </cell>
          <cell r="C205">
            <v>52114</v>
          </cell>
          <cell r="F205">
            <v>44987</v>
          </cell>
          <cell r="H205">
            <v>44957</v>
          </cell>
          <cell r="L205">
            <v>76523.39</v>
          </cell>
          <cell r="O205" t="str">
            <v>VEN004</v>
          </cell>
          <cell r="P205" t="str">
            <v>Meter Technology Werks</v>
          </cell>
        </row>
        <row r="206">
          <cell r="B206" t="str">
            <v>Bill</v>
          </cell>
          <cell r="C206">
            <v>52181</v>
          </cell>
          <cell r="F206">
            <v>44989</v>
          </cell>
          <cell r="H206">
            <v>44959</v>
          </cell>
          <cell r="L206">
            <v>103.5</v>
          </cell>
          <cell r="O206" t="str">
            <v>VEN004</v>
          </cell>
          <cell r="P206" t="str">
            <v>Meter Technology Werks</v>
          </cell>
        </row>
        <row r="207">
          <cell r="B207" t="str">
            <v>Bill</v>
          </cell>
          <cell r="C207">
            <v>52237</v>
          </cell>
          <cell r="F207">
            <v>44993</v>
          </cell>
          <cell r="H207">
            <v>44963</v>
          </cell>
          <cell r="L207">
            <v>1633.5</v>
          </cell>
          <cell r="O207" t="str">
            <v>VEN004</v>
          </cell>
          <cell r="P207" t="str">
            <v>Meter Technology Werks</v>
          </cell>
        </row>
        <row r="208">
          <cell r="B208" t="str">
            <v>Bill</v>
          </cell>
          <cell r="C208">
            <v>52278</v>
          </cell>
          <cell r="F208">
            <v>44994</v>
          </cell>
          <cell r="H208">
            <v>44964</v>
          </cell>
          <cell r="L208">
            <v>1128</v>
          </cell>
          <cell r="O208" t="str">
            <v>VEN004</v>
          </cell>
          <cell r="P208" t="str">
            <v>Meter Technology Werks</v>
          </cell>
        </row>
        <row r="209">
          <cell r="B209" t="str">
            <v>Bill</v>
          </cell>
          <cell r="C209">
            <v>52346</v>
          </cell>
          <cell r="F209">
            <v>44996</v>
          </cell>
          <cell r="H209">
            <v>44966</v>
          </cell>
          <cell r="L209">
            <v>472.5</v>
          </cell>
          <cell r="O209" t="str">
            <v>VEN004</v>
          </cell>
          <cell r="P209" t="str">
            <v>Meter Technology Werks</v>
          </cell>
        </row>
        <row r="210">
          <cell r="B210" t="str">
            <v>Bill</v>
          </cell>
          <cell r="C210">
            <v>52381</v>
          </cell>
          <cell r="F210">
            <v>44997</v>
          </cell>
          <cell r="H210">
            <v>44967</v>
          </cell>
          <cell r="L210">
            <v>432</v>
          </cell>
          <cell r="O210" t="str">
            <v>VEN004</v>
          </cell>
          <cell r="P210" t="str">
            <v>Meter Technology Werks</v>
          </cell>
        </row>
        <row r="211">
          <cell r="B211" t="str">
            <v>Bill</v>
          </cell>
          <cell r="C211">
            <v>52382</v>
          </cell>
          <cell r="F211">
            <v>44997</v>
          </cell>
          <cell r="H211">
            <v>44967</v>
          </cell>
          <cell r="L211">
            <v>310.5</v>
          </cell>
          <cell r="O211" t="str">
            <v>VEN004</v>
          </cell>
          <cell r="P211" t="str">
            <v>Meter Technology Werks</v>
          </cell>
        </row>
        <row r="212">
          <cell r="B212" t="str">
            <v>Bill</v>
          </cell>
          <cell r="C212">
            <v>52395</v>
          </cell>
          <cell r="F212">
            <v>45000</v>
          </cell>
          <cell r="H212">
            <v>44970</v>
          </cell>
          <cell r="L212">
            <v>819</v>
          </cell>
          <cell r="O212" t="str">
            <v>VEN004</v>
          </cell>
          <cell r="P212" t="str">
            <v>Meter Technology Werks</v>
          </cell>
        </row>
        <row r="213">
          <cell r="B213" t="str">
            <v>Bill</v>
          </cell>
          <cell r="C213" t="str">
            <v>SWB/15620251</v>
          </cell>
          <cell r="F213">
            <v>44993</v>
          </cell>
          <cell r="H213">
            <v>44963</v>
          </cell>
          <cell r="L213">
            <v>1240.8499999999999</v>
          </cell>
          <cell r="O213" t="str">
            <v>VEN005</v>
          </cell>
          <cell r="P213" t="str">
            <v>Microchip Technology, Inc</v>
          </cell>
        </row>
        <row r="214">
          <cell r="B214" t="str">
            <v>Bill</v>
          </cell>
          <cell r="C214">
            <v>869426</v>
          </cell>
          <cell r="F214">
            <v>44988</v>
          </cell>
          <cell r="H214">
            <v>44973</v>
          </cell>
          <cell r="L214">
            <v>1176.3</v>
          </cell>
          <cell r="O214" t="str">
            <v>VEN051</v>
          </cell>
          <cell r="P214" t="str">
            <v>Mutual of Omaha</v>
          </cell>
        </row>
        <row r="215">
          <cell r="B215" t="str">
            <v>Bill</v>
          </cell>
          <cell r="C215" t="str">
            <v>INV9090510</v>
          </cell>
          <cell r="F215">
            <v>44988</v>
          </cell>
          <cell r="H215">
            <v>44958</v>
          </cell>
          <cell r="L215">
            <v>30800</v>
          </cell>
          <cell r="O215" t="str">
            <v>VEN023</v>
          </cell>
          <cell r="P215" t="str">
            <v>Okaya Electra America</v>
          </cell>
        </row>
        <row r="216">
          <cell r="B216" t="str">
            <v>Bill</v>
          </cell>
          <cell r="C216">
            <v>1526076</v>
          </cell>
          <cell r="F216">
            <v>45000</v>
          </cell>
          <cell r="H216">
            <v>44970</v>
          </cell>
          <cell r="L216">
            <v>8019.7</v>
          </cell>
          <cell r="O216" t="str">
            <v>VEN052</v>
          </cell>
          <cell r="P216" t="str">
            <v>Oracle NetSuite</v>
          </cell>
        </row>
        <row r="217">
          <cell r="B217" t="str">
            <v>Bill</v>
          </cell>
          <cell r="C217" t="str">
            <v>163996-2</v>
          </cell>
          <cell r="F217">
            <v>44996</v>
          </cell>
          <cell r="H217">
            <v>44966</v>
          </cell>
          <cell r="L217">
            <v>81362.399999999994</v>
          </cell>
          <cell r="O217" t="str">
            <v>VEN024</v>
          </cell>
          <cell r="P217" t="str">
            <v>PalPilot</v>
          </cell>
        </row>
        <row r="218">
          <cell r="B218" t="str">
            <v>Bill</v>
          </cell>
          <cell r="C218" t="str">
            <v>INV13667</v>
          </cell>
          <cell r="F218">
            <v>44983</v>
          </cell>
          <cell r="H218">
            <v>44923</v>
          </cell>
          <cell r="L218">
            <v>32550</v>
          </cell>
          <cell r="O218" t="str">
            <v>VEN044</v>
          </cell>
          <cell r="P218" t="str">
            <v>Precision Measurement Technologies, LLC</v>
          </cell>
        </row>
        <row r="219">
          <cell r="B219" t="str">
            <v>Bill</v>
          </cell>
          <cell r="C219">
            <v>3003129</v>
          </cell>
          <cell r="F219">
            <v>45000</v>
          </cell>
          <cell r="H219">
            <v>44970</v>
          </cell>
          <cell r="L219">
            <v>43520</v>
          </cell>
          <cell r="O219" t="str">
            <v>VEN040</v>
          </cell>
          <cell r="P219" t="str">
            <v>Richardson RFPD</v>
          </cell>
        </row>
        <row r="220">
          <cell r="B220" t="str">
            <v>Bill</v>
          </cell>
          <cell r="C220">
            <v>3003086</v>
          </cell>
          <cell r="F220">
            <v>44997</v>
          </cell>
          <cell r="H220">
            <v>44967</v>
          </cell>
          <cell r="L220">
            <v>5440</v>
          </cell>
          <cell r="O220" t="str">
            <v>VEN040</v>
          </cell>
          <cell r="P220" t="str">
            <v>Richardson RFPD</v>
          </cell>
        </row>
        <row r="221">
          <cell r="B221" t="str">
            <v>Bill</v>
          </cell>
          <cell r="C221">
            <v>8961</v>
          </cell>
          <cell r="F221">
            <v>44988</v>
          </cell>
          <cell r="H221">
            <v>44958</v>
          </cell>
          <cell r="L221">
            <v>9619.59</v>
          </cell>
          <cell r="O221" t="str">
            <v>VEN043</v>
          </cell>
          <cell r="P221" t="str">
            <v>Sierra Wireless</v>
          </cell>
        </row>
        <row r="222">
          <cell r="B222" t="str">
            <v>Bill</v>
          </cell>
          <cell r="C222">
            <v>28186200597</v>
          </cell>
          <cell r="F222">
            <v>44982</v>
          </cell>
          <cell r="H222">
            <v>44952</v>
          </cell>
          <cell r="L222">
            <v>109.31</v>
          </cell>
          <cell r="O222" t="str">
            <v>VEN041</v>
          </cell>
          <cell r="P222" t="str">
            <v>Swire Coca-Cola, USA</v>
          </cell>
        </row>
        <row r="223">
          <cell r="B223" t="str">
            <v>Bill</v>
          </cell>
          <cell r="C223">
            <v>28186200700</v>
          </cell>
          <cell r="F223">
            <v>44989</v>
          </cell>
          <cell r="H223">
            <v>44959</v>
          </cell>
          <cell r="L223">
            <v>423.55</v>
          </cell>
          <cell r="O223" t="str">
            <v>VEN041</v>
          </cell>
          <cell r="P223" t="str">
            <v>Swire Coca-Cola, USA</v>
          </cell>
        </row>
        <row r="224">
          <cell r="B224" t="str">
            <v>Bill</v>
          </cell>
          <cell r="C224">
            <v>501035740</v>
          </cell>
          <cell r="F224">
            <v>44996</v>
          </cell>
          <cell r="H224">
            <v>44966</v>
          </cell>
          <cell r="L224">
            <v>23.04</v>
          </cell>
          <cell r="O224" t="str">
            <v>VEN041</v>
          </cell>
          <cell r="P224" t="str">
            <v>Swire Coca-Cola, USA</v>
          </cell>
        </row>
        <row r="225">
          <cell r="B225" t="str">
            <v>Bill</v>
          </cell>
          <cell r="C225">
            <v>13353223751</v>
          </cell>
          <cell r="F225">
            <v>44974</v>
          </cell>
          <cell r="H225">
            <v>44974</v>
          </cell>
          <cell r="L225">
            <v>1.42</v>
          </cell>
          <cell r="O225" t="str">
            <v>VEN041</v>
          </cell>
          <cell r="P225" t="str">
            <v>Swire Coca-Cola, USA</v>
          </cell>
        </row>
        <row r="226">
          <cell r="B226" t="str">
            <v>Bill</v>
          </cell>
          <cell r="C226">
            <v>28186200891</v>
          </cell>
          <cell r="F226">
            <v>45003</v>
          </cell>
          <cell r="H226">
            <v>44973</v>
          </cell>
          <cell r="L226">
            <v>171.28</v>
          </cell>
          <cell r="O226" t="str">
            <v>VEN041</v>
          </cell>
          <cell r="P226" t="str">
            <v>Swire Coca-Cola, USA</v>
          </cell>
        </row>
        <row r="227">
          <cell r="B227" t="str">
            <v>Bill</v>
          </cell>
          <cell r="C227">
            <v>9833107379</v>
          </cell>
          <cell r="F227">
            <v>44988</v>
          </cell>
          <cell r="H227">
            <v>44958</v>
          </cell>
          <cell r="L227">
            <v>17565.71</v>
          </cell>
          <cell r="O227" t="str">
            <v>VEN053</v>
          </cell>
          <cell r="P227" t="str">
            <v>Telit IoT Solutions, LLC</v>
          </cell>
        </row>
        <row r="228">
          <cell r="B228" t="str">
            <v>Bill</v>
          </cell>
          <cell r="C228" t="str">
            <v>NC17</v>
          </cell>
          <cell r="F228">
            <v>44997</v>
          </cell>
          <cell r="H228">
            <v>44967</v>
          </cell>
          <cell r="L228">
            <v>375</v>
          </cell>
          <cell r="O228" t="str">
            <v>VEN054</v>
          </cell>
          <cell r="P228" t="str">
            <v>Thomas Birnbaum, P.E.</v>
          </cell>
        </row>
        <row r="229">
          <cell r="B229" t="str">
            <v>Bill</v>
          </cell>
          <cell r="C229" t="str">
            <v>P063</v>
          </cell>
          <cell r="F229">
            <v>44968</v>
          </cell>
          <cell r="H229">
            <v>44968</v>
          </cell>
          <cell r="L229">
            <v>3.7</v>
          </cell>
          <cell r="O229" t="str">
            <v>VEN055</v>
          </cell>
          <cell r="P229" t="str">
            <v>UPS</v>
          </cell>
        </row>
        <row r="230">
          <cell r="B230" t="str">
            <v>Bill</v>
          </cell>
          <cell r="C230">
            <v>45359</v>
          </cell>
          <cell r="F230">
            <v>44987</v>
          </cell>
          <cell r="H230">
            <v>44957</v>
          </cell>
          <cell r="L230">
            <v>69.03</v>
          </cell>
          <cell r="O230" t="str">
            <v>VEN038</v>
          </cell>
          <cell r="P230" t="str">
            <v>Victig</v>
          </cell>
        </row>
        <row r="233">
          <cell r="B233" t="str">
            <v>Bill</v>
          </cell>
          <cell r="C233" t="str">
            <v>PO 1857</v>
          </cell>
          <cell r="H233">
            <v>44935</v>
          </cell>
          <cell r="L233">
            <v>298840</v>
          </cell>
          <cell r="O233" t="str">
            <v>VEN026</v>
          </cell>
          <cell r="P233" t="str">
            <v>SoQ Sourcing, LLC</v>
          </cell>
        </row>
        <row r="234">
          <cell r="B234" t="str">
            <v>Bill</v>
          </cell>
          <cell r="C234" t="str">
            <v>1.11.2023</v>
          </cell>
          <cell r="H234">
            <v>44937</v>
          </cell>
          <cell r="L234">
            <v>324</v>
          </cell>
          <cell r="O234" t="str">
            <v>VEN026</v>
          </cell>
          <cell r="P234" t="str">
            <v>SoQ Sourcing, LLC</v>
          </cell>
        </row>
        <row r="235">
          <cell r="B235" t="str">
            <v>Bill</v>
          </cell>
          <cell r="C235" t="str">
            <v>PO 1936</v>
          </cell>
          <cell r="H235">
            <v>44943</v>
          </cell>
          <cell r="L235">
            <v>116280</v>
          </cell>
          <cell r="O235" t="str">
            <v>VEN026</v>
          </cell>
          <cell r="P235" t="str">
            <v>SoQ Sourcing, LLC</v>
          </cell>
        </row>
        <row r="236">
          <cell r="B236" t="str">
            <v>Bill</v>
          </cell>
          <cell r="C236">
            <v>1182023</v>
          </cell>
          <cell r="H236">
            <v>44944</v>
          </cell>
          <cell r="L236">
            <v>19998</v>
          </cell>
          <cell r="O236" t="str">
            <v>VEN026</v>
          </cell>
          <cell r="P236" t="str">
            <v>SoQ Sourcing, LLC</v>
          </cell>
        </row>
        <row r="237">
          <cell r="B237" t="str">
            <v>Bill</v>
          </cell>
          <cell r="C237" t="str">
            <v>01182023-3</v>
          </cell>
          <cell r="H237">
            <v>44944</v>
          </cell>
          <cell r="L237">
            <v>35100</v>
          </cell>
          <cell r="O237" t="str">
            <v>VEN026</v>
          </cell>
          <cell r="P237" t="str">
            <v>SoQ Sourcing, LLC</v>
          </cell>
        </row>
        <row r="238">
          <cell r="B238" t="str">
            <v>Bill</v>
          </cell>
          <cell r="C238" t="str">
            <v>01182023-4</v>
          </cell>
          <cell r="H238">
            <v>44944</v>
          </cell>
          <cell r="L238">
            <v>7020</v>
          </cell>
          <cell r="O238" t="str">
            <v>VEN026</v>
          </cell>
          <cell r="P238" t="str">
            <v>SoQ Sourcing, LLC</v>
          </cell>
        </row>
        <row r="239">
          <cell r="B239" t="str">
            <v>Bill</v>
          </cell>
          <cell r="C239" t="str">
            <v>01182023-7</v>
          </cell>
          <cell r="H239">
            <v>44944</v>
          </cell>
          <cell r="L239">
            <v>90</v>
          </cell>
          <cell r="O239" t="str">
            <v>VEN026</v>
          </cell>
          <cell r="P239" t="str">
            <v>SoQ Sourcing, LLC</v>
          </cell>
        </row>
        <row r="240">
          <cell r="B240" t="str">
            <v>Bill</v>
          </cell>
          <cell r="C240" t="str">
            <v>PO 1837</v>
          </cell>
          <cell r="H240">
            <v>44956</v>
          </cell>
          <cell r="L240">
            <v>111458</v>
          </cell>
          <cell r="O240" t="str">
            <v>VEN026</v>
          </cell>
          <cell r="P240" t="str">
            <v>SoQ Sourcing, LLC</v>
          </cell>
        </row>
        <row r="241">
          <cell r="B241" t="str">
            <v>Bill</v>
          </cell>
          <cell r="C241" t="str">
            <v>01312023-2</v>
          </cell>
          <cell r="H241">
            <v>44957</v>
          </cell>
          <cell r="L241">
            <v>406.4</v>
          </cell>
          <cell r="O241" t="str">
            <v>VEN026</v>
          </cell>
          <cell r="P241" t="str">
            <v>SoQ Sourcing, LLC</v>
          </cell>
        </row>
        <row r="242">
          <cell r="B242" t="str">
            <v>Bill</v>
          </cell>
          <cell r="C242" t="str">
            <v>01312023-3</v>
          </cell>
          <cell r="H242">
            <v>44957</v>
          </cell>
          <cell r="L242">
            <v>1000</v>
          </cell>
          <cell r="O242" t="str">
            <v>VEN026</v>
          </cell>
          <cell r="P242" t="str">
            <v>SoQ Sourcing, LLC</v>
          </cell>
        </row>
        <row r="243">
          <cell r="B243" t="str">
            <v>Bill</v>
          </cell>
          <cell r="C243" t="str">
            <v>02152023-1</v>
          </cell>
          <cell r="H243">
            <v>44972</v>
          </cell>
          <cell r="L243">
            <v>15480</v>
          </cell>
          <cell r="O243" t="str">
            <v>VEN026</v>
          </cell>
          <cell r="P243" t="str">
            <v>SoQ Sourcing, LLC</v>
          </cell>
        </row>
        <row r="244">
          <cell r="B244" t="str">
            <v>Bill</v>
          </cell>
          <cell r="C244" t="str">
            <v>02152023-2</v>
          </cell>
          <cell r="H244">
            <v>44972</v>
          </cell>
          <cell r="L244">
            <v>765</v>
          </cell>
          <cell r="O244" t="str">
            <v>VEN026</v>
          </cell>
          <cell r="P244" t="str">
            <v>SoQ Sourcing, LLC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dors"/>
    </sheetNames>
    <sheetDataSet>
      <sheetData sheetId="0">
        <row r="1">
          <cell r="A1" t="str">
            <v>ID</v>
          </cell>
          <cell r="B1" t="str">
            <v>Internal ID</v>
          </cell>
        </row>
        <row r="2">
          <cell r="A2" t="str">
            <v>VEN055</v>
          </cell>
          <cell r="B2">
            <v>134</v>
          </cell>
        </row>
        <row r="3">
          <cell r="A3" t="str">
            <v>VEN054</v>
          </cell>
          <cell r="B3">
            <v>133</v>
          </cell>
        </row>
        <row r="4">
          <cell r="A4" t="str">
            <v>VEN053</v>
          </cell>
          <cell r="B4">
            <v>132</v>
          </cell>
        </row>
        <row r="5">
          <cell r="A5" t="str">
            <v>VEN052</v>
          </cell>
          <cell r="B5">
            <v>131</v>
          </cell>
        </row>
        <row r="6">
          <cell r="A6" t="str">
            <v>VEN051</v>
          </cell>
          <cell r="B6">
            <v>130</v>
          </cell>
        </row>
        <row r="7">
          <cell r="A7" t="str">
            <v>VEN050</v>
          </cell>
          <cell r="B7">
            <v>128</v>
          </cell>
        </row>
        <row r="8">
          <cell r="A8" t="str">
            <v>VEN049</v>
          </cell>
          <cell r="B8">
            <v>127</v>
          </cell>
        </row>
        <row r="9">
          <cell r="A9" t="str">
            <v>VEN048</v>
          </cell>
          <cell r="B9">
            <v>117</v>
          </cell>
        </row>
        <row r="10">
          <cell r="A10" t="str">
            <v>VEN047</v>
          </cell>
          <cell r="B10">
            <v>116</v>
          </cell>
        </row>
        <row r="11">
          <cell r="A11" t="str">
            <v>VEN046</v>
          </cell>
          <cell r="B11">
            <v>115</v>
          </cell>
        </row>
        <row r="12">
          <cell r="A12" t="str">
            <v>VEN045</v>
          </cell>
          <cell r="B12">
            <v>114</v>
          </cell>
        </row>
        <row r="13">
          <cell r="A13" t="str">
            <v>VEN044</v>
          </cell>
          <cell r="B13">
            <v>113</v>
          </cell>
        </row>
        <row r="14">
          <cell r="A14" t="str">
            <v>VEN043</v>
          </cell>
          <cell r="B14">
            <v>112</v>
          </cell>
        </row>
        <row r="15">
          <cell r="A15" t="str">
            <v>VEN042</v>
          </cell>
          <cell r="B15">
            <v>111</v>
          </cell>
        </row>
        <row r="16">
          <cell r="A16" t="str">
            <v>VEN041</v>
          </cell>
          <cell r="B16">
            <v>110</v>
          </cell>
        </row>
        <row r="17">
          <cell r="A17" t="str">
            <v>VEN040</v>
          </cell>
          <cell r="B17">
            <v>109</v>
          </cell>
        </row>
        <row r="18">
          <cell r="A18" t="str">
            <v>VEN039</v>
          </cell>
          <cell r="B18">
            <v>108</v>
          </cell>
        </row>
        <row r="19">
          <cell r="A19" t="str">
            <v>VEN038</v>
          </cell>
          <cell r="B19">
            <v>107</v>
          </cell>
        </row>
        <row r="20">
          <cell r="A20" t="str">
            <v>VEN037</v>
          </cell>
          <cell r="B20">
            <v>105</v>
          </cell>
        </row>
        <row r="21">
          <cell r="A21" t="str">
            <v>VEN036</v>
          </cell>
          <cell r="B21">
            <v>104</v>
          </cell>
        </row>
        <row r="22">
          <cell r="A22" t="str">
            <v>VEN035</v>
          </cell>
          <cell r="B22">
            <v>85</v>
          </cell>
        </row>
        <row r="23">
          <cell r="A23" t="str">
            <v>VEN034</v>
          </cell>
          <cell r="B23">
            <v>84</v>
          </cell>
        </row>
        <row r="24">
          <cell r="A24" t="str">
            <v>VEN033</v>
          </cell>
          <cell r="B24">
            <v>83</v>
          </cell>
        </row>
        <row r="25">
          <cell r="A25" t="str">
            <v>VEN032</v>
          </cell>
          <cell r="B25">
            <v>82</v>
          </cell>
        </row>
        <row r="26">
          <cell r="A26" t="str">
            <v>VEN031</v>
          </cell>
          <cell r="B26">
            <v>81</v>
          </cell>
        </row>
        <row r="27">
          <cell r="A27" t="str">
            <v>VEN030</v>
          </cell>
          <cell r="B27">
            <v>80</v>
          </cell>
        </row>
        <row r="28">
          <cell r="A28" t="str">
            <v>VEN029</v>
          </cell>
          <cell r="B28">
            <v>76</v>
          </cell>
        </row>
        <row r="29">
          <cell r="A29" t="str">
            <v>VEN028</v>
          </cell>
          <cell r="B29">
            <v>54</v>
          </cell>
        </row>
        <row r="30">
          <cell r="A30" t="str">
            <v>VEN027</v>
          </cell>
          <cell r="B30">
            <v>53</v>
          </cell>
        </row>
        <row r="31">
          <cell r="A31" t="str">
            <v>VEN026</v>
          </cell>
          <cell r="B31">
            <v>52</v>
          </cell>
        </row>
        <row r="32">
          <cell r="A32" t="str">
            <v>VEN024</v>
          </cell>
          <cell r="B32">
            <v>50</v>
          </cell>
        </row>
        <row r="33">
          <cell r="A33" t="str">
            <v>VEN023</v>
          </cell>
          <cell r="B33">
            <v>49</v>
          </cell>
        </row>
        <row r="34">
          <cell r="A34" t="str">
            <v>VEN022</v>
          </cell>
          <cell r="B34">
            <v>48</v>
          </cell>
        </row>
        <row r="35">
          <cell r="A35" t="str">
            <v>VEN021</v>
          </cell>
          <cell r="B35">
            <v>47</v>
          </cell>
        </row>
        <row r="36">
          <cell r="A36" t="str">
            <v>VEN020</v>
          </cell>
          <cell r="B36">
            <v>46</v>
          </cell>
        </row>
        <row r="37">
          <cell r="A37" t="str">
            <v>VEN019</v>
          </cell>
          <cell r="B37">
            <v>45</v>
          </cell>
        </row>
        <row r="38">
          <cell r="A38" t="str">
            <v>VEN018</v>
          </cell>
          <cell r="B38">
            <v>44</v>
          </cell>
        </row>
        <row r="39">
          <cell r="A39" t="str">
            <v>VEN017</v>
          </cell>
          <cell r="B39">
            <v>43</v>
          </cell>
        </row>
        <row r="40">
          <cell r="A40" t="str">
            <v>VEN001</v>
          </cell>
          <cell r="B40">
            <v>26</v>
          </cell>
        </row>
        <row r="41">
          <cell r="A41" t="str">
            <v>VEN015</v>
          </cell>
          <cell r="B41">
            <v>24</v>
          </cell>
        </row>
        <row r="42">
          <cell r="A42" t="str">
            <v>VEN014</v>
          </cell>
          <cell r="B42">
            <v>23</v>
          </cell>
        </row>
        <row r="43">
          <cell r="A43" t="str">
            <v>VEN013</v>
          </cell>
          <cell r="B43">
            <v>22</v>
          </cell>
        </row>
        <row r="44">
          <cell r="A44" t="str">
            <v>VEN012</v>
          </cell>
          <cell r="B44">
            <v>21</v>
          </cell>
        </row>
        <row r="45">
          <cell r="A45" t="str">
            <v>VEN011</v>
          </cell>
          <cell r="B45">
            <v>20</v>
          </cell>
        </row>
        <row r="46">
          <cell r="A46" t="str">
            <v>VEN010</v>
          </cell>
          <cell r="B46">
            <v>19</v>
          </cell>
        </row>
        <row r="47">
          <cell r="A47" t="str">
            <v>VEN009</v>
          </cell>
          <cell r="B47">
            <v>18</v>
          </cell>
        </row>
        <row r="48">
          <cell r="A48" t="str">
            <v>VEN008</v>
          </cell>
          <cell r="B48">
            <v>17</v>
          </cell>
        </row>
        <row r="49">
          <cell r="A49" t="str">
            <v>VEN007</v>
          </cell>
          <cell r="B49">
            <v>16</v>
          </cell>
        </row>
        <row r="50">
          <cell r="A50" t="str">
            <v>VEN006</v>
          </cell>
          <cell r="B50">
            <v>15</v>
          </cell>
        </row>
        <row r="51">
          <cell r="A51" t="str">
            <v>VEN005</v>
          </cell>
          <cell r="B51">
            <v>14</v>
          </cell>
        </row>
        <row r="52">
          <cell r="A52" t="str">
            <v>VEN004</v>
          </cell>
          <cell r="B52">
            <v>13</v>
          </cell>
        </row>
        <row r="53">
          <cell r="A53" t="str">
            <v>VEN002</v>
          </cell>
          <cell r="B53">
            <v>2</v>
          </cell>
        </row>
        <row r="54">
          <cell r="A54" t="str">
            <v>-Accountant-</v>
          </cell>
          <cell r="B54">
            <v>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3"/>
  <sheetViews>
    <sheetView tabSelected="1" topLeftCell="C215" workbookViewId="0">
      <selection activeCell="B22" sqref="B22"/>
    </sheetView>
  </sheetViews>
  <sheetFormatPr defaultColWidth="12.6640625" defaultRowHeight="14.4" x14ac:dyDescent="0.3"/>
  <cols>
    <col min="1" max="1" width="18.44140625" customWidth="1"/>
    <col min="2" max="2" width="27.109375" customWidth="1"/>
    <col min="3" max="3" width="42.44140625" customWidth="1"/>
    <col min="4" max="6" width="16.44140625" customWidth="1"/>
    <col min="7" max="7" width="38.109375" customWidth="1"/>
    <col min="8" max="8" width="47" customWidth="1"/>
    <col min="9" max="9" width="35.77734375" customWidth="1"/>
    <col min="10" max="10" width="40.44140625" customWidth="1"/>
    <col min="11" max="11" width="48.44140625" customWidth="1"/>
    <col min="12" max="12" width="26.44140625" customWidth="1"/>
    <col min="13" max="13" width="27.44140625" customWidth="1"/>
    <col min="14" max="14" width="31.44140625" customWidth="1"/>
    <col min="15" max="15" width="30" customWidth="1"/>
    <col min="16" max="16" width="31.44140625" customWidth="1"/>
    <col min="17" max="27" width="18.44140625" customWidth="1"/>
  </cols>
  <sheetData>
    <row r="1" spans="1:27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2" t="s">
        <v>4</v>
      </c>
      <c r="G1" s="2" t="s">
        <v>5</v>
      </c>
      <c r="H1" s="1" t="s">
        <v>6</v>
      </c>
      <c r="I1" s="1" t="s">
        <v>7</v>
      </c>
      <c r="J1" s="2" t="s">
        <v>8</v>
      </c>
      <c r="K1" s="3" t="s">
        <v>9</v>
      </c>
      <c r="L1" s="2" t="s">
        <v>10</v>
      </c>
      <c r="M1" s="1" t="s">
        <v>11</v>
      </c>
      <c r="N1" s="2" t="s">
        <v>12</v>
      </c>
      <c r="O1" s="2" t="s">
        <v>13</v>
      </c>
      <c r="P1" s="1" t="s">
        <v>14</v>
      </c>
      <c r="Q1" s="1" t="s">
        <v>15</v>
      </c>
      <c r="R1" s="1" t="s">
        <v>16</v>
      </c>
      <c r="S1" s="2"/>
      <c r="T1" s="2"/>
      <c r="U1" s="2"/>
      <c r="V1" s="2"/>
      <c r="W1" s="2"/>
      <c r="X1" s="2"/>
      <c r="Y1" s="2"/>
      <c r="Z1" s="2"/>
      <c r="AA1" s="2"/>
    </row>
    <row r="2" spans="1:27" ht="12.75" customHeight="1" x14ac:dyDescent="0.3">
      <c r="A2" s="1" t="s">
        <v>17</v>
      </c>
      <c r="B2" s="1" t="s">
        <v>18</v>
      </c>
      <c r="C2" s="1" t="s">
        <v>19</v>
      </c>
      <c r="D2" s="1"/>
      <c r="E2" s="1"/>
      <c r="F2" s="2" t="s">
        <v>20</v>
      </c>
      <c r="G2" s="2" t="s">
        <v>21</v>
      </c>
      <c r="H2" s="1" t="s">
        <v>6</v>
      </c>
      <c r="I2" s="1" t="s">
        <v>22</v>
      </c>
      <c r="J2" s="2" t="s">
        <v>23</v>
      </c>
      <c r="K2" s="3" t="s">
        <v>24</v>
      </c>
      <c r="L2" s="2" t="s">
        <v>25</v>
      </c>
      <c r="M2" s="1" t="s">
        <v>26</v>
      </c>
      <c r="N2" s="2" t="s">
        <v>27</v>
      </c>
      <c r="O2" s="2" t="s">
        <v>28</v>
      </c>
      <c r="P2" s="1" t="s">
        <v>29</v>
      </c>
      <c r="Q2" s="1" t="s">
        <v>30</v>
      </c>
      <c r="R2" s="1" t="s">
        <v>31</v>
      </c>
      <c r="S2" s="2"/>
      <c r="T2" s="2"/>
      <c r="U2" s="2"/>
      <c r="V2" s="2"/>
      <c r="W2" s="2"/>
      <c r="X2" s="2"/>
      <c r="Y2" s="2"/>
      <c r="Z2" s="2"/>
      <c r="AA2" s="2"/>
    </row>
    <row r="3" spans="1:27" ht="12.75" customHeight="1" x14ac:dyDescent="0.3">
      <c r="A3" s="2" t="str">
        <f>'[1]QB Pull'!B2</f>
        <v>Bill</v>
      </c>
      <c r="B3" s="6">
        <f>'[1]QB Pull'!C2</f>
        <v>2748</v>
      </c>
      <c r="C3" s="2" t="str">
        <f>'[1]QB Pull'!P2</f>
        <v>Aerel Design, Inc</v>
      </c>
      <c r="D3" s="2" t="str">
        <f>'[1]QB Pull'!O2</f>
        <v>VEN046</v>
      </c>
      <c r="E3" s="2">
        <f>VLOOKUP(D:D,[2]Vendors!$A:$B,2,0)</f>
        <v>115</v>
      </c>
      <c r="F3" s="2"/>
      <c r="G3" s="6">
        <v>2</v>
      </c>
      <c r="H3" s="7" t="s">
        <v>32</v>
      </c>
      <c r="I3" s="8">
        <v>1</v>
      </c>
      <c r="J3" s="9">
        <f>'[1]QB Pull'!F2</f>
        <v>44990</v>
      </c>
      <c r="K3" s="5" t="s">
        <v>33</v>
      </c>
      <c r="L3" s="4"/>
      <c r="M3" s="10">
        <f>'[1]QB Pull'!H2</f>
        <v>44960</v>
      </c>
      <c r="N3" s="2"/>
      <c r="O3" s="2">
        <v>1</v>
      </c>
      <c r="P3" s="11">
        <f>'[1]QB Pull'!L2</f>
        <v>12075</v>
      </c>
      <c r="Q3" s="11">
        <f t="shared" ref="Q3:Q66" si="0">O3*P3</f>
        <v>12075</v>
      </c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x14ac:dyDescent="0.3">
      <c r="A4" s="2" t="str">
        <f>'[1]QB Pull'!B3</f>
        <v>Bill</v>
      </c>
      <c r="B4" s="6" t="str">
        <f>'[1]QB Pull'!C3</f>
        <v>S01544604</v>
      </c>
      <c r="C4" s="2" t="str">
        <f>'[1]QB Pull'!P3</f>
        <v>AIT Worldwide Logistics, Inc</v>
      </c>
      <c r="D4" s="2" t="str">
        <f>'[1]QB Pull'!O3</f>
        <v>VEN036</v>
      </c>
      <c r="E4" s="2">
        <f>VLOOKUP(D:D,[2]Vendors!$A:$B,2,0)</f>
        <v>104</v>
      </c>
      <c r="F4" s="2"/>
      <c r="G4" s="6">
        <v>2</v>
      </c>
      <c r="H4" s="7" t="s">
        <v>32</v>
      </c>
      <c r="I4" s="8">
        <v>1</v>
      </c>
      <c r="J4" s="9">
        <f>'[1]QB Pull'!F3</f>
        <v>44995</v>
      </c>
      <c r="K4" s="5" t="s">
        <v>33</v>
      </c>
      <c r="L4" s="4"/>
      <c r="M4" s="10">
        <f>'[1]QB Pull'!H3</f>
        <v>44965</v>
      </c>
      <c r="N4" s="2"/>
      <c r="O4" s="2">
        <v>1</v>
      </c>
      <c r="P4" s="11">
        <f>'[1]QB Pull'!L3</f>
        <v>1409.9</v>
      </c>
      <c r="Q4" s="11">
        <f t="shared" si="0"/>
        <v>1409.9</v>
      </c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x14ac:dyDescent="0.3">
      <c r="A5" s="2" t="str">
        <f>'[1]QB Pull'!B4</f>
        <v>Bill</v>
      </c>
      <c r="B5" s="6" t="str">
        <f>'[1]QB Pull'!C4</f>
        <v>S01547530</v>
      </c>
      <c r="C5" s="2" t="str">
        <f>'[1]QB Pull'!P4</f>
        <v>AIT Worldwide Logistics, Inc</v>
      </c>
      <c r="D5" s="2" t="str">
        <f>'[1]QB Pull'!O4</f>
        <v>VEN036</v>
      </c>
      <c r="E5" s="2">
        <f>VLOOKUP(D:D,[2]Vendors!$A:$B,2,0)</f>
        <v>104</v>
      </c>
      <c r="F5" s="2"/>
      <c r="G5" s="6">
        <v>2</v>
      </c>
      <c r="H5" s="7" t="s">
        <v>32</v>
      </c>
      <c r="I5" s="8">
        <v>1</v>
      </c>
      <c r="J5" s="9">
        <f>'[1]QB Pull'!F4</f>
        <v>45001</v>
      </c>
      <c r="K5" s="5" t="s">
        <v>33</v>
      </c>
      <c r="L5" s="4"/>
      <c r="M5" s="10">
        <f>'[1]QB Pull'!H4</f>
        <v>44971</v>
      </c>
      <c r="N5" s="2"/>
      <c r="O5" s="2">
        <v>1</v>
      </c>
      <c r="P5" s="11">
        <f>'[1]QB Pull'!L4</f>
        <v>844.1</v>
      </c>
      <c r="Q5" s="11">
        <f t="shared" si="0"/>
        <v>844.1</v>
      </c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x14ac:dyDescent="0.3">
      <c r="A6" s="2" t="str">
        <f>'[1]QB Pull'!B5</f>
        <v>Bill</v>
      </c>
      <c r="B6" s="6">
        <f>'[1]QB Pull'!C5</f>
        <v>107843</v>
      </c>
      <c r="C6" s="2" t="str">
        <f>'[1]QB Pull'!P5</f>
        <v>ARCCA</v>
      </c>
      <c r="D6" s="2" t="str">
        <f>'[1]QB Pull'!O5</f>
        <v>VEN048</v>
      </c>
      <c r="E6" s="2">
        <f>VLOOKUP(D:D,[2]Vendors!$A:$B,2,0)</f>
        <v>117</v>
      </c>
      <c r="F6" s="2"/>
      <c r="G6" s="6">
        <v>2</v>
      </c>
      <c r="H6" s="7" t="s">
        <v>32</v>
      </c>
      <c r="I6" s="8">
        <v>1</v>
      </c>
      <c r="J6" s="9">
        <f>'[1]QB Pull'!F5</f>
        <v>45001</v>
      </c>
      <c r="K6" s="5" t="s">
        <v>33</v>
      </c>
      <c r="L6" s="4"/>
      <c r="M6" s="10">
        <f>'[1]QB Pull'!H5</f>
        <v>44971</v>
      </c>
      <c r="N6" s="2"/>
      <c r="O6" s="2">
        <v>1</v>
      </c>
      <c r="P6" s="11">
        <f>'[1]QB Pull'!L5</f>
        <v>9119.42</v>
      </c>
      <c r="Q6" s="11">
        <f t="shared" si="0"/>
        <v>9119.42</v>
      </c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x14ac:dyDescent="0.3">
      <c r="A7" s="2" t="str">
        <f>'[1]QB Pull'!B6</f>
        <v>Bill</v>
      </c>
      <c r="B7" s="6">
        <f>'[1]QB Pull'!C6</f>
        <v>1627018876</v>
      </c>
      <c r="C7" s="2" t="str">
        <f>'[1]QB Pull'!P6</f>
        <v>Arrow Electronics, Inc</v>
      </c>
      <c r="D7" s="2" t="str">
        <f>'[1]QB Pull'!O6</f>
        <v>VEN006</v>
      </c>
      <c r="E7" s="2">
        <f>VLOOKUP(D:D,[2]Vendors!$A:$B,2,0)</f>
        <v>15</v>
      </c>
      <c r="F7" s="2"/>
      <c r="G7" s="6">
        <v>8</v>
      </c>
      <c r="H7" s="7" t="s">
        <v>32</v>
      </c>
      <c r="I7" s="8">
        <v>1</v>
      </c>
      <c r="J7" s="9">
        <f>'[1]QB Pull'!F6</f>
        <v>44983</v>
      </c>
      <c r="K7" s="5" t="s">
        <v>33</v>
      </c>
      <c r="L7" s="4"/>
      <c r="M7" s="10">
        <f>'[1]QB Pull'!H6</f>
        <v>44868</v>
      </c>
      <c r="N7" s="2"/>
      <c r="O7" s="2">
        <v>1</v>
      </c>
      <c r="P7" s="11">
        <f>'[1]QB Pull'!L6</f>
        <v>3864.57</v>
      </c>
      <c r="Q7" s="11">
        <f t="shared" si="0"/>
        <v>3864.57</v>
      </c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2.75" customHeight="1" x14ac:dyDescent="0.3">
      <c r="A8" s="2" t="str">
        <f>'[1]QB Pull'!B7</f>
        <v>Bill</v>
      </c>
      <c r="B8" s="6">
        <f>'[1]QB Pull'!C7</f>
        <v>1627019098</v>
      </c>
      <c r="C8" s="2" t="str">
        <f>'[1]QB Pull'!P7</f>
        <v>Arrow Electronics, Inc</v>
      </c>
      <c r="D8" s="2" t="str">
        <f>'[1]QB Pull'!O7</f>
        <v>VEN006</v>
      </c>
      <c r="E8" s="2">
        <f>VLOOKUP(D:D,[2]Vendors!$A:$B,2,0)</f>
        <v>15</v>
      </c>
      <c r="F8" s="2"/>
      <c r="G8" s="6">
        <v>8</v>
      </c>
      <c r="H8" s="7" t="s">
        <v>32</v>
      </c>
      <c r="I8" s="8">
        <v>1</v>
      </c>
      <c r="J8" s="9">
        <f>'[1]QB Pull'!F7</f>
        <v>44983</v>
      </c>
      <c r="K8" s="5" t="s">
        <v>33</v>
      </c>
      <c r="L8" s="4"/>
      <c r="M8" s="10">
        <f>'[1]QB Pull'!H7</f>
        <v>44868</v>
      </c>
      <c r="N8" s="2"/>
      <c r="O8" s="2">
        <v>1</v>
      </c>
      <c r="P8" s="11">
        <f>'[1]QB Pull'!L7</f>
        <v>713.83</v>
      </c>
      <c r="Q8" s="11">
        <f t="shared" si="0"/>
        <v>713.83</v>
      </c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2.75" customHeight="1" x14ac:dyDescent="0.3">
      <c r="A9" s="2" t="str">
        <f>'[1]QB Pull'!B8</f>
        <v>Bill</v>
      </c>
      <c r="B9" s="6">
        <f>'[1]QB Pull'!C8</f>
        <v>1627027192</v>
      </c>
      <c r="C9" s="2" t="str">
        <f>'[1]QB Pull'!P8</f>
        <v>Arrow Electronics, Inc</v>
      </c>
      <c r="D9" s="2" t="str">
        <f>'[1]QB Pull'!O8</f>
        <v>VEN006</v>
      </c>
      <c r="E9" s="2">
        <f>VLOOKUP(D:D,[2]Vendors!$A:$B,2,0)</f>
        <v>15</v>
      </c>
      <c r="F9" s="2"/>
      <c r="G9" s="6">
        <v>8</v>
      </c>
      <c r="H9" s="7" t="s">
        <v>32</v>
      </c>
      <c r="I9" s="8">
        <v>1</v>
      </c>
      <c r="J9" s="9">
        <f>'[1]QB Pull'!F8</f>
        <v>44987</v>
      </c>
      <c r="K9" s="5" t="s">
        <v>33</v>
      </c>
      <c r="L9" s="4"/>
      <c r="M9" s="10">
        <f>'[1]QB Pull'!H8</f>
        <v>44872</v>
      </c>
      <c r="N9" s="2"/>
      <c r="O9" s="2">
        <v>1</v>
      </c>
      <c r="P9" s="11">
        <f>'[1]QB Pull'!L8</f>
        <v>642</v>
      </c>
      <c r="Q9" s="11">
        <f t="shared" si="0"/>
        <v>642</v>
      </c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2.75" customHeight="1" x14ac:dyDescent="0.3">
      <c r="A10" s="2" t="str">
        <f>'[1]QB Pull'!B9</f>
        <v>Bill</v>
      </c>
      <c r="B10" s="6">
        <f>'[1]QB Pull'!C9</f>
        <v>1627027193</v>
      </c>
      <c r="C10" s="2" t="str">
        <f>'[1]QB Pull'!P9</f>
        <v>Arrow Electronics, Inc</v>
      </c>
      <c r="D10" s="2" t="str">
        <f>'[1]QB Pull'!O9</f>
        <v>VEN006</v>
      </c>
      <c r="E10" s="2">
        <f>VLOOKUP(D:D,[2]Vendors!$A:$B,2,0)</f>
        <v>15</v>
      </c>
      <c r="F10" s="2"/>
      <c r="G10" s="6">
        <v>8</v>
      </c>
      <c r="H10" s="7" t="s">
        <v>32</v>
      </c>
      <c r="I10" s="8">
        <v>1</v>
      </c>
      <c r="J10" s="9">
        <f>'[1]QB Pull'!F9</f>
        <v>44987</v>
      </c>
      <c r="K10" s="5" t="s">
        <v>33</v>
      </c>
      <c r="L10" s="4"/>
      <c r="M10" s="10">
        <f>'[1]QB Pull'!H9</f>
        <v>44872</v>
      </c>
      <c r="N10" s="2"/>
      <c r="O10" s="2">
        <v>1</v>
      </c>
      <c r="P10" s="11">
        <f>'[1]QB Pull'!L9</f>
        <v>642</v>
      </c>
      <c r="Q10" s="11">
        <f t="shared" si="0"/>
        <v>642</v>
      </c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2.75" customHeight="1" x14ac:dyDescent="0.3">
      <c r="A11" s="2" t="str">
        <f>'[1]QB Pull'!B10</f>
        <v>Bill</v>
      </c>
      <c r="B11" s="6">
        <f>'[1]QB Pull'!C10</f>
        <v>1627027194</v>
      </c>
      <c r="C11" s="2" t="str">
        <f>'[1]QB Pull'!P10</f>
        <v>Arrow Electronics, Inc</v>
      </c>
      <c r="D11" s="2" t="str">
        <f>'[1]QB Pull'!O10</f>
        <v>VEN006</v>
      </c>
      <c r="E11" s="2">
        <f>VLOOKUP(D:D,[2]Vendors!$A:$B,2,0)</f>
        <v>15</v>
      </c>
      <c r="F11" s="2"/>
      <c r="G11" s="6">
        <v>8</v>
      </c>
      <c r="H11" s="7" t="s">
        <v>32</v>
      </c>
      <c r="I11" s="8">
        <v>1</v>
      </c>
      <c r="J11" s="9">
        <f>'[1]QB Pull'!F10</f>
        <v>44987</v>
      </c>
      <c r="K11" s="5" t="s">
        <v>33</v>
      </c>
      <c r="L11" s="4"/>
      <c r="M11" s="10">
        <f>'[1]QB Pull'!H10</f>
        <v>44872</v>
      </c>
      <c r="N11" s="2"/>
      <c r="O11" s="2">
        <v>1</v>
      </c>
      <c r="P11" s="11">
        <f>'[1]QB Pull'!L10</f>
        <v>14782.46</v>
      </c>
      <c r="Q11" s="11">
        <f t="shared" si="0"/>
        <v>14782.46</v>
      </c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2.75" customHeight="1" x14ac:dyDescent="0.3">
      <c r="A12" s="2" t="str">
        <f>'[1]QB Pull'!B11</f>
        <v>Bill</v>
      </c>
      <c r="B12" s="6">
        <f>'[1]QB Pull'!C11</f>
        <v>1627030069</v>
      </c>
      <c r="C12" s="2" t="str">
        <f>'[1]QB Pull'!P11</f>
        <v>Arrow Electronics, Inc</v>
      </c>
      <c r="D12" s="2" t="str">
        <f>'[1]QB Pull'!O11</f>
        <v>VEN006</v>
      </c>
      <c r="E12" s="2">
        <f>VLOOKUP(D:D,[2]Vendors!$A:$B,2,0)</f>
        <v>15</v>
      </c>
      <c r="F12" s="2"/>
      <c r="G12" s="6">
        <v>8</v>
      </c>
      <c r="H12" s="7" t="s">
        <v>32</v>
      </c>
      <c r="I12" s="8">
        <v>1</v>
      </c>
      <c r="J12" s="9">
        <f>'[1]QB Pull'!F11</f>
        <v>44988</v>
      </c>
      <c r="K12" s="5" t="s">
        <v>33</v>
      </c>
      <c r="L12" s="4"/>
      <c r="M12" s="10">
        <f>'[1]QB Pull'!H11</f>
        <v>44873</v>
      </c>
      <c r="N12" s="2"/>
      <c r="O12" s="2">
        <v>1</v>
      </c>
      <c r="P12" s="11">
        <f>'[1]QB Pull'!L11</f>
        <v>672.07</v>
      </c>
      <c r="Q12" s="11">
        <f t="shared" si="0"/>
        <v>672.07</v>
      </c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2.75" customHeight="1" x14ac:dyDescent="0.3">
      <c r="A13" s="2" t="str">
        <f>'[1]QB Pull'!B12</f>
        <v>Bill</v>
      </c>
      <c r="B13" s="6">
        <f>'[1]QB Pull'!C12</f>
        <v>1627030587</v>
      </c>
      <c r="C13" s="2" t="str">
        <f>'[1]QB Pull'!P12</f>
        <v>Arrow Electronics, Inc</v>
      </c>
      <c r="D13" s="2" t="str">
        <f>'[1]QB Pull'!O12</f>
        <v>VEN006</v>
      </c>
      <c r="E13" s="2">
        <f>VLOOKUP(D:D,[2]Vendors!$A:$B,2,0)</f>
        <v>15</v>
      </c>
      <c r="F13" s="2"/>
      <c r="G13" s="6">
        <v>8</v>
      </c>
      <c r="H13" s="7" t="s">
        <v>32</v>
      </c>
      <c r="I13" s="8">
        <v>1</v>
      </c>
      <c r="J13" s="9">
        <f>'[1]QB Pull'!F12</f>
        <v>44988</v>
      </c>
      <c r="K13" s="5" t="s">
        <v>33</v>
      </c>
      <c r="L13" s="4"/>
      <c r="M13" s="10">
        <f>'[1]QB Pull'!H12</f>
        <v>44873</v>
      </c>
      <c r="N13" s="2"/>
      <c r="O13" s="2">
        <v>1</v>
      </c>
      <c r="P13" s="11">
        <f>'[1]QB Pull'!L12</f>
        <v>31.57</v>
      </c>
      <c r="Q13" s="11">
        <f t="shared" si="0"/>
        <v>31.57</v>
      </c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2.75" customHeight="1" x14ac:dyDescent="0.3">
      <c r="A14" s="2" t="str">
        <f>'[1]QB Pull'!B13</f>
        <v>Bill</v>
      </c>
      <c r="B14" s="6">
        <f>'[1]QB Pull'!C13</f>
        <v>1627059542</v>
      </c>
      <c r="C14" s="2" t="str">
        <f>'[1]QB Pull'!P13</f>
        <v>Arrow Electronics, Inc</v>
      </c>
      <c r="D14" s="2" t="str">
        <f>'[1]QB Pull'!O13</f>
        <v>VEN006</v>
      </c>
      <c r="E14" s="2">
        <f>VLOOKUP(D:D,[2]Vendors!$A:$B,2,0)</f>
        <v>15</v>
      </c>
      <c r="F14" s="2"/>
      <c r="G14" s="6">
        <v>8</v>
      </c>
      <c r="H14" s="7" t="s">
        <v>32</v>
      </c>
      <c r="I14" s="8">
        <v>1</v>
      </c>
      <c r="J14" s="9">
        <f>'[1]QB Pull'!F13</f>
        <v>44997</v>
      </c>
      <c r="K14" s="5" t="s">
        <v>33</v>
      </c>
      <c r="L14" s="4"/>
      <c r="M14" s="10">
        <f>'[1]QB Pull'!H13</f>
        <v>44882</v>
      </c>
      <c r="N14" s="2"/>
      <c r="O14" s="2">
        <v>1</v>
      </c>
      <c r="P14" s="11">
        <f>'[1]QB Pull'!L13</f>
        <v>793.49</v>
      </c>
      <c r="Q14" s="11">
        <f t="shared" si="0"/>
        <v>793.49</v>
      </c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2.75" customHeight="1" x14ac:dyDescent="0.3">
      <c r="A15" s="2" t="str">
        <f>'[1]QB Pull'!B14</f>
        <v>Bill</v>
      </c>
      <c r="B15" s="6">
        <f>'[1]QB Pull'!C14</f>
        <v>1627060668</v>
      </c>
      <c r="C15" s="2" t="str">
        <f>'[1]QB Pull'!P14</f>
        <v>Arrow Electronics, Inc</v>
      </c>
      <c r="D15" s="2" t="str">
        <f>'[1]QB Pull'!O14</f>
        <v>VEN006</v>
      </c>
      <c r="E15" s="2">
        <f>VLOOKUP(D:D,[2]Vendors!$A:$B,2,0)</f>
        <v>15</v>
      </c>
      <c r="F15" s="2"/>
      <c r="G15" s="6">
        <v>8</v>
      </c>
      <c r="H15" s="7" t="s">
        <v>32</v>
      </c>
      <c r="I15" s="8">
        <v>1</v>
      </c>
      <c r="J15" s="9">
        <f>'[1]QB Pull'!F14</f>
        <v>45001</v>
      </c>
      <c r="K15" s="5" t="s">
        <v>33</v>
      </c>
      <c r="L15" s="4"/>
      <c r="M15" s="10">
        <f>'[1]QB Pull'!H14</f>
        <v>44886</v>
      </c>
      <c r="N15" s="2"/>
      <c r="O15" s="2">
        <v>1</v>
      </c>
      <c r="P15" s="11">
        <f>'[1]QB Pull'!L14</f>
        <v>350.61</v>
      </c>
      <c r="Q15" s="11">
        <f t="shared" si="0"/>
        <v>350.61</v>
      </c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2.75" customHeight="1" x14ac:dyDescent="0.3">
      <c r="A16" s="2" t="str">
        <f>'[1]QB Pull'!B15</f>
        <v>Bill</v>
      </c>
      <c r="B16" s="6">
        <f>'[1]QB Pull'!C15</f>
        <v>1626994955</v>
      </c>
      <c r="C16" s="2" t="str">
        <f>'[1]QB Pull'!P15</f>
        <v>Arrow Electronics, Inc</v>
      </c>
      <c r="D16" s="2" t="str">
        <f>'[1]QB Pull'!O15</f>
        <v>VEN006</v>
      </c>
      <c r="E16" s="2">
        <f>VLOOKUP(D:D,[2]Vendors!$A:$B,2,0)</f>
        <v>15</v>
      </c>
      <c r="F16" s="2"/>
      <c r="G16" s="6">
        <v>8</v>
      </c>
      <c r="H16" s="7" t="s">
        <v>32</v>
      </c>
      <c r="I16" s="8">
        <v>1</v>
      </c>
      <c r="J16" s="9">
        <f>'[1]QB Pull'!F15</f>
        <v>45001</v>
      </c>
      <c r="K16" s="5" t="s">
        <v>33</v>
      </c>
      <c r="L16" s="4"/>
      <c r="M16" s="10">
        <f>'[1]QB Pull'!H15</f>
        <v>44886</v>
      </c>
      <c r="N16" s="2"/>
      <c r="O16" s="2">
        <v>1</v>
      </c>
      <c r="P16" s="11">
        <f>'[1]QB Pull'!L15</f>
        <v>75.099999999999994</v>
      </c>
      <c r="Q16" s="11">
        <f t="shared" si="0"/>
        <v>75.099999999999994</v>
      </c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2.75" customHeight="1" x14ac:dyDescent="0.3">
      <c r="A17" s="2" t="str">
        <f>'[1]QB Pull'!B16</f>
        <v>Bill</v>
      </c>
      <c r="B17" s="6">
        <f>'[1]QB Pull'!C16</f>
        <v>1627085130</v>
      </c>
      <c r="C17" s="2" t="str">
        <f>'[1]QB Pull'!P16</f>
        <v>Arrow Electronics, Inc</v>
      </c>
      <c r="D17" s="2" t="str">
        <f>'[1]QB Pull'!O16</f>
        <v>VEN006</v>
      </c>
      <c r="E17" s="2">
        <f>VLOOKUP(D:D,[2]Vendors!$A:$B,2,0)</f>
        <v>15</v>
      </c>
      <c r="F17" s="2"/>
      <c r="G17" s="6">
        <v>8</v>
      </c>
      <c r="H17" s="7" t="s">
        <v>32</v>
      </c>
      <c r="I17" s="8">
        <v>1</v>
      </c>
      <c r="J17" s="9">
        <f>'[1]QB Pull'!F16</f>
        <v>45008</v>
      </c>
      <c r="K17" s="5" t="s">
        <v>33</v>
      </c>
      <c r="L17" s="4"/>
      <c r="M17" s="10">
        <f>'[1]QB Pull'!H16</f>
        <v>44893</v>
      </c>
      <c r="N17" s="2"/>
      <c r="O17" s="2">
        <v>1</v>
      </c>
      <c r="P17" s="11">
        <f>'[1]QB Pull'!L16</f>
        <v>43.5</v>
      </c>
      <c r="Q17" s="11">
        <f t="shared" si="0"/>
        <v>43.5</v>
      </c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2.75" customHeight="1" x14ac:dyDescent="0.3">
      <c r="A18" s="2" t="str">
        <f>'[1]QB Pull'!B17</f>
        <v>Bill</v>
      </c>
      <c r="B18" s="6">
        <f>'[1]QB Pull'!C17</f>
        <v>1627085147</v>
      </c>
      <c r="C18" s="2" t="str">
        <f>'[1]QB Pull'!P17</f>
        <v>Arrow Electronics, Inc</v>
      </c>
      <c r="D18" s="2" t="str">
        <f>'[1]QB Pull'!O17</f>
        <v>VEN006</v>
      </c>
      <c r="E18" s="2">
        <f>VLOOKUP(D:D,[2]Vendors!$A:$B,2,0)</f>
        <v>15</v>
      </c>
      <c r="F18" s="2"/>
      <c r="G18" s="6">
        <v>8</v>
      </c>
      <c r="H18" s="7" t="s">
        <v>32</v>
      </c>
      <c r="I18" s="8">
        <v>1</v>
      </c>
      <c r="J18" s="9">
        <f>'[1]QB Pull'!F17</f>
        <v>45008</v>
      </c>
      <c r="K18" s="5" t="s">
        <v>33</v>
      </c>
      <c r="L18" s="4"/>
      <c r="M18" s="10">
        <f>'[1]QB Pull'!H17</f>
        <v>44893</v>
      </c>
      <c r="N18" s="2"/>
      <c r="O18" s="2">
        <v>1</v>
      </c>
      <c r="P18" s="11">
        <f>'[1]QB Pull'!L17</f>
        <v>44550.93</v>
      </c>
      <c r="Q18" s="11">
        <f t="shared" si="0"/>
        <v>44550.93</v>
      </c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2.75" customHeight="1" x14ac:dyDescent="0.3">
      <c r="A19" s="2" t="str">
        <f>'[1]QB Pull'!B18</f>
        <v>Bill</v>
      </c>
      <c r="B19" s="6">
        <f>'[1]QB Pull'!C18</f>
        <v>1627095201</v>
      </c>
      <c r="C19" s="2" t="str">
        <f>'[1]QB Pull'!P18</f>
        <v>Arrow Electronics, Inc</v>
      </c>
      <c r="D19" s="2" t="str">
        <f>'[1]QB Pull'!O18</f>
        <v>VEN006</v>
      </c>
      <c r="E19" s="2">
        <f>VLOOKUP(D:D,[2]Vendors!$A:$B,2,0)</f>
        <v>15</v>
      </c>
      <c r="F19" s="2"/>
      <c r="G19" s="6">
        <v>8</v>
      </c>
      <c r="H19" s="7" t="s">
        <v>32</v>
      </c>
      <c r="I19" s="8">
        <v>1</v>
      </c>
      <c r="J19" s="9">
        <f>'[1]QB Pull'!F18</f>
        <v>45010</v>
      </c>
      <c r="K19" s="5" t="s">
        <v>33</v>
      </c>
      <c r="L19" s="4"/>
      <c r="M19" s="10">
        <f>'[1]QB Pull'!H18</f>
        <v>44895</v>
      </c>
      <c r="N19" s="2"/>
      <c r="O19" s="2">
        <v>1</v>
      </c>
      <c r="P19" s="11">
        <f>'[1]QB Pull'!L18</f>
        <v>2755.71</v>
      </c>
      <c r="Q19" s="11">
        <f t="shared" si="0"/>
        <v>2755.71</v>
      </c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2.75" customHeight="1" x14ac:dyDescent="0.3">
      <c r="A20" s="2" t="str">
        <f>'[1]QB Pull'!B19</f>
        <v>Bill</v>
      </c>
      <c r="B20" s="6">
        <f>'[1]QB Pull'!C19</f>
        <v>1627106266</v>
      </c>
      <c r="C20" s="2" t="str">
        <f>'[1]QB Pull'!P19</f>
        <v>Arrow Electronics, Inc</v>
      </c>
      <c r="D20" s="2" t="str">
        <f>'[1]QB Pull'!O19</f>
        <v>VEN006</v>
      </c>
      <c r="E20" s="2">
        <f>VLOOKUP(D:D,[2]Vendors!$A:$B,2,0)</f>
        <v>15</v>
      </c>
      <c r="F20" s="2"/>
      <c r="G20" s="6">
        <v>8</v>
      </c>
      <c r="H20" s="7" t="s">
        <v>32</v>
      </c>
      <c r="I20" s="8">
        <v>1</v>
      </c>
      <c r="J20" s="9">
        <f>'[1]QB Pull'!F19</f>
        <v>45016</v>
      </c>
      <c r="K20" s="5" t="s">
        <v>33</v>
      </c>
      <c r="L20" s="4"/>
      <c r="M20" s="10">
        <f>'[1]QB Pull'!H19</f>
        <v>44901</v>
      </c>
      <c r="N20" s="2"/>
      <c r="O20" s="2">
        <v>1</v>
      </c>
      <c r="P20" s="11">
        <f>'[1]QB Pull'!L19</f>
        <v>793.43</v>
      </c>
      <c r="Q20" s="11">
        <f t="shared" si="0"/>
        <v>793.43</v>
      </c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2.75" customHeight="1" x14ac:dyDescent="0.3">
      <c r="A21" s="2" t="str">
        <f>'[1]QB Pull'!B20</f>
        <v>Bill</v>
      </c>
      <c r="B21" s="6">
        <f>'[1]QB Pull'!C20</f>
        <v>1627107052</v>
      </c>
      <c r="C21" s="2" t="str">
        <f>'[1]QB Pull'!P20</f>
        <v>Arrow Electronics, Inc</v>
      </c>
      <c r="D21" s="2" t="str">
        <f>'[1]QB Pull'!O20</f>
        <v>VEN006</v>
      </c>
      <c r="E21" s="2">
        <f>VLOOKUP(D:D,[2]Vendors!$A:$B,2,0)</f>
        <v>15</v>
      </c>
      <c r="F21" s="2"/>
      <c r="G21" s="6">
        <v>8</v>
      </c>
      <c r="H21" s="7" t="s">
        <v>32</v>
      </c>
      <c r="I21" s="8">
        <v>1</v>
      </c>
      <c r="J21" s="9">
        <f>'[1]QB Pull'!F20</f>
        <v>45015</v>
      </c>
      <c r="K21" s="5" t="s">
        <v>33</v>
      </c>
      <c r="L21" s="4"/>
      <c r="M21" s="10">
        <f>'[1]QB Pull'!H20</f>
        <v>44900</v>
      </c>
      <c r="N21" s="2"/>
      <c r="O21" s="2">
        <v>1</v>
      </c>
      <c r="P21" s="11">
        <f>'[1]QB Pull'!L20</f>
        <v>1720.9</v>
      </c>
      <c r="Q21" s="11">
        <f t="shared" si="0"/>
        <v>1720.9</v>
      </c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.75" customHeight="1" x14ac:dyDescent="0.3">
      <c r="A22" s="2" t="str">
        <f>'[1]QB Pull'!B21</f>
        <v>Bill</v>
      </c>
      <c r="B22" s="6">
        <f>'[1]QB Pull'!C21</f>
        <v>1627110824</v>
      </c>
      <c r="C22" s="2" t="str">
        <f>'[1]QB Pull'!P21</f>
        <v>Arrow Electronics, Inc</v>
      </c>
      <c r="D22" s="2" t="str">
        <f>'[1]QB Pull'!O21</f>
        <v>VEN006</v>
      </c>
      <c r="E22" s="2">
        <f>VLOOKUP(D:D,[2]Vendors!$A:$B,2,0)</f>
        <v>15</v>
      </c>
      <c r="F22" s="2"/>
      <c r="G22" s="6">
        <v>8</v>
      </c>
      <c r="H22" s="7" t="s">
        <v>32</v>
      </c>
      <c r="I22" s="8">
        <v>1</v>
      </c>
      <c r="J22" s="9">
        <f>'[1]QB Pull'!F21</f>
        <v>45016</v>
      </c>
      <c r="K22" s="5" t="s">
        <v>33</v>
      </c>
      <c r="L22" s="4"/>
      <c r="M22" s="10">
        <f>'[1]QB Pull'!H21</f>
        <v>44901</v>
      </c>
      <c r="N22" s="2"/>
      <c r="O22" s="2">
        <v>1</v>
      </c>
      <c r="P22" s="11">
        <f>'[1]QB Pull'!L21</f>
        <v>14669.74</v>
      </c>
      <c r="Q22" s="11">
        <f t="shared" si="0"/>
        <v>14669.74</v>
      </c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x14ac:dyDescent="0.3">
      <c r="A23" s="2" t="str">
        <f>'[1]QB Pull'!B22</f>
        <v>Bill</v>
      </c>
      <c r="B23" s="6">
        <f>'[1]QB Pull'!C22</f>
        <v>1627128044</v>
      </c>
      <c r="C23" s="2" t="str">
        <f>'[1]QB Pull'!P22</f>
        <v>Arrow Electronics, Inc</v>
      </c>
      <c r="D23" s="2" t="str">
        <f>'[1]QB Pull'!O22</f>
        <v>VEN006</v>
      </c>
      <c r="E23" s="2">
        <f>VLOOKUP(D:D,[2]Vendors!$A:$B,2,0)</f>
        <v>15</v>
      </c>
      <c r="F23" s="2"/>
      <c r="G23" s="6">
        <v>8</v>
      </c>
      <c r="H23" s="7" t="s">
        <v>32</v>
      </c>
      <c r="I23" s="8">
        <v>1</v>
      </c>
      <c r="J23" s="9">
        <f>'[1]QB Pull'!F22</f>
        <v>45022</v>
      </c>
      <c r="K23" s="5" t="s">
        <v>33</v>
      </c>
      <c r="L23" s="4"/>
      <c r="M23" s="10">
        <f>'[1]QB Pull'!H22</f>
        <v>44907</v>
      </c>
      <c r="N23" s="2"/>
      <c r="O23" s="2">
        <v>1</v>
      </c>
      <c r="P23" s="11">
        <f>'[1]QB Pull'!L22</f>
        <v>8757.89</v>
      </c>
      <c r="Q23" s="11">
        <f t="shared" si="0"/>
        <v>8757.89</v>
      </c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x14ac:dyDescent="0.3">
      <c r="A24" s="2" t="str">
        <f>'[1]QB Pull'!B23</f>
        <v>Bill</v>
      </c>
      <c r="B24" s="6">
        <f>'[1]QB Pull'!C23</f>
        <v>1627076705</v>
      </c>
      <c r="C24" s="2" t="str">
        <f>'[1]QB Pull'!P23</f>
        <v>Arrow Electronics, Inc</v>
      </c>
      <c r="D24" s="2" t="str">
        <f>'[1]QB Pull'!O23</f>
        <v>VEN006</v>
      </c>
      <c r="E24" s="2">
        <f>VLOOKUP(D:D,[2]Vendors!$A:$B,2,0)</f>
        <v>15</v>
      </c>
      <c r="F24" s="2"/>
      <c r="G24" s="6">
        <v>8</v>
      </c>
      <c r="H24" s="7" t="s">
        <v>32</v>
      </c>
      <c r="I24" s="8">
        <v>1</v>
      </c>
      <c r="J24" s="9">
        <f>'[1]QB Pull'!F23</f>
        <v>45011</v>
      </c>
      <c r="K24" s="5" t="s">
        <v>33</v>
      </c>
      <c r="L24" s="4"/>
      <c r="M24" s="10">
        <f>'[1]QB Pull'!H23</f>
        <v>44896</v>
      </c>
      <c r="N24" s="2"/>
      <c r="O24" s="2">
        <v>1</v>
      </c>
      <c r="P24" s="11">
        <f>'[1]QB Pull'!L23</f>
        <v>9284.91</v>
      </c>
      <c r="Q24" s="11">
        <f t="shared" si="0"/>
        <v>9284.91</v>
      </c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x14ac:dyDescent="0.3">
      <c r="A25" s="2" t="str">
        <f>'[1]QB Pull'!B24</f>
        <v>Bill</v>
      </c>
      <c r="B25" s="6">
        <f>'[1]QB Pull'!C24</f>
        <v>1627153343</v>
      </c>
      <c r="C25" s="2" t="str">
        <f>'[1]QB Pull'!P24</f>
        <v>Arrow Electronics, Inc</v>
      </c>
      <c r="D25" s="2" t="str">
        <f>'[1]QB Pull'!O24</f>
        <v>VEN006</v>
      </c>
      <c r="E25" s="2">
        <f>VLOOKUP(D:D,[2]Vendors!$A:$B,2,0)</f>
        <v>15</v>
      </c>
      <c r="F25" s="2"/>
      <c r="G25" s="6">
        <v>8</v>
      </c>
      <c r="H25" s="7" t="s">
        <v>32</v>
      </c>
      <c r="I25" s="8">
        <v>1</v>
      </c>
      <c r="J25" s="9">
        <f>'[1]QB Pull'!F24</f>
        <v>45031</v>
      </c>
      <c r="K25" s="5" t="s">
        <v>33</v>
      </c>
      <c r="L25" s="4"/>
      <c r="M25" s="10">
        <f>'[1]QB Pull'!H24</f>
        <v>44916</v>
      </c>
      <c r="N25" s="2"/>
      <c r="O25" s="2">
        <v>1</v>
      </c>
      <c r="P25" s="11">
        <f>'[1]QB Pull'!L24</f>
        <v>314.95999999999998</v>
      </c>
      <c r="Q25" s="11">
        <f t="shared" si="0"/>
        <v>314.95999999999998</v>
      </c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x14ac:dyDescent="0.3">
      <c r="A26" s="2" t="str">
        <f>'[1]QB Pull'!B25</f>
        <v>Bill</v>
      </c>
      <c r="B26" s="6">
        <f>'[1]QB Pull'!C25</f>
        <v>1627155032</v>
      </c>
      <c r="C26" s="2" t="str">
        <f>'[1]QB Pull'!P25</f>
        <v>Arrow Electronics, Inc</v>
      </c>
      <c r="D26" s="2" t="str">
        <f>'[1]QB Pull'!O25</f>
        <v>VEN006</v>
      </c>
      <c r="E26" s="2">
        <f>VLOOKUP(D:D,[2]Vendors!$A:$B,2,0)</f>
        <v>15</v>
      </c>
      <c r="F26" s="2"/>
      <c r="G26" s="6">
        <v>8</v>
      </c>
      <c r="H26" s="7" t="s">
        <v>32</v>
      </c>
      <c r="I26" s="8">
        <v>1</v>
      </c>
      <c r="J26" s="9">
        <f>'[1]QB Pull'!F25</f>
        <v>45031</v>
      </c>
      <c r="K26" s="5" t="s">
        <v>33</v>
      </c>
      <c r="L26" s="4"/>
      <c r="M26" s="10">
        <f>'[1]QB Pull'!H25</f>
        <v>44916</v>
      </c>
      <c r="N26" s="2"/>
      <c r="O26" s="2">
        <v>1</v>
      </c>
      <c r="P26" s="11">
        <f>'[1]QB Pull'!L25</f>
        <v>415.42</v>
      </c>
      <c r="Q26" s="11">
        <f t="shared" si="0"/>
        <v>415.42</v>
      </c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x14ac:dyDescent="0.3">
      <c r="A27" s="2" t="str">
        <f>'[1]QB Pull'!B26</f>
        <v>Bill</v>
      </c>
      <c r="B27" s="6">
        <f>'[1]QB Pull'!C26</f>
        <v>1627155154</v>
      </c>
      <c r="C27" s="2" t="str">
        <f>'[1]QB Pull'!P26</f>
        <v>Arrow Electronics, Inc</v>
      </c>
      <c r="D27" s="2" t="str">
        <f>'[1]QB Pull'!O26</f>
        <v>VEN006</v>
      </c>
      <c r="E27" s="2">
        <f>VLOOKUP(D:D,[2]Vendors!$A:$B,2,0)</f>
        <v>15</v>
      </c>
      <c r="F27" s="2"/>
      <c r="G27" s="6">
        <v>8</v>
      </c>
      <c r="H27" s="7" t="s">
        <v>32</v>
      </c>
      <c r="I27" s="8">
        <v>1</v>
      </c>
      <c r="J27" s="9">
        <f>'[1]QB Pull'!F26</f>
        <v>45030</v>
      </c>
      <c r="K27" s="5" t="s">
        <v>33</v>
      </c>
      <c r="L27" s="4"/>
      <c r="M27" s="10">
        <f>'[1]QB Pull'!H26</f>
        <v>44915</v>
      </c>
      <c r="N27" s="2"/>
      <c r="O27" s="2">
        <v>1</v>
      </c>
      <c r="P27" s="11">
        <f>'[1]QB Pull'!L26</f>
        <v>31759.93</v>
      </c>
      <c r="Q27" s="11">
        <f t="shared" si="0"/>
        <v>31759.93</v>
      </c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x14ac:dyDescent="0.3">
      <c r="A28" s="2" t="str">
        <f>'[1]QB Pull'!B27</f>
        <v>Bill</v>
      </c>
      <c r="B28" s="6">
        <f>'[1]QB Pull'!C27</f>
        <v>1627170130</v>
      </c>
      <c r="C28" s="2" t="str">
        <f>'[1]QB Pull'!P27</f>
        <v>Arrow Electronics, Inc</v>
      </c>
      <c r="D28" s="2" t="str">
        <f>'[1]QB Pull'!O27</f>
        <v>VEN006</v>
      </c>
      <c r="E28" s="2">
        <f>VLOOKUP(D:D,[2]Vendors!$A:$B,2,0)</f>
        <v>15</v>
      </c>
      <c r="F28" s="2"/>
      <c r="G28" s="6">
        <v>8</v>
      </c>
      <c r="H28" s="7" t="s">
        <v>32</v>
      </c>
      <c r="I28" s="8">
        <v>1</v>
      </c>
      <c r="J28" s="9">
        <f>'[1]QB Pull'!F27</f>
        <v>45036</v>
      </c>
      <c r="K28" s="5" t="s">
        <v>33</v>
      </c>
      <c r="L28" s="4"/>
      <c r="M28" s="10">
        <f>'[1]QB Pull'!H27</f>
        <v>44921</v>
      </c>
      <c r="N28" s="2"/>
      <c r="O28" s="2">
        <v>1</v>
      </c>
      <c r="P28" s="11">
        <f>'[1]QB Pull'!L27</f>
        <v>34706.53</v>
      </c>
      <c r="Q28" s="11">
        <f t="shared" si="0"/>
        <v>34706.53</v>
      </c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x14ac:dyDescent="0.3">
      <c r="A29" s="2" t="str">
        <f>'[1]QB Pull'!B28</f>
        <v>Bill</v>
      </c>
      <c r="B29" s="6">
        <f>'[1]QB Pull'!C28</f>
        <v>1627164958</v>
      </c>
      <c r="C29" s="2" t="str">
        <f>'[1]QB Pull'!P28</f>
        <v>Arrow Electronics, Inc</v>
      </c>
      <c r="D29" s="2" t="str">
        <f>'[1]QB Pull'!O28</f>
        <v>VEN006</v>
      </c>
      <c r="E29" s="2">
        <f>VLOOKUP(D:D,[2]Vendors!$A:$B,2,0)</f>
        <v>15</v>
      </c>
      <c r="F29" s="2"/>
      <c r="G29" s="6">
        <v>8</v>
      </c>
      <c r="H29" s="7" t="s">
        <v>32</v>
      </c>
      <c r="I29" s="8">
        <v>1</v>
      </c>
      <c r="J29" s="9">
        <f>'[1]QB Pull'!F28</f>
        <v>45036</v>
      </c>
      <c r="K29" s="5" t="s">
        <v>33</v>
      </c>
      <c r="L29" s="4"/>
      <c r="M29" s="10">
        <f>'[1]QB Pull'!H28</f>
        <v>44921</v>
      </c>
      <c r="N29" s="2"/>
      <c r="O29" s="2">
        <v>1</v>
      </c>
      <c r="P29" s="11">
        <f>'[1]QB Pull'!L28</f>
        <v>823.71</v>
      </c>
      <c r="Q29" s="11">
        <f t="shared" si="0"/>
        <v>823.71</v>
      </c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x14ac:dyDescent="0.3">
      <c r="A30" s="2" t="str">
        <f>'[1]QB Pull'!B29</f>
        <v>Bill</v>
      </c>
      <c r="B30" s="6">
        <f>'[1]QB Pull'!C29</f>
        <v>1627176964</v>
      </c>
      <c r="C30" s="2" t="str">
        <f>'[1]QB Pull'!P29</f>
        <v>Arrow Electronics, Inc</v>
      </c>
      <c r="D30" s="2" t="str">
        <f>'[1]QB Pull'!O29</f>
        <v>VEN006</v>
      </c>
      <c r="E30" s="2">
        <f>VLOOKUP(D:D,[2]Vendors!$A:$B,2,0)</f>
        <v>15</v>
      </c>
      <c r="F30" s="2"/>
      <c r="G30" s="6">
        <v>8</v>
      </c>
      <c r="H30" s="7" t="s">
        <v>32</v>
      </c>
      <c r="I30" s="8">
        <v>1</v>
      </c>
      <c r="J30" s="9">
        <f>'[1]QB Pull'!F29</f>
        <v>45038</v>
      </c>
      <c r="K30" s="5" t="s">
        <v>33</v>
      </c>
      <c r="L30" s="4"/>
      <c r="M30" s="10">
        <f>'[1]QB Pull'!H29</f>
        <v>44923</v>
      </c>
      <c r="N30" s="2"/>
      <c r="O30" s="2">
        <v>1</v>
      </c>
      <c r="P30" s="11">
        <f>'[1]QB Pull'!L29</f>
        <v>9438.25</v>
      </c>
      <c r="Q30" s="11">
        <f t="shared" si="0"/>
        <v>9438.25</v>
      </c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x14ac:dyDescent="0.3">
      <c r="A31" s="2" t="str">
        <f>'[1]QB Pull'!B30</f>
        <v>Bill</v>
      </c>
      <c r="B31" s="6">
        <f>'[1]QB Pull'!C30</f>
        <v>1627177435</v>
      </c>
      <c r="C31" s="2" t="str">
        <f>'[1]QB Pull'!P30</f>
        <v>Arrow Electronics, Inc</v>
      </c>
      <c r="D31" s="2" t="str">
        <f>'[1]QB Pull'!O30</f>
        <v>VEN006</v>
      </c>
      <c r="E31" s="2">
        <f>VLOOKUP(D:D,[2]Vendors!$A:$B,2,0)</f>
        <v>15</v>
      </c>
      <c r="F31" s="2"/>
      <c r="G31" s="6">
        <v>8</v>
      </c>
      <c r="H31" s="7" t="s">
        <v>32</v>
      </c>
      <c r="I31" s="8">
        <v>1</v>
      </c>
      <c r="J31" s="9">
        <f>'[1]QB Pull'!F30</f>
        <v>45038</v>
      </c>
      <c r="K31" s="5" t="s">
        <v>33</v>
      </c>
      <c r="L31" s="4"/>
      <c r="M31" s="10">
        <f>'[1]QB Pull'!H30</f>
        <v>44923</v>
      </c>
      <c r="N31" s="2"/>
      <c r="O31" s="2">
        <v>1</v>
      </c>
      <c r="P31" s="11">
        <f>'[1]QB Pull'!L30</f>
        <v>91.43</v>
      </c>
      <c r="Q31" s="11">
        <f t="shared" si="0"/>
        <v>91.43</v>
      </c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x14ac:dyDescent="0.3">
      <c r="A32" s="2" t="str">
        <f>'[1]QB Pull'!B31</f>
        <v>Bill</v>
      </c>
      <c r="B32" s="6">
        <f>'[1]QB Pull'!C31</f>
        <v>1627177427</v>
      </c>
      <c r="C32" s="2" t="str">
        <f>'[1]QB Pull'!P31</f>
        <v>Arrow Electronics, Inc</v>
      </c>
      <c r="D32" s="2" t="str">
        <f>'[1]QB Pull'!O31</f>
        <v>VEN006</v>
      </c>
      <c r="E32" s="2">
        <f>VLOOKUP(D:D,[2]Vendors!$A:$B,2,0)</f>
        <v>15</v>
      </c>
      <c r="F32" s="2"/>
      <c r="G32" s="6">
        <v>8</v>
      </c>
      <c r="H32" s="7" t="s">
        <v>32</v>
      </c>
      <c r="I32" s="8">
        <v>1</v>
      </c>
      <c r="J32" s="9">
        <f>'[1]QB Pull'!F31</f>
        <v>45039</v>
      </c>
      <c r="K32" s="5" t="s">
        <v>33</v>
      </c>
      <c r="L32" s="4"/>
      <c r="M32" s="10">
        <f>'[1]QB Pull'!H31</f>
        <v>44924</v>
      </c>
      <c r="N32" s="2"/>
      <c r="O32" s="2">
        <v>1</v>
      </c>
      <c r="P32" s="11">
        <f>'[1]QB Pull'!L31</f>
        <v>5990.73</v>
      </c>
      <c r="Q32" s="11">
        <f t="shared" si="0"/>
        <v>5990.73</v>
      </c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x14ac:dyDescent="0.3">
      <c r="A33" s="2" t="str">
        <f>'[1]QB Pull'!B32</f>
        <v>Bill</v>
      </c>
      <c r="B33" s="6">
        <f>'[1]QB Pull'!C32</f>
        <v>1627177436</v>
      </c>
      <c r="C33" s="2" t="str">
        <f>'[1]QB Pull'!P32</f>
        <v>Arrow Electronics, Inc</v>
      </c>
      <c r="D33" s="2" t="str">
        <f>'[1]QB Pull'!O32</f>
        <v>VEN006</v>
      </c>
      <c r="E33" s="2">
        <f>VLOOKUP(D:D,[2]Vendors!$A:$B,2,0)</f>
        <v>15</v>
      </c>
      <c r="F33" s="2"/>
      <c r="G33" s="6">
        <v>8</v>
      </c>
      <c r="H33" s="7" t="s">
        <v>32</v>
      </c>
      <c r="I33" s="8">
        <v>1</v>
      </c>
      <c r="J33" s="9">
        <f>'[1]QB Pull'!F32</f>
        <v>45039</v>
      </c>
      <c r="K33" s="5" t="s">
        <v>33</v>
      </c>
      <c r="L33" s="4"/>
      <c r="M33" s="10">
        <f>'[1]QB Pull'!H32</f>
        <v>44924</v>
      </c>
      <c r="N33" s="2"/>
      <c r="O33" s="2">
        <v>1</v>
      </c>
      <c r="P33" s="11">
        <f>'[1]QB Pull'!L32</f>
        <v>277.8</v>
      </c>
      <c r="Q33" s="11">
        <f t="shared" si="0"/>
        <v>277.8</v>
      </c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x14ac:dyDescent="0.3">
      <c r="A34" s="2" t="str">
        <f>'[1]QB Pull'!B33</f>
        <v>Bill</v>
      </c>
      <c r="B34" s="6">
        <f>'[1]QB Pull'!C33</f>
        <v>1627185762</v>
      </c>
      <c r="C34" s="2" t="str">
        <f>'[1]QB Pull'!P33</f>
        <v>Arrow Electronics, Inc</v>
      </c>
      <c r="D34" s="2" t="str">
        <f>'[1]QB Pull'!O33</f>
        <v>VEN006</v>
      </c>
      <c r="E34" s="2">
        <f>VLOOKUP(D:D,[2]Vendors!$A:$B,2,0)</f>
        <v>15</v>
      </c>
      <c r="F34" s="2"/>
      <c r="G34" s="6">
        <v>8</v>
      </c>
      <c r="H34" s="7" t="s">
        <v>32</v>
      </c>
      <c r="I34" s="8">
        <v>1</v>
      </c>
      <c r="J34" s="9">
        <f>'[1]QB Pull'!F33</f>
        <v>45039</v>
      </c>
      <c r="K34" s="5" t="s">
        <v>33</v>
      </c>
      <c r="L34" s="4"/>
      <c r="M34" s="10">
        <f>'[1]QB Pull'!H33</f>
        <v>44924</v>
      </c>
      <c r="N34" s="2"/>
      <c r="O34" s="2">
        <v>1</v>
      </c>
      <c r="P34" s="11">
        <f>'[1]QB Pull'!L33</f>
        <v>8581.6</v>
      </c>
      <c r="Q34" s="11">
        <f t="shared" si="0"/>
        <v>8581.6</v>
      </c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x14ac:dyDescent="0.3">
      <c r="A35" s="2" t="str">
        <f>'[1]QB Pull'!B34</f>
        <v>Bill</v>
      </c>
      <c r="B35" s="6">
        <f>'[1]QB Pull'!C34</f>
        <v>1627185763</v>
      </c>
      <c r="C35" s="2" t="str">
        <f>'[1]QB Pull'!P34</f>
        <v>Arrow Electronics, Inc</v>
      </c>
      <c r="D35" s="2" t="str">
        <f>'[1]QB Pull'!O34</f>
        <v>VEN006</v>
      </c>
      <c r="E35" s="2">
        <f>VLOOKUP(D:D,[2]Vendors!$A:$B,2,0)</f>
        <v>15</v>
      </c>
      <c r="F35" s="2"/>
      <c r="G35" s="6">
        <v>8</v>
      </c>
      <c r="H35" s="7" t="s">
        <v>32</v>
      </c>
      <c r="I35" s="8">
        <v>1</v>
      </c>
      <c r="J35" s="9">
        <f>'[1]QB Pull'!F34</f>
        <v>45039</v>
      </c>
      <c r="K35" s="5" t="s">
        <v>33</v>
      </c>
      <c r="L35" s="4"/>
      <c r="M35" s="10">
        <f>'[1]QB Pull'!H34</f>
        <v>44924</v>
      </c>
      <c r="N35" s="2"/>
      <c r="O35" s="2">
        <v>1</v>
      </c>
      <c r="P35" s="11">
        <f>'[1]QB Pull'!L34</f>
        <v>660</v>
      </c>
      <c r="Q35" s="11">
        <f t="shared" si="0"/>
        <v>660</v>
      </c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x14ac:dyDescent="0.3">
      <c r="A36" s="2" t="str">
        <f>'[1]QB Pull'!B35</f>
        <v>Bill</v>
      </c>
      <c r="B36" s="6">
        <f>'[1]QB Pull'!C35</f>
        <v>1627195572</v>
      </c>
      <c r="C36" s="2" t="str">
        <f>'[1]QB Pull'!P35</f>
        <v>Arrow Electronics, Inc</v>
      </c>
      <c r="D36" s="2" t="str">
        <f>'[1]QB Pull'!O35</f>
        <v>VEN006</v>
      </c>
      <c r="E36" s="2">
        <f>VLOOKUP(D:D,[2]Vendors!$A:$B,2,0)</f>
        <v>15</v>
      </c>
      <c r="F36" s="2"/>
      <c r="G36" s="6">
        <v>8</v>
      </c>
      <c r="H36" s="7" t="s">
        <v>32</v>
      </c>
      <c r="I36" s="8">
        <v>1</v>
      </c>
      <c r="J36" s="9">
        <f>'[1]QB Pull'!F35</f>
        <v>45041</v>
      </c>
      <c r="K36" s="5" t="s">
        <v>33</v>
      </c>
      <c r="L36" s="4"/>
      <c r="M36" s="10">
        <f>'[1]QB Pull'!H35</f>
        <v>44926</v>
      </c>
      <c r="N36" s="2"/>
      <c r="O36" s="2">
        <v>1</v>
      </c>
      <c r="P36" s="11">
        <f>'[1]QB Pull'!L35</f>
        <v>9539.4599999999991</v>
      </c>
      <c r="Q36" s="11">
        <f t="shared" si="0"/>
        <v>9539.4599999999991</v>
      </c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x14ac:dyDescent="0.3">
      <c r="A37" s="2" t="str">
        <f>'[1]QB Pull'!B36</f>
        <v>Bill</v>
      </c>
      <c r="B37" s="6">
        <f>'[1]QB Pull'!C36</f>
        <v>1627185764</v>
      </c>
      <c r="C37" s="2" t="str">
        <f>'[1]QB Pull'!P36</f>
        <v>Arrow Electronics, Inc</v>
      </c>
      <c r="D37" s="2" t="str">
        <f>'[1]QB Pull'!O36</f>
        <v>VEN006</v>
      </c>
      <c r="E37" s="2">
        <f>VLOOKUP(D:D,[2]Vendors!$A:$B,2,0)</f>
        <v>15</v>
      </c>
      <c r="F37" s="2"/>
      <c r="G37" s="6">
        <v>8</v>
      </c>
      <c r="H37" s="7" t="s">
        <v>32</v>
      </c>
      <c r="I37" s="8">
        <v>1</v>
      </c>
      <c r="J37" s="9">
        <f>'[1]QB Pull'!F36</f>
        <v>45039</v>
      </c>
      <c r="K37" s="5" t="s">
        <v>33</v>
      </c>
      <c r="L37" s="4"/>
      <c r="M37" s="10">
        <f>'[1]QB Pull'!H36</f>
        <v>44924</v>
      </c>
      <c r="N37" s="2"/>
      <c r="O37" s="2">
        <v>1</v>
      </c>
      <c r="P37" s="11">
        <f>'[1]QB Pull'!L36</f>
        <v>7851</v>
      </c>
      <c r="Q37" s="11">
        <f t="shared" si="0"/>
        <v>7851</v>
      </c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x14ac:dyDescent="0.3">
      <c r="A38" s="2" t="str">
        <f>'[1]QB Pull'!B37</f>
        <v>Bill</v>
      </c>
      <c r="B38" s="6">
        <f>'[1]QB Pull'!C37</f>
        <v>1627185766</v>
      </c>
      <c r="C38" s="2" t="str">
        <f>'[1]QB Pull'!P37</f>
        <v>Arrow Electronics, Inc</v>
      </c>
      <c r="D38" s="2" t="str">
        <f>'[1]QB Pull'!O37</f>
        <v>VEN006</v>
      </c>
      <c r="E38" s="2">
        <f>VLOOKUP(D:D,[2]Vendors!$A:$B,2,0)</f>
        <v>15</v>
      </c>
      <c r="F38" s="2"/>
      <c r="G38" s="6">
        <v>8</v>
      </c>
      <c r="H38" s="7" t="s">
        <v>32</v>
      </c>
      <c r="I38" s="8">
        <v>1</v>
      </c>
      <c r="J38" s="9">
        <f>'[1]QB Pull'!F37</f>
        <v>45039</v>
      </c>
      <c r="K38" s="5" t="s">
        <v>33</v>
      </c>
      <c r="L38" s="4"/>
      <c r="M38" s="10">
        <f>'[1]QB Pull'!H37</f>
        <v>44924</v>
      </c>
      <c r="N38" s="2"/>
      <c r="O38" s="2">
        <v>1</v>
      </c>
      <c r="P38" s="11">
        <f>'[1]QB Pull'!L37</f>
        <v>1500</v>
      </c>
      <c r="Q38" s="11">
        <f t="shared" si="0"/>
        <v>1500</v>
      </c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x14ac:dyDescent="0.3">
      <c r="A39" s="2" t="str">
        <f>'[1]QB Pull'!B38</f>
        <v>Bill</v>
      </c>
      <c r="B39" s="6">
        <f>'[1]QB Pull'!C38</f>
        <v>1627185765</v>
      </c>
      <c r="C39" s="2" t="str">
        <f>'[1]QB Pull'!P38</f>
        <v>Arrow Electronics, Inc</v>
      </c>
      <c r="D39" s="2" t="str">
        <f>'[1]QB Pull'!O38</f>
        <v>VEN006</v>
      </c>
      <c r="E39" s="2">
        <f>VLOOKUP(D:D,[2]Vendors!$A:$B,2,0)</f>
        <v>15</v>
      </c>
      <c r="F39" s="2"/>
      <c r="G39" s="6">
        <v>8</v>
      </c>
      <c r="H39" s="7" t="s">
        <v>32</v>
      </c>
      <c r="I39" s="8">
        <v>1</v>
      </c>
      <c r="J39" s="9">
        <f>'[1]QB Pull'!F38</f>
        <v>45039</v>
      </c>
      <c r="K39" s="5" t="s">
        <v>33</v>
      </c>
      <c r="L39" s="4"/>
      <c r="M39" s="10">
        <f>'[1]QB Pull'!H38</f>
        <v>44924</v>
      </c>
      <c r="N39" s="2"/>
      <c r="O39" s="2">
        <v>1</v>
      </c>
      <c r="P39" s="11">
        <f>'[1]QB Pull'!L38</f>
        <v>2428</v>
      </c>
      <c r="Q39" s="11">
        <f t="shared" si="0"/>
        <v>2428</v>
      </c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x14ac:dyDescent="0.3">
      <c r="A40" s="2" t="str">
        <f>'[1]QB Pull'!B39</f>
        <v>Bill</v>
      </c>
      <c r="B40" s="6">
        <f>'[1]QB Pull'!C39</f>
        <v>1627185767</v>
      </c>
      <c r="C40" s="2" t="str">
        <f>'[1]QB Pull'!P39</f>
        <v>Arrow Electronics, Inc</v>
      </c>
      <c r="D40" s="2" t="str">
        <f>'[1]QB Pull'!O39</f>
        <v>VEN006</v>
      </c>
      <c r="E40" s="2">
        <f>VLOOKUP(D:D,[2]Vendors!$A:$B,2,0)</f>
        <v>15</v>
      </c>
      <c r="F40" s="2"/>
      <c r="G40" s="6">
        <v>8</v>
      </c>
      <c r="H40" s="7" t="s">
        <v>32</v>
      </c>
      <c r="I40" s="8">
        <v>1</v>
      </c>
      <c r="J40" s="9">
        <f>'[1]QB Pull'!F39</f>
        <v>45039</v>
      </c>
      <c r="K40" s="5" t="s">
        <v>33</v>
      </c>
      <c r="L40" s="4"/>
      <c r="M40" s="10">
        <f>'[1]QB Pull'!H39</f>
        <v>44924</v>
      </c>
      <c r="N40" s="2"/>
      <c r="O40" s="2">
        <v>1</v>
      </c>
      <c r="P40" s="11">
        <f>'[1]QB Pull'!L39</f>
        <v>2430</v>
      </c>
      <c r="Q40" s="11">
        <f t="shared" si="0"/>
        <v>2430</v>
      </c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x14ac:dyDescent="0.3">
      <c r="A41" s="2" t="str">
        <f>'[1]QB Pull'!B40</f>
        <v>Bill</v>
      </c>
      <c r="B41" s="6">
        <f>'[1]QB Pull'!C40</f>
        <v>1627185768</v>
      </c>
      <c r="C41" s="2" t="str">
        <f>'[1]QB Pull'!P40</f>
        <v>Arrow Electronics, Inc</v>
      </c>
      <c r="D41" s="2" t="str">
        <f>'[1]QB Pull'!O40</f>
        <v>VEN006</v>
      </c>
      <c r="E41" s="2">
        <f>VLOOKUP(D:D,[2]Vendors!$A:$B,2,0)</f>
        <v>15</v>
      </c>
      <c r="F41" s="2"/>
      <c r="G41" s="6">
        <v>8</v>
      </c>
      <c r="H41" s="7" t="s">
        <v>32</v>
      </c>
      <c r="I41" s="8">
        <v>1</v>
      </c>
      <c r="J41" s="9">
        <f>'[1]QB Pull'!F40</f>
        <v>45039</v>
      </c>
      <c r="K41" s="5" t="s">
        <v>33</v>
      </c>
      <c r="L41" s="4"/>
      <c r="M41" s="10">
        <f>'[1]QB Pull'!H40</f>
        <v>44924</v>
      </c>
      <c r="N41" s="2"/>
      <c r="O41" s="2">
        <v>1</v>
      </c>
      <c r="P41" s="11">
        <f>'[1]QB Pull'!L40</f>
        <v>13951.72</v>
      </c>
      <c r="Q41" s="11">
        <f t="shared" si="0"/>
        <v>13951.72</v>
      </c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x14ac:dyDescent="0.3">
      <c r="A42" s="2" t="str">
        <f>'[1]QB Pull'!B41</f>
        <v>Bill</v>
      </c>
      <c r="B42" s="6">
        <f>'[1]QB Pull'!C41</f>
        <v>1627191203</v>
      </c>
      <c r="C42" s="2" t="str">
        <f>'[1]QB Pull'!P41</f>
        <v>Arrow Electronics, Inc</v>
      </c>
      <c r="D42" s="2" t="str">
        <f>'[1]QB Pull'!O41</f>
        <v>VEN006</v>
      </c>
      <c r="E42" s="2">
        <f>VLOOKUP(D:D,[2]Vendors!$A:$B,2,0)</f>
        <v>15</v>
      </c>
      <c r="F42" s="2"/>
      <c r="G42" s="6">
        <v>8</v>
      </c>
      <c r="H42" s="7" t="s">
        <v>32</v>
      </c>
      <c r="I42" s="8">
        <v>1</v>
      </c>
      <c r="J42" s="9">
        <f>'[1]QB Pull'!F41</f>
        <v>45040</v>
      </c>
      <c r="K42" s="5" t="s">
        <v>33</v>
      </c>
      <c r="L42" s="4"/>
      <c r="M42" s="10">
        <f>'[1]QB Pull'!H41</f>
        <v>44925</v>
      </c>
      <c r="N42" s="2"/>
      <c r="O42" s="2">
        <v>1</v>
      </c>
      <c r="P42" s="11">
        <f>'[1]QB Pull'!L41</f>
        <v>64104.13</v>
      </c>
      <c r="Q42" s="11">
        <f t="shared" si="0"/>
        <v>64104.13</v>
      </c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x14ac:dyDescent="0.3">
      <c r="A43" s="2" t="str">
        <f>'[1]QB Pull'!B42</f>
        <v>Bill</v>
      </c>
      <c r="B43" s="6">
        <f>'[1]QB Pull'!C42</f>
        <v>1627194901</v>
      </c>
      <c r="C43" s="2" t="str">
        <f>'[1]QB Pull'!P42</f>
        <v>Arrow Electronics, Inc</v>
      </c>
      <c r="D43" s="2" t="str">
        <f>'[1]QB Pull'!O42</f>
        <v>VEN006</v>
      </c>
      <c r="E43" s="2">
        <f>VLOOKUP(D:D,[2]Vendors!$A:$B,2,0)</f>
        <v>15</v>
      </c>
      <c r="F43" s="2"/>
      <c r="G43" s="6">
        <v>8</v>
      </c>
      <c r="H43" s="7" t="s">
        <v>32</v>
      </c>
      <c r="I43" s="8">
        <v>1</v>
      </c>
      <c r="J43" s="9">
        <f>'[1]QB Pull'!F42</f>
        <v>45041</v>
      </c>
      <c r="K43" s="5" t="s">
        <v>33</v>
      </c>
      <c r="L43" s="4"/>
      <c r="M43" s="10">
        <f>'[1]QB Pull'!H42</f>
        <v>44926</v>
      </c>
      <c r="N43" s="2"/>
      <c r="O43" s="2">
        <v>1</v>
      </c>
      <c r="P43" s="11">
        <f>'[1]QB Pull'!L42</f>
        <v>94879.95</v>
      </c>
      <c r="Q43" s="11">
        <f t="shared" si="0"/>
        <v>94879.95</v>
      </c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x14ac:dyDescent="0.3">
      <c r="A44" s="2" t="str">
        <f>'[1]QB Pull'!B43</f>
        <v>Bill</v>
      </c>
      <c r="B44" s="6">
        <f>'[1]QB Pull'!C43</f>
        <v>1627194969</v>
      </c>
      <c r="C44" s="2" t="str">
        <f>'[1]QB Pull'!P43</f>
        <v>Arrow Electronics, Inc</v>
      </c>
      <c r="D44" s="2" t="str">
        <f>'[1]QB Pull'!O43</f>
        <v>VEN006</v>
      </c>
      <c r="E44" s="2">
        <f>VLOOKUP(D:D,[2]Vendors!$A:$B,2,0)</f>
        <v>15</v>
      </c>
      <c r="F44" s="2"/>
      <c r="G44" s="6">
        <v>8</v>
      </c>
      <c r="H44" s="7" t="s">
        <v>32</v>
      </c>
      <c r="I44" s="8">
        <v>1</v>
      </c>
      <c r="J44" s="9">
        <f>'[1]QB Pull'!F43</f>
        <v>45041</v>
      </c>
      <c r="K44" s="5" t="s">
        <v>33</v>
      </c>
      <c r="L44" s="4"/>
      <c r="M44" s="10">
        <f>'[1]QB Pull'!H43</f>
        <v>44926</v>
      </c>
      <c r="N44" s="2"/>
      <c r="O44" s="2">
        <v>1</v>
      </c>
      <c r="P44" s="11">
        <f>'[1]QB Pull'!L43</f>
        <v>66720</v>
      </c>
      <c r="Q44" s="11">
        <f t="shared" si="0"/>
        <v>66720</v>
      </c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x14ac:dyDescent="0.3">
      <c r="A45" s="2" t="str">
        <f>'[1]QB Pull'!B44</f>
        <v>Bill</v>
      </c>
      <c r="B45" s="6">
        <f>'[1]QB Pull'!C44</f>
        <v>1627194972</v>
      </c>
      <c r="C45" s="2" t="str">
        <f>'[1]QB Pull'!P44</f>
        <v>Arrow Electronics, Inc</v>
      </c>
      <c r="D45" s="2" t="str">
        <f>'[1]QB Pull'!O44</f>
        <v>VEN006</v>
      </c>
      <c r="E45" s="2">
        <f>VLOOKUP(D:D,[2]Vendors!$A:$B,2,0)</f>
        <v>15</v>
      </c>
      <c r="F45" s="2"/>
      <c r="G45" s="6">
        <v>8</v>
      </c>
      <c r="H45" s="7" t="s">
        <v>32</v>
      </c>
      <c r="I45" s="8">
        <v>1</v>
      </c>
      <c r="J45" s="9">
        <f>'[1]QB Pull'!F44</f>
        <v>45041</v>
      </c>
      <c r="K45" s="5" t="s">
        <v>33</v>
      </c>
      <c r="L45" s="4"/>
      <c r="M45" s="10">
        <f>'[1]QB Pull'!H44</f>
        <v>44926</v>
      </c>
      <c r="N45" s="2"/>
      <c r="O45" s="2">
        <v>1</v>
      </c>
      <c r="P45" s="11">
        <f>'[1]QB Pull'!L44</f>
        <v>216.93</v>
      </c>
      <c r="Q45" s="11">
        <f t="shared" si="0"/>
        <v>216.93</v>
      </c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x14ac:dyDescent="0.3">
      <c r="A46" s="2" t="str">
        <f>'[1]QB Pull'!B45</f>
        <v>Bill</v>
      </c>
      <c r="B46" s="6">
        <f>'[1]QB Pull'!C45</f>
        <v>1627195179</v>
      </c>
      <c r="C46" s="2" t="str">
        <f>'[1]QB Pull'!P45</f>
        <v>Arrow Electronics, Inc</v>
      </c>
      <c r="D46" s="2" t="str">
        <f>'[1]QB Pull'!O45</f>
        <v>VEN006</v>
      </c>
      <c r="E46" s="2">
        <f>VLOOKUP(D:D,[2]Vendors!$A:$B,2,0)</f>
        <v>15</v>
      </c>
      <c r="F46" s="2"/>
      <c r="G46" s="6">
        <v>8</v>
      </c>
      <c r="H46" s="7" t="s">
        <v>32</v>
      </c>
      <c r="I46" s="8">
        <v>1</v>
      </c>
      <c r="J46" s="9">
        <f>'[1]QB Pull'!F45</f>
        <v>45041</v>
      </c>
      <c r="K46" s="5" t="s">
        <v>33</v>
      </c>
      <c r="L46" s="4"/>
      <c r="M46" s="10">
        <f>'[1]QB Pull'!H45</f>
        <v>44926</v>
      </c>
      <c r="N46" s="2"/>
      <c r="O46" s="2">
        <v>1</v>
      </c>
      <c r="P46" s="11">
        <f>'[1]QB Pull'!L45</f>
        <v>269818.38</v>
      </c>
      <c r="Q46" s="11">
        <f t="shared" si="0"/>
        <v>269818.38</v>
      </c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x14ac:dyDescent="0.3">
      <c r="A47" s="2" t="str">
        <f>'[1]QB Pull'!B46</f>
        <v>Bill</v>
      </c>
      <c r="B47" s="6">
        <f>'[1]QB Pull'!C46</f>
        <v>1627199933</v>
      </c>
      <c r="C47" s="2" t="str">
        <f>'[1]QB Pull'!P46</f>
        <v>Arrow Electronics, Inc</v>
      </c>
      <c r="D47" s="2" t="str">
        <f>'[1]QB Pull'!O46</f>
        <v>VEN006</v>
      </c>
      <c r="E47" s="2">
        <f>VLOOKUP(D:D,[2]Vendors!$A:$B,2,0)</f>
        <v>15</v>
      </c>
      <c r="F47" s="2"/>
      <c r="G47" s="6">
        <v>8</v>
      </c>
      <c r="H47" s="7" t="s">
        <v>32</v>
      </c>
      <c r="I47" s="8">
        <v>1</v>
      </c>
      <c r="J47" s="9">
        <f>'[1]QB Pull'!F46</f>
        <v>45045</v>
      </c>
      <c r="K47" s="5" t="s">
        <v>33</v>
      </c>
      <c r="L47" s="4"/>
      <c r="M47" s="10">
        <f>'[1]QB Pull'!H46</f>
        <v>44930</v>
      </c>
      <c r="N47" s="2"/>
      <c r="O47" s="2">
        <v>1</v>
      </c>
      <c r="P47" s="11">
        <f>'[1]QB Pull'!L46</f>
        <v>822.71</v>
      </c>
      <c r="Q47" s="11">
        <f t="shared" si="0"/>
        <v>822.71</v>
      </c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x14ac:dyDescent="0.3">
      <c r="A48" s="2" t="str">
        <f>'[1]QB Pull'!B47</f>
        <v>Bill</v>
      </c>
      <c r="B48" s="6">
        <f>'[1]QB Pull'!C47</f>
        <v>1627206134</v>
      </c>
      <c r="C48" s="2" t="str">
        <f>'[1]QB Pull'!P47</f>
        <v>Arrow Electronics, Inc</v>
      </c>
      <c r="D48" s="2" t="str">
        <f>'[1]QB Pull'!O47</f>
        <v>VEN006</v>
      </c>
      <c r="E48" s="2">
        <f>VLOOKUP(D:D,[2]Vendors!$A:$B,2,0)</f>
        <v>15</v>
      </c>
      <c r="F48" s="2"/>
      <c r="G48" s="6">
        <v>8</v>
      </c>
      <c r="H48" s="7" t="s">
        <v>32</v>
      </c>
      <c r="I48" s="8">
        <v>1</v>
      </c>
      <c r="J48" s="9">
        <f>'[1]QB Pull'!F47</f>
        <v>45047</v>
      </c>
      <c r="K48" s="5" t="s">
        <v>33</v>
      </c>
      <c r="L48" s="4"/>
      <c r="M48" s="10">
        <f>'[1]QB Pull'!H47</f>
        <v>44932</v>
      </c>
      <c r="N48" s="2"/>
      <c r="O48" s="2">
        <v>1</v>
      </c>
      <c r="P48" s="11">
        <f>'[1]QB Pull'!L47</f>
        <v>8584.1200000000008</v>
      </c>
      <c r="Q48" s="11">
        <f t="shared" si="0"/>
        <v>8584.1200000000008</v>
      </c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x14ac:dyDescent="0.3">
      <c r="A49" s="2" t="str">
        <f>'[1]QB Pull'!B48</f>
        <v>Bill</v>
      </c>
      <c r="B49" s="6">
        <f>'[1]QB Pull'!C48</f>
        <v>1627206125</v>
      </c>
      <c r="C49" s="2" t="str">
        <f>'[1]QB Pull'!P48</f>
        <v>Arrow Electronics, Inc</v>
      </c>
      <c r="D49" s="2" t="str">
        <f>'[1]QB Pull'!O48</f>
        <v>VEN006</v>
      </c>
      <c r="E49" s="2">
        <f>VLOOKUP(D:D,[2]Vendors!$A:$B,2,0)</f>
        <v>15</v>
      </c>
      <c r="F49" s="2"/>
      <c r="G49" s="6">
        <v>8</v>
      </c>
      <c r="H49" s="7" t="s">
        <v>32</v>
      </c>
      <c r="I49" s="8">
        <v>1</v>
      </c>
      <c r="J49" s="9">
        <f>'[1]QB Pull'!F48</f>
        <v>45047</v>
      </c>
      <c r="K49" s="5" t="s">
        <v>33</v>
      </c>
      <c r="L49" s="4"/>
      <c r="M49" s="10">
        <f>'[1]QB Pull'!H48</f>
        <v>44932</v>
      </c>
      <c r="N49" s="2"/>
      <c r="O49" s="2">
        <v>1</v>
      </c>
      <c r="P49" s="11">
        <f>'[1]QB Pull'!L48</f>
        <v>20</v>
      </c>
      <c r="Q49" s="11">
        <f t="shared" si="0"/>
        <v>20</v>
      </c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x14ac:dyDescent="0.3">
      <c r="A50" s="2" t="str">
        <f>'[1]QB Pull'!B49</f>
        <v>Bill</v>
      </c>
      <c r="B50" s="6">
        <f>'[1]QB Pull'!C49</f>
        <v>1627206136</v>
      </c>
      <c r="C50" s="2" t="str">
        <f>'[1]QB Pull'!P49</f>
        <v>Arrow Electronics, Inc</v>
      </c>
      <c r="D50" s="2" t="str">
        <f>'[1]QB Pull'!O49</f>
        <v>VEN006</v>
      </c>
      <c r="E50" s="2">
        <f>VLOOKUP(D:D,[2]Vendors!$A:$B,2,0)</f>
        <v>15</v>
      </c>
      <c r="F50" s="2"/>
      <c r="G50" s="6">
        <v>8</v>
      </c>
      <c r="H50" s="7" t="s">
        <v>32</v>
      </c>
      <c r="I50" s="8">
        <v>1</v>
      </c>
      <c r="J50" s="9">
        <f>'[1]QB Pull'!F49</f>
        <v>45046</v>
      </c>
      <c r="K50" s="5" t="s">
        <v>33</v>
      </c>
      <c r="L50" s="4"/>
      <c r="M50" s="10">
        <f>'[1]QB Pull'!H49</f>
        <v>44931</v>
      </c>
      <c r="N50" s="2"/>
      <c r="O50" s="2">
        <v>1</v>
      </c>
      <c r="P50" s="11">
        <f>'[1]QB Pull'!L49</f>
        <v>3500</v>
      </c>
      <c r="Q50" s="11">
        <f t="shared" si="0"/>
        <v>3500</v>
      </c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x14ac:dyDescent="0.3">
      <c r="A51" s="2" t="str">
        <f>'[1]QB Pull'!B50</f>
        <v>Bill</v>
      </c>
      <c r="B51" s="6">
        <f>'[1]QB Pull'!C50</f>
        <v>1627214830</v>
      </c>
      <c r="C51" s="2" t="str">
        <f>'[1]QB Pull'!P50</f>
        <v>Arrow Electronics, Inc</v>
      </c>
      <c r="D51" s="2" t="str">
        <f>'[1]QB Pull'!O50</f>
        <v>VEN006</v>
      </c>
      <c r="E51" s="2">
        <f>VLOOKUP(D:D,[2]Vendors!$A:$B,2,0)</f>
        <v>15</v>
      </c>
      <c r="F51" s="2"/>
      <c r="G51" s="6">
        <v>8</v>
      </c>
      <c r="H51" s="7" t="s">
        <v>32</v>
      </c>
      <c r="I51" s="8">
        <v>1</v>
      </c>
      <c r="J51" s="9">
        <f>'[1]QB Pull'!F50</f>
        <v>45050</v>
      </c>
      <c r="K51" s="5" t="s">
        <v>33</v>
      </c>
      <c r="L51" s="4"/>
      <c r="M51" s="10">
        <f>'[1]QB Pull'!H50</f>
        <v>44935</v>
      </c>
      <c r="N51" s="2"/>
      <c r="O51" s="2">
        <v>1</v>
      </c>
      <c r="P51" s="11">
        <f>'[1]QB Pull'!L50</f>
        <v>116.92</v>
      </c>
      <c r="Q51" s="11">
        <f t="shared" si="0"/>
        <v>116.92</v>
      </c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x14ac:dyDescent="0.3">
      <c r="A52" s="2" t="str">
        <f>'[1]QB Pull'!B51</f>
        <v>Bill</v>
      </c>
      <c r="B52" s="6">
        <f>'[1]QB Pull'!C51</f>
        <v>1627214831</v>
      </c>
      <c r="C52" s="2" t="str">
        <f>'[1]QB Pull'!P51</f>
        <v>Arrow Electronics, Inc</v>
      </c>
      <c r="D52" s="2" t="str">
        <f>'[1]QB Pull'!O51</f>
        <v>VEN006</v>
      </c>
      <c r="E52" s="2">
        <f>VLOOKUP(D:D,[2]Vendors!$A:$B,2,0)</f>
        <v>15</v>
      </c>
      <c r="F52" s="2"/>
      <c r="G52" s="6">
        <v>8</v>
      </c>
      <c r="H52" s="7" t="s">
        <v>32</v>
      </c>
      <c r="I52" s="8">
        <v>1</v>
      </c>
      <c r="J52" s="9">
        <f>'[1]QB Pull'!F51</f>
        <v>45051</v>
      </c>
      <c r="K52" s="5" t="s">
        <v>33</v>
      </c>
      <c r="L52" s="4"/>
      <c r="M52" s="10">
        <f>'[1]QB Pull'!H51</f>
        <v>44936</v>
      </c>
      <c r="N52" s="2"/>
      <c r="O52" s="2">
        <v>1</v>
      </c>
      <c r="P52" s="11">
        <f>'[1]QB Pull'!L51</f>
        <v>34.200000000000003</v>
      </c>
      <c r="Q52" s="11">
        <f t="shared" si="0"/>
        <v>34.200000000000003</v>
      </c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x14ac:dyDescent="0.3">
      <c r="A53" s="2" t="str">
        <f>'[1]QB Pull'!B52</f>
        <v>Bill</v>
      </c>
      <c r="B53" s="6">
        <f>'[1]QB Pull'!C52</f>
        <v>1627218548</v>
      </c>
      <c r="C53" s="2" t="str">
        <f>'[1]QB Pull'!P52</f>
        <v>Arrow Electronics, Inc</v>
      </c>
      <c r="D53" s="2" t="str">
        <f>'[1]QB Pull'!O52</f>
        <v>VEN006</v>
      </c>
      <c r="E53" s="2">
        <f>VLOOKUP(D:D,[2]Vendors!$A:$B,2,0)</f>
        <v>15</v>
      </c>
      <c r="F53" s="2"/>
      <c r="G53" s="6">
        <v>8</v>
      </c>
      <c r="H53" s="7" t="s">
        <v>32</v>
      </c>
      <c r="I53" s="8">
        <v>1</v>
      </c>
      <c r="J53" s="9">
        <f>'[1]QB Pull'!F52</f>
        <v>45054</v>
      </c>
      <c r="K53" s="5" t="s">
        <v>33</v>
      </c>
      <c r="L53" s="4"/>
      <c r="M53" s="10">
        <f>'[1]QB Pull'!H52</f>
        <v>44939</v>
      </c>
      <c r="N53" s="2"/>
      <c r="O53" s="2">
        <v>1</v>
      </c>
      <c r="P53" s="11">
        <f>'[1]QB Pull'!L52</f>
        <v>165.29</v>
      </c>
      <c r="Q53" s="11">
        <f t="shared" si="0"/>
        <v>165.29</v>
      </c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x14ac:dyDescent="0.3">
      <c r="A54" s="2" t="str">
        <f>'[1]QB Pull'!B53</f>
        <v>Bill</v>
      </c>
      <c r="B54" s="6">
        <f>'[1]QB Pull'!C53</f>
        <v>1627227338</v>
      </c>
      <c r="C54" s="2" t="str">
        <f>'[1]QB Pull'!P53</f>
        <v>Arrow Electronics, Inc</v>
      </c>
      <c r="D54" s="2" t="str">
        <f>'[1]QB Pull'!O53</f>
        <v>VEN006</v>
      </c>
      <c r="E54" s="2">
        <f>VLOOKUP(D:D,[2]Vendors!$A:$B,2,0)</f>
        <v>15</v>
      </c>
      <c r="F54" s="2"/>
      <c r="G54" s="6">
        <v>8</v>
      </c>
      <c r="H54" s="7" t="s">
        <v>32</v>
      </c>
      <c r="I54" s="8">
        <v>1</v>
      </c>
      <c r="J54" s="9">
        <f>'[1]QB Pull'!F53</f>
        <v>45053</v>
      </c>
      <c r="K54" s="5" t="s">
        <v>33</v>
      </c>
      <c r="L54" s="4"/>
      <c r="M54" s="10">
        <f>'[1]QB Pull'!H53</f>
        <v>44938</v>
      </c>
      <c r="N54" s="2"/>
      <c r="O54" s="2">
        <v>1</v>
      </c>
      <c r="P54" s="11">
        <f>'[1]QB Pull'!L53</f>
        <v>2430</v>
      </c>
      <c r="Q54" s="11">
        <f t="shared" si="0"/>
        <v>2430</v>
      </c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x14ac:dyDescent="0.3">
      <c r="A55" s="2" t="str">
        <f>'[1]QB Pull'!B54</f>
        <v>Bill</v>
      </c>
      <c r="B55" s="6">
        <f>'[1]QB Pull'!C54</f>
        <v>1627227587</v>
      </c>
      <c r="C55" s="2" t="str">
        <f>'[1]QB Pull'!P54</f>
        <v>Arrow Electronics, Inc</v>
      </c>
      <c r="D55" s="2" t="str">
        <f>'[1]QB Pull'!O54</f>
        <v>VEN006</v>
      </c>
      <c r="E55" s="2">
        <f>VLOOKUP(D:D,[2]Vendors!$A:$B,2,0)</f>
        <v>15</v>
      </c>
      <c r="F55" s="2"/>
      <c r="G55" s="6">
        <v>8</v>
      </c>
      <c r="H55" s="7" t="s">
        <v>32</v>
      </c>
      <c r="I55" s="8">
        <v>1</v>
      </c>
      <c r="J55" s="9">
        <f>'[1]QB Pull'!F54</f>
        <v>45053</v>
      </c>
      <c r="K55" s="5" t="s">
        <v>33</v>
      </c>
      <c r="L55" s="4"/>
      <c r="M55" s="10">
        <f>'[1]QB Pull'!H54</f>
        <v>44938</v>
      </c>
      <c r="N55" s="2"/>
      <c r="O55" s="2">
        <v>1</v>
      </c>
      <c r="P55" s="11">
        <f>'[1]QB Pull'!L54</f>
        <v>21847.66</v>
      </c>
      <c r="Q55" s="11">
        <f t="shared" si="0"/>
        <v>21847.66</v>
      </c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x14ac:dyDescent="0.3">
      <c r="A56" s="2" t="str">
        <f>'[1]QB Pull'!B55</f>
        <v>Bill</v>
      </c>
      <c r="B56" s="6">
        <f>'[1]QB Pull'!C55</f>
        <v>1627233243</v>
      </c>
      <c r="C56" s="2" t="str">
        <f>'[1]QB Pull'!P55</f>
        <v>Arrow Electronics, Inc</v>
      </c>
      <c r="D56" s="2" t="str">
        <f>'[1]QB Pull'!O55</f>
        <v>VEN006</v>
      </c>
      <c r="E56" s="2">
        <f>VLOOKUP(D:D,[2]Vendors!$A:$B,2,0)</f>
        <v>15</v>
      </c>
      <c r="F56" s="2"/>
      <c r="G56" s="6">
        <v>8</v>
      </c>
      <c r="H56" s="7" t="s">
        <v>32</v>
      </c>
      <c r="I56" s="8">
        <v>1</v>
      </c>
      <c r="J56" s="9">
        <f>'[1]QB Pull'!F55</f>
        <v>45057</v>
      </c>
      <c r="K56" s="5" t="s">
        <v>33</v>
      </c>
      <c r="L56" s="4"/>
      <c r="M56" s="10">
        <f>'[1]QB Pull'!H55</f>
        <v>44942</v>
      </c>
      <c r="N56" s="2"/>
      <c r="O56" s="2">
        <v>1</v>
      </c>
      <c r="P56" s="11">
        <f>'[1]QB Pull'!L55</f>
        <v>6078.11</v>
      </c>
      <c r="Q56" s="11">
        <f t="shared" si="0"/>
        <v>6078.11</v>
      </c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x14ac:dyDescent="0.3">
      <c r="A57" s="2" t="str">
        <f>'[1]QB Pull'!B56</f>
        <v>Bill</v>
      </c>
      <c r="B57" s="6">
        <f>'[1]QB Pull'!C56</f>
        <v>1627233298</v>
      </c>
      <c r="C57" s="2" t="str">
        <f>'[1]QB Pull'!P56</f>
        <v>Arrow Electronics, Inc</v>
      </c>
      <c r="D57" s="2" t="str">
        <f>'[1]QB Pull'!O56</f>
        <v>VEN006</v>
      </c>
      <c r="E57" s="2">
        <f>VLOOKUP(D:D,[2]Vendors!$A:$B,2,0)</f>
        <v>15</v>
      </c>
      <c r="F57" s="2"/>
      <c r="G57" s="6">
        <v>8</v>
      </c>
      <c r="H57" s="7" t="s">
        <v>32</v>
      </c>
      <c r="I57" s="8">
        <v>1</v>
      </c>
      <c r="J57" s="9">
        <f>'[1]QB Pull'!F56</f>
        <v>45057</v>
      </c>
      <c r="K57" s="5" t="s">
        <v>33</v>
      </c>
      <c r="L57" s="4"/>
      <c r="M57" s="10">
        <f>'[1]QB Pull'!H56</f>
        <v>44942</v>
      </c>
      <c r="N57" s="2"/>
      <c r="O57" s="2">
        <v>1</v>
      </c>
      <c r="P57" s="11">
        <f>'[1]QB Pull'!L56</f>
        <v>30337.16</v>
      </c>
      <c r="Q57" s="11">
        <f t="shared" si="0"/>
        <v>30337.16</v>
      </c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x14ac:dyDescent="0.3">
      <c r="A58" s="2" t="str">
        <f>'[1]QB Pull'!B57</f>
        <v>Bill</v>
      </c>
      <c r="B58" s="6">
        <f>'[1]QB Pull'!C57</f>
        <v>1627243961</v>
      </c>
      <c r="C58" s="2" t="str">
        <f>'[1]QB Pull'!P57</f>
        <v>Arrow Electronics, Inc</v>
      </c>
      <c r="D58" s="2" t="str">
        <f>'[1]QB Pull'!O57</f>
        <v>VEN006</v>
      </c>
      <c r="E58" s="2">
        <f>VLOOKUP(D:D,[2]Vendors!$A:$B,2,0)</f>
        <v>15</v>
      </c>
      <c r="F58" s="2"/>
      <c r="G58" s="6">
        <v>8</v>
      </c>
      <c r="H58" s="7" t="s">
        <v>32</v>
      </c>
      <c r="I58" s="8">
        <v>1</v>
      </c>
      <c r="J58" s="9">
        <f>'[1]QB Pull'!F57</f>
        <v>45060</v>
      </c>
      <c r="K58" s="5" t="s">
        <v>33</v>
      </c>
      <c r="L58" s="4"/>
      <c r="M58" s="10">
        <f>'[1]QB Pull'!H57</f>
        <v>44945</v>
      </c>
      <c r="N58" s="2"/>
      <c r="O58" s="2">
        <v>1</v>
      </c>
      <c r="P58" s="11">
        <f>'[1]QB Pull'!L57</f>
        <v>152.54</v>
      </c>
      <c r="Q58" s="11">
        <f t="shared" si="0"/>
        <v>152.54</v>
      </c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x14ac:dyDescent="0.3">
      <c r="A59" s="2" t="str">
        <f>'[1]QB Pull'!B58</f>
        <v>Bill</v>
      </c>
      <c r="B59" s="6">
        <f>'[1]QB Pull'!C58</f>
        <v>1627244477</v>
      </c>
      <c r="C59" s="2" t="str">
        <f>'[1]QB Pull'!P58</f>
        <v>Arrow Electronics, Inc</v>
      </c>
      <c r="D59" s="2" t="str">
        <f>'[1]QB Pull'!O58</f>
        <v>VEN006</v>
      </c>
      <c r="E59" s="2">
        <f>VLOOKUP(D:D,[2]Vendors!$A:$B,2,0)</f>
        <v>15</v>
      </c>
      <c r="F59" s="2"/>
      <c r="G59" s="6">
        <v>8</v>
      </c>
      <c r="H59" s="7" t="s">
        <v>32</v>
      </c>
      <c r="I59" s="8">
        <v>1</v>
      </c>
      <c r="J59" s="9">
        <f>'[1]QB Pull'!F58</f>
        <v>45060</v>
      </c>
      <c r="K59" s="5" t="s">
        <v>33</v>
      </c>
      <c r="L59" s="4"/>
      <c r="M59" s="10">
        <f>'[1]QB Pull'!H58</f>
        <v>44945</v>
      </c>
      <c r="N59" s="2"/>
      <c r="O59" s="2">
        <v>1</v>
      </c>
      <c r="P59" s="11">
        <f>'[1]QB Pull'!L58</f>
        <v>6021.61</v>
      </c>
      <c r="Q59" s="11">
        <f t="shared" si="0"/>
        <v>6021.61</v>
      </c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x14ac:dyDescent="0.3">
      <c r="A60" s="2" t="str">
        <f>'[1]QB Pull'!B59</f>
        <v>Bill</v>
      </c>
      <c r="B60" s="6">
        <f>'[1]QB Pull'!C59</f>
        <v>1627249006</v>
      </c>
      <c r="C60" s="2" t="str">
        <f>'[1]QB Pull'!P59</f>
        <v>Arrow Electronics, Inc</v>
      </c>
      <c r="D60" s="2" t="str">
        <f>'[1]QB Pull'!O59</f>
        <v>VEN006</v>
      </c>
      <c r="E60" s="2">
        <f>VLOOKUP(D:D,[2]Vendors!$A:$B,2,0)</f>
        <v>15</v>
      </c>
      <c r="F60" s="2"/>
      <c r="G60" s="6">
        <v>8</v>
      </c>
      <c r="H60" s="7" t="s">
        <v>32</v>
      </c>
      <c r="I60" s="8">
        <v>1</v>
      </c>
      <c r="J60" s="9">
        <f>'[1]QB Pull'!F59</f>
        <v>45061</v>
      </c>
      <c r="K60" s="5" t="s">
        <v>33</v>
      </c>
      <c r="L60" s="4"/>
      <c r="M60" s="10">
        <f>'[1]QB Pull'!H59</f>
        <v>44946</v>
      </c>
      <c r="N60" s="2"/>
      <c r="O60" s="2">
        <v>1</v>
      </c>
      <c r="P60" s="11">
        <f>'[1]QB Pull'!L59</f>
        <v>26930.95</v>
      </c>
      <c r="Q60" s="11">
        <f t="shared" si="0"/>
        <v>26930.95</v>
      </c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x14ac:dyDescent="0.3">
      <c r="A61" s="2" t="str">
        <f>'[1]QB Pull'!B60</f>
        <v>Bill</v>
      </c>
      <c r="B61" s="6">
        <f>'[1]QB Pull'!C60</f>
        <v>1627247956</v>
      </c>
      <c r="C61" s="2" t="str">
        <f>'[1]QB Pull'!P60</f>
        <v>Arrow Electronics, Inc</v>
      </c>
      <c r="D61" s="2" t="str">
        <f>'[1]QB Pull'!O60</f>
        <v>VEN006</v>
      </c>
      <c r="E61" s="2">
        <f>VLOOKUP(D:D,[2]Vendors!$A:$B,2,0)</f>
        <v>15</v>
      </c>
      <c r="F61" s="2"/>
      <c r="G61" s="6">
        <v>8</v>
      </c>
      <c r="H61" s="7" t="s">
        <v>32</v>
      </c>
      <c r="I61" s="8">
        <v>1</v>
      </c>
      <c r="J61" s="9">
        <f>'[1]QB Pull'!F60</f>
        <v>45061</v>
      </c>
      <c r="K61" s="5" t="s">
        <v>33</v>
      </c>
      <c r="L61" s="4"/>
      <c r="M61" s="10">
        <f>'[1]QB Pull'!H60</f>
        <v>44946</v>
      </c>
      <c r="N61" s="2"/>
      <c r="O61" s="2">
        <v>1</v>
      </c>
      <c r="P61" s="11">
        <f>'[1]QB Pull'!L60</f>
        <v>432.14</v>
      </c>
      <c r="Q61" s="11">
        <f t="shared" si="0"/>
        <v>432.14</v>
      </c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x14ac:dyDescent="0.3">
      <c r="A62" s="2" t="str">
        <f>'[1]QB Pull'!B61</f>
        <v>Bill</v>
      </c>
      <c r="B62" s="6">
        <f>'[1]QB Pull'!C61</f>
        <v>1627256017</v>
      </c>
      <c r="C62" s="2" t="str">
        <f>'[1]QB Pull'!P61</f>
        <v>Arrow Electronics, Inc</v>
      </c>
      <c r="D62" s="2" t="str">
        <f>'[1]QB Pull'!O61</f>
        <v>VEN006</v>
      </c>
      <c r="E62" s="2">
        <f>VLOOKUP(D:D,[2]Vendors!$A:$B,2,0)</f>
        <v>15</v>
      </c>
      <c r="F62" s="2"/>
      <c r="G62" s="6">
        <v>8</v>
      </c>
      <c r="H62" s="7" t="s">
        <v>32</v>
      </c>
      <c r="I62" s="8">
        <v>1</v>
      </c>
      <c r="J62" s="9">
        <f>'[1]QB Pull'!F61</f>
        <v>45065</v>
      </c>
      <c r="K62" s="5" t="s">
        <v>33</v>
      </c>
      <c r="L62" s="4"/>
      <c r="M62" s="10">
        <f>'[1]QB Pull'!H61</f>
        <v>44950</v>
      </c>
      <c r="N62" s="2"/>
      <c r="O62" s="2">
        <v>1</v>
      </c>
      <c r="P62" s="11">
        <f>'[1]QB Pull'!L61</f>
        <v>581</v>
      </c>
      <c r="Q62" s="11">
        <f t="shared" si="0"/>
        <v>581</v>
      </c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x14ac:dyDescent="0.3">
      <c r="A63" s="2" t="str">
        <f>'[1]QB Pull'!B62</f>
        <v>Bill</v>
      </c>
      <c r="B63" s="6">
        <f>'[1]QB Pull'!C62</f>
        <v>1627256018</v>
      </c>
      <c r="C63" s="2" t="str">
        <f>'[1]QB Pull'!P62</f>
        <v>Arrow Electronics, Inc</v>
      </c>
      <c r="D63" s="2" t="str">
        <f>'[1]QB Pull'!O62</f>
        <v>VEN006</v>
      </c>
      <c r="E63" s="2">
        <f>VLOOKUP(D:D,[2]Vendors!$A:$B,2,0)</f>
        <v>15</v>
      </c>
      <c r="F63" s="2"/>
      <c r="G63" s="6">
        <v>8</v>
      </c>
      <c r="H63" s="7" t="s">
        <v>32</v>
      </c>
      <c r="I63" s="8">
        <v>1</v>
      </c>
      <c r="J63" s="9">
        <f>'[1]QB Pull'!F62</f>
        <v>45065</v>
      </c>
      <c r="K63" s="5" t="s">
        <v>33</v>
      </c>
      <c r="L63" s="4"/>
      <c r="M63" s="10">
        <f>'[1]QB Pull'!H62</f>
        <v>44950</v>
      </c>
      <c r="N63" s="2"/>
      <c r="O63" s="2">
        <v>1</v>
      </c>
      <c r="P63" s="11">
        <f>'[1]QB Pull'!L62</f>
        <v>557.28</v>
      </c>
      <c r="Q63" s="11">
        <f t="shared" si="0"/>
        <v>557.28</v>
      </c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x14ac:dyDescent="0.3">
      <c r="A64" s="2" t="str">
        <f>'[1]QB Pull'!B63</f>
        <v>Bill</v>
      </c>
      <c r="B64" s="6">
        <f>'[1]QB Pull'!C63</f>
        <v>1627260545</v>
      </c>
      <c r="C64" s="2" t="str">
        <f>'[1]QB Pull'!P63</f>
        <v>Arrow Electronics, Inc</v>
      </c>
      <c r="D64" s="2" t="str">
        <f>'[1]QB Pull'!O63</f>
        <v>VEN006</v>
      </c>
      <c r="E64" s="2">
        <f>VLOOKUP(D:D,[2]Vendors!$A:$B,2,0)</f>
        <v>15</v>
      </c>
      <c r="F64" s="2"/>
      <c r="G64" s="6">
        <v>8</v>
      </c>
      <c r="H64" s="7" t="s">
        <v>32</v>
      </c>
      <c r="I64" s="8">
        <v>1</v>
      </c>
      <c r="J64" s="9">
        <f>'[1]QB Pull'!F63</f>
        <v>45066</v>
      </c>
      <c r="K64" s="5" t="s">
        <v>33</v>
      </c>
      <c r="L64" s="4"/>
      <c r="M64" s="10">
        <f>'[1]QB Pull'!H63</f>
        <v>44951</v>
      </c>
      <c r="N64" s="2"/>
      <c r="O64" s="2">
        <v>1</v>
      </c>
      <c r="P64" s="11">
        <f>'[1]QB Pull'!L63</f>
        <v>29507.71</v>
      </c>
      <c r="Q64" s="11">
        <f t="shared" si="0"/>
        <v>29507.71</v>
      </c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x14ac:dyDescent="0.3">
      <c r="A65" s="2" t="str">
        <f>'[1]QB Pull'!B64</f>
        <v>Bill</v>
      </c>
      <c r="B65" s="6">
        <f>'[1]QB Pull'!C64</f>
        <v>1627260688</v>
      </c>
      <c r="C65" s="2" t="str">
        <f>'[1]QB Pull'!P64</f>
        <v>Arrow Electronics, Inc</v>
      </c>
      <c r="D65" s="2" t="str">
        <f>'[1]QB Pull'!O64</f>
        <v>VEN006</v>
      </c>
      <c r="E65" s="2">
        <f>VLOOKUP(D:D,[2]Vendors!$A:$B,2,0)</f>
        <v>15</v>
      </c>
      <c r="F65" s="2"/>
      <c r="G65" s="6">
        <v>8</v>
      </c>
      <c r="H65" s="7" t="s">
        <v>32</v>
      </c>
      <c r="I65" s="8">
        <v>1</v>
      </c>
      <c r="J65" s="9">
        <f>'[1]QB Pull'!F64</f>
        <v>45066</v>
      </c>
      <c r="K65" s="5" t="s">
        <v>33</v>
      </c>
      <c r="L65" s="4"/>
      <c r="M65" s="10">
        <f>'[1]QB Pull'!H64</f>
        <v>44951</v>
      </c>
      <c r="N65" s="2"/>
      <c r="O65" s="2">
        <v>1</v>
      </c>
      <c r="P65" s="11">
        <f>'[1]QB Pull'!L64</f>
        <v>556.24</v>
      </c>
      <c r="Q65" s="11">
        <f t="shared" si="0"/>
        <v>556.24</v>
      </c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x14ac:dyDescent="0.3">
      <c r="A66" s="2" t="str">
        <f>'[1]QB Pull'!B65</f>
        <v>Bill</v>
      </c>
      <c r="B66" s="6">
        <f>'[1]QB Pull'!C65</f>
        <v>1627265230</v>
      </c>
      <c r="C66" s="2" t="str">
        <f>'[1]QB Pull'!P65</f>
        <v>Arrow Electronics, Inc</v>
      </c>
      <c r="D66" s="2" t="str">
        <f>'[1]QB Pull'!O65</f>
        <v>VEN006</v>
      </c>
      <c r="E66" s="2">
        <f>VLOOKUP(D:D,[2]Vendors!$A:$B,2,0)</f>
        <v>15</v>
      </c>
      <c r="F66" s="2"/>
      <c r="G66" s="6">
        <v>8</v>
      </c>
      <c r="H66" s="7" t="s">
        <v>32</v>
      </c>
      <c r="I66" s="8">
        <v>1</v>
      </c>
      <c r="J66" s="9">
        <f>'[1]QB Pull'!F65</f>
        <v>45067</v>
      </c>
      <c r="K66" s="5" t="s">
        <v>33</v>
      </c>
      <c r="L66" s="4"/>
      <c r="M66" s="10">
        <f>'[1]QB Pull'!H65</f>
        <v>44952</v>
      </c>
      <c r="N66" s="2"/>
      <c r="O66" s="2">
        <v>1</v>
      </c>
      <c r="P66" s="11">
        <f>'[1]QB Pull'!L65</f>
        <v>759.56</v>
      </c>
      <c r="Q66" s="11">
        <f t="shared" si="0"/>
        <v>759.56</v>
      </c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x14ac:dyDescent="0.3">
      <c r="A67" s="2" t="str">
        <f>'[1]QB Pull'!B66</f>
        <v>Bill</v>
      </c>
      <c r="B67" s="6">
        <f>'[1]QB Pull'!C66</f>
        <v>1627266444</v>
      </c>
      <c r="C67" s="2" t="str">
        <f>'[1]QB Pull'!P66</f>
        <v>Arrow Electronics, Inc</v>
      </c>
      <c r="D67" s="2" t="str">
        <f>'[1]QB Pull'!O66</f>
        <v>VEN006</v>
      </c>
      <c r="E67" s="2">
        <f>VLOOKUP(D:D,[2]Vendors!$A:$B,2,0)</f>
        <v>15</v>
      </c>
      <c r="F67" s="2"/>
      <c r="G67" s="6">
        <v>8</v>
      </c>
      <c r="H67" s="7" t="s">
        <v>32</v>
      </c>
      <c r="I67" s="8">
        <v>1</v>
      </c>
      <c r="J67" s="9">
        <f>'[1]QB Pull'!F66</f>
        <v>45067</v>
      </c>
      <c r="K67" s="5" t="s">
        <v>33</v>
      </c>
      <c r="L67" s="4"/>
      <c r="M67" s="10">
        <f>'[1]QB Pull'!H66</f>
        <v>44952</v>
      </c>
      <c r="N67" s="2"/>
      <c r="O67" s="2">
        <v>1</v>
      </c>
      <c r="P67" s="11">
        <f>'[1]QB Pull'!L66</f>
        <v>649.36</v>
      </c>
      <c r="Q67" s="11">
        <f t="shared" ref="Q67:Q130" si="1">O67*P67</f>
        <v>649.36</v>
      </c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x14ac:dyDescent="0.3">
      <c r="A68" s="2" t="str">
        <f>'[1]QB Pull'!B67</f>
        <v>Bill</v>
      </c>
      <c r="B68" s="6">
        <f>'[1]QB Pull'!C67</f>
        <v>1627266445</v>
      </c>
      <c r="C68" s="2" t="str">
        <f>'[1]QB Pull'!P67</f>
        <v>Arrow Electronics, Inc</v>
      </c>
      <c r="D68" s="2" t="str">
        <f>'[1]QB Pull'!O67</f>
        <v>VEN006</v>
      </c>
      <c r="E68" s="2">
        <f>VLOOKUP(D:D,[2]Vendors!$A:$B,2,0)</f>
        <v>15</v>
      </c>
      <c r="F68" s="2"/>
      <c r="G68" s="6">
        <v>8</v>
      </c>
      <c r="H68" s="7" t="s">
        <v>32</v>
      </c>
      <c r="I68" s="8">
        <v>1</v>
      </c>
      <c r="J68" s="9">
        <f>'[1]QB Pull'!F67</f>
        <v>45067</v>
      </c>
      <c r="K68" s="5" t="s">
        <v>33</v>
      </c>
      <c r="L68" s="4"/>
      <c r="M68" s="10">
        <f>'[1]QB Pull'!H67</f>
        <v>44952</v>
      </c>
      <c r="N68" s="2"/>
      <c r="O68" s="2">
        <v>1</v>
      </c>
      <c r="P68" s="11">
        <f>'[1]QB Pull'!L67</f>
        <v>3260.06</v>
      </c>
      <c r="Q68" s="11">
        <f t="shared" si="1"/>
        <v>3260.06</v>
      </c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x14ac:dyDescent="0.3">
      <c r="A69" s="2" t="str">
        <f>'[1]QB Pull'!B68</f>
        <v>Bill</v>
      </c>
      <c r="B69" s="6">
        <f>'[1]QB Pull'!C68</f>
        <v>1627273760</v>
      </c>
      <c r="C69" s="2" t="str">
        <f>'[1]QB Pull'!P68</f>
        <v>Arrow Electronics, Inc</v>
      </c>
      <c r="D69" s="2" t="str">
        <f>'[1]QB Pull'!O68</f>
        <v>VEN006</v>
      </c>
      <c r="E69" s="2">
        <f>VLOOKUP(D:D,[2]Vendors!$A:$B,2,0)</f>
        <v>15</v>
      </c>
      <c r="F69" s="2"/>
      <c r="G69" s="6">
        <v>8</v>
      </c>
      <c r="H69" s="7" t="s">
        <v>32</v>
      </c>
      <c r="I69" s="8">
        <v>1</v>
      </c>
      <c r="J69" s="9">
        <f>'[1]QB Pull'!F68</f>
        <v>45071</v>
      </c>
      <c r="K69" s="5" t="s">
        <v>33</v>
      </c>
      <c r="L69" s="4"/>
      <c r="M69" s="10">
        <f>'[1]QB Pull'!H68</f>
        <v>44956</v>
      </c>
      <c r="N69" s="2"/>
      <c r="O69" s="2">
        <v>1</v>
      </c>
      <c r="P69" s="11">
        <f>'[1]QB Pull'!L68</f>
        <v>740</v>
      </c>
      <c r="Q69" s="11">
        <f t="shared" si="1"/>
        <v>740</v>
      </c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x14ac:dyDescent="0.3">
      <c r="A70" s="2" t="str">
        <f>'[1]QB Pull'!B69</f>
        <v>Bill</v>
      </c>
      <c r="B70" s="6">
        <f>'[1]QB Pull'!C69</f>
        <v>1627273761</v>
      </c>
      <c r="C70" s="2" t="str">
        <f>'[1]QB Pull'!P69</f>
        <v>Arrow Electronics, Inc</v>
      </c>
      <c r="D70" s="2" t="str">
        <f>'[1]QB Pull'!O69</f>
        <v>VEN006</v>
      </c>
      <c r="E70" s="2">
        <f>VLOOKUP(D:D,[2]Vendors!$A:$B,2,0)</f>
        <v>15</v>
      </c>
      <c r="F70" s="2"/>
      <c r="G70" s="6">
        <v>8</v>
      </c>
      <c r="H70" s="7" t="s">
        <v>32</v>
      </c>
      <c r="I70" s="8">
        <v>1</v>
      </c>
      <c r="J70" s="9">
        <f>'[1]QB Pull'!F69</f>
        <v>45071</v>
      </c>
      <c r="K70" s="5" t="s">
        <v>33</v>
      </c>
      <c r="L70" s="4"/>
      <c r="M70" s="10">
        <f>'[1]QB Pull'!H69</f>
        <v>44956</v>
      </c>
      <c r="N70" s="2"/>
      <c r="O70" s="2">
        <v>1</v>
      </c>
      <c r="P70" s="11">
        <f>'[1]QB Pull'!L69</f>
        <v>1184</v>
      </c>
      <c r="Q70" s="11">
        <f t="shared" si="1"/>
        <v>1184</v>
      </c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x14ac:dyDescent="0.3">
      <c r="A71" s="2" t="str">
        <f>'[1]QB Pull'!B70</f>
        <v>Bill</v>
      </c>
      <c r="B71" s="6">
        <f>'[1]QB Pull'!C70</f>
        <v>1627273762</v>
      </c>
      <c r="C71" s="2" t="str">
        <f>'[1]QB Pull'!P70</f>
        <v>Arrow Electronics, Inc</v>
      </c>
      <c r="D71" s="2" t="str">
        <f>'[1]QB Pull'!O70</f>
        <v>VEN006</v>
      </c>
      <c r="E71" s="2">
        <f>VLOOKUP(D:D,[2]Vendors!$A:$B,2,0)</f>
        <v>15</v>
      </c>
      <c r="F71" s="2"/>
      <c r="G71" s="6">
        <v>8</v>
      </c>
      <c r="H71" s="7" t="s">
        <v>32</v>
      </c>
      <c r="I71" s="8">
        <v>1</v>
      </c>
      <c r="J71" s="9">
        <f>'[1]QB Pull'!F70</f>
        <v>45071</v>
      </c>
      <c r="K71" s="5" t="s">
        <v>33</v>
      </c>
      <c r="L71" s="4"/>
      <c r="M71" s="10">
        <f>'[1]QB Pull'!H70</f>
        <v>44956</v>
      </c>
      <c r="N71" s="2"/>
      <c r="O71" s="2">
        <v>1</v>
      </c>
      <c r="P71" s="11">
        <f>'[1]QB Pull'!L70</f>
        <v>26283.57</v>
      </c>
      <c r="Q71" s="11">
        <f t="shared" si="1"/>
        <v>26283.57</v>
      </c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x14ac:dyDescent="0.3">
      <c r="A72" s="2" t="str">
        <f>'[1]QB Pull'!B71</f>
        <v>Bill</v>
      </c>
      <c r="B72" s="6">
        <f>'[1]QB Pull'!C71</f>
        <v>1627277294</v>
      </c>
      <c r="C72" s="2" t="str">
        <f>'[1]QB Pull'!P71</f>
        <v>Arrow Electronics, Inc</v>
      </c>
      <c r="D72" s="2" t="str">
        <f>'[1]QB Pull'!O71</f>
        <v>VEN006</v>
      </c>
      <c r="E72" s="2">
        <f>VLOOKUP(D:D,[2]Vendors!$A:$B,2,0)</f>
        <v>15</v>
      </c>
      <c r="F72" s="2"/>
      <c r="G72" s="6">
        <v>8</v>
      </c>
      <c r="H72" s="7" t="s">
        <v>32</v>
      </c>
      <c r="I72" s="8">
        <v>1</v>
      </c>
      <c r="J72" s="9">
        <f>'[1]QB Pull'!F71</f>
        <v>45072</v>
      </c>
      <c r="K72" s="5" t="s">
        <v>33</v>
      </c>
      <c r="L72" s="4"/>
      <c r="M72" s="10">
        <f>'[1]QB Pull'!H71</f>
        <v>44957</v>
      </c>
      <c r="N72" s="2"/>
      <c r="O72" s="2">
        <v>1</v>
      </c>
      <c r="P72" s="11">
        <f>'[1]QB Pull'!L71</f>
        <v>4524.78</v>
      </c>
      <c r="Q72" s="11">
        <f t="shared" si="1"/>
        <v>4524.78</v>
      </c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x14ac:dyDescent="0.3">
      <c r="A73" s="2" t="str">
        <f>'[1]QB Pull'!B72</f>
        <v>Bill</v>
      </c>
      <c r="B73" s="6">
        <f>'[1]QB Pull'!C72</f>
        <v>44896</v>
      </c>
      <c r="C73" s="2" t="str">
        <f>'[1]QB Pull'!P72</f>
        <v>Cape Holdings (S) PTE LTD</v>
      </c>
      <c r="D73" s="2" t="str">
        <f>'[1]QB Pull'!O72</f>
        <v>VEN008</v>
      </c>
      <c r="E73" s="2">
        <f>VLOOKUP(D:D,[2]Vendors!$A:$B,2,0)</f>
        <v>17</v>
      </c>
      <c r="F73" s="2"/>
      <c r="G73" s="6">
        <v>4</v>
      </c>
      <c r="H73" s="7" t="s">
        <v>32</v>
      </c>
      <c r="I73" s="8">
        <v>1</v>
      </c>
      <c r="J73" s="9">
        <f>'[1]QB Pull'!F72</f>
        <v>44984</v>
      </c>
      <c r="K73" s="5" t="s">
        <v>33</v>
      </c>
      <c r="L73" s="4"/>
      <c r="M73" s="10">
        <f>'[1]QB Pull'!H72</f>
        <v>44922</v>
      </c>
      <c r="N73" s="2"/>
      <c r="O73" s="2">
        <v>1</v>
      </c>
      <c r="P73" s="11">
        <f>'[1]QB Pull'!L72</f>
        <v>214170</v>
      </c>
      <c r="Q73" s="11">
        <f t="shared" si="1"/>
        <v>214170</v>
      </c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x14ac:dyDescent="0.3">
      <c r="A74" s="2" t="str">
        <f>'[1]QB Pull'!B73</f>
        <v>Bill</v>
      </c>
      <c r="B74" s="6" t="str">
        <f>'[1]QB Pull'!C73</f>
        <v>CAS 202301002</v>
      </c>
      <c r="C74" s="2" t="str">
        <f>'[1]QB Pull'!P73</f>
        <v>Cape Holdings (S) PTE LTD</v>
      </c>
      <c r="D74" s="2" t="str">
        <f>'[1]QB Pull'!O73</f>
        <v>VEN008</v>
      </c>
      <c r="E74" s="2">
        <f>VLOOKUP(D:D,[2]Vendors!$A:$B,2,0)</f>
        <v>17</v>
      </c>
      <c r="F74" s="2"/>
      <c r="G74" s="6">
        <v>3</v>
      </c>
      <c r="H74" s="7" t="s">
        <v>32</v>
      </c>
      <c r="I74" s="8">
        <v>1</v>
      </c>
      <c r="J74" s="9">
        <f>'[1]QB Pull'!F73</f>
        <v>45005</v>
      </c>
      <c r="K74" s="5" t="s">
        <v>33</v>
      </c>
      <c r="L74" s="4"/>
      <c r="M74" s="10">
        <f>'[1]QB Pull'!H73</f>
        <v>44945</v>
      </c>
      <c r="N74" s="2"/>
      <c r="O74" s="2">
        <v>1</v>
      </c>
      <c r="P74" s="11">
        <f>'[1]QB Pull'!L73</f>
        <v>15746.4</v>
      </c>
      <c r="Q74" s="11">
        <f t="shared" si="1"/>
        <v>15746.4</v>
      </c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x14ac:dyDescent="0.3">
      <c r="A75" s="2" t="str">
        <f>'[1]QB Pull'!B74</f>
        <v>Bill</v>
      </c>
      <c r="B75" s="6" t="str">
        <f>'[1]QB Pull'!C74</f>
        <v>CAS K202301002</v>
      </c>
      <c r="C75" s="2" t="str">
        <f>'[1]QB Pull'!P74</f>
        <v>Cape Holdings (S) PTE LTD</v>
      </c>
      <c r="D75" s="2" t="str">
        <f>'[1]QB Pull'!O74</f>
        <v>VEN008</v>
      </c>
      <c r="E75" s="2">
        <f>VLOOKUP(D:D,[2]Vendors!$A:$B,2,0)</f>
        <v>17</v>
      </c>
      <c r="F75" s="2"/>
      <c r="G75" s="6">
        <v>3</v>
      </c>
      <c r="H75" s="7" t="s">
        <v>32</v>
      </c>
      <c r="I75" s="8">
        <v>1</v>
      </c>
      <c r="J75" s="9">
        <f>'[1]QB Pull'!F74</f>
        <v>45004</v>
      </c>
      <c r="K75" s="5" t="s">
        <v>33</v>
      </c>
      <c r="L75" s="4"/>
      <c r="M75" s="10">
        <f>'[1]QB Pull'!H74</f>
        <v>44953</v>
      </c>
      <c r="N75" s="2"/>
      <c r="O75" s="2">
        <v>1</v>
      </c>
      <c r="P75" s="11">
        <f>'[1]QB Pull'!L74</f>
        <v>7994.16</v>
      </c>
      <c r="Q75" s="11">
        <f t="shared" si="1"/>
        <v>7994.16</v>
      </c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x14ac:dyDescent="0.3">
      <c r="A76" s="2" t="str">
        <f>'[1]QB Pull'!B75</f>
        <v>Bill</v>
      </c>
      <c r="B76" s="6" t="str">
        <f>'[1]QB Pull'!C75</f>
        <v>CAS K202301002</v>
      </c>
      <c r="C76" s="2" t="str">
        <f>'[1]QB Pull'!P75</f>
        <v>Cape Holdings (S) PTE LTD</v>
      </c>
      <c r="D76" s="2" t="str">
        <f>'[1]QB Pull'!O75</f>
        <v>VEN008</v>
      </c>
      <c r="E76" s="2">
        <f>VLOOKUP(D:D,[2]Vendors!$A:$B,2,0)</f>
        <v>17</v>
      </c>
      <c r="F76" s="2"/>
      <c r="G76" s="6">
        <v>3</v>
      </c>
      <c r="H76" s="7" t="s">
        <v>32</v>
      </c>
      <c r="I76" s="8">
        <v>1</v>
      </c>
      <c r="J76" s="9">
        <f>'[1]QB Pull'!F75</f>
        <v>45004</v>
      </c>
      <c r="K76" s="5" t="s">
        <v>33</v>
      </c>
      <c r="L76" s="4"/>
      <c r="M76" s="10">
        <f>'[1]QB Pull'!H75</f>
        <v>44953</v>
      </c>
      <c r="N76" s="2"/>
      <c r="O76" s="2">
        <v>1</v>
      </c>
      <c r="P76" s="11">
        <f>'[1]QB Pull'!L75</f>
        <v>7994.16</v>
      </c>
      <c r="Q76" s="11">
        <f t="shared" si="1"/>
        <v>7994.16</v>
      </c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x14ac:dyDescent="0.3">
      <c r="A77" s="2" t="str">
        <f>'[1]QB Pull'!B76</f>
        <v>Bill</v>
      </c>
      <c r="B77" s="6" t="str">
        <f>'[1]QB Pull'!C76</f>
        <v>CAS K202301002</v>
      </c>
      <c r="C77" s="2" t="str">
        <f>'[1]QB Pull'!P76</f>
        <v>Cape Holdings (S) PTE LTD</v>
      </c>
      <c r="D77" s="2" t="str">
        <f>'[1]QB Pull'!O76</f>
        <v>VEN008</v>
      </c>
      <c r="E77" s="2">
        <f>VLOOKUP(D:D,[2]Vendors!$A:$B,2,0)</f>
        <v>17</v>
      </c>
      <c r="F77" s="2"/>
      <c r="G77" s="6">
        <v>3</v>
      </c>
      <c r="H77" s="7" t="s">
        <v>32</v>
      </c>
      <c r="I77" s="8">
        <v>1</v>
      </c>
      <c r="J77" s="9">
        <f>'[1]QB Pull'!F76</f>
        <v>45013</v>
      </c>
      <c r="K77" s="5" t="s">
        <v>33</v>
      </c>
      <c r="L77" s="4"/>
      <c r="M77" s="10">
        <f>'[1]QB Pull'!H76</f>
        <v>44953</v>
      </c>
      <c r="N77" s="2"/>
      <c r="O77" s="2">
        <v>1</v>
      </c>
      <c r="P77" s="11">
        <f>'[1]QB Pull'!L76</f>
        <v>7105.92</v>
      </c>
      <c r="Q77" s="11">
        <f t="shared" si="1"/>
        <v>7105.92</v>
      </c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x14ac:dyDescent="0.3">
      <c r="A78" s="2" t="str">
        <f>'[1]QB Pull'!B77</f>
        <v>Bill</v>
      </c>
      <c r="B78" s="6" t="str">
        <f>'[1]QB Pull'!C77</f>
        <v>CAS K202301002</v>
      </c>
      <c r="C78" s="2" t="str">
        <f>'[1]QB Pull'!P77</f>
        <v>Cape Holdings (S) PTE LTD</v>
      </c>
      <c r="D78" s="2" t="str">
        <f>'[1]QB Pull'!O77</f>
        <v>VEN008</v>
      </c>
      <c r="E78" s="2">
        <f>VLOOKUP(D:D,[2]Vendors!$A:$B,2,0)</f>
        <v>17</v>
      </c>
      <c r="F78" s="2"/>
      <c r="G78" s="6">
        <v>3</v>
      </c>
      <c r="H78" s="7" t="s">
        <v>32</v>
      </c>
      <c r="I78" s="8">
        <v>1</v>
      </c>
      <c r="J78" s="9">
        <f>'[1]QB Pull'!F77</f>
        <v>45004</v>
      </c>
      <c r="K78" s="5" t="s">
        <v>33</v>
      </c>
      <c r="L78" s="4"/>
      <c r="M78" s="10">
        <f>'[1]QB Pull'!H77</f>
        <v>44953</v>
      </c>
      <c r="N78" s="2"/>
      <c r="O78" s="2">
        <v>1</v>
      </c>
      <c r="P78" s="11">
        <f>'[1]QB Pull'!L77</f>
        <v>3790.8</v>
      </c>
      <c r="Q78" s="11">
        <f t="shared" si="1"/>
        <v>3790.8</v>
      </c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x14ac:dyDescent="0.3">
      <c r="A79" s="2" t="str">
        <f>'[1]QB Pull'!B78</f>
        <v>Bill</v>
      </c>
      <c r="B79" s="6" t="str">
        <f>'[1]QB Pull'!C78</f>
        <v>CAS K202301002</v>
      </c>
      <c r="C79" s="2" t="str">
        <f>'[1]QB Pull'!P78</f>
        <v>Cape Holdings (S) PTE LTD</v>
      </c>
      <c r="D79" s="2" t="str">
        <f>'[1]QB Pull'!O78</f>
        <v>VEN008</v>
      </c>
      <c r="E79" s="2">
        <f>VLOOKUP(D:D,[2]Vendors!$A:$B,2,0)</f>
        <v>17</v>
      </c>
      <c r="F79" s="2"/>
      <c r="G79" s="6">
        <v>3</v>
      </c>
      <c r="H79" s="7" t="s">
        <v>32</v>
      </c>
      <c r="I79" s="8">
        <v>1</v>
      </c>
      <c r="J79" s="9">
        <f>'[1]QB Pull'!F78</f>
        <v>45004</v>
      </c>
      <c r="K79" s="5" t="s">
        <v>33</v>
      </c>
      <c r="L79" s="4"/>
      <c r="M79" s="10">
        <f>'[1]QB Pull'!H78</f>
        <v>44953</v>
      </c>
      <c r="N79" s="2"/>
      <c r="O79" s="2">
        <v>1</v>
      </c>
      <c r="P79" s="11">
        <f>'[1]QB Pull'!L78</f>
        <v>291.60000000000002</v>
      </c>
      <c r="Q79" s="11">
        <f t="shared" si="1"/>
        <v>291.60000000000002</v>
      </c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x14ac:dyDescent="0.3">
      <c r="A80" s="2" t="str">
        <f>'[1]QB Pull'!B79</f>
        <v>Bill</v>
      </c>
      <c r="B80" s="6">
        <f>'[1]QB Pull'!C79</f>
        <v>44927</v>
      </c>
      <c r="C80" s="2" t="str">
        <f>'[1]QB Pull'!P79</f>
        <v>Cape Holdings (S) PTE LTD</v>
      </c>
      <c r="D80" s="2" t="str">
        <f>'[1]QB Pull'!O79</f>
        <v>VEN008</v>
      </c>
      <c r="E80" s="2">
        <f>VLOOKUP(D:D,[2]Vendors!$A:$B,2,0)</f>
        <v>17</v>
      </c>
      <c r="F80" s="2"/>
      <c r="G80" s="6">
        <v>3</v>
      </c>
      <c r="H80" s="7" t="s">
        <v>32</v>
      </c>
      <c r="I80" s="8">
        <v>1</v>
      </c>
      <c r="J80" s="9">
        <f>'[1]QB Pull'!F79</f>
        <v>45017</v>
      </c>
      <c r="K80" s="5" t="s">
        <v>33</v>
      </c>
      <c r="L80" s="4"/>
      <c r="M80" s="10">
        <f>'[1]QB Pull'!H79</f>
        <v>44957</v>
      </c>
      <c r="N80" s="2"/>
      <c r="O80" s="2">
        <v>1</v>
      </c>
      <c r="P80" s="11">
        <f>'[1]QB Pull'!L79</f>
        <v>140820</v>
      </c>
      <c r="Q80" s="11">
        <f t="shared" si="1"/>
        <v>140820</v>
      </c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x14ac:dyDescent="0.3">
      <c r="A81" s="2" t="str">
        <f>'[1]QB Pull'!B80</f>
        <v>Bill</v>
      </c>
      <c r="B81" s="6" t="str">
        <f>'[1]QB Pull'!C80</f>
        <v>SDN-K2023014</v>
      </c>
      <c r="C81" s="2" t="str">
        <f>'[1]QB Pull'!P80</f>
        <v>Cape Holdings (S) PTE LTD</v>
      </c>
      <c r="D81" s="2" t="str">
        <f>'[1]QB Pull'!O80</f>
        <v>VEN008</v>
      </c>
      <c r="E81" s="2">
        <f>VLOOKUP(D:D,[2]Vendors!$A:$B,2,0)</f>
        <v>17</v>
      </c>
      <c r="F81" s="2"/>
      <c r="G81" s="6">
        <v>3</v>
      </c>
      <c r="H81" s="7" t="s">
        <v>32</v>
      </c>
      <c r="I81" s="8">
        <v>1</v>
      </c>
      <c r="J81" s="9">
        <f>'[1]QB Pull'!F80</f>
        <v>45025</v>
      </c>
      <c r="K81" s="5" t="s">
        <v>33</v>
      </c>
      <c r="L81" s="4"/>
      <c r="M81" s="10">
        <f>'[1]QB Pull'!H80</f>
        <v>44965</v>
      </c>
      <c r="N81" s="2"/>
      <c r="O81" s="2">
        <v>1</v>
      </c>
      <c r="P81" s="11">
        <f>'[1]QB Pull'!L80</f>
        <v>110.64</v>
      </c>
      <c r="Q81" s="11">
        <f t="shared" si="1"/>
        <v>110.64</v>
      </c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x14ac:dyDescent="0.3">
      <c r="A82" s="2" t="str">
        <f>'[1]QB Pull'!B81</f>
        <v>Bill</v>
      </c>
      <c r="B82" s="6" t="str">
        <f>'[1]QB Pull'!C81</f>
        <v>PO 1952</v>
      </c>
      <c r="C82" s="2" t="str">
        <f>'[1]QB Pull'!P81</f>
        <v>Cape Holdings (S) PTE LTD</v>
      </c>
      <c r="D82" s="2" t="str">
        <f>'[1]QB Pull'!O81</f>
        <v>VEN008</v>
      </c>
      <c r="E82" s="2">
        <f>VLOOKUP(D:D,[2]Vendors!$A:$B,2,0)</f>
        <v>17</v>
      </c>
      <c r="F82" s="2"/>
      <c r="G82" s="6">
        <v>3</v>
      </c>
      <c r="H82" s="7" t="s">
        <v>32</v>
      </c>
      <c r="I82" s="8">
        <v>1</v>
      </c>
      <c r="J82" s="9">
        <f>'[1]QB Pull'!F81</f>
        <v>45030</v>
      </c>
      <c r="K82" s="5" t="s">
        <v>33</v>
      </c>
      <c r="L82" s="4"/>
      <c r="M82" s="10">
        <f>'[1]QB Pull'!H81</f>
        <v>44970</v>
      </c>
      <c r="N82" s="2"/>
      <c r="O82" s="2">
        <v>1</v>
      </c>
      <c r="P82" s="11">
        <f>'[1]QB Pull'!L81</f>
        <v>4082.4</v>
      </c>
      <c r="Q82" s="11">
        <f t="shared" si="1"/>
        <v>4082.4</v>
      </c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x14ac:dyDescent="0.3">
      <c r="A83" s="2" t="str">
        <f>'[1]QB Pull'!B82</f>
        <v>Bill</v>
      </c>
      <c r="B83" s="6">
        <f>'[1]QB Pull'!C82</f>
        <v>9374867</v>
      </c>
      <c r="C83" s="2" t="str">
        <f>'[1]QB Pull'!P82</f>
        <v>Future Electronics Corp</v>
      </c>
      <c r="D83" s="2" t="str">
        <f>'[1]QB Pull'!O82</f>
        <v>VEN007</v>
      </c>
      <c r="E83" s="2">
        <f>VLOOKUP(D:D,[2]Vendors!$A:$B,2,0)</f>
        <v>16</v>
      </c>
      <c r="F83" s="2"/>
      <c r="G83" s="6">
        <v>7</v>
      </c>
      <c r="H83" s="7" t="s">
        <v>32</v>
      </c>
      <c r="I83" s="8">
        <v>1</v>
      </c>
      <c r="J83" s="9">
        <f>'[1]QB Pull'!F82</f>
        <v>44984</v>
      </c>
      <c r="K83" s="5" t="s">
        <v>33</v>
      </c>
      <c r="L83" s="4"/>
      <c r="M83" s="10">
        <f>'[1]QB Pull'!H82</f>
        <v>44804</v>
      </c>
      <c r="N83" s="2"/>
      <c r="O83" s="2">
        <v>1</v>
      </c>
      <c r="P83" s="11">
        <f>'[1]QB Pull'!L82</f>
        <v>926</v>
      </c>
      <c r="Q83" s="11">
        <f t="shared" si="1"/>
        <v>926</v>
      </c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x14ac:dyDescent="0.3">
      <c r="A84" s="2" t="str">
        <f>'[1]QB Pull'!B83</f>
        <v>Bill</v>
      </c>
      <c r="B84" s="6">
        <f>'[1]QB Pull'!C83</f>
        <v>9374868</v>
      </c>
      <c r="C84" s="2" t="str">
        <f>'[1]QB Pull'!P83</f>
        <v>Future Electronics Corp</v>
      </c>
      <c r="D84" s="2" t="str">
        <f>'[1]QB Pull'!O83</f>
        <v>VEN007</v>
      </c>
      <c r="E84" s="2">
        <f>VLOOKUP(D:D,[2]Vendors!$A:$B,2,0)</f>
        <v>16</v>
      </c>
      <c r="F84" s="2"/>
      <c r="G84" s="6">
        <v>7</v>
      </c>
      <c r="H84" s="7" t="s">
        <v>32</v>
      </c>
      <c r="I84" s="8">
        <v>1</v>
      </c>
      <c r="J84" s="9">
        <f>'[1]QB Pull'!F83</f>
        <v>44984</v>
      </c>
      <c r="K84" s="5" t="s">
        <v>33</v>
      </c>
      <c r="L84" s="4"/>
      <c r="M84" s="10">
        <f>'[1]QB Pull'!H83</f>
        <v>44804</v>
      </c>
      <c r="N84" s="2"/>
      <c r="O84" s="2">
        <v>1</v>
      </c>
      <c r="P84" s="11">
        <f>'[1]QB Pull'!L83</f>
        <v>294.52</v>
      </c>
      <c r="Q84" s="11">
        <f t="shared" si="1"/>
        <v>294.52</v>
      </c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x14ac:dyDescent="0.3">
      <c r="A85" s="2" t="str">
        <f>'[1]QB Pull'!B84</f>
        <v>Bill</v>
      </c>
      <c r="B85" s="6">
        <f>'[1]QB Pull'!C84</f>
        <v>9374869</v>
      </c>
      <c r="C85" s="2" t="str">
        <f>'[1]QB Pull'!P84</f>
        <v>Future Electronics Corp</v>
      </c>
      <c r="D85" s="2" t="str">
        <f>'[1]QB Pull'!O84</f>
        <v>VEN007</v>
      </c>
      <c r="E85" s="2">
        <f>VLOOKUP(D:D,[2]Vendors!$A:$B,2,0)</f>
        <v>16</v>
      </c>
      <c r="F85" s="2"/>
      <c r="G85" s="6">
        <v>7</v>
      </c>
      <c r="H85" s="7" t="s">
        <v>32</v>
      </c>
      <c r="I85" s="8">
        <v>1</v>
      </c>
      <c r="J85" s="9">
        <f>'[1]QB Pull'!F84</f>
        <v>44984</v>
      </c>
      <c r="K85" s="5" t="s">
        <v>33</v>
      </c>
      <c r="L85" s="4"/>
      <c r="M85" s="10">
        <f>'[1]QB Pull'!H84</f>
        <v>44804</v>
      </c>
      <c r="N85" s="2"/>
      <c r="O85" s="2">
        <v>1</v>
      </c>
      <c r="P85" s="11">
        <f>'[1]QB Pull'!L84</f>
        <v>384</v>
      </c>
      <c r="Q85" s="11">
        <f t="shared" si="1"/>
        <v>384</v>
      </c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x14ac:dyDescent="0.3">
      <c r="A86" s="2" t="str">
        <f>'[1]QB Pull'!B85</f>
        <v>Bill</v>
      </c>
      <c r="B86" s="6">
        <f>'[1]QB Pull'!C85</f>
        <v>9374870</v>
      </c>
      <c r="C86" s="2" t="str">
        <f>'[1]QB Pull'!P85</f>
        <v>Future Electronics Corp</v>
      </c>
      <c r="D86" s="2" t="str">
        <f>'[1]QB Pull'!O85</f>
        <v>VEN007</v>
      </c>
      <c r="E86" s="2">
        <f>VLOOKUP(D:D,[2]Vendors!$A:$B,2,0)</f>
        <v>16</v>
      </c>
      <c r="F86" s="2"/>
      <c r="G86" s="6">
        <v>7</v>
      </c>
      <c r="H86" s="7" t="s">
        <v>32</v>
      </c>
      <c r="I86" s="8">
        <v>1</v>
      </c>
      <c r="J86" s="9">
        <f>'[1]QB Pull'!F85</f>
        <v>44984</v>
      </c>
      <c r="K86" s="5" t="s">
        <v>33</v>
      </c>
      <c r="L86" s="4"/>
      <c r="M86" s="10">
        <f>'[1]QB Pull'!H85</f>
        <v>44804</v>
      </c>
      <c r="N86" s="2"/>
      <c r="O86" s="2">
        <v>1</v>
      </c>
      <c r="P86" s="11">
        <f>'[1]QB Pull'!L85</f>
        <v>2841.6</v>
      </c>
      <c r="Q86" s="11">
        <f t="shared" si="1"/>
        <v>2841.6</v>
      </c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x14ac:dyDescent="0.3">
      <c r="A87" s="2" t="str">
        <f>'[1]QB Pull'!B86</f>
        <v>Bill</v>
      </c>
      <c r="B87" s="6">
        <f>'[1]QB Pull'!C86</f>
        <v>3938585</v>
      </c>
      <c r="C87" s="2" t="str">
        <f>'[1]QB Pull'!P86</f>
        <v>Future Electronics Corp</v>
      </c>
      <c r="D87" s="2" t="str">
        <f>'[1]QB Pull'!O86</f>
        <v>VEN007</v>
      </c>
      <c r="E87" s="2">
        <f>VLOOKUP(D:D,[2]Vendors!$A:$B,2,0)</f>
        <v>16</v>
      </c>
      <c r="F87" s="2"/>
      <c r="G87" s="6">
        <v>7</v>
      </c>
      <c r="H87" s="7" t="s">
        <v>32</v>
      </c>
      <c r="I87" s="8">
        <v>1</v>
      </c>
      <c r="J87" s="9">
        <f>'[1]QB Pull'!F86</f>
        <v>44986</v>
      </c>
      <c r="K87" s="5" t="s">
        <v>33</v>
      </c>
      <c r="L87" s="4"/>
      <c r="M87" s="10">
        <f>'[1]QB Pull'!H86</f>
        <v>44806</v>
      </c>
      <c r="N87" s="2"/>
      <c r="O87" s="2">
        <v>1</v>
      </c>
      <c r="P87" s="11">
        <f>'[1]QB Pull'!L86</f>
        <v>933.31</v>
      </c>
      <c r="Q87" s="11">
        <f t="shared" si="1"/>
        <v>933.31</v>
      </c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x14ac:dyDescent="0.3">
      <c r="A88" s="2" t="str">
        <f>'[1]QB Pull'!B87</f>
        <v>Bill</v>
      </c>
      <c r="B88" s="6">
        <f>'[1]QB Pull'!C87</f>
        <v>3943465</v>
      </c>
      <c r="C88" s="2" t="str">
        <f>'[1]QB Pull'!P87</f>
        <v>Future Electronics Corp</v>
      </c>
      <c r="D88" s="2" t="str">
        <f>'[1]QB Pull'!O87</f>
        <v>VEN007</v>
      </c>
      <c r="E88" s="2">
        <f>VLOOKUP(D:D,[2]Vendors!$A:$B,2,0)</f>
        <v>16</v>
      </c>
      <c r="F88" s="2"/>
      <c r="G88" s="6">
        <v>7</v>
      </c>
      <c r="H88" s="7" t="s">
        <v>32</v>
      </c>
      <c r="I88" s="8">
        <v>1</v>
      </c>
      <c r="J88" s="9">
        <f>'[1]QB Pull'!F87</f>
        <v>44986</v>
      </c>
      <c r="K88" s="5" t="s">
        <v>33</v>
      </c>
      <c r="L88" s="4"/>
      <c r="M88" s="10">
        <f>'[1]QB Pull'!H87</f>
        <v>44806</v>
      </c>
      <c r="N88" s="2"/>
      <c r="O88" s="2">
        <v>1</v>
      </c>
      <c r="P88" s="11">
        <f>'[1]QB Pull'!L87</f>
        <v>296.95</v>
      </c>
      <c r="Q88" s="11">
        <f t="shared" si="1"/>
        <v>296.95</v>
      </c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x14ac:dyDescent="0.3">
      <c r="A89" s="2" t="str">
        <f>'[1]QB Pull'!B88</f>
        <v>Bill</v>
      </c>
      <c r="B89" s="6">
        <f>'[1]QB Pull'!C88</f>
        <v>9386929</v>
      </c>
      <c r="C89" s="2" t="str">
        <f>'[1]QB Pull'!P88</f>
        <v>Future Electronics Corp</v>
      </c>
      <c r="D89" s="2" t="str">
        <f>'[1]QB Pull'!O88</f>
        <v>VEN007</v>
      </c>
      <c r="E89" s="2">
        <f>VLOOKUP(D:D,[2]Vendors!$A:$B,2,0)</f>
        <v>16</v>
      </c>
      <c r="F89" s="2"/>
      <c r="G89" s="6">
        <v>7</v>
      </c>
      <c r="H89" s="7" t="s">
        <v>32</v>
      </c>
      <c r="I89" s="8">
        <v>1</v>
      </c>
      <c r="J89" s="9">
        <f>'[1]QB Pull'!F88</f>
        <v>44991</v>
      </c>
      <c r="K89" s="5" t="s">
        <v>33</v>
      </c>
      <c r="L89" s="4"/>
      <c r="M89" s="10">
        <f>'[1]QB Pull'!H88</f>
        <v>44811</v>
      </c>
      <c r="N89" s="2"/>
      <c r="O89" s="2">
        <v>1</v>
      </c>
      <c r="P89" s="11">
        <f>'[1]QB Pull'!L88</f>
        <v>947.27</v>
      </c>
      <c r="Q89" s="11">
        <f t="shared" si="1"/>
        <v>947.27</v>
      </c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x14ac:dyDescent="0.3">
      <c r="A90" s="2" t="str">
        <f>'[1]QB Pull'!B89</f>
        <v>Bill</v>
      </c>
      <c r="B90" s="6">
        <f>'[1]QB Pull'!C89</f>
        <v>9386930</v>
      </c>
      <c r="C90" s="2" t="str">
        <f>'[1]QB Pull'!P89</f>
        <v>Future Electronics Corp</v>
      </c>
      <c r="D90" s="2" t="str">
        <f>'[1]QB Pull'!O89</f>
        <v>VEN007</v>
      </c>
      <c r="E90" s="2">
        <f>VLOOKUP(D:D,[2]Vendors!$A:$B,2,0)</f>
        <v>16</v>
      </c>
      <c r="F90" s="2"/>
      <c r="G90" s="6">
        <v>7</v>
      </c>
      <c r="H90" s="7" t="s">
        <v>32</v>
      </c>
      <c r="I90" s="8">
        <v>1</v>
      </c>
      <c r="J90" s="9">
        <f>'[1]QB Pull'!F89</f>
        <v>44991</v>
      </c>
      <c r="K90" s="5" t="s">
        <v>33</v>
      </c>
      <c r="L90" s="4"/>
      <c r="M90" s="10">
        <f>'[1]QB Pull'!H89</f>
        <v>44811</v>
      </c>
      <c r="N90" s="2"/>
      <c r="O90" s="2">
        <v>1</v>
      </c>
      <c r="P90" s="11">
        <f>'[1]QB Pull'!L89</f>
        <v>3480</v>
      </c>
      <c r="Q90" s="11">
        <f t="shared" si="1"/>
        <v>3480</v>
      </c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x14ac:dyDescent="0.3">
      <c r="A91" s="2" t="str">
        <f>'[1]QB Pull'!B90</f>
        <v>Bill</v>
      </c>
      <c r="B91" s="6">
        <f>'[1]QB Pull'!C90</f>
        <v>9386931</v>
      </c>
      <c r="C91" s="2" t="str">
        <f>'[1]QB Pull'!P90</f>
        <v>Future Electronics Corp</v>
      </c>
      <c r="D91" s="2" t="str">
        <f>'[1]QB Pull'!O90</f>
        <v>VEN007</v>
      </c>
      <c r="E91" s="2">
        <f>VLOOKUP(D:D,[2]Vendors!$A:$B,2,0)</f>
        <v>16</v>
      </c>
      <c r="F91" s="2"/>
      <c r="G91" s="6">
        <v>7</v>
      </c>
      <c r="H91" s="7" t="s">
        <v>32</v>
      </c>
      <c r="I91" s="8">
        <v>1</v>
      </c>
      <c r="J91" s="9">
        <f>'[1]QB Pull'!F90</f>
        <v>44991</v>
      </c>
      <c r="K91" s="5" t="s">
        <v>33</v>
      </c>
      <c r="L91" s="4"/>
      <c r="M91" s="10">
        <f>'[1]QB Pull'!H90</f>
        <v>44811</v>
      </c>
      <c r="N91" s="2"/>
      <c r="O91" s="2">
        <v>1</v>
      </c>
      <c r="P91" s="11">
        <f>'[1]QB Pull'!L90</f>
        <v>15000</v>
      </c>
      <c r="Q91" s="11">
        <f t="shared" si="1"/>
        <v>15000</v>
      </c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x14ac:dyDescent="0.3">
      <c r="A92" s="2" t="str">
        <f>'[1]QB Pull'!B91</f>
        <v>Bill</v>
      </c>
      <c r="B92" s="6">
        <f>'[1]QB Pull'!C91</f>
        <v>3955646</v>
      </c>
      <c r="C92" s="2" t="str">
        <f>'[1]QB Pull'!P91</f>
        <v>Future Electronics Corp</v>
      </c>
      <c r="D92" s="2" t="str">
        <f>'[1]QB Pull'!O91</f>
        <v>VEN007</v>
      </c>
      <c r="E92" s="2">
        <f>VLOOKUP(D:D,[2]Vendors!$A:$B,2,0)</f>
        <v>16</v>
      </c>
      <c r="F92" s="2"/>
      <c r="G92" s="6">
        <v>7</v>
      </c>
      <c r="H92" s="7" t="s">
        <v>32</v>
      </c>
      <c r="I92" s="8">
        <v>1</v>
      </c>
      <c r="J92" s="9">
        <f>'[1]QB Pull'!F91</f>
        <v>44993</v>
      </c>
      <c r="K92" s="5" t="s">
        <v>33</v>
      </c>
      <c r="L92" s="4"/>
      <c r="M92" s="10">
        <f>'[1]QB Pull'!H91</f>
        <v>44813</v>
      </c>
      <c r="N92" s="2"/>
      <c r="O92" s="2">
        <v>1</v>
      </c>
      <c r="P92" s="11">
        <f>'[1]QB Pull'!L91</f>
        <v>384.55</v>
      </c>
      <c r="Q92" s="11">
        <f t="shared" si="1"/>
        <v>384.55</v>
      </c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x14ac:dyDescent="0.3">
      <c r="A93" s="2" t="str">
        <f>'[1]QB Pull'!B92</f>
        <v>Bill</v>
      </c>
      <c r="B93" s="6">
        <f>'[1]QB Pull'!C92</f>
        <v>3955647</v>
      </c>
      <c r="C93" s="2" t="str">
        <f>'[1]QB Pull'!P92</f>
        <v>Future Electronics Corp</v>
      </c>
      <c r="D93" s="2" t="str">
        <f>'[1]QB Pull'!O92</f>
        <v>VEN007</v>
      </c>
      <c r="E93" s="2">
        <f>VLOOKUP(D:D,[2]Vendors!$A:$B,2,0)</f>
        <v>16</v>
      </c>
      <c r="F93" s="2"/>
      <c r="G93" s="6">
        <v>7</v>
      </c>
      <c r="H93" s="7" t="s">
        <v>32</v>
      </c>
      <c r="I93" s="8">
        <v>1</v>
      </c>
      <c r="J93" s="9">
        <f>'[1]QB Pull'!F92</f>
        <v>44993</v>
      </c>
      <c r="K93" s="5" t="s">
        <v>33</v>
      </c>
      <c r="L93" s="4"/>
      <c r="M93" s="10">
        <f>'[1]QB Pull'!H92</f>
        <v>44813</v>
      </c>
      <c r="N93" s="2"/>
      <c r="O93" s="2">
        <v>1</v>
      </c>
      <c r="P93" s="11">
        <f>'[1]QB Pull'!L92</f>
        <v>180</v>
      </c>
      <c r="Q93" s="11">
        <f t="shared" si="1"/>
        <v>180</v>
      </c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x14ac:dyDescent="0.3">
      <c r="A94" s="2" t="str">
        <f>'[1]QB Pull'!B93</f>
        <v>Bill</v>
      </c>
      <c r="B94" s="6">
        <f>'[1]QB Pull'!C93</f>
        <v>3958919</v>
      </c>
      <c r="C94" s="2" t="str">
        <f>'[1]QB Pull'!P93</f>
        <v>Future Electronics Corp</v>
      </c>
      <c r="D94" s="2" t="str">
        <f>'[1]QB Pull'!O93</f>
        <v>VEN007</v>
      </c>
      <c r="E94" s="2">
        <f>VLOOKUP(D:D,[2]Vendors!$A:$B,2,0)</f>
        <v>16</v>
      </c>
      <c r="F94" s="2"/>
      <c r="G94" s="6">
        <v>7</v>
      </c>
      <c r="H94" s="7" t="s">
        <v>32</v>
      </c>
      <c r="I94" s="8">
        <v>1</v>
      </c>
      <c r="J94" s="9">
        <f>'[1]QB Pull'!F93</f>
        <v>44996</v>
      </c>
      <c r="K94" s="5" t="s">
        <v>33</v>
      </c>
      <c r="L94" s="4"/>
      <c r="M94" s="10">
        <f>'[1]QB Pull'!H93</f>
        <v>44816</v>
      </c>
      <c r="N94" s="2"/>
      <c r="O94" s="2">
        <v>1</v>
      </c>
      <c r="P94" s="11">
        <f>'[1]QB Pull'!L93</f>
        <v>118.28</v>
      </c>
      <c r="Q94" s="11">
        <f t="shared" si="1"/>
        <v>118.28</v>
      </c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x14ac:dyDescent="0.3">
      <c r="A95" s="2" t="str">
        <f>'[1]QB Pull'!B94</f>
        <v>Bill</v>
      </c>
      <c r="B95" s="6">
        <f>'[1]QB Pull'!C94</f>
        <v>3959660</v>
      </c>
      <c r="C95" s="2" t="str">
        <f>'[1]QB Pull'!P94</f>
        <v>Future Electronics Corp</v>
      </c>
      <c r="D95" s="2" t="str">
        <f>'[1]QB Pull'!O94</f>
        <v>VEN007</v>
      </c>
      <c r="E95" s="2">
        <f>VLOOKUP(D:D,[2]Vendors!$A:$B,2,0)</f>
        <v>16</v>
      </c>
      <c r="F95" s="2"/>
      <c r="G95" s="6">
        <v>7</v>
      </c>
      <c r="H95" s="7" t="s">
        <v>32</v>
      </c>
      <c r="I95" s="8">
        <v>1</v>
      </c>
      <c r="J95" s="9">
        <f>'[1]QB Pull'!F94</f>
        <v>44997</v>
      </c>
      <c r="K95" s="5" t="s">
        <v>33</v>
      </c>
      <c r="L95" s="4"/>
      <c r="M95" s="10">
        <f>'[1]QB Pull'!H94</f>
        <v>44817</v>
      </c>
      <c r="N95" s="2"/>
      <c r="O95" s="2">
        <v>1</v>
      </c>
      <c r="P95" s="11">
        <f>'[1]QB Pull'!L94</f>
        <v>2164.29</v>
      </c>
      <c r="Q95" s="11">
        <f t="shared" si="1"/>
        <v>2164.29</v>
      </c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x14ac:dyDescent="0.3">
      <c r="A96" s="2" t="str">
        <f>'[1]QB Pull'!B95</f>
        <v>Bill</v>
      </c>
      <c r="B96" s="6">
        <f>'[1]QB Pull'!C95</f>
        <v>9404857</v>
      </c>
      <c r="C96" s="2" t="str">
        <f>'[1]QB Pull'!P95</f>
        <v>Future Electronics Corp</v>
      </c>
      <c r="D96" s="2" t="str">
        <f>'[1]QB Pull'!O95</f>
        <v>VEN007</v>
      </c>
      <c r="E96" s="2">
        <f>VLOOKUP(D:D,[2]Vendors!$A:$B,2,0)</f>
        <v>16</v>
      </c>
      <c r="F96" s="2"/>
      <c r="G96" s="6">
        <v>7</v>
      </c>
      <c r="H96" s="7" t="s">
        <v>32</v>
      </c>
      <c r="I96" s="8">
        <v>1</v>
      </c>
      <c r="J96" s="9">
        <f>'[1]QB Pull'!F95</f>
        <v>45003</v>
      </c>
      <c r="K96" s="5" t="s">
        <v>33</v>
      </c>
      <c r="L96" s="4"/>
      <c r="M96" s="10">
        <f>'[1]QB Pull'!H95</f>
        <v>44823</v>
      </c>
      <c r="N96" s="2"/>
      <c r="O96" s="2">
        <v>1</v>
      </c>
      <c r="P96" s="11">
        <f>'[1]QB Pull'!L95</f>
        <v>1583.71</v>
      </c>
      <c r="Q96" s="11">
        <f t="shared" si="1"/>
        <v>1583.71</v>
      </c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x14ac:dyDescent="0.3">
      <c r="A97" s="2" t="str">
        <f>'[1]QB Pull'!B96</f>
        <v>Bill</v>
      </c>
      <c r="B97" s="6">
        <f>'[1]QB Pull'!C96</f>
        <v>9404858</v>
      </c>
      <c r="C97" s="2" t="str">
        <f>'[1]QB Pull'!P96</f>
        <v>Future Electronics Corp</v>
      </c>
      <c r="D97" s="2" t="str">
        <f>'[1]QB Pull'!O96</f>
        <v>VEN007</v>
      </c>
      <c r="E97" s="2">
        <f>VLOOKUP(D:D,[2]Vendors!$A:$B,2,0)</f>
        <v>16</v>
      </c>
      <c r="F97" s="2"/>
      <c r="G97" s="6">
        <v>7</v>
      </c>
      <c r="H97" s="7" t="s">
        <v>32</v>
      </c>
      <c r="I97" s="8">
        <v>1</v>
      </c>
      <c r="J97" s="9">
        <f>'[1]QB Pull'!F96</f>
        <v>45003</v>
      </c>
      <c r="K97" s="5" t="s">
        <v>33</v>
      </c>
      <c r="L97" s="4"/>
      <c r="M97" s="10">
        <f>'[1]QB Pull'!H96</f>
        <v>44823</v>
      </c>
      <c r="N97" s="2"/>
      <c r="O97" s="2">
        <v>1</v>
      </c>
      <c r="P97" s="11">
        <f>'[1]QB Pull'!L96</f>
        <v>440</v>
      </c>
      <c r="Q97" s="11">
        <f t="shared" si="1"/>
        <v>440</v>
      </c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x14ac:dyDescent="0.3">
      <c r="A98" s="2" t="str">
        <f>'[1]QB Pull'!B97</f>
        <v>Bill</v>
      </c>
      <c r="B98" s="6">
        <f>'[1]QB Pull'!C97</f>
        <v>9404859</v>
      </c>
      <c r="C98" s="2" t="str">
        <f>'[1]QB Pull'!P97</f>
        <v>Future Electronics Corp</v>
      </c>
      <c r="D98" s="2" t="str">
        <f>'[1]QB Pull'!O97</f>
        <v>VEN007</v>
      </c>
      <c r="E98" s="2">
        <f>VLOOKUP(D:D,[2]Vendors!$A:$B,2,0)</f>
        <v>16</v>
      </c>
      <c r="F98" s="2"/>
      <c r="G98" s="6">
        <v>7</v>
      </c>
      <c r="H98" s="7" t="s">
        <v>32</v>
      </c>
      <c r="I98" s="8">
        <v>1</v>
      </c>
      <c r="J98" s="9">
        <f>'[1]QB Pull'!F97</f>
        <v>45003</v>
      </c>
      <c r="K98" s="5" t="s">
        <v>33</v>
      </c>
      <c r="L98" s="4"/>
      <c r="M98" s="10">
        <f>'[1]QB Pull'!H97</f>
        <v>44823</v>
      </c>
      <c r="N98" s="2"/>
      <c r="O98" s="2">
        <v>1</v>
      </c>
      <c r="P98" s="11">
        <f>'[1]QB Pull'!L97</f>
        <v>6000</v>
      </c>
      <c r="Q98" s="11">
        <f t="shared" si="1"/>
        <v>6000</v>
      </c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x14ac:dyDescent="0.3">
      <c r="A99" s="2" t="str">
        <f>'[1]QB Pull'!B98</f>
        <v>Bill</v>
      </c>
      <c r="B99" s="6">
        <f>'[1]QB Pull'!C98</f>
        <v>9404860</v>
      </c>
      <c r="C99" s="2" t="str">
        <f>'[1]QB Pull'!P98</f>
        <v>Future Electronics Corp</v>
      </c>
      <c r="D99" s="2" t="str">
        <f>'[1]QB Pull'!O98</f>
        <v>VEN007</v>
      </c>
      <c r="E99" s="2">
        <f>VLOOKUP(D:D,[2]Vendors!$A:$B,2,0)</f>
        <v>16</v>
      </c>
      <c r="F99" s="2"/>
      <c r="G99" s="6">
        <v>7</v>
      </c>
      <c r="H99" s="7" t="s">
        <v>32</v>
      </c>
      <c r="I99" s="8">
        <v>1</v>
      </c>
      <c r="J99" s="9">
        <f>'[1]QB Pull'!F98</f>
        <v>45003</v>
      </c>
      <c r="K99" s="5" t="s">
        <v>33</v>
      </c>
      <c r="L99" s="4"/>
      <c r="M99" s="10">
        <f>'[1]QB Pull'!H98</f>
        <v>44823</v>
      </c>
      <c r="N99" s="2"/>
      <c r="O99" s="2">
        <v>1</v>
      </c>
      <c r="P99" s="11">
        <f>'[1]QB Pull'!L98</f>
        <v>1815</v>
      </c>
      <c r="Q99" s="11">
        <f t="shared" si="1"/>
        <v>1815</v>
      </c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x14ac:dyDescent="0.3">
      <c r="A100" s="2" t="str">
        <f>'[1]QB Pull'!B99</f>
        <v>Bill</v>
      </c>
      <c r="B100" s="6">
        <f>'[1]QB Pull'!C99</f>
        <v>9404861</v>
      </c>
      <c r="C100" s="2" t="str">
        <f>'[1]QB Pull'!P99</f>
        <v>Future Electronics Corp</v>
      </c>
      <c r="D100" s="2" t="str">
        <f>'[1]QB Pull'!O99</f>
        <v>VEN007</v>
      </c>
      <c r="E100" s="2">
        <f>VLOOKUP(D:D,[2]Vendors!$A:$B,2,0)</f>
        <v>16</v>
      </c>
      <c r="F100" s="2"/>
      <c r="G100" s="6">
        <v>7</v>
      </c>
      <c r="H100" s="7" t="s">
        <v>32</v>
      </c>
      <c r="I100" s="8">
        <v>1</v>
      </c>
      <c r="J100" s="9">
        <f>'[1]QB Pull'!F99</f>
        <v>45003</v>
      </c>
      <c r="K100" s="5" t="s">
        <v>33</v>
      </c>
      <c r="L100" s="4"/>
      <c r="M100" s="10">
        <f>'[1]QB Pull'!H99</f>
        <v>44823</v>
      </c>
      <c r="N100" s="2"/>
      <c r="O100" s="2">
        <v>1</v>
      </c>
      <c r="P100" s="11">
        <f>'[1]QB Pull'!L99</f>
        <v>659.1</v>
      </c>
      <c r="Q100" s="11">
        <f t="shared" si="1"/>
        <v>659.1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x14ac:dyDescent="0.3">
      <c r="A101" s="2" t="str">
        <f>'[1]QB Pull'!B100</f>
        <v>Bill</v>
      </c>
      <c r="B101" s="6">
        <f>'[1]QB Pull'!C100</f>
        <v>3978372</v>
      </c>
      <c r="C101" s="2" t="str">
        <f>'[1]QB Pull'!P100</f>
        <v>Future Electronics Corp</v>
      </c>
      <c r="D101" s="2" t="str">
        <f>'[1]QB Pull'!O100</f>
        <v>VEN007</v>
      </c>
      <c r="E101" s="2">
        <f>VLOOKUP(D:D,[2]Vendors!$A:$B,2,0)</f>
        <v>16</v>
      </c>
      <c r="F101" s="2"/>
      <c r="G101" s="6">
        <v>7</v>
      </c>
      <c r="H101" s="7" t="s">
        <v>32</v>
      </c>
      <c r="I101" s="8">
        <v>1</v>
      </c>
      <c r="J101" s="9">
        <f>'[1]QB Pull'!F100</f>
        <v>45003</v>
      </c>
      <c r="K101" s="5" t="s">
        <v>33</v>
      </c>
      <c r="L101" s="4"/>
      <c r="M101" s="10">
        <f>'[1]QB Pull'!H100</f>
        <v>44823</v>
      </c>
      <c r="N101" s="2"/>
      <c r="O101" s="2">
        <v>1</v>
      </c>
      <c r="P101" s="11">
        <f>'[1]QB Pull'!L100</f>
        <v>437.79</v>
      </c>
      <c r="Q101" s="11">
        <f t="shared" si="1"/>
        <v>437.79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x14ac:dyDescent="0.3">
      <c r="A102" s="2" t="str">
        <f>'[1]QB Pull'!B101</f>
        <v>Bill</v>
      </c>
      <c r="B102" s="6">
        <f>'[1]QB Pull'!C101</f>
        <v>3993636</v>
      </c>
      <c r="C102" s="2" t="str">
        <f>'[1]QB Pull'!P101</f>
        <v>Future Electronics Corp</v>
      </c>
      <c r="D102" s="2" t="str">
        <f>'[1]QB Pull'!O101</f>
        <v>VEN007</v>
      </c>
      <c r="E102" s="2">
        <f>VLOOKUP(D:D,[2]Vendors!$A:$B,2,0)</f>
        <v>16</v>
      </c>
      <c r="F102" s="2"/>
      <c r="G102" s="6">
        <v>7</v>
      </c>
      <c r="H102" s="7" t="s">
        <v>32</v>
      </c>
      <c r="I102" s="8">
        <v>1</v>
      </c>
      <c r="J102" s="9">
        <f>'[1]QB Pull'!F101</f>
        <v>45007</v>
      </c>
      <c r="K102" s="5" t="s">
        <v>33</v>
      </c>
      <c r="L102" s="4"/>
      <c r="M102" s="10">
        <f>'[1]QB Pull'!H101</f>
        <v>44827</v>
      </c>
      <c r="N102" s="2"/>
      <c r="O102" s="2">
        <v>1</v>
      </c>
      <c r="P102" s="11">
        <f>'[1]QB Pull'!L101</f>
        <v>2923.32</v>
      </c>
      <c r="Q102" s="11">
        <f t="shared" si="1"/>
        <v>2923.32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x14ac:dyDescent="0.3">
      <c r="A103" s="2" t="str">
        <f>'[1]QB Pull'!B102</f>
        <v>Bill</v>
      </c>
      <c r="B103" s="6">
        <f>'[1]QB Pull'!C102</f>
        <v>9416001</v>
      </c>
      <c r="C103" s="2" t="str">
        <f>'[1]QB Pull'!P102</f>
        <v>Future Electronics Corp</v>
      </c>
      <c r="D103" s="2" t="str">
        <f>'[1]QB Pull'!O102</f>
        <v>VEN007</v>
      </c>
      <c r="E103" s="2">
        <f>VLOOKUP(D:D,[2]Vendors!$A:$B,2,0)</f>
        <v>16</v>
      </c>
      <c r="F103" s="2"/>
      <c r="G103" s="6">
        <v>7</v>
      </c>
      <c r="H103" s="7" t="s">
        <v>32</v>
      </c>
      <c r="I103" s="8">
        <v>1</v>
      </c>
      <c r="J103" s="9">
        <f>'[1]QB Pull'!F102</f>
        <v>45007</v>
      </c>
      <c r="K103" s="5" t="s">
        <v>33</v>
      </c>
      <c r="L103" s="4"/>
      <c r="M103" s="10">
        <f>'[1]QB Pull'!H102</f>
        <v>44827</v>
      </c>
      <c r="N103" s="2"/>
      <c r="O103" s="2">
        <v>1</v>
      </c>
      <c r="P103" s="11">
        <f>'[1]QB Pull'!L102</f>
        <v>4735</v>
      </c>
      <c r="Q103" s="11">
        <f t="shared" si="1"/>
        <v>4735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x14ac:dyDescent="0.3">
      <c r="A104" s="2" t="str">
        <f>'[1]QB Pull'!B103</f>
        <v>Bill</v>
      </c>
      <c r="B104" s="6">
        <f>'[1]QB Pull'!C103</f>
        <v>9416000</v>
      </c>
      <c r="C104" s="2" t="str">
        <f>'[1]QB Pull'!P103</f>
        <v>Future Electronics Corp</v>
      </c>
      <c r="D104" s="2" t="str">
        <f>'[1]QB Pull'!O103</f>
        <v>VEN007</v>
      </c>
      <c r="E104" s="2">
        <f>VLOOKUP(D:D,[2]Vendors!$A:$B,2,0)</f>
        <v>16</v>
      </c>
      <c r="F104" s="2"/>
      <c r="G104" s="6">
        <v>7</v>
      </c>
      <c r="H104" s="7" t="s">
        <v>32</v>
      </c>
      <c r="I104" s="8">
        <v>1</v>
      </c>
      <c r="J104" s="9">
        <f>'[1]QB Pull'!F103</f>
        <v>45007</v>
      </c>
      <c r="K104" s="5" t="s">
        <v>33</v>
      </c>
      <c r="L104" s="4"/>
      <c r="M104" s="10">
        <f>'[1]QB Pull'!H103</f>
        <v>44827</v>
      </c>
      <c r="N104" s="2"/>
      <c r="O104" s="2">
        <v>1</v>
      </c>
      <c r="P104" s="11">
        <f>'[1]QB Pull'!L103</f>
        <v>806.4</v>
      </c>
      <c r="Q104" s="11">
        <f t="shared" si="1"/>
        <v>806.4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x14ac:dyDescent="0.3">
      <c r="A105" s="2" t="str">
        <f>'[1]QB Pull'!B104</f>
        <v>Bill</v>
      </c>
      <c r="B105" s="6">
        <f>'[1]QB Pull'!C104</f>
        <v>9415999</v>
      </c>
      <c r="C105" s="2" t="str">
        <f>'[1]QB Pull'!P104</f>
        <v>Future Electronics Corp</v>
      </c>
      <c r="D105" s="2" t="str">
        <f>'[1]QB Pull'!O104</f>
        <v>VEN007</v>
      </c>
      <c r="E105" s="2">
        <f>VLOOKUP(D:D,[2]Vendors!$A:$B,2,0)</f>
        <v>16</v>
      </c>
      <c r="F105" s="2"/>
      <c r="G105" s="6">
        <v>7</v>
      </c>
      <c r="H105" s="7" t="s">
        <v>32</v>
      </c>
      <c r="I105" s="8">
        <v>1</v>
      </c>
      <c r="J105" s="9">
        <f>'[1]QB Pull'!F104</f>
        <v>45007</v>
      </c>
      <c r="K105" s="5" t="s">
        <v>33</v>
      </c>
      <c r="L105" s="4"/>
      <c r="M105" s="10">
        <f>'[1]QB Pull'!H104</f>
        <v>44827</v>
      </c>
      <c r="N105" s="2"/>
      <c r="O105" s="2">
        <v>1</v>
      </c>
      <c r="P105" s="11">
        <f>'[1]QB Pull'!L104</f>
        <v>2400</v>
      </c>
      <c r="Q105" s="11">
        <f t="shared" si="1"/>
        <v>2400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x14ac:dyDescent="0.3">
      <c r="A106" s="2" t="str">
        <f>'[1]QB Pull'!B105</f>
        <v>Bill</v>
      </c>
      <c r="B106" s="6">
        <f>'[1]QB Pull'!C105</f>
        <v>9415998</v>
      </c>
      <c r="C106" s="2" t="str">
        <f>'[1]QB Pull'!P105</f>
        <v>Future Electronics Corp</v>
      </c>
      <c r="D106" s="2" t="str">
        <f>'[1]QB Pull'!O105</f>
        <v>VEN007</v>
      </c>
      <c r="E106" s="2">
        <f>VLOOKUP(D:D,[2]Vendors!$A:$B,2,0)</f>
        <v>16</v>
      </c>
      <c r="F106" s="2"/>
      <c r="G106" s="6">
        <v>7</v>
      </c>
      <c r="H106" s="7" t="s">
        <v>32</v>
      </c>
      <c r="I106" s="8">
        <v>1</v>
      </c>
      <c r="J106" s="9">
        <f>'[1]QB Pull'!F105</f>
        <v>45007</v>
      </c>
      <c r="K106" s="5" t="s">
        <v>33</v>
      </c>
      <c r="L106" s="4"/>
      <c r="M106" s="10">
        <f>'[1]QB Pull'!H105</f>
        <v>44827</v>
      </c>
      <c r="N106" s="2"/>
      <c r="O106" s="2">
        <v>1</v>
      </c>
      <c r="P106" s="11">
        <f>'[1]QB Pull'!L105</f>
        <v>82.41</v>
      </c>
      <c r="Q106" s="11">
        <f t="shared" si="1"/>
        <v>82.41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x14ac:dyDescent="0.3">
      <c r="A107" s="2" t="str">
        <f>'[1]QB Pull'!B106</f>
        <v>Bill</v>
      </c>
      <c r="B107" s="6">
        <f>'[1]QB Pull'!C106</f>
        <v>9425097</v>
      </c>
      <c r="C107" s="2" t="str">
        <f>'[1]QB Pull'!P106</f>
        <v>Future Electronics Corp</v>
      </c>
      <c r="D107" s="2" t="str">
        <f>'[1]QB Pull'!O106</f>
        <v>VEN007</v>
      </c>
      <c r="E107" s="2">
        <f>VLOOKUP(D:D,[2]Vendors!$A:$B,2,0)</f>
        <v>16</v>
      </c>
      <c r="F107" s="2"/>
      <c r="G107" s="6">
        <v>7</v>
      </c>
      <c r="H107" s="7" t="s">
        <v>32</v>
      </c>
      <c r="I107" s="8">
        <v>1</v>
      </c>
      <c r="J107" s="9">
        <f>'[1]QB Pull'!F106</f>
        <v>45012</v>
      </c>
      <c r="K107" s="5" t="s">
        <v>33</v>
      </c>
      <c r="L107" s="4"/>
      <c r="M107" s="10">
        <f>'[1]QB Pull'!H106</f>
        <v>44832</v>
      </c>
      <c r="N107" s="2"/>
      <c r="O107" s="2">
        <v>1</v>
      </c>
      <c r="P107" s="11">
        <f>'[1]QB Pull'!L106</f>
        <v>3690.77</v>
      </c>
      <c r="Q107" s="11">
        <f t="shared" si="1"/>
        <v>3690.77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x14ac:dyDescent="0.3">
      <c r="A108" s="2" t="str">
        <f>'[1]QB Pull'!B107</f>
        <v>Bill</v>
      </c>
      <c r="B108" s="6">
        <f>'[1]QB Pull'!C107</f>
        <v>9425098</v>
      </c>
      <c r="C108" s="2" t="str">
        <f>'[1]QB Pull'!P107</f>
        <v>Future Electronics Corp</v>
      </c>
      <c r="D108" s="2" t="str">
        <f>'[1]QB Pull'!O107</f>
        <v>VEN007</v>
      </c>
      <c r="E108" s="2">
        <f>VLOOKUP(D:D,[2]Vendors!$A:$B,2,0)</f>
        <v>16</v>
      </c>
      <c r="F108" s="2"/>
      <c r="G108" s="6">
        <v>7</v>
      </c>
      <c r="H108" s="7" t="s">
        <v>32</v>
      </c>
      <c r="I108" s="8">
        <v>1</v>
      </c>
      <c r="J108" s="9">
        <f>'[1]QB Pull'!F107</f>
        <v>45012</v>
      </c>
      <c r="K108" s="5" t="s">
        <v>33</v>
      </c>
      <c r="L108" s="4"/>
      <c r="M108" s="10">
        <f>'[1]QB Pull'!H107</f>
        <v>44832</v>
      </c>
      <c r="N108" s="2"/>
      <c r="O108" s="2">
        <v>1</v>
      </c>
      <c r="P108" s="11">
        <f>'[1]QB Pull'!L107</f>
        <v>7</v>
      </c>
      <c r="Q108" s="11">
        <f t="shared" si="1"/>
        <v>7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x14ac:dyDescent="0.3">
      <c r="A109" s="2" t="str">
        <f>'[1]QB Pull'!B108</f>
        <v>Bill</v>
      </c>
      <c r="B109" s="6">
        <f>'[1]QB Pull'!C108</f>
        <v>9425099</v>
      </c>
      <c r="C109" s="2" t="str">
        <f>'[1]QB Pull'!P108</f>
        <v>Future Electronics Corp</v>
      </c>
      <c r="D109" s="2" t="str">
        <f>'[1]QB Pull'!O108</f>
        <v>VEN007</v>
      </c>
      <c r="E109" s="2">
        <f>VLOOKUP(D:D,[2]Vendors!$A:$B,2,0)</f>
        <v>16</v>
      </c>
      <c r="F109" s="2"/>
      <c r="G109" s="6">
        <v>7</v>
      </c>
      <c r="H109" s="7" t="s">
        <v>32</v>
      </c>
      <c r="I109" s="8">
        <v>1</v>
      </c>
      <c r="J109" s="9">
        <f>'[1]QB Pull'!F108</f>
        <v>45012</v>
      </c>
      <c r="K109" s="5" t="s">
        <v>33</v>
      </c>
      <c r="L109" s="4"/>
      <c r="M109" s="10">
        <f>'[1]QB Pull'!H108</f>
        <v>44832</v>
      </c>
      <c r="N109" s="2"/>
      <c r="O109" s="2">
        <v>1</v>
      </c>
      <c r="P109" s="11">
        <f>'[1]QB Pull'!L108</f>
        <v>780</v>
      </c>
      <c r="Q109" s="11">
        <f t="shared" si="1"/>
        <v>780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x14ac:dyDescent="0.3">
      <c r="A110" s="2" t="str">
        <f>'[1]QB Pull'!B109</f>
        <v>Bill</v>
      </c>
      <c r="B110" s="6">
        <f>'[1]QB Pull'!C109</f>
        <v>4002046</v>
      </c>
      <c r="C110" s="2" t="str">
        <f>'[1]QB Pull'!P109</f>
        <v>Future Electronics Corp</v>
      </c>
      <c r="D110" s="2" t="str">
        <f>'[1]QB Pull'!O109</f>
        <v>VEN007</v>
      </c>
      <c r="E110" s="2">
        <f>VLOOKUP(D:D,[2]Vendors!$A:$B,2,0)</f>
        <v>16</v>
      </c>
      <c r="F110" s="2"/>
      <c r="G110" s="6">
        <v>7</v>
      </c>
      <c r="H110" s="7" t="s">
        <v>32</v>
      </c>
      <c r="I110" s="8">
        <v>1</v>
      </c>
      <c r="J110" s="9">
        <f>'[1]QB Pull'!F109</f>
        <v>45012</v>
      </c>
      <c r="K110" s="5" t="s">
        <v>33</v>
      </c>
      <c r="L110" s="4"/>
      <c r="M110" s="10">
        <f>'[1]QB Pull'!H109</f>
        <v>44832</v>
      </c>
      <c r="N110" s="2"/>
      <c r="O110" s="2">
        <v>1</v>
      </c>
      <c r="P110" s="11">
        <f>'[1]QB Pull'!L109</f>
        <v>134.41999999999999</v>
      </c>
      <c r="Q110" s="11">
        <f t="shared" si="1"/>
        <v>134.41999999999999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x14ac:dyDescent="0.3">
      <c r="A111" s="2" t="str">
        <f>'[1]QB Pull'!B110</f>
        <v>Bill</v>
      </c>
      <c r="B111" s="6">
        <f>'[1]QB Pull'!C110</f>
        <v>9440086</v>
      </c>
      <c r="C111" s="2" t="str">
        <f>'[1]QB Pull'!P110</f>
        <v>Future Electronics Corp</v>
      </c>
      <c r="D111" s="2" t="str">
        <f>'[1]QB Pull'!O110</f>
        <v>VEN007</v>
      </c>
      <c r="E111" s="2">
        <f>VLOOKUP(D:D,[2]Vendors!$A:$B,2,0)</f>
        <v>16</v>
      </c>
      <c r="F111" s="2"/>
      <c r="G111" s="6">
        <v>7</v>
      </c>
      <c r="H111" s="7" t="s">
        <v>32</v>
      </c>
      <c r="I111" s="8">
        <v>1</v>
      </c>
      <c r="J111" s="9">
        <f>'[1]QB Pull'!F110</f>
        <v>45019</v>
      </c>
      <c r="K111" s="5" t="s">
        <v>33</v>
      </c>
      <c r="L111" s="4"/>
      <c r="M111" s="10">
        <f>'[1]QB Pull'!H110</f>
        <v>44839</v>
      </c>
      <c r="N111" s="2"/>
      <c r="O111" s="2">
        <v>1</v>
      </c>
      <c r="P111" s="11">
        <f>'[1]QB Pull'!L110</f>
        <v>8.6</v>
      </c>
      <c r="Q111" s="11">
        <f t="shared" si="1"/>
        <v>8.6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x14ac:dyDescent="0.3">
      <c r="A112" s="2" t="str">
        <f>'[1]QB Pull'!B111</f>
        <v>Bill</v>
      </c>
      <c r="B112" s="6">
        <f>'[1]QB Pull'!C111</f>
        <v>9440087</v>
      </c>
      <c r="C112" s="2" t="str">
        <f>'[1]QB Pull'!P111</f>
        <v>Future Electronics Corp</v>
      </c>
      <c r="D112" s="2" t="str">
        <f>'[1]QB Pull'!O111</f>
        <v>VEN007</v>
      </c>
      <c r="E112" s="2">
        <f>VLOOKUP(D:D,[2]Vendors!$A:$B,2,0)</f>
        <v>16</v>
      </c>
      <c r="F112" s="2"/>
      <c r="G112" s="6">
        <v>7</v>
      </c>
      <c r="H112" s="7" t="s">
        <v>32</v>
      </c>
      <c r="I112" s="8">
        <v>1</v>
      </c>
      <c r="J112" s="9">
        <f>'[1]QB Pull'!F111</f>
        <v>45019</v>
      </c>
      <c r="K112" s="5" t="s">
        <v>33</v>
      </c>
      <c r="L112" s="4"/>
      <c r="M112" s="10">
        <f>'[1]QB Pull'!H111</f>
        <v>44839</v>
      </c>
      <c r="N112" s="2"/>
      <c r="O112" s="2">
        <v>1</v>
      </c>
      <c r="P112" s="11">
        <f>'[1]QB Pull'!L111</f>
        <v>143.38</v>
      </c>
      <c r="Q112" s="11">
        <f t="shared" si="1"/>
        <v>143.38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x14ac:dyDescent="0.3">
      <c r="A113" s="2" t="str">
        <f>'[1]QB Pull'!B112</f>
        <v>Bill</v>
      </c>
      <c r="B113" s="6">
        <f>'[1]QB Pull'!C112</f>
        <v>9443697</v>
      </c>
      <c r="C113" s="2" t="str">
        <f>'[1]QB Pull'!P112</f>
        <v>Future Electronics Corp</v>
      </c>
      <c r="D113" s="2" t="str">
        <f>'[1]QB Pull'!O112</f>
        <v>VEN007</v>
      </c>
      <c r="E113" s="2">
        <f>VLOOKUP(D:D,[2]Vendors!$A:$B,2,0)</f>
        <v>16</v>
      </c>
      <c r="F113" s="2"/>
      <c r="G113" s="6">
        <v>7</v>
      </c>
      <c r="H113" s="7" t="s">
        <v>32</v>
      </c>
      <c r="I113" s="8">
        <v>1</v>
      </c>
      <c r="J113" s="9">
        <f>'[1]QB Pull'!F112</f>
        <v>45024</v>
      </c>
      <c r="K113" s="5" t="s">
        <v>33</v>
      </c>
      <c r="L113" s="4"/>
      <c r="M113" s="10">
        <f>'[1]QB Pull'!H112</f>
        <v>44844</v>
      </c>
      <c r="N113" s="2"/>
      <c r="O113" s="2">
        <v>1</v>
      </c>
      <c r="P113" s="11">
        <f>'[1]QB Pull'!L112</f>
        <v>691.2</v>
      </c>
      <c r="Q113" s="11">
        <f t="shared" si="1"/>
        <v>691.2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x14ac:dyDescent="0.3">
      <c r="A114" s="2" t="str">
        <f>'[1]QB Pull'!B113</f>
        <v>Bill</v>
      </c>
      <c r="B114" s="6">
        <f>'[1]QB Pull'!C113</f>
        <v>9443698</v>
      </c>
      <c r="C114" s="2" t="str">
        <f>'[1]QB Pull'!P113</f>
        <v>Future Electronics Corp</v>
      </c>
      <c r="D114" s="2" t="str">
        <f>'[1]QB Pull'!O113</f>
        <v>VEN007</v>
      </c>
      <c r="E114" s="2">
        <f>VLOOKUP(D:D,[2]Vendors!$A:$B,2,0)</f>
        <v>16</v>
      </c>
      <c r="F114" s="2"/>
      <c r="G114" s="6">
        <v>7</v>
      </c>
      <c r="H114" s="7" t="s">
        <v>32</v>
      </c>
      <c r="I114" s="8">
        <v>1</v>
      </c>
      <c r="J114" s="9">
        <f>'[1]QB Pull'!F113</f>
        <v>45024</v>
      </c>
      <c r="K114" s="5" t="s">
        <v>33</v>
      </c>
      <c r="L114" s="4"/>
      <c r="M114" s="10">
        <f>'[1]QB Pull'!H113</f>
        <v>44844</v>
      </c>
      <c r="N114" s="2"/>
      <c r="O114" s="2">
        <v>1</v>
      </c>
      <c r="P114" s="11">
        <f>'[1]QB Pull'!L113</f>
        <v>1728</v>
      </c>
      <c r="Q114" s="11">
        <f t="shared" si="1"/>
        <v>1728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x14ac:dyDescent="0.3">
      <c r="A115" s="2" t="str">
        <f>'[1]QB Pull'!B114</f>
        <v>Bill</v>
      </c>
      <c r="B115" s="6">
        <f>'[1]QB Pull'!C114</f>
        <v>9443699</v>
      </c>
      <c r="C115" s="2" t="str">
        <f>'[1]QB Pull'!P114</f>
        <v>Future Electronics Corp</v>
      </c>
      <c r="D115" s="2" t="str">
        <f>'[1]QB Pull'!O114</f>
        <v>VEN007</v>
      </c>
      <c r="E115" s="2">
        <f>VLOOKUP(D:D,[2]Vendors!$A:$B,2,0)</f>
        <v>16</v>
      </c>
      <c r="F115" s="2"/>
      <c r="G115" s="6">
        <v>7</v>
      </c>
      <c r="H115" s="7" t="s">
        <v>32</v>
      </c>
      <c r="I115" s="8">
        <v>1</v>
      </c>
      <c r="J115" s="9">
        <f>'[1]QB Pull'!F114</f>
        <v>45024</v>
      </c>
      <c r="K115" s="5" t="s">
        <v>33</v>
      </c>
      <c r="L115" s="4"/>
      <c r="M115" s="10">
        <f>'[1]QB Pull'!H114</f>
        <v>44844</v>
      </c>
      <c r="N115" s="2"/>
      <c r="O115" s="2">
        <v>1</v>
      </c>
      <c r="P115" s="11">
        <f>'[1]QB Pull'!L114</f>
        <v>1013.87</v>
      </c>
      <c r="Q115" s="11">
        <f t="shared" si="1"/>
        <v>1013.87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x14ac:dyDescent="0.3">
      <c r="A116" s="2" t="str">
        <f>'[1]QB Pull'!B115</f>
        <v>Bill</v>
      </c>
      <c r="B116" s="6">
        <f>'[1]QB Pull'!C115</f>
        <v>4040462</v>
      </c>
      <c r="C116" s="2" t="str">
        <f>'[1]QB Pull'!P115</f>
        <v>Future Electronics Corp</v>
      </c>
      <c r="D116" s="2" t="str">
        <f>'[1]QB Pull'!O115</f>
        <v>VEN007</v>
      </c>
      <c r="E116" s="2">
        <f>VLOOKUP(D:D,[2]Vendors!$A:$B,2,0)</f>
        <v>16</v>
      </c>
      <c r="F116" s="2"/>
      <c r="G116" s="6">
        <v>7</v>
      </c>
      <c r="H116" s="7" t="s">
        <v>32</v>
      </c>
      <c r="I116" s="8">
        <v>1</v>
      </c>
      <c r="J116" s="9">
        <f>'[1]QB Pull'!F115</f>
        <v>45026</v>
      </c>
      <c r="K116" s="5" t="s">
        <v>33</v>
      </c>
      <c r="L116" s="4"/>
      <c r="M116" s="10">
        <f>'[1]QB Pull'!H115</f>
        <v>44846</v>
      </c>
      <c r="N116" s="2"/>
      <c r="O116" s="2">
        <v>1</v>
      </c>
      <c r="P116" s="11">
        <f>'[1]QB Pull'!L115</f>
        <v>807.98</v>
      </c>
      <c r="Q116" s="11">
        <f t="shared" si="1"/>
        <v>807.98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x14ac:dyDescent="0.3">
      <c r="A117" s="2" t="str">
        <f>'[1]QB Pull'!B116</f>
        <v>Bill</v>
      </c>
      <c r="B117" s="6">
        <f>'[1]QB Pull'!C116</f>
        <v>4040463</v>
      </c>
      <c r="C117" s="2" t="str">
        <f>'[1]QB Pull'!P116</f>
        <v>Future Electronics Corp</v>
      </c>
      <c r="D117" s="2" t="str">
        <f>'[1]QB Pull'!O116</f>
        <v>VEN007</v>
      </c>
      <c r="E117" s="2">
        <f>VLOOKUP(D:D,[2]Vendors!$A:$B,2,0)</f>
        <v>16</v>
      </c>
      <c r="F117" s="2"/>
      <c r="G117" s="6">
        <v>7</v>
      </c>
      <c r="H117" s="7" t="s">
        <v>32</v>
      </c>
      <c r="I117" s="8">
        <v>1</v>
      </c>
      <c r="J117" s="9">
        <f>'[1]QB Pull'!F116</f>
        <v>45026</v>
      </c>
      <c r="K117" s="5" t="s">
        <v>33</v>
      </c>
      <c r="L117" s="4"/>
      <c r="M117" s="10">
        <f>'[1]QB Pull'!H116</f>
        <v>44846</v>
      </c>
      <c r="N117" s="2"/>
      <c r="O117" s="2">
        <v>1</v>
      </c>
      <c r="P117" s="11">
        <f>'[1]QB Pull'!L116</f>
        <v>1810</v>
      </c>
      <c r="Q117" s="11">
        <f t="shared" si="1"/>
        <v>1810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x14ac:dyDescent="0.3">
      <c r="A118" s="2" t="str">
        <f>'[1]QB Pull'!B117</f>
        <v>Bill</v>
      </c>
      <c r="B118" s="6">
        <f>'[1]QB Pull'!C117</f>
        <v>9456884</v>
      </c>
      <c r="C118" s="2" t="str">
        <f>'[1]QB Pull'!P117</f>
        <v>Future Electronics Corp</v>
      </c>
      <c r="D118" s="2" t="str">
        <f>'[1]QB Pull'!O117</f>
        <v>VEN007</v>
      </c>
      <c r="E118" s="2">
        <f>VLOOKUP(D:D,[2]Vendors!$A:$B,2,0)</f>
        <v>16</v>
      </c>
      <c r="F118" s="2"/>
      <c r="G118" s="6">
        <v>7</v>
      </c>
      <c r="H118" s="7" t="s">
        <v>32</v>
      </c>
      <c r="I118" s="8">
        <v>1</v>
      </c>
      <c r="J118" s="9">
        <f>'[1]QB Pull'!F117</f>
        <v>45031</v>
      </c>
      <c r="K118" s="5" t="s">
        <v>33</v>
      </c>
      <c r="L118" s="4"/>
      <c r="M118" s="10">
        <f>'[1]QB Pull'!H117</f>
        <v>44851</v>
      </c>
      <c r="N118" s="2"/>
      <c r="O118" s="2">
        <v>1</v>
      </c>
      <c r="P118" s="11">
        <f>'[1]QB Pull'!L117</f>
        <v>2418.36</v>
      </c>
      <c r="Q118" s="11">
        <f t="shared" si="1"/>
        <v>2418.36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x14ac:dyDescent="0.3">
      <c r="A119" s="2" t="str">
        <f>'[1]QB Pull'!B118</f>
        <v>Bill</v>
      </c>
      <c r="B119" s="6">
        <f>'[1]QB Pull'!C118</f>
        <v>9461723</v>
      </c>
      <c r="C119" s="2" t="str">
        <f>'[1]QB Pull'!P118</f>
        <v>Future Electronics Corp</v>
      </c>
      <c r="D119" s="2" t="str">
        <f>'[1]QB Pull'!O118</f>
        <v>VEN007</v>
      </c>
      <c r="E119" s="2">
        <f>VLOOKUP(D:D,[2]Vendors!$A:$B,2,0)</f>
        <v>16</v>
      </c>
      <c r="F119" s="2"/>
      <c r="G119" s="6">
        <v>7</v>
      </c>
      <c r="H119" s="7" t="s">
        <v>32</v>
      </c>
      <c r="I119" s="8">
        <v>1</v>
      </c>
      <c r="J119" s="9">
        <f>'[1]QB Pull'!F118</f>
        <v>45033</v>
      </c>
      <c r="K119" s="5" t="s">
        <v>33</v>
      </c>
      <c r="L119" s="4"/>
      <c r="M119" s="10">
        <f>'[1]QB Pull'!H118</f>
        <v>44853</v>
      </c>
      <c r="N119" s="2"/>
      <c r="O119" s="2">
        <v>1</v>
      </c>
      <c r="P119" s="11">
        <f>'[1]QB Pull'!L118</f>
        <v>23622.94</v>
      </c>
      <c r="Q119" s="11">
        <f t="shared" si="1"/>
        <v>23622.94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x14ac:dyDescent="0.3">
      <c r="A120" s="2" t="str">
        <f>'[1]QB Pull'!B119</f>
        <v>Bill</v>
      </c>
      <c r="B120" s="6">
        <f>'[1]QB Pull'!C119</f>
        <v>4073329</v>
      </c>
      <c r="C120" s="2" t="str">
        <f>'[1]QB Pull'!P119</f>
        <v>Future Electronics Corp</v>
      </c>
      <c r="D120" s="2" t="str">
        <f>'[1]QB Pull'!O119</f>
        <v>VEN007</v>
      </c>
      <c r="E120" s="2">
        <f>VLOOKUP(D:D,[2]Vendors!$A:$B,2,0)</f>
        <v>16</v>
      </c>
      <c r="F120" s="2"/>
      <c r="G120" s="6">
        <v>7</v>
      </c>
      <c r="H120" s="7" t="s">
        <v>32</v>
      </c>
      <c r="I120" s="8">
        <v>1</v>
      </c>
      <c r="J120" s="9">
        <f>'[1]QB Pull'!F119</f>
        <v>45039</v>
      </c>
      <c r="K120" s="5" t="s">
        <v>33</v>
      </c>
      <c r="L120" s="4"/>
      <c r="M120" s="10">
        <f>'[1]QB Pull'!H119</f>
        <v>44859</v>
      </c>
      <c r="N120" s="2"/>
      <c r="O120" s="2">
        <v>1</v>
      </c>
      <c r="P120" s="11">
        <f>'[1]QB Pull'!L119</f>
        <v>20172.650000000001</v>
      </c>
      <c r="Q120" s="11">
        <f t="shared" si="1"/>
        <v>20172.650000000001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x14ac:dyDescent="0.3">
      <c r="A121" s="2" t="str">
        <f>'[1]QB Pull'!B120</f>
        <v>Bill</v>
      </c>
      <c r="B121" s="6">
        <f>'[1]QB Pull'!C120</f>
        <v>9470313</v>
      </c>
      <c r="C121" s="2" t="str">
        <f>'[1]QB Pull'!P120</f>
        <v>Future Electronics Corp</v>
      </c>
      <c r="D121" s="2" t="str">
        <f>'[1]QB Pull'!O120</f>
        <v>VEN007</v>
      </c>
      <c r="E121" s="2">
        <f>VLOOKUP(D:D,[2]Vendors!$A:$B,2,0)</f>
        <v>16</v>
      </c>
      <c r="F121" s="2"/>
      <c r="G121" s="6">
        <v>7</v>
      </c>
      <c r="H121" s="7" t="s">
        <v>32</v>
      </c>
      <c r="I121" s="8">
        <v>1</v>
      </c>
      <c r="J121" s="9">
        <f>'[1]QB Pull'!F120</f>
        <v>45039</v>
      </c>
      <c r="K121" s="5" t="s">
        <v>33</v>
      </c>
      <c r="L121" s="4"/>
      <c r="M121" s="10">
        <f>'[1]QB Pull'!H120</f>
        <v>44859</v>
      </c>
      <c r="N121" s="2"/>
      <c r="O121" s="2">
        <v>1</v>
      </c>
      <c r="P121" s="11">
        <f>'[1]QB Pull'!L120</f>
        <v>7058.93</v>
      </c>
      <c r="Q121" s="11">
        <f t="shared" si="1"/>
        <v>7058.93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x14ac:dyDescent="0.3">
      <c r="A122" s="2" t="str">
        <f>'[1]QB Pull'!B121</f>
        <v>Bill</v>
      </c>
      <c r="B122" s="6">
        <f>'[1]QB Pull'!C121</f>
        <v>4080298</v>
      </c>
      <c r="C122" s="2" t="str">
        <f>'[1]QB Pull'!P121</f>
        <v>Future Electronics Corp</v>
      </c>
      <c r="D122" s="2" t="str">
        <f>'[1]QB Pull'!O121</f>
        <v>VEN007</v>
      </c>
      <c r="E122" s="2">
        <f>VLOOKUP(D:D,[2]Vendors!$A:$B,2,0)</f>
        <v>16</v>
      </c>
      <c r="F122" s="2"/>
      <c r="G122" s="6">
        <v>7</v>
      </c>
      <c r="H122" s="7" t="s">
        <v>32</v>
      </c>
      <c r="I122" s="8">
        <v>1</v>
      </c>
      <c r="J122" s="9">
        <f>'[1]QB Pull'!F121</f>
        <v>45040</v>
      </c>
      <c r="K122" s="5" t="s">
        <v>33</v>
      </c>
      <c r="L122" s="4"/>
      <c r="M122" s="10">
        <f>'[1]QB Pull'!H121</f>
        <v>44860</v>
      </c>
      <c r="N122" s="2"/>
      <c r="O122" s="2">
        <v>1</v>
      </c>
      <c r="P122" s="11">
        <f>'[1]QB Pull'!L121</f>
        <v>13641.68</v>
      </c>
      <c r="Q122" s="11">
        <f t="shared" si="1"/>
        <v>13641.68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x14ac:dyDescent="0.3">
      <c r="A123" s="2" t="str">
        <f>'[1]QB Pull'!B122</f>
        <v>Bill</v>
      </c>
      <c r="B123" s="6">
        <f>'[1]QB Pull'!C122</f>
        <v>4085095</v>
      </c>
      <c r="C123" s="2" t="str">
        <f>'[1]QB Pull'!P122</f>
        <v>Future Electronics Corp</v>
      </c>
      <c r="D123" s="2" t="str">
        <f>'[1]QB Pull'!O122</f>
        <v>VEN007</v>
      </c>
      <c r="E123" s="2">
        <f>VLOOKUP(D:D,[2]Vendors!$A:$B,2,0)</f>
        <v>16</v>
      </c>
      <c r="F123" s="2"/>
      <c r="G123" s="6">
        <v>7</v>
      </c>
      <c r="H123" s="7" t="s">
        <v>32</v>
      </c>
      <c r="I123" s="8">
        <v>1</v>
      </c>
      <c r="J123" s="9">
        <f>'[1]QB Pull'!F122</f>
        <v>45042</v>
      </c>
      <c r="K123" s="5" t="s">
        <v>33</v>
      </c>
      <c r="L123" s="4"/>
      <c r="M123" s="10">
        <f>'[1]QB Pull'!H122</f>
        <v>44862</v>
      </c>
      <c r="N123" s="2"/>
      <c r="O123" s="2">
        <v>1</v>
      </c>
      <c r="P123" s="11">
        <f>'[1]QB Pull'!L122</f>
        <v>27349.61</v>
      </c>
      <c r="Q123" s="11">
        <f t="shared" si="1"/>
        <v>27349.61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x14ac:dyDescent="0.3">
      <c r="A124" s="2" t="str">
        <f>'[1]QB Pull'!B123</f>
        <v>Bill</v>
      </c>
      <c r="B124" s="6">
        <f>'[1]QB Pull'!C123</f>
        <v>4085094</v>
      </c>
      <c r="C124" s="2" t="str">
        <f>'[1]QB Pull'!P123</f>
        <v>Future Electronics Corp</v>
      </c>
      <c r="D124" s="2" t="str">
        <f>'[1]QB Pull'!O123</f>
        <v>VEN007</v>
      </c>
      <c r="E124" s="2">
        <f>VLOOKUP(D:D,[2]Vendors!$A:$B,2,0)</f>
        <v>16</v>
      </c>
      <c r="F124" s="2"/>
      <c r="G124" s="6">
        <v>7</v>
      </c>
      <c r="H124" s="7" t="s">
        <v>32</v>
      </c>
      <c r="I124" s="8">
        <v>1</v>
      </c>
      <c r="J124" s="9">
        <f>'[1]QB Pull'!F123</f>
        <v>45043</v>
      </c>
      <c r="K124" s="5" t="s">
        <v>33</v>
      </c>
      <c r="L124" s="4"/>
      <c r="M124" s="10">
        <f>'[1]QB Pull'!H123</f>
        <v>44863</v>
      </c>
      <c r="N124" s="2"/>
      <c r="O124" s="2">
        <v>1</v>
      </c>
      <c r="P124" s="11">
        <f>'[1]QB Pull'!L123</f>
        <v>5376</v>
      </c>
      <c r="Q124" s="11">
        <f t="shared" si="1"/>
        <v>5376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x14ac:dyDescent="0.3">
      <c r="A125" s="2" t="str">
        <f>'[1]QB Pull'!B124</f>
        <v>Bill</v>
      </c>
      <c r="B125" s="6">
        <f>'[1]QB Pull'!C124</f>
        <v>9481902</v>
      </c>
      <c r="C125" s="2" t="str">
        <f>'[1]QB Pull'!P124</f>
        <v>Future Electronics Corp</v>
      </c>
      <c r="D125" s="2" t="str">
        <f>'[1]QB Pull'!O124</f>
        <v>VEN007</v>
      </c>
      <c r="E125" s="2">
        <f>VLOOKUP(D:D,[2]Vendors!$A:$B,2,0)</f>
        <v>16</v>
      </c>
      <c r="F125" s="2"/>
      <c r="G125" s="6">
        <v>7</v>
      </c>
      <c r="H125" s="7" t="s">
        <v>32</v>
      </c>
      <c r="I125" s="8">
        <v>1</v>
      </c>
      <c r="J125" s="9">
        <f>'[1]QB Pull'!F124</f>
        <v>45042</v>
      </c>
      <c r="K125" s="5" t="s">
        <v>33</v>
      </c>
      <c r="L125" s="4"/>
      <c r="M125" s="10">
        <f>'[1]QB Pull'!H124</f>
        <v>44862</v>
      </c>
      <c r="N125" s="2"/>
      <c r="O125" s="2">
        <v>1</v>
      </c>
      <c r="P125" s="11">
        <f>'[1]QB Pull'!L124</f>
        <v>27.3</v>
      </c>
      <c r="Q125" s="11">
        <f t="shared" si="1"/>
        <v>27.3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x14ac:dyDescent="0.3">
      <c r="A126" s="2" t="str">
        <f>'[1]QB Pull'!B125</f>
        <v>Bill</v>
      </c>
      <c r="B126" s="6">
        <f>'[1]QB Pull'!C125</f>
        <v>9489205</v>
      </c>
      <c r="C126" s="2" t="str">
        <f>'[1]QB Pull'!P125</f>
        <v>Future Electronics Corp</v>
      </c>
      <c r="D126" s="2" t="str">
        <f>'[1]QB Pull'!O125</f>
        <v>VEN007</v>
      </c>
      <c r="E126" s="2">
        <f>VLOOKUP(D:D,[2]Vendors!$A:$B,2,0)</f>
        <v>16</v>
      </c>
      <c r="F126" s="2"/>
      <c r="G126" s="6">
        <v>7</v>
      </c>
      <c r="H126" s="7" t="s">
        <v>32</v>
      </c>
      <c r="I126" s="8">
        <v>1</v>
      </c>
      <c r="J126" s="9">
        <f>'[1]QB Pull'!F125</f>
        <v>45046</v>
      </c>
      <c r="K126" s="5" t="s">
        <v>33</v>
      </c>
      <c r="L126" s="4"/>
      <c r="M126" s="10">
        <f>'[1]QB Pull'!H125</f>
        <v>44866</v>
      </c>
      <c r="N126" s="2"/>
      <c r="O126" s="2">
        <v>1</v>
      </c>
      <c r="P126" s="11">
        <f>'[1]QB Pull'!L125</f>
        <v>1825.05</v>
      </c>
      <c r="Q126" s="11">
        <f t="shared" si="1"/>
        <v>1825.05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x14ac:dyDescent="0.3">
      <c r="A127" s="2" t="str">
        <f>'[1]QB Pull'!B126</f>
        <v>Bill</v>
      </c>
      <c r="B127" s="6">
        <f>'[1]QB Pull'!C126</f>
        <v>4096825</v>
      </c>
      <c r="C127" s="2" t="str">
        <f>'[1]QB Pull'!P126</f>
        <v>Future Electronics Corp</v>
      </c>
      <c r="D127" s="2" t="str">
        <f>'[1]QB Pull'!O126</f>
        <v>VEN007</v>
      </c>
      <c r="E127" s="2">
        <f>VLOOKUP(D:D,[2]Vendors!$A:$B,2,0)</f>
        <v>16</v>
      </c>
      <c r="F127" s="2"/>
      <c r="G127" s="6">
        <v>7</v>
      </c>
      <c r="H127" s="7" t="s">
        <v>32</v>
      </c>
      <c r="I127" s="8">
        <v>1</v>
      </c>
      <c r="J127" s="9">
        <f>'[1]QB Pull'!F126</f>
        <v>45046</v>
      </c>
      <c r="K127" s="5" t="s">
        <v>33</v>
      </c>
      <c r="L127" s="4"/>
      <c r="M127" s="10">
        <f>'[1]QB Pull'!H126</f>
        <v>44866</v>
      </c>
      <c r="N127" s="2"/>
      <c r="O127" s="2">
        <v>1</v>
      </c>
      <c r="P127" s="11">
        <f>'[1]QB Pull'!L126</f>
        <v>892.5</v>
      </c>
      <c r="Q127" s="11">
        <f t="shared" si="1"/>
        <v>892.5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x14ac:dyDescent="0.3">
      <c r="A128" s="2" t="str">
        <f>'[1]QB Pull'!B127</f>
        <v>Bill</v>
      </c>
      <c r="B128" s="6">
        <f>'[1]QB Pull'!C127</f>
        <v>4100312</v>
      </c>
      <c r="C128" s="2" t="str">
        <f>'[1]QB Pull'!P127</f>
        <v>Future Electronics Corp</v>
      </c>
      <c r="D128" s="2" t="str">
        <f>'[1]QB Pull'!O127</f>
        <v>VEN007</v>
      </c>
      <c r="E128" s="2">
        <f>VLOOKUP(D:D,[2]Vendors!$A:$B,2,0)</f>
        <v>16</v>
      </c>
      <c r="F128" s="2"/>
      <c r="G128" s="6">
        <v>7</v>
      </c>
      <c r="H128" s="7" t="s">
        <v>32</v>
      </c>
      <c r="I128" s="8">
        <v>1</v>
      </c>
      <c r="J128" s="9">
        <f>'[1]QB Pull'!F127</f>
        <v>45035</v>
      </c>
      <c r="K128" s="5" t="s">
        <v>33</v>
      </c>
      <c r="L128" s="4"/>
      <c r="M128" s="10">
        <f>'[1]QB Pull'!H127</f>
        <v>44855</v>
      </c>
      <c r="N128" s="2"/>
      <c r="O128" s="2">
        <v>1</v>
      </c>
      <c r="P128" s="11">
        <f>'[1]QB Pull'!L127</f>
        <v>29875.9</v>
      </c>
      <c r="Q128" s="11">
        <f t="shared" si="1"/>
        <v>29875.9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x14ac:dyDescent="0.3">
      <c r="A129" s="2" t="str">
        <f>'[1]QB Pull'!B128</f>
        <v>Bill</v>
      </c>
      <c r="B129" s="6">
        <f>'[1]QB Pull'!C128</f>
        <v>4104822</v>
      </c>
      <c r="C129" s="2" t="str">
        <f>'[1]QB Pull'!P128</f>
        <v>Future Electronics Corp</v>
      </c>
      <c r="D129" s="2" t="str">
        <f>'[1]QB Pull'!O128</f>
        <v>VEN007</v>
      </c>
      <c r="E129" s="2">
        <f>VLOOKUP(D:D,[2]Vendors!$A:$B,2,0)</f>
        <v>16</v>
      </c>
      <c r="F129" s="2"/>
      <c r="G129" s="6">
        <v>7</v>
      </c>
      <c r="H129" s="7" t="s">
        <v>32</v>
      </c>
      <c r="I129" s="8">
        <v>1</v>
      </c>
      <c r="J129" s="9">
        <f>'[1]QB Pull'!F128</f>
        <v>45049</v>
      </c>
      <c r="K129" s="5" t="s">
        <v>33</v>
      </c>
      <c r="L129" s="4"/>
      <c r="M129" s="10">
        <f>'[1]QB Pull'!H128</f>
        <v>44869</v>
      </c>
      <c r="N129" s="2"/>
      <c r="O129" s="2">
        <v>1</v>
      </c>
      <c r="P129" s="11">
        <f>'[1]QB Pull'!L128</f>
        <v>15808.92</v>
      </c>
      <c r="Q129" s="11">
        <f t="shared" si="1"/>
        <v>15808.92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x14ac:dyDescent="0.3">
      <c r="A130" s="2" t="str">
        <f>'[1]QB Pull'!B129</f>
        <v>Bill</v>
      </c>
      <c r="B130" s="6">
        <f>'[1]QB Pull'!C129</f>
        <v>4104823</v>
      </c>
      <c r="C130" s="2" t="str">
        <f>'[1]QB Pull'!P129</f>
        <v>Future Electronics Corp</v>
      </c>
      <c r="D130" s="2" t="str">
        <f>'[1]QB Pull'!O129</f>
        <v>VEN007</v>
      </c>
      <c r="E130" s="2">
        <f>VLOOKUP(D:D,[2]Vendors!$A:$B,2,0)</f>
        <v>16</v>
      </c>
      <c r="F130" s="2"/>
      <c r="G130" s="6">
        <v>7</v>
      </c>
      <c r="H130" s="7" t="s">
        <v>32</v>
      </c>
      <c r="I130" s="8">
        <v>1</v>
      </c>
      <c r="J130" s="9">
        <f>'[1]QB Pull'!F129</f>
        <v>45049</v>
      </c>
      <c r="K130" s="5" t="s">
        <v>33</v>
      </c>
      <c r="L130" s="4"/>
      <c r="M130" s="10">
        <f>'[1]QB Pull'!H129</f>
        <v>44869</v>
      </c>
      <c r="N130" s="2"/>
      <c r="O130" s="2">
        <v>1</v>
      </c>
      <c r="P130" s="11">
        <f>'[1]QB Pull'!L129</f>
        <v>93310</v>
      </c>
      <c r="Q130" s="11">
        <f t="shared" si="1"/>
        <v>93310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x14ac:dyDescent="0.3">
      <c r="A131" s="2" t="str">
        <f>'[1]QB Pull'!B130</f>
        <v>Bill</v>
      </c>
      <c r="B131" s="6">
        <f>'[1]QB Pull'!C130</f>
        <v>4121744</v>
      </c>
      <c r="C131" s="2" t="str">
        <f>'[1]QB Pull'!P130</f>
        <v>Future Electronics Corp</v>
      </c>
      <c r="D131" s="2" t="str">
        <f>'[1]QB Pull'!O130</f>
        <v>VEN007</v>
      </c>
      <c r="E131" s="2">
        <f>VLOOKUP(D:D,[2]Vendors!$A:$B,2,0)</f>
        <v>16</v>
      </c>
      <c r="F131" s="2"/>
      <c r="G131" s="6">
        <v>7</v>
      </c>
      <c r="H131" s="7" t="s">
        <v>32</v>
      </c>
      <c r="I131" s="8">
        <v>1</v>
      </c>
      <c r="J131" s="9">
        <f>'[1]QB Pull'!F130</f>
        <v>45055</v>
      </c>
      <c r="K131" s="5" t="s">
        <v>33</v>
      </c>
      <c r="L131" s="4"/>
      <c r="M131" s="10">
        <f>'[1]QB Pull'!H130</f>
        <v>44875</v>
      </c>
      <c r="N131" s="2"/>
      <c r="O131" s="2">
        <v>1</v>
      </c>
      <c r="P131" s="11">
        <f>'[1]QB Pull'!L130</f>
        <v>4549.3999999999996</v>
      </c>
      <c r="Q131" s="11">
        <f t="shared" ref="Q131:Q194" si="2">O131*P131</f>
        <v>4549.3999999999996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x14ac:dyDescent="0.3">
      <c r="A132" s="2" t="str">
        <f>'[1]QB Pull'!B131</f>
        <v>Bill</v>
      </c>
      <c r="B132" s="6">
        <f>'[1]QB Pull'!C131</f>
        <v>4130073</v>
      </c>
      <c r="C132" s="2" t="str">
        <f>'[1]QB Pull'!P131</f>
        <v>Future Electronics Corp</v>
      </c>
      <c r="D132" s="2" t="str">
        <f>'[1]QB Pull'!O131</f>
        <v>VEN007</v>
      </c>
      <c r="E132" s="2">
        <f>VLOOKUP(D:D,[2]Vendors!$A:$B,2,0)</f>
        <v>16</v>
      </c>
      <c r="F132" s="2"/>
      <c r="G132" s="6">
        <v>7</v>
      </c>
      <c r="H132" s="7" t="s">
        <v>32</v>
      </c>
      <c r="I132" s="8">
        <v>1</v>
      </c>
      <c r="J132" s="9">
        <f>'[1]QB Pull'!F131</f>
        <v>45059</v>
      </c>
      <c r="K132" s="5" t="s">
        <v>33</v>
      </c>
      <c r="L132" s="4"/>
      <c r="M132" s="10">
        <f>'[1]QB Pull'!H131</f>
        <v>44879</v>
      </c>
      <c r="N132" s="2"/>
      <c r="O132" s="2">
        <v>1</v>
      </c>
      <c r="P132" s="11">
        <f>'[1]QB Pull'!L131</f>
        <v>203635.83</v>
      </c>
      <c r="Q132" s="11">
        <f t="shared" si="2"/>
        <v>203635.83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x14ac:dyDescent="0.3">
      <c r="A133" s="2" t="str">
        <f>'[1]QB Pull'!B132</f>
        <v>Bill</v>
      </c>
      <c r="B133" s="6">
        <f>'[1]QB Pull'!C132</f>
        <v>9510492</v>
      </c>
      <c r="C133" s="2" t="str">
        <f>'[1]QB Pull'!P132</f>
        <v>Future Electronics Corp</v>
      </c>
      <c r="D133" s="2" t="str">
        <f>'[1]QB Pull'!O132</f>
        <v>VEN007</v>
      </c>
      <c r="E133" s="2">
        <f>VLOOKUP(D:D,[2]Vendors!$A:$B,2,0)</f>
        <v>16</v>
      </c>
      <c r="F133" s="2"/>
      <c r="G133" s="6">
        <v>7</v>
      </c>
      <c r="H133" s="7" t="s">
        <v>32</v>
      </c>
      <c r="I133" s="8">
        <v>1</v>
      </c>
      <c r="J133" s="9">
        <f>'[1]QB Pull'!F132</f>
        <v>45056</v>
      </c>
      <c r="K133" s="5" t="s">
        <v>33</v>
      </c>
      <c r="L133" s="4"/>
      <c r="M133" s="10">
        <f>'[1]QB Pull'!H132</f>
        <v>44876</v>
      </c>
      <c r="N133" s="2"/>
      <c r="O133" s="2">
        <v>1</v>
      </c>
      <c r="P133" s="11">
        <f>'[1]QB Pull'!L132</f>
        <v>60</v>
      </c>
      <c r="Q133" s="11">
        <f t="shared" si="2"/>
        <v>60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x14ac:dyDescent="0.3">
      <c r="A134" s="2" t="str">
        <f>'[1]QB Pull'!B133</f>
        <v>Bill</v>
      </c>
      <c r="B134" s="6">
        <f>'[1]QB Pull'!C133</f>
        <v>9510493</v>
      </c>
      <c r="C134" s="2" t="str">
        <f>'[1]QB Pull'!P133</f>
        <v>Future Electronics Corp</v>
      </c>
      <c r="D134" s="2" t="str">
        <f>'[1]QB Pull'!O133</f>
        <v>VEN007</v>
      </c>
      <c r="E134" s="2">
        <f>VLOOKUP(D:D,[2]Vendors!$A:$B,2,0)</f>
        <v>16</v>
      </c>
      <c r="F134" s="2"/>
      <c r="G134" s="6">
        <v>7</v>
      </c>
      <c r="H134" s="7" t="s">
        <v>32</v>
      </c>
      <c r="I134" s="8">
        <v>1</v>
      </c>
      <c r="J134" s="9">
        <f>'[1]QB Pull'!F133</f>
        <v>45056</v>
      </c>
      <c r="K134" s="5" t="s">
        <v>33</v>
      </c>
      <c r="L134" s="4"/>
      <c r="M134" s="10">
        <f>'[1]QB Pull'!H133</f>
        <v>44876</v>
      </c>
      <c r="N134" s="2"/>
      <c r="O134" s="2">
        <v>1</v>
      </c>
      <c r="P134" s="11">
        <f>'[1]QB Pull'!L133</f>
        <v>8264</v>
      </c>
      <c r="Q134" s="11">
        <f t="shared" si="2"/>
        <v>8264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x14ac:dyDescent="0.3">
      <c r="A135" s="2" t="str">
        <f>'[1]QB Pull'!B134</f>
        <v>Bill</v>
      </c>
      <c r="B135" s="6">
        <f>'[1]QB Pull'!C134</f>
        <v>9510494</v>
      </c>
      <c r="C135" s="2" t="str">
        <f>'[1]QB Pull'!P134</f>
        <v>Future Electronics Corp</v>
      </c>
      <c r="D135" s="2" t="str">
        <f>'[1]QB Pull'!O134</f>
        <v>VEN007</v>
      </c>
      <c r="E135" s="2">
        <f>VLOOKUP(D:D,[2]Vendors!$A:$B,2,0)</f>
        <v>16</v>
      </c>
      <c r="F135" s="2"/>
      <c r="G135" s="6">
        <v>7</v>
      </c>
      <c r="H135" s="7" t="s">
        <v>32</v>
      </c>
      <c r="I135" s="8">
        <v>1</v>
      </c>
      <c r="J135" s="9">
        <f>'[1]QB Pull'!F134</f>
        <v>45056</v>
      </c>
      <c r="K135" s="5" t="s">
        <v>33</v>
      </c>
      <c r="L135" s="4"/>
      <c r="M135" s="10">
        <f>'[1]QB Pull'!H134</f>
        <v>44876</v>
      </c>
      <c r="N135" s="2"/>
      <c r="O135" s="2">
        <v>1</v>
      </c>
      <c r="P135" s="11">
        <f>'[1]QB Pull'!L134</f>
        <v>256.99</v>
      </c>
      <c r="Q135" s="11">
        <f t="shared" si="2"/>
        <v>256.99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x14ac:dyDescent="0.3">
      <c r="A136" s="2" t="str">
        <f>'[1]QB Pull'!B135</f>
        <v>Bill</v>
      </c>
      <c r="B136" s="6">
        <f>'[1]QB Pull'!C135</f>
        <v>9510495</v>
      </c>
      <c r="C136" s="2" t="str">
        <f>'[1]QB Pull'!P135</f>
        <v>Future Electronics Corp</v>
      </c>
      <c r="D136" s="2" t="str">
        <f>'[1]QB Pull'!O135</f>
        <v>VEN007</v>
      </c>
      <c r="E136" s="2">
        <f>VLOOKUP(D:D,[2]Vendors!$A:$B,2,0)</f>
        <v>16</v>
      </c>
      <c r="F136" s="2"/>
      <c r="G136" s="6">
        <v>7</v>
      </c>
      <c r="H136" s="7" t="s">
        <v>32</v>
      </c>
      <c r="I136" s="8">
        <v>1</v>
      </c>
      <c r="J136" s="9">
        <f>'[1]QB Pull'!F135</f>
        <v>45063</v>
      </c>
      <c r="K136" s="5" t="s">
        <v>33</v>
      </c>
      <c r="L136" s="4"/>
      <c r="M136" s="10">
        <f>'[1]QB Pull'!H135</f>
        <v>44883</v>
      </c>
      <c r="N136" s="2"/>
      <c r="O136" s="2">
        <v>1</v>
      </c>
      <c r="P136" s="11">
        <f>'[1]QB Pull'!L135</f>
        <v>616</v>
      </c>
      <c r="Q136" s="11">
        <f t="shared" si="2"/>
        <v>616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x14ac:dyDescent="0.3">
      <c r="A137" s="2" t="str">
        <f>'[1]QB Pull'!B136</f>
        <v>Bill</v>
      </c>
      <c r="B137" s="6">
        <f>'[1]QB Pull'!C136</f>
        <v>9513820</v>
      </c>
      <c r="C137" s="2" t="str">
        <f>'[1]QB Pull'!P136</f>
        <v>Future Electronics Corp</v>
      </c>
      <c r="D137" s="2" t="str">
        <f>'[1]QB Pull'!O136</f>
        <v>VEN007</v>
      </c>
      <c r="E137" s="2">
        <f>VLOOKUP(D:D,[2]Vendors!$A:$B,2,0)</f>
        <v>16</v>
      </c>
      <c r="F137" s="2"/>
      <c r="G137" s="6">
        <v>7</v>
      </c>
      <c r="H137" s="7" t="s">
        <v>32</v>
      </c>
      <c r="I137" s="8">
        <v>1</v>
      </c>
      <c r="J137" s="9">
        <f>'[1]QB Pull'!F136</f>
        <v>45060</v>
      </c>
      <c r="K137" s="5" t="s">
        <v>33</v>
      </c>
      <c r="L137" s="4"/>
      <c r="M137" s="10">
        <f>'[1]QB Pull'!H136</f>
        <v>44880</v>
      </c>
      <c r="N137" s="2"/>
      <c r="O137" s="2">
        <v>1</v>
      </c>
      <c r="P137" s="11">
        <f>'[1]QB Pull'!L136</f>
        <v>140.68</v>
      </c>
      <c r="Q137" s="11">
        <f t="shared" si="2"/>
        <v>140.68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x14ac:dyDescent="0.3">
      <c r="A138" s="2" t="str">
        <f>'[1]QB Pull'!B137</f>
        <v>Bill</v>
      </c>
      <c r="B138" s="6">
        <f>'[1]QB Pull'!C137</f>
        <v>9213521</v>
      </c>
      <c r="C138" s="2" t="str">
        <f>'[1]QB Pull'!P137</f>
        <v>Future Electronics Corp</v>
      </c>
      <c r="D138" s="2" t="str">
        <f>'[1]QB Pull'!O137</f>
        <v>VEN007</v>
      </c>
      <c r="E138" s="2">
        <f>VLOOKUP(D:D,[2]Vendors!$A:$B,2,0)</f>
        <v>16</v>
      </c>
      <c r="F138" s="2"/>
      <c r="G138" s="6">
        <v>7</v>
      </c>
      <c r="H138" s="7" t="s">
        <v>32</v>
      </c>
      <c r="I138" s="8">
        <v>1</v>
      </c>
      <c r="J138" s="9">
        <f>'[1]QB Pull'!F137</f>
        <v>45060</v>
      </c>
      <c r="K138" s="5" t="s">
        <v>33</v>
      </c>
      <c r="L138" s="4"/>
      <c r="M138" s="10">
        <f>'[1]QB Pull'!H137</f>
        <v>44880</v>
      </c>
      <c r="N138" s="2"/>
      <c r="O138" s="2">
        <v>1</v>
      </c>
      <c r="P138" s="11">
        <f>'[1]QB Pull'!L137</f>
        <v>28</v>
      </c>
      <c r="Q138" s="11">
        <f t="shared" si="2"/>
        <v>28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x14ac:dyDescent="0.3">
      <c r="A139" s="2" t="str">
        <f>'[1]QB Pull'!B138</f>
        <v>Bill</v>
      </c>
      <c r="B139" s="6">
        <f>'[1]QB Pull'!C138</f>
        <v>9513822</v>
      </c>
      <c r="C139" s="2" t="str">
        <f>'[1]QB Pull'!P138</f>
        <v>Future Electronics Corp</v>
      </c>
      <c r="D139" s="2" t="str">
        <f>'[1]QB Pull'!O138</f>
        <v>VEN007</v>
      </c>
      <c r="E139" s="2">
        <f>VLOOKUP(D:D,[2]Vendors!$A:$B,2,0)</f>
        <v>16</v>
      </c>
      <c r="F139" s="2"/>
      <c r="G139" s="6">
        <v>7</v>
      </c>
      <c r="H139" s="7" t="s">
        <v>32</v>
      </c>
      <c r="I139" s="8">
        <v>1</v>
      </c>
      <c r="J139" s="9">
        <f>'[1]QB Pull'!F138</f>
        <v>45060</v>
      </c>
      <c r="K139" s="5" t="s">
        <v>33</v>
      </c>
      <c r="L139" s="4"/>
      <c r="M139" s="10">
        <f>'[1]QB Pull'!H138</f>
        <v>44880</v>
      </c>
      <c r="N139" s="2"/>
      <c r="O139" s="2">
        <v>1</v>
      </c>
      <c r="P139" s="11">
        <f>'[1]QB Pull'!L138</f>
        <v>16422</v>
      </c>
      <c r="Q139" s="11">
        <f t="shared" si="2"/>
        <v>16422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x14ac:dyDescent="0.3">
      <c r="A140" s="2" t="str">
        <f>'[1]QB Pull'!B139</f>
        <v>Bill</v>
      </c>
      <c r="B140" s="6">
        <f>'[1]QB Pull'!C139</f>
        <v>9513823</v>
      </c>
      <c r="C140" s="2" t="str">
        <f>'[1]QB Pull'!P139</f>
        <v>Future Electronics Corp</v>
      </c>
      <c r="D140" s="2" t="str">
        <f>'[1]QB Pull'!O139</f>
        <v>VEN007</v>
      </c>
      <c r="E140" s="2">
        <f>VLOOKUP(D:D,[2]Vendors!$A:$B,2,0)</f>
        <v>16</v>
      </c>
      <c r="F140" s="2"/>
      <c r="G140" s="6">
        <v>7</v>
      </c>
      <c r="H140" s="7" t="s">
        <v>32</v>
      </c>
      <c r="I140" s="8">
        <v>1</v>
      </c>
      <c r="J140" s="9">
        <f>'[1]QB Pull'!F139</f>
        <v>45060</v>
      </c>
      <c r="K140" s="5" t="s">
        <v>33</v>
      </c>
      <c r="L140" s="4"/>
      <c r="M140" s="10">
        <f>'[1]QB Pull'!H139</f>
        <v>44880</v>
      </c>
      <c r="N140" s="2"/>
      <c r="O140" s="2">
        <v>1</v>
      </c>
      <c r="P140" s="11">
        <f>'[1]QB Pull'!L139</f>
        <v>323.5</v>
      </c>
      <c r="Q140" s="11">
        <f t="shared" si="2"/>
        <v>323.5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x14ac:dyDescent="0.3">
      <c r="A141" s="2" t="str">
        <f>'[1]QB Pull'!B140</f>
        <v>Bill</v>
      </c>
      <c r="B141" s="6">
        <f>'[1]QB Pull'!C140</f>
        <v>9519873</v>
      </c>
      <c r="C141" s="2" t="str">
        <f>'[1]QB Pull'!P140</f>
        <v>Future Electronics Corp</v>
      </c>
      <c r="D141" s="2" t="str">
        <f>'[1]QB Pull'!O140</f>
        <v>VEN007</v>
      </c>
      <c r="E141" s="2">
        <f>VLOOKUP(D:D,[2]Vendors!$A:$B,2,0)</f>
        <v>16</v>
      </c>
      <c r="F141" s="2"/>
      <c r="G141" s="6">
        <v>7</v>
      </c>
      <c r="H141" s="7" t="s">
        <v>32</v>
      </c>
      <c r="I141" s="8">
        <v>1</v>
      </c>
      <c r="J141" s="9">
        <f>'[1]QB Pull'!F140</f>
        <v>45062</v>
      </c>
      <c r="K141" s="5" t="s">
        <v>33</v>
      </c>
      <c r="L141" s="4"/>
      <c r="M141" s="10">
        <f>'[1]QB Pull'!H140</f>
        <v>44882</v>
      </c>
      <c r="N141" s="2"/>
      <c r="O141" s="2">
        <v>1</v>
      </c>
      <c r="P141" s="11">
        <f>'[1]QB Pull'!L140</f>
        <v>102.69</v>
      </c>
      <c r="Q141" s="11">
        <f t="shared" si="2"/>
        <v>102.69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x14ac:dyDescent="0.3">
      <c r="A142" s="2" t="str">
        <f>'[1]QB Pull'!B141</f>
        <v>Bill</v>
      </c>
      <c r="B142" s="6">
        <f>'[1]QB Pull'!C141</f>
        <v>9519874</v>
      </c>
      <c r="C142" s="2" t="str">
        <f>'[1]QB Pull'!P141</f>
        <v>Future Electronics Corp</v>
      </c>
      <c r="D142" s="2" t="str">
        <f>'[1]QB Pull'!O141</f>
        <v>VEN007</v>
      </c>
      <c r="E142" s="2">
        <f>VLOOKUP(D:D,[2]Vendors!$A:$B,2,0)</f>
        <v>16</v>
      </c>
      <c r="F142" s="2"/>
      <c r="G142" s="6">
        <v>7</v>
      </c>
      <c r="H142" s="7" t="s">
        <v>32</v>
      </c>
      <c r="I142" s="8">
        <v>1</v>
      </c>
      <c r="J142" s="9">
        <f>'[1]QB Pull'!F141</f>
        <v>45062</v>
      </c>
      <c r="K142" s="5" t="s">
        <v>33</v>
      </c>
      <c r="L142" s="4"/>
      <c r="M142" s="10">
        <f>'[1]QB Pull'!H141</f>
        <v>44882</v>
      </c>
      <c r="N142" s="2"/>
      <c r="O142" s="2">
        <v>1</v>
      </c>
      <c r="P142" s="11">
        <f>'[1]QB Pull'!L141</f>
        <v>989.7</v>
      </c>
      <c r="Q142" s="11">
        <f t="shared" si="2"/>
        <v>989.7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x14ac:dyDescent="0.3">
      <c r="A143" s="2" t="str">
        <f>'[1]QB Pull'!B142</f>
        <v>Bill</v>
      </c>
      <c r="B143" s="6">
        <f>'[1]QB Pull'!C142</f>
        <v>0</v>
      </c>
      <c r="C143" s="2" t="str">
        <f>'[1]QB Pull'!P142</f>
        <v>Future Electronics Corp</v>
      </c>
      <c r="D143" s="2" t="str">
        <f>'[1]QB Pull'!O142</f>
        <v>VEN007</v>
      </c>
      <c r="E143" s="2">
        <f>VLOOKUP(D:D,[2]Vendors!$A:$B,2,0)</f>
        <v>16</v>
      </c>
      <c r="F143" s="2"/>
      <c r="G143" s="6">
        <v>7</v>
      </c>
      <c r="H143" s="7" t="s">
        <v>32</v>
      </c>
      <c r="I143" s="8">
        <v>1</v>
      </c>
      <c r="J143" s="9">
        <f>'[1]QB Pull'!F142</f>
        <v>45066</v>
      </c>
      <c r="K143" s="5" t="s">
        <v>33</v>
      </c>
      <c r="L143" s="4"/>
      <c r="M143" s="10">
        <f>'[1]QB Pull'!H142</f>
        <v>44886</v>
      </c>
      <c r="N143" s="2"/>
      <c r="O143" s="2">
        <v>1</v>
      </c>
      <c r="P143" s="11">
        <f>'[1]QB Pull'!L142</f>
        <v>145</v>
      </c>
      <c r="Q143" s="11">
        <f t="shared" si="2"/>
        <v>145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x14ac:dyDescent="0.3">
      <c r="A144" s="2" t="str">
        <f>'[1]QB Pull'!B143</f>
        <v>Bill</v>
      </c>
      <c r="B144" s="6">
        <f>'[1]QB Pull'!C143</f>
        <v>9519876</v>
      </c>
      <c r="C144" s="2" t="str">
        <f>'[1]QB Pull'!P143</f>
        <v>Future Electronics Corp</v>
      </c>
      <c r="D144" s="2" t="str">
        <f>'[1]QB Pull'!O143</f>
        <v>VEN007</v>
      </c>
      <c r="E144" s="2">
        <f>VLOOKUP(D:D,[2]Vendors!$A:$B,2,0)</f>
        <v>16</v>
      </c>
      <c r="F144" s="2"/>
      <c r="G144" s="6">
        <v>7</v>
      </c>
      <c r="H144" s="7" t="s">
        <v>32</v>
      </c>
      <c r="I144" s="8">
        <v>1</v>
      </c>
      <c r="J144" s="9">
        <f>'[1]QB Pull'!F143</f>
        <v>45062</v>
      </c>
      <c r="K144" s="5" t="s">
        <v>33</v>
      </c>
      <c r="L144" s="4"/>
      <c r="M144" s="10">
        <f>'[1]QB Pull'!H143</f>
        <v>44882</v>
      </c>
      <c r="N144" s="2"/>
      <c r="O144" s="2">
        <v>1</v>
      </c>
      <c r="P144" s="11">
        <f>'[1]QB Pull'!L143</f>
        <v>3816.5</v>
      </c>
      <c r="Q144" s="11">
        <f t="shared" si="2"/>
        <v>3816.5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x14ac:dyDescent="0.3">
      <c r="A145" s="2" t="str">
        <f>'[1]QB Pull'!B144</f>
        <v>Bill</v>
      </c>
      <c r="B145" s="6">
        <f>'[1]QB Pull'!C144</f>
        <v>4144877</v>
      </c>
      <c r="C145" s="2" t="str">
        <f>'[1]QB Pull'!P144</f>
        <v>Future Electronics Corp</v>
      </c>
      <c r="D145" s="2" t="str">
        <f>'[1]QB Pull'!O144</f>
        <v>VEN007</v>
      </c>
      <c r="E145" s="2">
        <f>VLOOKUP(D:D,[2]Vendors!$A:$B,2,0)</f>
        <v>16</v>
      </c>
      <c r="F145" s="2"/>
      <c r="G145" s="6">
        <v>7</v>
      </c>
      <c r="H145" s="7" t="s">
        <v>32</v>
      </c>
      <c r="I145" s="8">
        <v>1</v>
      </c>
      <c r="J145" s="9">
        <f>'[1]QB Pull'!F144</f>
        <v>45063</v>
      </c>
      <c r="K145" s="5" t="s">
        <v>33</v>
      </c>
      <c r="L145" s="4"/>
      <c r="M145" s="10">
        <f>'[1]QB Pull'!H144</f>
        <v>44883</v>
      </c>
      <c r="N145" s="2"/>
      <c r="O145" s="2">
        <v>1</v>
      </c>
      <c r="P145" s="11">
        <f>'[1]QB Pull'!L144</f>
        <v>1784.71</v>
      </c>
      <c r="Q145" s="11">
        <f t="shared" si="2"/>
        <v>1784.71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x14ac:dyDescent="0.3">
      <c r="A146" s="2" t="str">
        <f>'[1]QB Pull'!B145</f>
        <v>Bill</v>
      </c>
      <c r="B146" s="6">
        <f>'[1]QB Pull'!C145</f>
        <v>4141648</v>
      </c>
      <c r="C146" s="2" t="str">
        <f>'[1]QB Pull'!P145</f>
        <v>Future Electronics Corp</v>
      </c>
      <c r="D146" s="2" t="str">
        <f>'[1]QB Pull'!O145</f>
        <v>VEN007</v>
      </c>
      <c r="E146" s="2">
        <f>VLOOKUP(D:D,[2]Vendors!$A:$B,2,0)</f>
        <v>16</v>
      </c>
      <c r="F146" s="2"/>
      <c r="G146" s="6">
        <v>7</v>
      </c>
      <c r="H146" s="7" t="s">
        <v>32</v>
      </c>
      <c r="I146" s="8">
        <v>1</v>
      </c>
      <c r="J146" s="9">
        <f>'[1]QB Pull'!F145</f>
        <v>45066</v>
      </c>
      <c r="K146" s="5" t="s">
        <v>33</v>
      </c>
      <c r="L146" s="4"/>
      <c r="M146" s="10">
        <f>'[1]QB Pull'!H145</f>
        <v>44886</v>
      </c>
      <c r="N146" s="2"/>
      <c r="O146" s="2">
        <v>1</v>
      </c>
      <c r="P146" s="11">
        <f>'[1]QB Pull'!L145</f>
        <v>705.97</v>
      </c>
      <c r="Q146" s="11">
        <f t="shared" si="2"/>
        <v>705.97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x14ac:dyDescent="0.3">
      <c r="A147" s="2" t="str">
        <f>'[1]QB Pull'!B146</f>
        <v>Bill</v>
      </c>
      <c r="B147" s="6">
        <f>'[1]QB Pull'!C146</f>
        <v>9523275</v>
      </c>
      <c r="C147" s="2" t="str">
        <f>'[1]QB Pull'!P146</f>
        <v>Future Electronics Corp</v>
      </c>
      <c r="D147" s="2" t="str">
        <f>'[1]QB Pull'!O146</f>
        <v>VEN007</v>
      </c>
      <c r="E147" s="2">
        <f>VLOOKUP(D:D,[2]Vendors!$A:$B,2,0)</f>
        <v>16</v>
      </c>
      <c r="F147" s="2"/>
      <c r="G147" s="6">
        <v>7</v>
      </c>
      <c r="H147" s="7" t="s">
        <v>32</v>
      </c>
      <c r="I147" s="8">
        <v>1</v>
      </c>
      <c r="J147" s="9">
        <f>'[1]QB Pull'!F146</f>
        <v>45067</v>
      </c>
      <c r="K147" s="5" t="s">
        <v>33</v>
      </c>
      <c r="L147" s="4"/>
      <c r="M147" s="10">
        <f>'[1]QB Pull'!H146</f>
        <v>44887</v>
      </c>
      <c r="N147" s="2"/>
      <c r="O147" s="2">
        <v>1</v>
      </c>
      <c r="P147" s="11">
        <f>'[1]QB Pull'!L146</f>
        <v>9277.39</v>
      </c>
      <c r="Q147" s="11">
        <f t="shared" si="2"/>
        <v>9277.39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x14ac:dyDescent="0.3">
      <c r="A148" s="2" t="str">
        <f>'[1]QB Pull'!B147</f>
        <v>Bill</v>
      </c>
      <c r="B148" s="6">
        <f>'[1]QB Pull'!C147</f>
        <v>9523276</v>
      </c>
      <c r="C148" s="2" t="str">
        <f>'[1]QB Pull'!P147</f>
        <v>Future Electronics Corp</v>
      </c>
      <c r="D148" s="2" t="str">
        <f>'[1]QB Pull'!O147</f>
        <v>VEN007</v>
      </c>
      <c r="E148" s="2">
        <f>VLOOKUP(D:D,[2]Vendors!$A:$B,2,0)</f>
        <v>16</v>
      </c>
      <c r="F148" s="2"/>
      <c r="G148" s="6">
        <v>7</v>
      </c>
      <c r="H148" s="7" t="s">
        <v>32</v>
      </c>
      <c r="I148" s="8">
        <v>1</v>
      </c>
      <c r="J148" s="9">
        <f>'[1]QB Pull'!F147</f>
        <v>45067</v>
      </c>
      <c r="K148" s="5" t="s">
        <v>33</v>
      </c>
      <c r="L148" s="4"/>
      <c r="M148" s="10">
        <f>'[1]QB Pull'!H147</f>
        <v>44887</v>
      </c>
      <c r="N148" s="2"/>
      <c r="O148" s="2">
        <v>1</v>
      </c>
      <c r="P148" s="11">
        <f>'[1]QB Pull'!L147</f>
        <v>2300</v>
      </c>
      <c r="Q148" s="11">
        <f t="shared" si="2"/>
        <v>2300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x14ac:dyDescent="0.3">
      <c r="A149" s="2" t="str">
        <f>'[1]QB Pull'!B148</f>
        <v>Bill</v>
      </c>
      <c r="B149" s="6">
        <f>'[1]QB Pull'!C148</f>
        <v>9529969</v>
      </c>
      <c r="C149" s="2" t="str">
        <f>'[1]QB Pull'!P148</f>
        <v>Future Electronics Corp</v>
      </c>
      <c r="D149" s="2" t="str">
        <f>'[1]QB Pull'!O148</f>
        <v>VEN007</v>
      </c>
      <c r="E149" s="2">
        <f>VLOOKUP(D:D,[2]Vendors!$A:$B,2,0)</f>
        <v>16</v>
      </c>
      <c r="F149" s="2"/>
      <c r="G149" s="6">
        <v>7</v>
      </c>
      <c r="H149" s="7" t="s">
        <v>32</v>
      </c>
      <c r="I149" s="8">
        <v>1</v>
      </c>
      <c r="J149" s="9">
        <f>'[1]QB Pull'!F148</f>
        <v>45068</v>
      </c>
      <c r="K149" s="5" t="s">
        <v>33</v>
      </c>
      <c r="L149" s="4"/>
      <c r="M149" s="10">
        <f>'[1]QB Pull'!H148</f>
        <v>44888</v>
      </c>
      <c r="N149" s="2"/>
      <c r="O149" s="2">
        <v>1</v>
      </c>
      <c r="P149" s="11">
        <f>'[1]QB Pull'!L148</f>
        <v>3556.91</v>
      </c>
      <c r="Q149" s="11">
        <f t="shared" si="2"/>
        <v>3556.91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x14ac:dyDescent="0.3">
      <c r="A150" s="2" t="str">
        <f>'[1]QB Pull'!B149</f>
        <v>Bill</v>
      </c>
      <c r="B150" s="6">
        <f>'[1]QB Pull'!C149</f>
        <v>4157470</v>
      </c>
      <c r="C150" s="2" t="str">
        <f>'[1]QB Pull'!P149</f>
        <v>Future Electronics Corp</v>
      </c>
      <c r="D150" s="2" t="str">
        <f>'[1]QB Pull'!O149</f>
        <v>VEN007</v>
      </c>
      <c r="E150" s="2">
        <f>VLOOKUP(D:D,[2]Vendors!$A:$B,2,0)</f>
        <v>16</v>
      </c>
      <c r="F150" s="2"/>
      <c r="G150" s="6">
        <v>7</v>
      </c>
      <c r="H150" s="7" t="s">
        <v>32</v>
      </c>
      <c r="I150" s="8">
        <v>1</v>
      </c>
      <c r="J150" s="9">
        <f>'[1]QB Pull'!F149</f>
        <v>45069</v>
      </c>
      <c r="K150" s="5" t="s">
        <v>33</v>
      </c>
      <c r="L150" s="4"/>
      <c r="M150" s="10">
        <f>'[1]QB Pull'!H149</f>
        <v>44889</v>
      </c>
      <c r="N150" s="2"/>
      <c r="O150" s="2">
        <v>1</v>
      </c>
      <c r="P150" s="11">
        <f>'[1]QB Pull'!L149</f>
        <v>25419.74</v>
      </c>
      <c r="Q150" s="11">
        <f t="shared" si="2"/>
        <v>25419.74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x14ac:dyDescent="0.3">
      <c r="A151" s="2" t="str">
        <f>'[1]QB Pull'!B150</f>
        <v>Bill</v>
      </c>
      <c r="B151" s="6">
        <f>'[1]QB Pull'!C150</f>
        <v>4171593</v>
      </c>
      <c r="C151" s="2" t="str">
        <f>'[1]QB Pull'!P150</f>
        <v>Future Electronics Corp</v>
      </c>
      <c r="D151" s="2" t="str">
        <f>'[1]QB Pull'!O150</f>
        <v>VEN007</v>
      </c>
      <c r="E151" s="2">
        <f>VLOOKUP(D:D,[2]Vendors!$A:$B,2,0)</f>
        <v>16</v>
      </c>
      <c r="F151" s="2"/>
      <c r="G151" s="6">
        <v>7</v>
      </c>
      <c r="H151" s="7" t="s">
        <v>32</v>
      </c>
      <c r="I151" s="8">
        <v>1</v>
      </c>
      <c r="J151" s="9">
        <f>'[1]QB Pull'!F150</f>
        <v>45075</v>
      </c>
      <c r="K151" s="5" t="s">
        <v>33</v>
      </c>
      <c r="L151" s="4"/>
      <c r="M151" s="10">
        <f>'[1]QB Pull'!H150</f>
        <v>44895</v>
      </c>
      <c r="N151" s="2"/>
      <c r="O151" s="2">
        <v>1</v>
      </c>
      <c r="P151" s="11">
        <f>'[1]QB Pull'!L150</f>
        <v>827.42</v>
      </c>
      <c r="Q151" s="11">
        <f t="shared" si="2"/>
        <v>827.42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x14ac:dyDescent="0.3">
      <c r="A152" s="2" t="str">
        <f>'[1]QB Pull'!B151</f>
        <v>Bill</v>
      </c>
      <c r="B152" s="6">
        <f>'[1]QB Pull'!C151</f>
        <v>9548721</v>
      </c>
      <c r="C152" s="2" t="str">
        <f>'[1]QB Pull'!P151</f>
        <v>Future Electronics Corp</v>
      </c>
      <c r="D152" s="2" t="str">
        <f>'[1]QB Pull'!O151</f>
        <v>VEN007</v>
      </c>
      <c r="E152" s="2">
        <f>VLOOKUP(D:D,[2]Vendors!$A:$B,2,0)</f>
        <v>16</v>
      </c>
      <c r="F152" s="2"/>
      <c r="G152" s="6">
        <v>7</v>
      </c>
      <c r="H152" s="7" t="s">
        <v>32</v>
      </c>
      <c r="I152" s="8">
        <v>1</v>
      </c>
      <c r="J152" s="9">
        <f>'[1]QB Pull'!F151</f>
        <v>45076</v>
      </c>
      <c r="K152" s="5" t="s">
        <v>33</v>
      </c>
      <c r="L152" s="4"/>
      <c r="M152" s="10">
        <f>'[1]QB Pull'!H151</f>
        <v>44896</v>
      </c>
      <c r="N152" s="2"/>
      <c r="O152" s="2">
        <v>1</v>
      </c>
      <c r="P152" s="11">
        <f>'[1]QB Pull'!L151</f>
        <v>5624.77</v>
      </c>
      <c r="Q152" s="11">
        <f t="shared" si="2"/>
        <v>5624.77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x14ac:dyDescent="0.3">
      <c r="A153" s="2" t="str">
        <f>'[1]QB Pull'!B152</f>
        <v>Bill</v>
      </c>
      <c r="B153" s="6">
        <f>'[1]QB Pull'!C152</f>
        <v>9548722</v>
      </c>
      <c r="C153" s="2" t="str">
        <f>'[1]QB Pull'!P152</f>
        <v>Future Electronics Corp</v>
      </c>
      <c r="D153" s="2" t="str">
        <f>'[1]QB Pull'!O152</f>
        <v>VEN007</v>
      </c>
      <c r="E153" s="2">
        <f>VLOOKUP(D:D,[2]Vendors!$A:$B,2,0)</f>
        <v>16</v>
      </c>
      <c r="F153" s="2"/>
      <c r="G153" s="6">
        <v>7</v>
      </c>
      <c r="H153" s="7" t="s">
        <v>32</v>
      </c>
      <c r="I153" s="8">
        <v>1</v>
      </c>
      <c r="J153" s="9">
        <f>'[1]QB Pull'!F152</f>
        <v>45076</v>
      </c>
      <c r="K153" s="5" t="s">
        <v>33</v>
      </c>
      <c r="L153" s="4"/>
      <c r="M153" s="10">
        <f>'[1]QB Pull'!H152</f>
        <v>44896</v>
      </c>
      <c r="N153" s="2"/>
      <c r="O153" s="2">
        <v>1</v>
      </c>
      <c r="P153" s="11">
        <f>'[1]QB Pull'!L152</f>
        <v>2700</v>
      </c>
      <c r="Q153" s="11">
        <f t="shared" si="2"/>
        <v>2700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x14ac:dyDescent="0.3">
      <c r="A154" s="2" t="str">
        <f>'[1]QB Pull'!B153</f>
        <v>Bill</v>
      </c>
      <c r="B154" s="6">
        <f>'[1]QB Pull'!C153</f>
        <v>9552781</v>
      </c>
      <c r="C154" s="2" t="str">
        <f>'[1]QB Pull'!P153</f>
        <v>Future Electronics Corp</v>
      </c>
      <c r="D154" s="2" t="str">
        <f>'[1]QB Pull'!O153</f>
        <v>VEN007</v>
      </c>
      <c r="E154" s="2">
        <f>VLOOKUP(D:D,[2]Vendors!$A:$B,2,0)</f>
        <v>16</v>
      </c>
      <c r="F154" s="2"/>
      <c r="G154" s="6">
        <v>7</v>
      </c>
      <c r="H154" s="7" t="s">
        <v>32</v>
      </c>
      <c r="I154" s="8">
        <v>1</v>
      </c>
      <c r="J154" s="9">
        <f>'[1]QB Pull'!F153</f>
        <v>45080</v>
      </c>
      <c r="K154" s="5" t="s">
        <v>33</v>
      </c>
      <c r="L154" s="4"/>
      <c r="M154" s="10">
        <f>'[1]QB Pull'!H153</f>
        <v>44900</v>
      </c>
      <c r="N154" s="2"/>
      <c r="O154" s="2">
        <v>1</v>
      </c>
      <c r="P154" s="11">
        <f>'[1]QB Pull'!L153</f>
        <v>159.16</v>
      </c>
      <c r="Q154" s="11">
        <f t="shared" si="2"/>
        <v>159.16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x14ac:dyDescent="0.3">
      <c r="A155" s="2" t="str">
        <f>'[1]QB Pull'!B154</f>
        <v>Bill</v>
      </c>
      <c r="B155" s="6">
        <f>'[1]QB Pull'!C154</f>
        <v>9552782</v>
      </c>
      <c r="C155" s="2" t="str">
        <f>'[1]QB Pull'!P154</f>
        <v>Future Electronics Corp</v>
      </c>
      <c r="D155" s="2" t="str">
        <f>'[1]QB Pull'!O154</f>
        <v>VEN007</v>
      </c>
      <c r="E155" s="2">
        <f>VLOOKUP(D:D,[2]Vendors!$A:$B,2,0)</f>
        <v>16</v>
      </c>
      <c r="F155" s="2"/>
      <c r="G155" s="6">
        <v>7</v>
      </c>
      <c r="H155" s="7" t="s">
        <v>32</v>
      </c>
      <c r="I155" s="8">
        <v>1</v>
      </c>
      <c r="J155" s="9">
        <f>'[1]QB Pull'!F154</f>
        <v>45080</v>
      </c>
      <c r="K155" s="5" t="s">
        <v>33</v>
      </c>
      <c r="L155" s="4"/>
      <c r="M155" s="10">
        <f>'[1]QB Pull'!H154</f>
        <v>44900</v>
      </c>
      <c r="N155" s="2"/>
      <c r="O155" s="2">
        <v>1</v>
      </c>
      <c r="P155" s="11">
        <f>'[1]QB Pull'!L154</f>
        <v>525.4</v>
      </c>
      <c r="Q155" s="11">
        <f t="shared" si="2"/>
        <v>525.4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x14ac:dyDescent="0.3">
      <c r="A156" s="2" t="str">
        <f>'[1]QB Pull'!B155</f>
        <v>Bill</v>
      </c>
      <c r="B156" s="6">
        <f>'[1]QB Pull'!C155</f>
        <v>9552783</v>
      </c>
      <c r="C156" s="2" t="str">
        <f>'[1]QB Pull'!P155</f>
        <v>Future Electronics Corp</v>
      </c>
      <c r="D156" s="2" t="str">
        <f>'[1]QB Pull'!O155</f>
        <v>VEN007</v>
      </c>
      <c r="E156" s="2">
        <f>VLOOKUP(D:D,[2]Vendors!$A:$B,2,0)</f>
        <v>16</v>
      </c>
      <c r="F156" s="2"/>
      <c r="G156" s="6">
        <v>7</v>
      </c>
      <c r="H156" s="7" t="s">
        <v>32</v>
      </c>
      <c r="I156" s="8">
        <v>1</v>
      </c>
      <c r="J156" s="9">
        <f>'[1]QB Pull'!F155</f>
        <v>45080</v>
      </c>
      <c r="K156" s="5" t="s">
        <v>33</v>
      </c>
      <c r="L156" s="4"/>
      <c r="M156" s="10">
        <f>'[1]QB Pull'!H155</f>
        <v>44900</v>
      </c>
      <c r="N156" s="2"/>
      <c r="O156" s="2">
        <v>1</v>
      </c>
      <c r="P156" s="11">
        <f>'[1]QB Pull'!L155</f>
        <v>140.4</v>
      </c>
      <c r="Q156" s="11">
        <f t="shared" si="2"/>
        <v>140.4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x14ac:dyDescent="0.3">
      <c r="A157" s="2" t="str">
        <f>'[1]QB Pull'!B156</f>
        <v>Bill</v>
      </c>
      <c r="B157" s="6">
        <f>'[1]QB Pull'!C156</f>
        <v>4181876</v>
      </c>
      <c r="C157" s="2" t="str">
        <f>'[1]QB Pull'!P156</f>
        <v>Future Electronics Corp</v>
      </c>
      <c r="D157" s="2" t="str">
        <f>'[1]QB Pull'!O156</f>
        <v>VEN007</v>
      </c>
      <c r="E157" s="2">
        <f>VLOOKUP(D:D,[2]Vendors!$A:$B,2,0)</f>
        <v>16</v>
      </c>
      <c r="F157" s="2"/>
      <c r="G157" s="6">
        <v>7</v>
      </c>
      <c r="H157" s="7" t="s">
        <v>32</v>
      </c>
      <c r="I157" s="8">
        <v>1</v>
      </c>
      <c r="J157" s="9">
        <f>'[1]QB Pull'!F156</f>
        <v>45080</v>
      </c>
      <c r="K157" s="5" t="s">
        <v>33</v>
      </c>
      <c r="L157" s="4"/>
      <c r="M157" s="10">
        <f>'[1]QB Pull'!H156</f>
        <v>44900</v>
      </c>
      <c r="N157" s="2"/>
      <c r="O157" s="2">
        <v>1</v>
      </c>
      <c r="P157" s="11">
        <f>'[1]QB Pull'!L156</f>
        <v>82.94</v>
      </c>
      <c r="Q157" s="11">
        <f t="shared" si="2"/>
        <v>82.94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x14ac:dyDescent="0.3">
      <c r="A158" s="2" t="str">
        <f>'[1]QB Pull'!B157</f>
        <v>Bill</v>
      </c>
      <c r="B158" s="6">
        <f>'[1]QB Pull'!C157</f>
        <v>9567603</v>
      </c>
      <c r="C158" s="2" t="str">
        <f>'[1]QB Pull'!P157</f>
        <v>Future Electronics Corp</v>
      </c>
      <c r="D158" s="2" t="str">
        <f>'[1]QB Pull'!O157</f>
        <v>VEN007</v>
      </c>
      <c r="E158" s="2">
        <f>VLOOKUP(D:D,[2]Vendors!$A:$B,2,0)</f>
        <v>16</v>
      </c>
      <c r="F158" s="2"/>
      <c r="G158" s="6">
        <v>7</v>
      </c>
      <c r="H158" s="7" t="s">
        <v>32</v>
      </c>
      <c r="I158" s="8">
        <v>1</v>
      </c>
      <c r="J158" s="9">
        <f>'[1]QB Pull'!F157</f>
        <v>45088</v>
      </c>
      <c r="K158" s="5" t="s">
        <v>33</v>
      </c>
      <c r="L158" s="4"/>
      <c r="M158" s="10">
        <f>'[1]QB Pull'!H157</f>
        <v>44908</v>
      </c>
      <c r="N158" s="2"/>
      <c r="O158" s="2">
        <v>1</v>
      </c>
      <c r="P158" s="11">
        <f>'[1]QB Pull'!L157</f>
        <v>315</v>
      </c>
      <c r="Q158" s="11">
        <f t="shared" si="2"/>
        <v>315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x14ac:dyDescent="0.3">
      <c r="A159" s="2" t="str">
        <f>'[1]QB Pull'!B158</f>
        <v>Bill</v>
      </c>
      <c r="B159" s="6">
        <f>'[1]QB Pull'!C158</f>
        <v>9567604</v>
      </c>
      <c r="C159" s="2" t="str">
        <f>'[1]QB Pull'!P158</f>
        <v>Future Electronics Corp</v>
      </c>
      <c r="D159" s="2" t="str">
        <f>'[1]QB Pull'!O158</f>
        <v>VEN007</v>
      </c>
      <c r="E159" s="2">
        <f>VLOOKUP(D:D,[2]Vendors!$A:$B,2,0)</f>
        <v>16</v>
      </c>
      <c r="F159" s="2"/>
      <c r="G159" s="6">
        <v>7</v>
      </c>
      <c r="H159" s="7" t="s">
        <v>32</v>
      </c>
      <c r="I159" s="8">
        <v>1</v>
      </c>
      <c r="J159" s="9">
        <f>'[1]QB Pull'!F158</f>
        <v>45088</v>
      </c>
      <c r="K159" s="5" t="s">
        <v>33</v>
      </c>
      <c r="L159" s="4"/>
      <c r="M159" s="10">
        <f>'[1]QB Pull'!H158</f>
        <v>44908</v>
      </c>
      <c r="N159" s="2"/>
      <c r="O159" s="2">
        <v>1</v>
      </c>
      <c r="P159" s="11">
        <f>'[1]QB Pull'!L158</f>
        <v>1525</v>
      </c>
      <c r="Q159" s="11">
        <f t="shared" si="2"/>
        <v>1525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x14ac:dyDescent="0.3">
      <c r="A160" s="2" t="str">
        <f>'[1]QB Pull'!B159</f>
        <v>Bill</v>
      </c>
      <c r="B160" s="6">
        <f>'[1]QB Pull'!C159</f>
        <v>9567605</v>
      </c>
      <c r="C160" s="2" t="str">
        <f>'[1]QB Pull'!P159</f>
        <v>Future Electronics Corp</v>
      </c>
      <c r="D160" s="2" t="str">
        <f>'[1]QB Pull'!O159</f>
        <v>VEN007</v>
      </c>
      <c r="E160" s="2">
        <f>VLOOKUP(D:D,[2]Vendors!$A:$B,2,0)</f>
        <v>16</v>
      </c>
      <c r="F160" s="2"/>
      <c r="G160" s="6">
        <v>7</v>
      </c>
      <c r="H160" s="7" t="s">
        <v>32</v>
      </c>
      <c r="I160" s="8">
        <v>1</v>
      </c>
      <c r="J160" s="9">
        <f>'[1]QB Pull'!F159</f>
        <v>45088</v>
      </c>
      <c r="K160" s="5" t="s">
        <v>33</v>
      </c>
      <c r="L160" s="4"/>
      <c r="M160" s="10">
        <f>'[1]QB Pull'!H159</f>
        <v>44908</v>
      </c>
      <c r="N160" s="2"/>
      <c r="O160" s="2">
        <v>1</v>
      </c>
      <c r="P160" s="11">
        <f>'[1]QB Pull'!L159</f>
        <v>60</v>
      </c>
      <c r="Q160" s="11">
        <f t="shared" si="2"/>
        <v>60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x14ac:dyDescent="0.3">
      <c r="A161" s="2" t="str">
        <f>'[1]QB Pull'!B160</f>
        <v>Bill</v>
      </c>
      <c r="B161" s="6">
        <f>'[1]QB Pull'!C160</f>
        <v>9567606</v>
      </c>
      <c r="C161" s="2" t="str">
        <f>'[1]QB Pull'!P160</f>
        <v>Future Electronics Corp</v>
      </c>
      <c r="D161" s="2" t="str">
        <f>'[1]QB Pull'!O160</f>
        <v>VEN007</v>
      </c>
      <c r="E161" s="2">
        <f>VLOOKUP(D:D,[2]Vendors!$A:$B,2,0)</f>
        <v>16</v>
      </c>
      <c r="F161" s="2"/>
      <c r="G161" s="6">
        <v>7</v>
      </c>
      <c r="H161" s="7" t="s">
        <v>32</v>
      </c>
      <c r="I161" s="8">
        <v>1</v>
      </c>
      <c r="J161" s="9">
        <f>'[1]QB Pull'!F160</f>
        <v>45088</v>
      </c>
      <c r="K161" s="5" t="s">
        <v>33</v>
      </c>
      <c r="L161" s="4"/>
      <c r="M161" s="10">
        <f>'[1]QB Pull'!H160</f>
        <v>44908</v>
      </c>
      <c r="N161" s="2"/>
      <c r="O161" s="2">
        <v>1</v>
      </c>
      <c r="P161" s="11">
        <f>'[1]QB Pull'!L160</f>
        <v>49</v>
      </c>
      <c r="Q161" s="11">
        <f t="shared" si="2"/>
        <v>49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x14ac:dyDescent="0.3">
      <c r="A162" s="2" t="str">
        <f>'[1]QB Pull'!B161</f>
        <v>Bill</v>
      </c>
      <c r="B162" s="6">
        <f>'[1]QB Pull'!C161</f>
        <v>9569257</v>
      </c>
      <c r="C162" s="2" t="str">
        <f>'[1]QB Pull'!P161</f>
        <v>Future Electronics Corp</v>
      </c>
      <c r="D162" s="2" t="str">
        <f>'[1]QB Pull'!O161</f>
        <v>VEN007</v>
      </c>
      <c r="E162" s="2">
        <f>VLOOKUP(D:D,[2]Vendors!$A:$B,2,0)</f>
        <v>16</v>
      </c>
      <c r="F162" s="2"/>
      <c r="G162" s="6">
        <v>7</v>
      </c>
      <c r="H162" s="7" t="s">
        <v>32</v>
      </c>
      <c r="I162" s="8">
        <v>1</v>
      </c>
      <c r="J162" s="9">
        <f>'[1]QB Pull'!F161</f>
        <v>45089</v>
      </c>
      <c r="K162" s="5" t="s">
        <v>33</v>
      </c>
      <c r="L162" s="4"/>
      <c r="M162" s="10">
        <f>'[1]QB Pull'!H161</f>
        <v>44909</v>
      </c>
      <c r="N162" s="2"/>
      <c r="O162" s="2">
        <v>1</v>
      </c>
      <c r="P162" s="11">
        <f>'[1]QB Pull'!L161</f>
        <v>45.97</v>
      </c>
      <c r="Q162" s="11">
        <f t="shared" si="2"/>
        <v>45.97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x14ac:dyDescent="0.3">
      <c r="A163" s="2" t="str">
        <f>'[1]QB Pull'!B162</f>
        <v>Bill</v>
      </c>
      <c r="B163" s="6">
        <f>'[1]QB Pull'!C162</f>
        <v>4223525</v>
      </c>
      <c r="C163" s="2" t="str">
        <f>'[1]QB Pull'!P162</f>
        <v>Future Electronics Corp</v>
      </c>
      <c r="D163" s="2" t="str">
        <f>'[1]QB Pull'!O162</f>
        <v>VEN007</v>
      </c>
      <c r="E163" s="2">
        <f>VLOOKUP(D:D,[2]Vendors!$A:$B,2,0)</f>
        <v>16</v>
      </c>
      <c r="F163" s="2"/>
      <c r="G163" s="6">
        <v>7</v>
      </c>
      <c r="H163" s="7" t="s">
        <v>32</v>
      </c>
      <c r="I163" s="8">
        <v>1</v>
      </c>
      <c r="J163" s="9">
        <f>'[1]QB Pull'!F162</f>
        <v>45097</v>
      </c>
      <c r="K163" s="5" t="s">
        <v>33</v>
      </c>
      <c r="L163" s="4"/>
      <c r="M163" s="10">
        <f>'[1]QB Pull'!H162</f>
        <v>44917</v>
      </c>
      <c r="N163" s="2"/>
      <c r="O163" s="2">
        <v>1</v>
      </c>
      <c r="P163" s="11">
        <f>'[1]QB Pull'!L162</f>
        <v>1650.29</v>
      </c>
      <c r="Q163" s="11">
        <f t="shared" si="2"/>
        <v>1650.29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x14ac:dyDescent="0.3">
      <c r="A164" s="2" t="str">
        <f>'[1]QB Pull'!B163</f>
        <v>Bill</v>
      </c>
      <c r="B164" s="6">
        <f>'[1]QB Pull'!C163</f>
        <v>4223526</v>
      </c>
      <c r="C164" s="2" t="str">
        <f>'[1]QB Pull'!P163</f>
        <v>Future Electronics Corp</v>
      </c>
      <c r="D164" s="2" t="str">
        <f>'[1]QB Pull'!O163</f>
        <v>VEN007</v>
      </c>
      <c r="E164" s="2">
        <f>VLOOKUP(D:D,[2]Vendors!$A:$B,2,0)</f>
        <v>16</v>
      </c>
      <c r="F164" s="2"/>
      <c r="G164" s="6">
        <v>7</v>
      </c>
      <c r="H164" s="7" t="s">
        <v>32</v>
      </c>
      <c r="I164" s="8">
        <v>1</v>
      </c>
      <c r="J164" s="9">
        <f>'[1]QB Pull'!F163</f>
        <v>45097</v>
      </c>
      <c r="K164" s="5" t="s">
        <v>33</v>
      </c>
      <c r="L164" s="4"/>
      <c r="M164" s="10">
        <f>'[1]QB Pull'!H163</f>
        <v>44917</v>
      </c>
      <c r="N164" s="2"/>
      <c r="O164" s="2">
        <v>1</v>
      </c>
      <c r="P164" s="11">
        <f>'[1]QB Pull'!L163</f>
        <v>1560</v>
      </c>
      <c r="Q164" s="11">
        <f t="shared" si="2"/>
        <v>1560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x14ac:dyDescent="0.3">
      <c r="A165" s="2" t="str">
        <f>'[1]QB Pull'!B164</f>
        <v>Bill</v>
      </c>
      <c r="B165" s="6">
        <f>'[1]QB Pull'!C164</f>
        <v>4230007</v>
      </c>
      <c r="C165" s="2" t="str">
        <f>'[1]QB Pull'!P164</f>
        <v>Future Electronics Corp</v>
      </c>
      <c r="D165" s="2" t="str">
        <f>'[1]QB Pull'!O164</f>
        <v>VEN007</v>
      </c>
      <c r="E165" s="2">
        <f>VLOOKUP(D:D,[2]Vendors!$A:$B,2,0)</f>
        <v>16</v>
      </c>
      <c r="F165" s="2"/>
      <c r="G165" s="6">
        <v>7</v>
      </c>
      <c r="H165" s="7" t="s">
        <v>32</v>
      </c>
      <c r="I165" s="8">
        <v>1</v>
      </c>
      <c r="J165" s="9">
        <f>'[1]QB Pull'!F164</f>
        <v>45102</v>
      </c>
      <c r="K165" s="5" t="s">
        <v>33</v>
      </c>
      <c r="L165" s="4"/>
      <c r="M165" s="10">
        <f>'[1]QB Pull'!H164</f>
        <v>44922</v>
      </c>
      <c r="N165" s="2"/>
      <c r="O165" s="2">
        <v>1</v>
      </c>
      <c r="P165" s="11">
        <f>'[1]QB Pull'!L164</f>
        <v>29934.77</v>
      </c>
      <c r="Q165" s="11">
        <f t="shared" si="2"/>
        <v>29934.77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x14ac:dyDescent="0.3">
      <c r="A166" s="2" t="str">
        <f>'[1]QB Pull'!B165</f>
        <v>Bill</v>
      </c>
      <c r="B166" s="6">
        <f>'[1]QB Pull'!C165</f>
        <v>9602810</v>
      </c>
      <c r="C166" s="2" t="str">
        <f>'[1]QB Pull'!P165</f>
        <v>Future Electronics Corp</v>
      </c>
      <c r="D166" s="2" t="str">
        <f>'[1]QB Pull'!O165</f>
        <v>VEN007</v>
      </c>
      <c r="E166" s="2">
        <f>VLOOKUP(D:D,[2]Vendors!$A:$B,2,0)</f>
        <v>16</v>
      </c>
      <c r="F166" s="2"/>
      <c r="G166" s="6">
        <v>7</v>
      </c>
      <c r="H166" s="7" t="s">
        <v>32</v>
      </c>
      <c r="I166" s="8">
        <v>1</v>
      </c>
      <c r="J166" s="9">
        <f>'[1]QB Pull'!F165</f>
        <v>45111</v>
      </c>
      <c r="K166" s="5" t="s">
        <v>33</v>
      </c>
      <c r="L166" s="4"/>
      <c r="M166" s="10">
        <f>'[1]QB Pull'!H165</f>
        <v>44931</v>
      </c>
      <c r="N166" s="2"/>
      <c r="O166" s="2">
        <v>1</v>
      </c>
      <c r="P166" s="11">
        <f>'[1]QB Pull'!L165</f>
        <v>4462.5</v>
      </c>
      <c r="Q166" s="11">
        <f t="shared" si="2"/>
        <v>4462.5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x14ac:dyDescent="0.3">
      <c r="A167" s="2" t="str">
        <f>'[1]QB Pull'!B166</f>
        <v>Bill</v>
      </c>
      <c r="B167" s="6">
        <f>'[1]QB Pull'!C166</f>
        <v>9602789</v>
      </c>
      <c r="C167" s="2" t="str">
        <f>'[1]QB Pull'!P166</f>
        <v>Future Electronics Corp</v>
      </c>
      <c r="D167" s="2" t="str">
        <f>'[1]QB Pull'!O166</f>
        <v>VEN007</v>
      </c>
      <c r="E167" s="2">
        <f>VLOOKUP(D:D,[2]Vendors!$A:$B,2,0)</f>
        <v>16</v>
      </c>
      <c r="F167" s="2"/>
      <c r="G167" s="6">
        <v>7</v>
      </c>
      <c r="H167" s="7" t="s">
        <v>32</v>
      </c>
      <c r="I167" s="8">
        <v>1</v>
      </c>
      <c r="J167" s="9">
        <f>'[1]QB Pull'!F166</f>
        <v>45109</v>
      </c>
      <c r="K167" s="5" t="s">
        <v>33</v>
      </c>
      <c r="L167" s="4"/>
      <c r="M167" s="10">
        <f>'[1]QB Pull'!H166</f>
        <v>44929</v>
      </c>
      <c r="N167" s="2"/>
      <c r="O167" s="2">
        <v>1</v>
      </c>
      <c r="P167" s="11">
        <f>'[1]QB Pull'!L166</f>
        <v>7500</v>
      </c>
      <c r="Q167" s="11">
        <f t="shared" si="2"/>
        <v>7500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x14ac:dyDescent="0.3">
      <c r="A168" s="2" t="str">
        <f>'[1]QB Pull'!B167</f>
        <v>Bill</v>
      </c>
      <c r="B168" s="6">
        <f>'[1]QB Pull'!C167</f>
        <v>9602811</v>
      </c>
      <c r="C168" s="2" t="str">
        <f>'[1]QB Pull'!P167</f>
        <v>Future Electronics Corp</v>
      </c>
      <c r="D168" s="2" t="str">
        <f>'[1]QB Pull'!O167</f>
        <v>VEN007</v>
      </c>
      <c r="E168" s="2">
        <f>VLOOKUP(D:D,[2]Vendors!$A:$B,2,0)</f>
        <v>16</v>
      </c>
      <c r="F168" s="2"/>
      <c r="G168" s="6">
        <v>7</v>
      </c>
      <c r="H168" s="7" t="s">
        <v>32</v>
      </c>
      <c r="I168" s="8">
        <v>1</v>
      </c>
      <c r="J168" s="9">
        <f>'[1]QB Pull'!F167</f>
        <v>45109</v>
      </c>
      <c r="K168" s="5" t="s">
        <v>33</v>
      </c>
      <c r="L168" s="4"/>
      <c r="M168" s="10">
        <f>'[1]QB Pull'!H167</f>
        <v>44929</v>
      </c>
      <c r="N168" s="2"/>
      <c r="O168" s="2">
        <v>1</v>
      </c>
      <c r="P168" s="11">
        <f>'[1]QB Pull'!L167</f>
        <v>28843.54</v>
      </c>
      <c r="Q168" s="11">
        <f t="shared" si="2"/>
        <v>28843.54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x14ac:dyDescent="0.3">
      <c r="A169" s="2" t="str">
        <f>'[1]QB Pull'!B168</f>
        <v>Bill</v>
      </c>
      <c r="B169" s="6">
        <f>'[1]QB Pull'!C168</f>
        <v>9602812</v>
      </c>
      <c r="C169" s="2" t="str">
        <f>'[1]QB Pull'!P168</f>
        <v>Future Electronics Corp</v>
      </c>
      <c r="D169" s="2" t="str">
        <f>'[1]QB Pull'!O168</f>
        <v>VEN007</v>
      </c>
      <c r="E169" s="2">
        <f>VLOOKUP(D:D,[2]Vendors!$A:$B,2,0)</f>
        <v>16</v>
      </c>
      <c r="F169" s="2"/>
      <c r="G169" s="6">
        <v>7</v>
      </c>
      <c r="H169" s="7" t="s">
        <v>32</v>
      </c>
      <c r="I169" s="8">
        <v>1</v>
      </c>
      <c r="J169" s="9">
        <f>'[1]QB Pull'!F168</f>
        <v>45109</v>
      </c>
      <c r="K169" s="5" t="s">
        <v>33</v>
      </c>
      <c r="L169" s="4"/>
      <c r="M169" s="10">
        <f>'[1]QB Pull'!H168</f>
        <v>44929</v>
      </c>
      <c r="N169" s="2"/>
      <c r="O169" s="2">
        <v>1</v>
      </c>
      <c r="P169" s="11">
        <f>'[1]QB Pull'!L168</f>
        <v>14875</v>
      </c>
      <c r="Q169" s="11">
        <f t="shared" si="2"/>
        <v>14875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x14ac:dyDescent="0.3">
      <c r="A170" s="2" t="str">
        <f>'[1]QB Pull'!B169</f>
        <v>Bill</v>
      </c>
      <c r="B170" s="6">
        <f>'[1]QB Pull'!C169</f>
        <v>4268288</v>
      </c>
      <c r="C170" s="2" t="str">
        <f>'[1]QB Pull'!P169</f>
        <v>Future Electronics Corp</v>
      </c>
      <c r="D170" s="2" t="str">
        <f>'[1]QB Pull'!O169</f>
        <v>VEN007</v>
      </c>
      <c r="E170" s="2">
        <f>VLOOKUP(D:D,[2]Vendors!$A:$B,2,0)</f>
        <v>16</v>
      </c>
      <c r="F170" s="2"/>
      <c r="G170" s="6">
        <v>7</v>
      </c>
      <c r="H170" s="7" t="s">
        <v>32</v>
      </c>
      <c r="I170" s="8">
        <v>1</v>
      </c>
      <c r="J170" s="9">
        <f>'[1]QB Pull'!F169</f>
        <v>45118</v>
      </c>
      <c r="K170" s="5" t="s">
        <v>33</v>
      </c>
      <c r="L170" s="4"/>
      <c r="M170" s="10">
        <f>'[1]QB Pull'!H169</f>
        <v>44938</v>
      </c>
      <c r="N170" s="2"/>
      <c r="O170" s="2">
        <v>1</v>
      </c>
      <c r="P170" s="11">
        <f>'[1]QB Pull'!L169</f>
        <v>35394.269999999997</v>
      </c>
      <c r="Q170" s="11">
        <f t="shared" si="2"/>
        <v>35394.269999999997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x14ac:dyDescent="0.3">
      <c r="A171" s="2" t="str">
        <f>'[1]QB Pull'!B170</f>
        <v>Bill</v>
      </c>
      <c r="B171" s="6">
        <f>'[1]QB Pull'!C170</f>
        <v>4275797</v>
      </c>
      <c r="C171" s="2" t="str">
        <f>'[1]QB Pull'!P170</f>
        <v>Future Electronics Corp</v>
      </c>
      <c r="D171" s="2" t="str">
        <f>'[1]QB Pull'!O170</f>
        <v>VEN007</v>
      </c>
      <c r="E171" s="2">
        <f>VLOOKUP(D:D,[2]Vendors!$A:$B,2,0)</f>
        <v>16</v>
      </c>
      <c r="F171" s="2"/>
      <c r="G171" s="6">
        <v>7</v>
      </c>
      <c r="H171" s="7" t="s">
        <v>32</v>
      </c>
      <c r="I171" s="8">
        <v>1</v>
      </c>
      <c r="J171" s="9">
        <f>'[1]QB Pull'!F170</f>
        <v>45119</v>
      </c>
      <c r="K171" s="5" t="s">
        <v>33</v>
      </c>
      <c r="L171" s="4"/>
      <c r="M171" s="10">
        <f>'[1]QB Pull'!H170</f>
        <v>44939</v>
      </c>
      <c r="N171" s="2"/>
      <c r="O171" s="2">
        <v>1</v>
      </c>
      <c r="P171" s="11">
        <f>'[1]QB Pull'!L170</f>
        <v>2666.23</v>
      </c>
      <c r="Q171" s="11">
        <f t="shared" si="2"/>
        <v>2666.23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x14ac:dyDescent="0.3">
      <c r="A172" s="2" t="str">
        <f>'[1]QB Pull'!B171</f>
        <v>Bill</v>
      </c>
      <c r="B172" s="6">
        <f>'[1]QB Pull'!C171</f>
        <v>9628531</v>
      </c>
      <c r="C172" s="2" t="str">
        <f>'[1]QB Pull'!P171</f>
        <v>Future Electronics Corp</v>
      </c>
      <c r="D172" s="2" t="str">
        <f>'[1]QB Pull'!O171</f>
        <v>VEN007</v>
      </c>
      <c r="E172" s="2">
        <f>VLOOKUP(D:D,[2]Vendors!$A:$B,2,0)</f>
        <v>16</v>
      </c>
      <c r="F172" s="2"/>
      <c r="G172" s="6">
        <v>7</v>
      </c>
      <c r="H172" s="7" t="s">
        <v>32</v>
      </c>
      <c r="I172" s="8">
        <v>1</v>
      </c>
      <c r="J172" s="9">
        <f>'[1]QB Pull'!F171</f>
        <v>45122</v>
      </c>
      <c r="K172" s="5" t="s">
        <v>33</v>
      </c>
      <c r="L172" s="4"/>
      <c r="M172" s="10">
        <f>'[1]QB Pull'!H171</f>
        <v>44942</v>
      </c>
      <c r="N172" s="2"/>
      <c r="O172" s="2">
        <v>1</v>
      </c>
      <c r="P172" s="11">
        <f>'[1]QB Pull'!L171</f>
        <v>1400</v>
      </c>
      <c r="Q172" s="11">
        <f t="shared" si="2"/>
        <v>1400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x14ac:dyDescent="0.3">
      <c r="A173" s="2" t="str">
        <f>'[1]QB Pull'!B172</f>
        <v>Bill</v>
      </c>
      <c r="B173" s="6">
        <f>'[1]QB Pull'!C172</f>
        <v>9628532</v>
      </c>
      <c r="C173" s="2" t="str">
        <f>'[1]QB Pull'!P172</f>
        <v>Future Electronics Corp</v>
      </c>
      <c r="D173" s="2" t="str">
        <f>'[1]QB Pull'!O172</f>
        <v>VEN007</v>
      </c>
      <c r="E173" s="2">
        <f>VLOOKUP(D:D,[2]Vendors!$A:$B,2,0)</f>
        <v>16</v>
      </c>
      <c r="F173" s="2"/>
      <c r="G173" s="6">
        <v>7</v>
      </c>
      <c r="H173" s="7" t="s">
        <v>32</v>
      </c>
      <c r="I173" s="8">
        <v>1</v>
      </c>
      <c r="J173" s="9">
        <f>'[1]QB Pull'!F172</f>
        <v>45123</v>
      </c>
      <c r="K173" s="5" t="s">
        <v>33</v>
      </c>
      <c r="L173" s="4"/>
      <c r="M173" s="10">
        <f>'[1]QB Pull'!H172</f>
        <v>44943</v>
      </c>
      <c r="N173" s="2"/>
      <c r="O173" s="2">
        <v>1</v>
      </c>
      <c r="P173" s="11">
        <f>'[1]QB Pull'!L172</f>
        <v>44255</v>
      </c>
      <c r="Q173" s="11">
        <f t="shared" si="2"/>
        <v>44255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x14ac:dyDescent="0.3">
      <c r="A174" s="2" t="str">
        <f>'[1]QB Pull'!B173</f>
        <v>Bill</v>
      </c>
      <c r="B174" s="6">
        <f>'[1]QB Pull'!C173</f>
        <v>9628533</v>
      </c>
      <c r="C174" s="2" t="str">
        <f>'[1]QB Pull'!P173</f>
        <v>Future Electronics Corp</v>
      </c>
      <c r="D174" s="2" t="str">
        <f>'[1]QB Pull'!O173</f>
        <v>VEN007</v>
      </c>
      <c r="E174" s="2">
        <f>VLOOKUP(D:D,[2]Vendors!$A:$B,2,0)</f>
        <v>16</v>
      </c>
      <c r="F174" s="2"/>
      <c r="G174" s="6">
        <v>7</v>
      </c>
      <c r="H174" s="7" t="s">
        <v>32</v>
      </c>
      <c r="I174" s="8">
        <v>1</v>
      </c>
      <c r="J174" s="9">
        <f>'[1]QB Pull'!F173</f>
        <v>45122</v>
      </c>
      <c r="K174" s="5" t="s">
        <v>33</v>
      </c>
      <c r="L174" s="4"/>
      <c r="M174" s="10">
        <f>'[1]QB Pull'!H173</f>
        <v>44942</v>
      </c>
      <c r="N174" s="2"/>
      <c r="O174" s="2">
        <v>1</v>
      </c>
      <c r="P174" s="11">
        <f>'[1]QB Pull'!L173</f>
        <v>5380</v>
      </c>
      <c r="Q174" s="11">
        <f t="shared" si="2"/>
        <v>5380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x14ac:dyDescent="0.3">
      <c r="A175" s="2" t="str">
        <f>'[1]QB Pull'!B174</f>
        <v>Bill</v>
      </c>
      <c r="B175" s="6">
        <f>'[1]QB Pull'!C174</f>
        <v>9628534</v>
      </c>
      <c r="C175" s="2" t="str">
        <f>'[1]QB Pull'!P174</f>
        <v>Future Electronics Corp</v>
      </c>
      <c r="D175" s="2" t="str">
        <f>'[1]QB Pull'!O174</f>
        <v>VEN007</v>
      </c>
      <c r="E175" s="2">
        <f>VLOOKUP(D:D,[2]Vendors!$A:$B,2,0)</f>
        <v>16</v>
      </c>
      <c r="F175" s="2"/>
      <c r="G175" s="6">
        <v>7</v>
      </c>
      <c r="H175" s="7" t="s">
        <v>32</v>
      </c>
      <c r="I175" s="8">
        <v>1</v>
      </c>
      <c r="J175" s="9">
        <f>'[1]QB Pull'!F174</f>
        <v>45122</v>
      </c>
      <c r="K175" s="5" t="s">
        <v>33</v>
      </c>
      <c r="L175" s="4"/>
      <c r="M175" s="10">
        <f>'[1]QB Pull'!H174</f>
        <v>44942</v>
      </c>
      <c r="N175" s="2"/>
      <c r="O175" s="2">
        <v>1</v>
      </c>
      <c r="P175" s="11">
        <f>'[1]QB Pull'!L174</f>
        <v>240</v>
      </c>
      <c r="Q175" s="11">
        <f t="shared" si="2"/>
        <v>240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x14ac:dyDescent="0.3">
      <c r="A176" s="2" t="str">
        <f>'[1]QB Pull'!B175</f>
        <v>Bill</v>
      </c>
      <c r="B176" s="6">
        <f>'[1]QB Pull'!C175</f>
        <v>9628535</v>
      </c>
      <c r="C176" s="2" t="str">
        <f>'[1]QB Pull'!P175</f>
        <v>Future Electronics Corp</v>
      </c>
      <c r="D176" s="2" t="str">
        <f>'[1]QB Pull'!O175</f>
        <v>VEN007</v>
      </c>
      <c r="E176" s="2">
        <f>VLOOKUP(D:D,[2]Vendors!$A:$B,2,0)</f>
        <v>16</v>
      </c>
      <c r="F176" s="2"/>
      <c r="G176" s="6">
        <v>7</v>
      </c>
      <c r="H176" s="7" t="s">
        <v>32</v>
      </c>
      <c r="I176" s="8">
        <v>1</v>
      </c>
      <c r="J176" s="9">
        <f>'[1]QB Pull'!F175</f>
        <v>45122</v>
      </c>
      <c r="K176" s="5" t="s">
        <v>33</v>
      </c>
      <c r="L176" s="4"/>
      <c r="M176" s="10">
        <f>'[1]QB Pull'!H175</f>
        <v>44942</v>
      </c>
      <c r="N176" s="2"/>
      <c r="O176" s="2">
        <v>1</v>
      </c>
      <c r="P176" s="11">
        <f>'[1]QB Pull'!L175</f>
        <v>7860</v>
      </c>
      <c r="Q176" s="11">
        <f t="shared" si="2"/>
        <v>7860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x14ac:dyDescent="0.3">
      <c r="A177" s="2" t="str">
        <f>'[1]QB Pull'!B176</f>
        <v>Bill</v>
      </c>
      <c r="B177" s="6">
        <f>'[1]QB Pull'!C176</f>
        <v>9628536</v>
      </c>
      <c r="C177" s="2" t="str">
        <f>'[1]QB Pull'!P176</f>
        <v>Future Electronics Corp</v>
      </c>
      <c r="D177" s="2" t="str">
        <f>'[1]QB Pull'!O176</f>
        <v>VEN007</v>
      </c>
      <c r="E177" s="2">
        <f>VLOOKUP(D:D,[2]Vendors!$A:$B,2,0)</f>
        <v>16</v>
      </c>
      <c r="F177" s="2"/>
      <c r="G177" s="6">
        <v>7</v>
      </c>
      <c r="H177" s="7" t="s">
        <v>32</v>
      </c>
      <c r="I177" s="8">
        <v>1</v>
      </c>
      <c r="J177" s="9">
        <f>'[1]QB Pull'!F176</f>
        <v>45122</v>
      </c>
      <c r="K177" s="5" t="s">
        <v>33</v>
      </c>
      <c r="L177" s="4"/>
      <c r="M177" s="10">
        <f>'[1]QB Pull'!H176</f>
        <v>44942</v>
      </c>
      <c r="N177" s="2"/>
      <c r="O177" s="2">
        <v>1</v>
      </c>
      <c r="P177" s="11">
        <f>'[1]QB Pull'!L176</f>
        <v>14400</v>
      </c>
      <c r="Q177" s="11">
        <f t="shared" si="2"/>
        <v>14400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x14ac:dyDescent="0.3">
      <c r="A178" s="2" t="str">
        <f>'[1]QB Pull'!B177</f>
        <v>Bill</v>
      </c>
      <c r="B178" s="6">
        <f>'[1]QB Pull'!C177</f>
        <v>9628715</v>
      </c>
      <c r="C178" s="2" t="str">
        <f>'[1]QB Pull'!P177</f>
        <v>Future Electronics Corp</v>
      </c>
      <c r="D178" s="2" t="str">
        <f>'[1]QB Pull'!O177</f>
        <v>VEN007</v>
      </c>
      <c r="E178" s="2">
        <f>VLOOKUP(D:D,[2]Vendors!$A:$B,2,0)</f>
        <v>16</v>
      </c>
      <c r="F178" s="2"/>
      <c r="G178" s="6">
        <v>7</v>
      </c>
      <c r="H178" s="7" t="s">
        <v>32</v>
      </c>
      <c r="I178" s="8">
        <v>1</v>
      </c>
      <c r="J178" s="9">
        <f>'[1]QB Pull'!F177</f>
        <v>45122</v>
      </c>
      <c r="K178" s="5" t="s">
        <v>33</v>
      </c>
      <c r="L178" s="4"/>
      <c r="M178" s="10">
        <f>'[1]QB Pull'!H177</f>
        <v>44942</v>
      </c>
      <c r="N178" s="2"/>
      <c r="O178" s="2">
        <v>1</v>
      </c>
      <c r="P178" s="11">
        <f>'[1]QB Pull'!L177</f>
        <v>780</v>
      </c>
      <c r="Q178" s="11">
        <f t="shared" si="2"/>
        <v>780</v>
      </c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x14ac:dyDescent="0.3">
      <c r="A179" s="2" t="str">
        <f>'[1]QB Pull'!B178</f>
        <v>Bill</v>
      </c>
      <c r="B179" s="6">
        <f>'[1]QB Pull'!C178</f>
        <v>9628716</v>
      </c>
      <c r="C179" s="2" t="str">
        <f>'[1]QB Pull'!P178</f>
        <v>Future Electronics Corp</v>
      </c>
      <c r="D179" s="2" t="str">
        <f>'[1]QB Pull'!O178</f>
        <v>VEN007</v>
      </c>
      <c r="E179" s="2">
        <f>VLOOKUP(D:D,[2]Vendors!$A:$B,2,0)</f>
        <v>16</v>
      </c>
      <c r="F179" s="2"/>
      <c r="G179" s="6">
        <v>7</v>
      </c>
      <c r="H179" s="7" t="s">
        <v>32</v>
      </c>
      <c r="I179" s="8">
        <v>1</v>
      </c>
      <c r="J179" s="9">
        <f>'[1]QB Pull'!F178</f>
        <v>45122</v>
      </c>
      <c r="K179" s="5" t="s">
        <v>33</v>
      </c>
      <c r="L179" s="4"/>
      <c r="M179" s="10">
        <f>'[1]QB Pull'!H178</f>
        <v>44942</v>
      </c>
      <c r="N179" s="2"/>
      <c r="O179" s="2">
        <v>1</v>
      </c>
      <c r="P179" s="11">
        <f>'[1]QB Pull'!L178</f>
        <v>33150</v>
      </c>
      <c r="Q179" s="11">
        <f t="shared" si="2"/>
        <v>33150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x14ac:dyDescent="0.3">
      <c r="A180" s="2" t="str">
        <f>'[1]QB Pull'!B179</f>
        <v>Bill</v>
      </c>
      <c r="B180" s="6">
        <f>'[1]QB Pull'!C179</f>
        <v>9628537</v>
      </c>
      <c r="C180" s="2" t="str">
        <f>'[1]QB Pull'!P179</f>
        <v>Future Electronics Corp</v>
      </c>
      <c r="D180" s="2" t="str">
        <f>'[1]QB Pull'!O179</f>
        <v>VEN007</v>
      </c>
      <c r="E180" s="2">
        <f>VLOOKUP(D:D,[2]Vendors!$A:$B,2,0)</f>
        <v>16</v>
      </c>
      <c r="F180" s="2"/>
      <c r="G180" s="6">
        <v>7</v>
      </c>
      <c r="H180" s="7" t="s">
        <v>32</v>
      </c>
      <c r="I180" s="8">
        <v>1</v>
      </c>
      <c r="J180" s="9">
        <f>'[1]QB Pull'!F179</f>
        <v>45123</v>
      </c>
      <c r="K180" s="5" t="s">
        <v>33</v>
      </c>
      <c r="L180" s="4"/>
      <c r="M180" s="10">
        <f>'[1]QB Pull'!H179</f>
        <v>44943</v>
      </c>
      <c r="N180" s="2"/>
      <c r="O180" s="2">
        <v>1</v>
      </c>
      <c r="P180" s="11">
        <f>'[1]QB Pull'!L179</f>
        <v>2619.2399999999998</v>
      </c>
      <c r="Q180" s="11">
        <f t="shared" si="2"/>
        <v>2619.2399999999998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x14ac:dyDescent="0.3">
      <c r="A181" s="2" t="str">
        <f>'[1]QB Pull'!B180</f>
        <v>Bill</v>
      </c>
      <c r="B181" s="6">
        <f>'[1]QB Pull'!C180</f>
        <v>9629476</v>
      </c>
      <c r="C181" s="2" t="str">
        <f>'[1]QB Pull'!P180</f>
        <v>Future Electronics Corp</v>
      </c>
      <c r="D181" s="2" t="str">
        <f>'[1]QB Pull'!O180</f>
        <v>VEN007</v>
      </c>
      <c r="E181" s="2">
        <f>VLOOKUP(D:D,[2]Vendors!$A:$B,2,0)</f>
        <v>16</v>
      </c>
      <c r="F181" s="2"/>
      <c r="G181" s="6">
        <v>7</v>
      </c>
      <c r="H181" s="7" t="s">
        <v>32</v>
      </c>
      <c r="I181" s="8">
        <v>1</v>
      </c>
      <c r="J181" s="9">
        <f>'[1]QB Pull'!F180</f>
        <v>45123</v>
      </c>
      <c r="K181" s="5" t="s">
        <v>33</v>
      </c>
      <c r="L181" s="4"/>
      <c r="M181" s="10">
        <f>'[1]QB Pull'!H180</f>
        <v>44943</v>
      </c>
      <c r="N181" s="2"/>
      <c r="O181" s="2">
        <v>1</v>
      </c>
      <c r="P181" s="11">
        <f>'[1]QB Pull'!L180</f>
        <v>139.38999999999999</v>
      </c>
      <c r="Q181" s="11">
        <f t="shared" si="2"/>
        <v>139.38999999999999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x14ac:dyDescent="0.3">
      <c r="A182" s="2" t="str">
        <f>'[1]QB Pull'!B181</f>
        <v>Bill</v>
      </c>
      <c r="B182" s="6">
        <f>'[1]QB Pull'!C181</f>
        <v>9633859</v>
      </c>
      <c r="C182" s="2" t="str">
        <f>'[1]QB Pull'!P181</f>
        <v>Future Electronics Corp</v>
      </c>
      <c r="D182" s="2" t="str">
        <f>'[1]QB Pull'!O181</f>
        <v>VEN007</v>
      </c>
      <c r="E182" s="2">
        <f>VLOOKUP(D:D,[2]Vendors!$A:$B,2,0)</f>
        <v>16</v>
      </c>
      <c r="F182" s="2"/>
      <c r="G182" s="6">
        <v>7</v>
      </c>
      <c r="H182" s="7" t="s">
        <v>32</v>
      </c>
      <c r="I182" s="8">
        <v>1</v>
      </c>
      <c r="J182" s="9">
        <f>'[1]QB Pull'!F181</f>
        <v>45125</v>
      </c>
      <c r="K182" s="5" t="s">
        <v>33</v>
      </c>
      <c r="L182" s="4"/>
      <c r="M182" s="10">
        <f>'[1]QB Pull'!H181</f>
        <v>44945</v>
      </c>
      <c r="N182" s="2"/>
      <c r="O182" s="2">
        <v>1</v>
      </c>
      <c r="P182" s="11">
        <f>'[1]QB Pull'!L181</f>
        <v>478.36</v>
      </c>
      <c r="Q182" s="11">
        <f t="shared" si="2"/>
        <v>478.36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x14ac:dyDescent="0.3">
      <c r="A183" s="2" t="str">
        <f>'[1]QB Pull'!B182</f>
        <v>Bill</v>
      </c>
      <c r="B183" s="6">
        <f>'[1]QB Pull'!C182</f>
        <v>9633860</v>
      </c>
      <c r="C183" s="2" t="str">
        <f>'[1]QB Pull'!P182</f>
        <v>Future Electronics Corp</v>
      </c>
      <c r="D183" s="2" t="str">
        <f>'[1]QB Pull'!O182</f>
        <v>VEN007</v>
      </c>
      <c r="E183" s="2">
        <f>VLOOKUP(D:D,[2]Vendors!$A:$B,2,0)</f>
        <v>16</v>
      </c>
      <c r="F183" s="2"/>
      <c r="G183" s="6">
        <v>7</v>
      </c>
      <c r="H183" s="7" t="s">
        <v>32</v>
      </c>
      <c r="I183" s="8">
        <v>1</v>
      </c>
      <c r="J183" s="9">
        <f>'[1]QB Pull'!F182</f>
        <v>45125</v>
      </c>
      <c r="K183" s="5" t="s">
        <v>33</v>
      </c>
      <c r="L183" s="4"/>
      <c r="M183" s="10">
        <f>'[1]QB Pull'!H182</f>
        <v>44945</v>
      </c>
      <c r="N183" s="2"/>
      <c r="O183" s="2">
        <v>1</v>
      </c>
      <c r="P183" s="11">
        <f>'[1]QB Pull'!L182</f>
        <v>800</v>
      </c>
      <c r="Q183" s="11">
        <f t="shared" si="2"/>
        <v>800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x14ac:dyDescent="0.3">
      <c r="A184" s="2" t="str">
        <f>'[1]QB Pull'!B183</f>
        <v>Bill</v>
      </c>
      <c r="B184" s="6">
        <f>'[1]QB Pull'!C183</f>
        <v>9633861</v>
      </c>
      <c r="C184" s="2" t="str">
        <f>'[1]QB Pull'!P183</f>
        <v>Future Electronics Corp</v>
      </c>
      <c r="D184" s="2" t="str">
        <f>'[1]QB Pull'!O183</f>
        <v>VEN007</v>
      </c>
      <c r="E184" s="2">
        <f>VLOOKUP(D:D,[2]Vendors!$A:$B,2,0)</f>
        <v>16</v>
      </c>
      <c r="F184" s="2"/>
      <c r="G184" s="6">
        <v>7</v>
      </c>
      <c r="H184" s="7" t="s">
        <v>32</v>
      </c>
      <c r="I184" s="8">
        <v>1</v>
      </c>
      <c r="J184" s="9">
        <f>'[1]QB Pull'!F183</f>
        <v>45126</v>
      </c>
      <c r="K184" s="5" t="s">
        <v>33</v>
      </c>
      <c r="L184" s="4"/>
      <c r="M184" s="10">
        <f>'[1]QB Pull'!H183</f>
        <v>44946</v>
      </c>
      <c r="N184" s="2"/>
      <c r="O184" s="2">
        <v>1</v>
      </c>
      <c r="P184" s="11">
        <f>'[1]QB Pull'!L183</f>
        <v>810</v>
      </c>
      <c r="Q184" s="11">
        <f t="shared" si="2"/>
        <v>810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x14ac:dyDescent="0.3">
      <c r="A185" s="2" t="str">
        <f>'[1]QB Pull'!B184</f>
        <v>Bill</v>
      </c>
      <c r="B185" s="6">
        <f>'[1]QB Pull'!C184</f>
        <v>9633862</v>
      </c>
      <c r="C185" s="2" t="str">
        <f>'[1]QB Pull'!P184</f>
        <v>Future Electronics Corp</v>
      </c>
      <c r="D185" s="2" t="str">
        <f>'[1]QB Pull'!O184</f>
        <v>VEN007</v>
      </c>
      <c r="E185" s="2">
        <f>VLOOKUP(D:D,[2]Vendors!$A:$B,2,0)</f>
        <v>16</v>
      </c>
      <c r="F185" s="2"/>
      <c r="G185" s="6">
        <v>7</v>
      </c>
      <c r="H185" s="7" t="s">
        <v>32</v>
      </c>
      <c r="I185" s="8">
        <v>1</v>
      </c>
      <c r="J185" s="9">
        <f>'[1]QB Pull'!F184</f>
        <v>45126</v>
      </c>
      <c r="K185" s="5" t="s">
        <v>33</v>
      </c>
      <c r="L185" s="4"/>
      <c r="M185" s="10">
        <f>'[1]QB Pull'!H184</f>
        <v>44946</v>
      </c>
      <c r="N185" s="2"/>
      <c r="O185" s="2">
        <v>1</v>
      </c>
      <c r="P185" s="11">
        <f>'[1]QB Pull'!L184</f>
        <v>140</v>
      </c>
      <c r="Q185" s="11">
        <f t="shared" si="2"/>
        <v>140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x14ac:dyDescent="0.3">
      <c r="A186" s="2" t="str">
        <f>'[1]QB Pull'!B185</f>
        <v>Bill</v>
      </c>
      <c r="B186" s="6">
        <f>'[1]QB Pull'!C185</f>
        <v>4305530</v>
      </c>
      <c r="C186" s="2" t="str">
        <f>'[1]QB Pull'!P185</f>
        <v>Future Electronics Corp</v>
      </c>
      <c r="D186" s="2" t="str">
        <f>'[1]QB Pull'!O185</f>
        <v>VEN007</v>
      </c>
      <c r="E186" s="2">
        <f>VLOOKUP(D:D,[2]Vendors!$A:$B,2,0)</f>
        <v>16</v>
      </c>
      <c r="F186" s="2"/>
      <c r="G186" s="6">
        <v>7</v>
      </c>
      <c r="H186" s="7" t="s">
        <v>32</v>
      </c>
      <c r="I186" s="8">
        <v>1</v>
      </c>
      <c r="J186" s="9">
        <f>'[1]QB Pull'!F185</f>
        <v>45133</v>
      </c>
      <c r="K186" s="5" t="s">
        <v>33</v>
      </c>
      <c r="L186" s="4"/>
      <c r="M186" s="10">
        <f>'[1]QB Pull'!H185</f>
        <v>44953</v>
      </c>
      <c r="N186" s="2"/>
      <c r="O186" s="2">
        <v>1</v>
      </c>
      <c r="P186" s="11">
        <f>'[1]QB Pull'!L185</f>
        <v>29979.24</v>
      </c>
      <c r="Q186" s="11">
        <f t="shared" si="2"/>
        <v>29979.24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x14ac:dyDescent="0.3">
      <c r="A187" s="2" t="str">
        <f>'[1]QB Pull'!B186</f>
        <v>Bill</v>
      </c>
      <c r="B187" s="6">
        <f>'[1]QB Pull'!C186</f>
        <v>9637543</v>
      </c>
      <c r="C187" s="2" t="str">
        <f>'[1]QB Pull'!P186</f>
        <v>Future Electronics Corp</v>
      </c>
      <c r="D187" s="2" t="str">
        <f>'[1]QB Pull'!O186</f>
        <v>VEN007</v>
      </c>
      <c r="E187" s="2">
        <f>VLOOKUP(D:D,[2]Vendors!$A:$B,2,0)</f>
        <v>16</v>
      </c>
      <c r="F187" s="2"/>
      <c r="G187" s="6">
        <v>7</v>
      </c>
      <c r="H187" s="7" t="s">
        <v>32</v>
      </c>
      <c r="I187" s="8">
        <v>1</v>
      </c>
      <c r="J187" s="9">
        <f>'[1]QB Pull'!F186</f>
        <v>45132</v>
      </c>
      <c r="K187" s="5" t="s">
        <v>33</v>
      </c>
      <c r="L187" s="4"/>
      <c r="M187" s="10">
        <f>'[1]QB Pull'!H186</f>
        <v>44952</v>
      </c>
      <c r="N187" s="2"/>
      <c r="O187" s="2">
        <v>1</v>
      </c>
      <c r="P187" s="11">
        <f>'[1]QB Pull'!L186</f>
        <v>57.5</v>
      </c>
      <c r="Q187" s="11">
        <f t="shared" si="2"/>
        <v>57.5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x14ac:dyDescent="0.3">
      <c r="A188" s="2" t="str">
        <f>'[1]QB Pull'!B187</f>
        <v>Bill</v>
      </c>
      <c r="B188" s="6">
        <f>'[1]QB Pull'!C187</f>
        <v>9637544</v>
      </c>
      <c r="C188" s="2" t="str">
        <f>'[1]QB Pull'!P187</f>
        <v>Future Electronics Corp</v>
      </c>
      <c r="D188" s="2" t="str">
        <f>'[1]QB Pull'!O187</f>
        <v>VEN007</v>
      </c>
      <c r="E188" s="2">
        <f>VLOOKUP(D:D,[2]Vendors!$A:$B,2,0)</f>
        <v>16</v>
      </c>
      <c r="F188" s="2"/>
      <c r="G188" s="6">
        <v>7</v>
      </c>
      <c r="H188" s="7" t="s">
        <v>32</v>
      </c>
      <c r="I188" s="8">
        <v>1</v>
      </c>
      <c r="J188" s="9">
        <f>'[1]QB Pull'!F187</f>
        <v>45132</v>
      </c>
      <c r="K188" s="5" t="s">
        <v>33</v>
      </c>
      <c r="L188" s="4"/>
      <c r="M188" s="10">
        <f>'[1]QB Pull'!H187</f>
        <v>44952</v>
      </c>
      <c r="N188" s="2"/>
      <c r="O188" s="2">
        <v>1</v>
      </c>
      <c r="P188" s="11">
        <f>'[1]QB Pull'!L187</f>
        <v>6070.16</v>
      </c>
      <c r="Q188" s="11">
        <f t="shared" si="2"/>
        <v>6070.16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x14ac:dyDescent="0.3">
      <c r="A189" s="2" t="str">
        <f>'[1]QB Pull'!B188</f>
        <v>Bill</v>
      </c>
      <c r="B189" s="6">
        <f>'[1]QB Pull'!C188</f>
        <v>9637545</v>
      </c>
      <c r="C189" s="2" t="str">
        <f>'[1]QB Pull'!P188</f>
        <v>Future Electronics Corp</v>
      </c>
      <c r="D189" s="2" t="str">
        <f>'[1]QB Pull'!O188</f>
        <v>VEN007</v>
      </c>
      <c r="E189" s="2">
        <f>VLOOKUP(D:D,[2]Vendors!$A:$B,2,0)</f>
        <v>16</v>
      </c>
      <c r="F189" s="2"/>
      <c r="G189" s="6">
        <v>7</v>
      </c>
      <c r="H189" s="7" t="s">
        <v>32</v>
      </c>
      <c r="I189" s="8">
        <v>1</v>
      </c>
      <c r="J189" s="9">
        <f>'[1]QB Pull'!F188</f>
        <v>45132</v>
      </c>
      <c r="K189" s="5" t="s">
        <v>33</v>
      </c>
      <c r="L189" s="4"/>
      <c r="M189" s="10">
        <f>'[1]QB Pull'!H188</f>
        <v>44952</v>
      </c>
      <c r="N189" s="2"/>
      <c r="O189" s="2">
        <v>1</v>
      </c>
      <c r="P189" s="11">
        <f>'[1]QB Pull'!L188</f>
        <v>643.1</v>
      </c>
      <c r="Q189" s="11">
        <f t="shared" si="2"/>
        <v>643.1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x14ac:dyDescent="0.3">
      <c r="A190" s="2" t="str">
        <f>'[1]QB Pull'!B189</f>
        <v>Bill</v>
      </c>
      <c r="B190" s="6">
        <f>'[1]QB Pull'!C189</f>
        <v>9637546</v>
      </c>
      <c r="C190" s="2" t="str">
        <f>'[1]QB Pull'!P189</f>
        <v>Future Electronics Corp</v>
      </c>
      <c r="D190" s="2" t="str">
        <f>'[1]QB Pull'!O189</f>
        <v>VEN007</v>
      </c>
      <c r="E190" s="2">
        <f>VLOOKUP(D:D,[2]Vendors!$A:$B,2,0)</f>
        <v>16</v>
      </c>
      <c r="F190" s="2"/>
      <c r="G190" s="6">
        <v>7</v>
      </c>
      <c r="H190" s="7" t="s">
        <v>32</v>
      </c>
      <c r="I190" s="8">
        <v>1</v>
      </c>
      <c r="J190" s="9">
        <f>'[1]QB Pull'!F189</f>
        <v>45132</v>
      </c>
      <c r="K190" s="5" t="s">
        <v>33</v>
      </c>
      <c r="L190" s="4"/>
      <c r="M190" s="10">
        <f>'[1]QB Pull'!H189</f>
        <v>44952</v>
      </c>
      <c r="N190" s="2"/>
      <c r="O190" s="2">
        <v>1</v>
      </c>
      <c r="P190" s="11">
        <f>'[1]QB Pull'!L189</f>
        <v>261.2</v>
      </c>
      <c r="Q190" s="11">
        <f t="shared" si="2"/>
        <v>261.2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x14ac:dyDescent="0.3">
      <c r="A191" s="2" t="str">
        <f>'[1]QB Pull'!B190</f>
        <v>Bill</v>
      </c>
      <c r="B191" s="6">
        <f>'[1]QB Pull'!C190</f>
        <v>9645181</v>
      </c>
      <c r="C191" s="2" t="str">
        <f>'[1]QB Pull'!P190</f>
        <v>Future Electronics Corp</v>
      </c>
      <c r="D191" s="2" t="str">
        <f>'[1]QB Pull'!O190</f>
        <v>VEN007</v>
      </c>
      <c r="E191" s="2">
        <f>VLOOKUP(D:D,[2]Vendors!$A:$B,2,0)</f>
        <v>16</v>
      </c>
      <c r="F191" s="2"/>
      <c r="G191" s="6">
        <v>7</v>
      </c>
      <c r="H191" s="7" t="s">
        <v>32</v>
      </c>
      <c r="I191" s="8">
        <v>1</v>
      </c>
      <c r="J191" s="9">
        <f>'[1]QB Pull'!F190</f>
        <v>45137</v>
      </c>
      <c r="K191" s="5" t="s">
        <v>33</v>
      </c>
      <c r="L191" s="4"/>
      <c r="M191" s="10">
        <f>'[1]QB Pull'!H190</f>
        <v>44957</v>
      </c>
      <c r="N191" s="2"/>
      <c r="O191" s="2">
        <v>1</v>
      </c>
      <c r="P191" s="11">
        <f>'[1]QB Pull'!L190</f>
        <v>37.369999999999997</v>
      </c>
      <c r="Q191" s="11">
        <f t="shared" si="2"/>
        <v>37.369999999999997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x14ac:dyDescent="0.3">
      <c r="A192" s="2" t="str">
        <f>'[1]QB Pull'!B191</f>
        <v>Bill</v>
      </c>
      <c r="B192" s="6">
        <f>'[1]QB Pull'!C191</f>
        <v>4336595</v>
      </c>
      <c r="C192" s="2" t="str">
        <f>'[1]QB Pull'!P191</f>
        <v>Future Electronics Corp</v>
      </c>
      <c r="D192" s="2" t="str">
        <f>'[1]QB Pull'!O191</f>
        <v>VEN007</v>
      </c>
      <c r="E192" s="2">
        <f>VLOOKUP(D:D,[2]Vendors!$A:$B,2,0)</f>
        <v>16</v>
      </c>
      <c r="F192" s="2"/>
      <c r="G192" s="6">
        <v>7</v>
      </c>
      <c r="H192" s="7" t="s">
        <v>32</v>
      </c>
      <c r="I192" s="8">
        <v>1</v>
      </c>
      <c r="J192" s="9">
        <f>'[1]QB Pull'!F191</f>
        <v>45145</v>
      </c>
      <c r="K192" s="5" t="s">
        <v>33</v>
      </c>
      <c r="L192" s="4"/>
      <c r="M192" s="10">
        <f>'[1]QB Pull'!H191</f>
        <v>44965</v>
      </c>
      <c r="N192" s="2"/>
      <c r="O192" s="2">
        <v>1</v>
      </c>
      <c r="P192" s="11">
        <f>'[1]QB Pull'!L191</f>
        <v>3844.2</v>
      </c>
      <c r="Q192" s="11">
        <f t="shared" si="2"/>
        <v>3844.2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x14ac:dyDescent="0.3">
      <c r="A193" s="2" t="str">
        <f>'[1]QB Pull'!B192</f>
        <v>Bill</v>
      </c>
      <c r="B193" s="6">
        <f>'[1]QB Pull'!C192</f>
        <v>9660777</v>
      </c>
      <c r="C193" s="2" t="str">
        <f>'[1]QB Pull'!P192</f>
        <v>Future Electronics Corp</v>
      </c>
      <c r="D193" s="2" t="str">
        <f>'[1]QB Pull'!O192</f>
        <v>VEN007</v>
      </c>
      <c r="E193" s="2">
        <f>VLOOKUP(D:D,[2]Vendors!$A:$B,2,0)</f>
        <v>16</v>
      </c>
      <c r="F193" s="2"/>
      <c r="G193" s="6">
        <v>7</v>
      </c>
      <c r="H193" s="7" t="s">
        <v>32</v>
      </c>
      <c r="I193" s="8">
        <v>1</v>
      </c>
      <c r="J193" s="9">
        <f>'[1]QB Pull'!F192</f>
        <v>45146</v>
      </c>
      <c r="K193" s="5" t="s">
        <v>33</v>
      </c>
      <c r="L193" s="4"/>
      <c r="M193" s="10">
        <f>'[1]QB Pull'!H192</f>
        <v>44966</v>
      </c>
      <c r="N193" s="2"/>
      <c r="O193" s="2">
        <v>1</v>
      </c>
      <c r="P193" s="11">
        <f>'[1]QB Pull'!L192</f>
        <v>201.92</v>
      </c>
      <c r="Q193" s="11">
        <f t="shared" si="2"/>
        <v>201.92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x14ac:dyDescent="0.3">
      <c r="A194" s="2" t="str">
        <f>'[1]QB Pull'!B193</f>
        <v>Bill</v>
      </c>
      <c r="B194" s="6">
        <f>'[1]QB Pull'!C193</f>
        <v>9660778</v>
      </c>
      <c r="C194" s="2" t="str">
        <f>'[1]QB Pull'!P193</f>
        <v>Future Electronics Corp</v>
      </c>
      <c r="D194" s="2" t="str">
        <f>'[1]QB Pull'!O193</f>
        <v>VEN007</v>
      </c>
      <c r="E194" s="2">
        <f>VLOOKUP(D:D,[2]Vendors!$A:$B,2,0)</f>
        <v>16</v>
      </c>
      <c r="F194" s="2"/>
      <c r="G194" s="6">
        <v>7</v>
      </c>
      <c r="H194" s="7" t="s">
        <v>32</v>
      </c>
      <c r="I194" s="8">
        <v>1</v>
      </c>
      <c r="J194" s="9">
        <f>'[1]QB Pull'!F193</f>
        <v>45146</v>
      </c>
      <c r="K194" s="5" t="s">
        <v>33</v>
      </c>
      <c r="L194" s="4"/>
      <c r="M194" s="10">
        <f>'[1]QB Pull'!H193</f>
        <v>44966</v>
      </c>
      <c r="N194" s="2"/>
      <c r="O194" s="2">
        <v>1</v>
      </c>
      <c r="P194" s="11">
        <f>'[1]QB Pull'!L193</f>
        <v>444</v>
      </c>
      <c r="Q194" s="11">
        <f t="shared" si="2"/>
        <v>444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x14ac:dyDescent="0.3">
      <c r="A195" s="2" t="str">
        <f>'[1]QB Pull'!B194</f>
        <v>Bill</v>
      </c>
      <c r="B195" s="6">
        <f>'[1]QB Pull'!C194</f>
        <v>9660779</v>
      </c>
      <c r="C195" s="2" t="str">
        <f>'[1]QB Pull'!P194</f>
        <v>Future Electronics Corp</v>
      </c>
      <c r="D195" s="2" t="str">
        <f>'[1]QB Pull'!O194</f>
        <v>VEN007</v>
      </c>
      <c r="E195" s="2">
        <f>VLOOKUP(D:D,[2]Vendors!$A:$B,2,0)</f>
        <v>16</v>
      </c>
      <c r="F195" s="2"/>
      <c r="G195" s="6">
        <v>7</v>
      </c>
      <c r="H195" s="7" t="s">
        <v>32</v>
      </c>
      <c r="I195" s="8">
        <v>1</v>
      </c>
      <c r="J195" s="9">
        <f>'[1]QB Pull'!F194</f>
        <v>45146</v>
      </c>
      <c r="K195" s="5" t="s">
        <v>33</v>
      </c>
      <c r="L195" s="4"/>
      <c r="M195" s="10">
        <f>'[1]QB Pull'!H194</f>
        <v>44966</v>
      </c>
      <c r="N195" s="2"/>
      <c r="O195" s="2">
        <v>1</v>
      </c>
      <c r="P195" s="11">
        <f>'[1]QB Pull'!L194</f>
        <v>148</v>
      </c>
      <c r="Q195" s="11">
        <f t="shared" ref="Q195:Q243" si="3">O195*P195</f>
        <v>148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x14ac:dyDescent="0.3">
      <c r="A196" s="2" t="str">
        <f>'[1]QB Pull'!B195</f>
        <v>Bill</v>
      </c>
      <c r="B196" s="6">
        <f>'[1]QB Pull'!C195</f>
        <v>9660780</v>
      </c>
      <c r="C196" s="2" t="str">
        <f>'[1]QB Pull'!P195</f>
        <v>Future Electronics Corp</v>
      </c>
      <c r="D196" s="2" t="str">
        <f>'[1]QB Pull'!O195</f>
        <v>VEN007</v>
      </c>
      <c r="E196" s="2">
        <f>VLOOKUP(D:D,[2]Vendors!$A:$B,2,0)</f>
        <v>16</v>
      </c>
      <c r="F196" s="2"/>
      <c r="G196" s="6">
        <v>7</v>
      </c>
      <c r="H196" s="7" t="s">
        <v>32</v>
      </c>
      <c r="I196" s="8">
        <v>1</v>
      </c>
      <c r="J196" s="9">
        <f>'[1]QB Pull'!F195</f>
        <v>45146</v>
      </c>
      <c r="K196" s="5" t="s">
        <v>33</v>
      </c>
      <c r="L196" s="4"/>
      <c r="M196" s="10">
        <f>'[1]QB Pull'!H195</f>
        <v>44966</v>
      </c>
      <c r="N196" s="2"/>
      <c r="O196" s="2">
        <v>1</v>
      </c>
      <c r="P196" s="11">
        <f>'[1]QB Pull'!L195</f>
        <v>7.4</v>
      </c>
      <c r="Q196" s="11">
        <f t="shared" si="3"/>
        <v>7.4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x14ac:dyDescent="0.3">
      <c r="A197" s="2" t="str">
        <f>'[1]QB Pull'!B196</f>
        <v>Bill</v>
      </c>
      <c r="B197" s="6">
        <f>'[1]QB Pull'!C196</f>
        <v>4343458</v>
      </c>
      <c r="C197" s="2" t="str">
        <f>'[1]QB Pull'!P196</f>
        <v>Future Electronics Corp</v>
      </c>
      <c r="D197" s="2" t="str">
        <f>'[1]QB Pull'!O196</f>
        <v>VEN007</v>
      </c>
      <c r="E197" s="2">
        <f>VLOOKUP(D:D,[2]Vendors!$A:$B,2,0)</f>
        <v>16</v>
      </c>
      <c r="F197" s="2"/>
      <c r="G197" s="6">
        <v>7</v>
      </c>
      <c r="H197" s="7" t="s">
        <v>32</v>
      </c>
      <c r="I197" s="8">
        <v>1</v>
      </c>
      <c r="J197" s="9">
        <f>'[1]QB Pull'!F196</f>
        <v>45146</v>
      </c>
      <c r="K197" s="5" t="s">
        <v>33</v>
      </c>
      <c r="L197" s="4"/>
      <c r="M197" s="10">
        <f>'[1]QB Pull'!H196</f>
        <v>44966</v>
      </c>
      <c r="N197" s="2"/>
      <c r="O197" s="2">
        <v>1</v>
      </c>
      <c r="P197" s="11">
        <f>'[1]QB Pull'!L196</f>
        <v>2326.1999999999998</v>
      </c>
      <c r="Q197" s="11">
        <f t="shared" si="3"/>
        <v>2326.1999999999998</v>
      </c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x14ac:dyDescent="0.3">
      <c r="A198" s="2" t="str">
        <f>'[1]QB Pull'!B197</f>
        <v>Bill</v>
      </c>
      <c r="B198" s="6">
        <f>'[1]QB Pull'!C197</f>
        <v>9666641</v>
      </c>
      <c r="C198" s="2" t="str">
        <f>'[1]QB Pull'!P197</f>
        <v>Future Electronics Corp</v>
      </c>
      <c r="D198" s="2" t="str">
        <f>'[1]QB Pull'!O197</f>
        <v>VEN007</v>
      </c>
      <c r="E198" s="2">
        <f>VLOOKUP(D:D,[2]Vendors!$A:$B,2,0)</f>
        <v>16</v>
      </c>
      <c r="F198" s="2"/>
      <c r="G198" s="6">
        <v>7</v>
      </c>
      <c r="H198" s="7" t="s">
        <v>32</v>
      </c>
      <c r="I198" s="8">
        <v>1</v>
      </c>
      <c r="J198" s="9">
        <f>'[1]QB Pull'!F197</f>
        <v>45147</v>
      </c>
      <c r="K198" s="5" t="s">
        <v>33</v>
      </c>
      <c r="L198" s="4"/>
      <c r="M198" s="10">
        <f>'[1]QB Pull'!H197</f>
        <v>44967</v>
      </c>
      <c r="N198" s="2"/>
      <c r="O198" s="2">
        <v>1</v>
      </c>
      <c r="P198" s="11">
        <f>'[1]QB Pull'!L197</f>
        <v>919.89</v>
      </c>
      <c r="Q198" s="11">
        <f t="shared" si="3"/>
        <v>919.89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x14ac:dyDescent="0.3">
      <c r="A199" s="2" t="str">
        <f>'[1]QB Pull'!B198</f>
        <v>Bill</v>
      </c>
      <c r="B199" s="6">
        <f>'[1]QB Pull'!C198</f>
        <v>9666642</v>
      </c>
      <c r="C199" s="2" t="str">
        <f>'[1]QB Pull'!P198</f>
        <v>Future Electronics Corp</v>
      </c>
      <c r="D199" s="2" t="str">
        <f>'[1]QB Pull'!O198</f>
        <v>VEN007</v>
      </c>
      <c r="E199" s="2">
        <f>VLOOKUP(D:D,[2]Vendors!$A:$B,2,0)</f>
        <v>16</v>
      </c>
      <c r="F199" s="2"/>
      <c r="G199" s="6">
        <v>7</v>
      </c>
      <c r="H199" s="7" t="s">
        <v>32</v>
      </c>
      <c r="I199" s="8">
        <v>1</v>
      </c>
      <c r="J199" s="9">
        <f>'[1]QB Pull'!F198</f>
        <v>45150</v>
      </c>
      <c r="K199" s="5" t="s">
        <v>33</v>
      </c>
      <c r="L199" s="4"/>
      <c r="M199" s="10">
        <f>'[1]QB Pull'!H198</f>
        <v>44970</v>
      </c>
      <c r="N199" s="2"/>
      <c r="O199" s="2">
        <v>1</v>
      </c>
      <c r="P199" s="11">
        <f>'[1]QB Pull'!L198</f>
        <v>3240</v>
      </c>
      <c r="Q199" s="11">
        <f t="shared" si="3"/>
        <v>3240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x14ac:dyDescent="0.3">
      <c r="A200" s="2" t="str">
        <f>'[1]QB Pull'!B199</f>
        <v>Bill</v>
      </c>
      <c r="B200" s="6">
        <f>'[1]QB Pull'!C199</f>
        <v>9666643</v>
      </c>
      <c r="C200" s="2" t="str">
        <f>'[1]QB Pull'!P199</f>
        <v>Future Electronics Corp</v>
      </c>
      <c r="D200" s="2" t="str">
        <f>'[1]QB Pull'!O199</f>
        <v>VEN007</v>
      </c>
      <c r="E200" s="2">
        <f>VLOOKUP(D:D,[2]Vendors!$A:$B,2,0)</f>
        <v>16</v>
      </c>
      <c r="F200" s="2"/>
      <c r="G200" s="6">
        <v>7</v>
      </c>
      <c r="H200" s="7" t="s">
        <v>32</v>
      </c>
      <c r="I200" s="8">
        <v>1</v>
      </c>
      <c r="J200" s="9">
        <f>'[1]QB Pull'!F199</f>
        <v>45150</v>
      </c>
      <c r="K200" s="5" t="s">
        <v>33</v>
      </c>
      <c r="L200" s="4"/>
      <c r="M200" s="10">
        <f>'[1]QB Pull'!H199</f>
        <v>44970</v>
      </c>
      <c r="N200" s="2"/>
      <c r="O200" s="2">
        <v>1</v>
      </c>
      <c r="P200" s="11">
        <f>'[1]QB Pull'!L199</f>
        <v>2000</v>
      </c>
      <c r="Q200" s="11">
        <f t="shared" si="3"/>
        <v>2000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x14ac:dyDescent="0.3">
      <c r="A201" s="2" t="str">
        <f>'[1]QB Pull'!B200</f>
        <v>Bill</v>
      </c>
      <c r="B201" s="6">
        <f>'[1]QB Pull'!C200</f>
        <v>4351771</v>
      </c>
      <c r="C201" s="2" t="str">
        <f>'[1]QB Pull'!P200</f>
        <v>Future Electronics Corp</v>
      </c>
      <c r="D201" s="2" t="str">
        <f>'[1]QB Pull'!O200</f>
        <v>VEN007</v>
      </c>
      <c r="E201" s="2">
        <f>VLOOKUP(D:D,[2]Vendors!$A:$B,2,0)</f>
        <v>16</v>
      </c>
      <c r="F201" s="2"/>
      <c r="G201" s="6">
        <v>7</v>
      </c>
      <c r="H201" s="7" t="s">
        <v>32</v>
      </c>
      <c r="I201" s="8">
        <v>1</v>
      </c>
      <c r="J201" s="9">
        <f>'[1]QB Pull'!F200</f>
        <v>45151</v>
      </c>
      <c r="K201" s="5" t="s">
        <v>33</v>
      </c>
      <c r="L201" s="4"/>
      <c r="M201" s="10">
        <f>'[1]QB Pull'!H200</f>
        <v>44971</v>
      </c>
      <c r="N201" s="2"/>
      <c r="O201" s="2">
        <v>1</v>
      </c>
      <c r="P201" s="11">
        <f>'[1]QB Pull'!L200</f>
        <v>3844.2</v>
      </c>
      <c r="Q201" s="11">
        <f t="shared" si="3"/>
        <v>3844.2</v>
      </c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x14ac:dyDescent="0.3">
      <c r="A202" s="2" t="str">
        <f>'[1]QB Pull'!B201</f>
        <v>Bill</v>
      </c>
      <c r="B202" s="6" t="str">
        <f>'[1]QB Pull'!C201</f>
        <v>WCW-326485FI</v>
      </c>
      <c r="C202" s="2" t="str">
        <f>'[1]QB Pull'!P201</f>
        <v>Landstar Global Logistics, Inc</v>
      </c>
      <c r="D202" s="2" t="str">
        <f>'[1]QB Pull'!O201</f>
        <v>VEN034</v>
      </c>
      <c r="E202" s="2">
        <f>VLOOKUP(D:D,[2]Vendors!$A:$B,2,0)</f>
        <v>84</v>
      </c>
      <c r="F202" s="2"/>
      <c r="G202" s="6">
        <v>2</v>
      </c>
      <c r="H202" s="7" t="s">
        <v>32</v>
      </c>
      <c r="I202" s="8">
        <v>1</v>
      </c>
      <c r="J202" s="9">
        <f>'[1]QB Pull'!F201</f>
        <v>44982</v>
      </c>
      <c r="K202" s="5" t="s">
        <v>33</v>
      </c>
      <c r="L202" s="4"/>
      <c r="M202" s="10">
        <f>'[1]QB Pull'!H201</f>
        <v>44952</v>
      </c>
      <c r="N202" s="2"/>
      <c r="O202" s="2">
        <v>1</v>
      </c>
      <c r="P202" s="11">
        <f>'[1]QB Pull'!L201</f>
        <v>21363.41</v>
      </c>
      <c r="Q202" s="11">
        <f t="shared" si="3"/>
        <v>21363.41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x14ac:dyDescent="0.3">
      <c r="A203" s="2" t="str">
        <f>'[1]QB Pull'!B202</f>
        <v>Bill</v>
      </c>
      <c r="B203" s="6" t="str">
        <f>'[1]QB Pull'!C202</f>
        <v>WCW-327478FI</v>
      </c>
      <c r="C203" s="2" t="str">
        <f>'[1]QB Pull'!P202</f>
        <v>Landstar Global Logistics, Inc</v>
      </c>
      <c r="D203" s="2" t="str">
        <f>'[1]QB Pull'!O202</f>
        <v>VEN034</v>
      </c>
      <c r="E203" s="2">
        <f>VLOOKUP(D:D,[2]Vendors!$A:$B,2,0)</f>
        <v>84</v>
      </c>
      <c r="F203" s="2"/>
      <c r="G203" s="6">
        <v>2</v>
      </c>
      <c r="H203" s="7" t="s">
        <v>32</v>
      </c>
      <c r="I203" s="8">
        <v>1</v>
      </c>
      <c r="J203" s="9">
        <f>'[1]QB Pull'!F202</f>
        <v>44991</v>
      </c>
      <c r="K203" s="5" t="s">
        <v>33</v>
      </c>
      <c r="L203" s="4"/>
      <c r="M203" s="10">
        <f>'[1]QB Pull'!H202</f>
        <v>44957</v>
      </c>
      <c r="N203" s="2"/>
      <c r="O203" s="2">
        <v>1</v>
      </c>
      <c r="P203" s="11">
        <f>'[1]QB Pull'!L202</f>
        <v>17168.52</v>
      </c>
      <c r="Q203" s="11">
        <f t="shared" si="3"/>
        <v>17168.52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x14ac:dyDescent="0.3">
      <c r="A204" s="2" t="str">
        <f>'[1]QB Pull'!B203</f>
        <v>Bill</v>
      </c>
      <c r="B204" s="6" t="str">
        <f>'[1]QB Pull'!C203</f>
        <v>WCA-328654FI</v>
      </c>
      <c r="C204" s="2" t="str">
        <f>'[1]QB Pull'!P203</f>
        <v>Landstar Global Logistics, Inc</v>
      </c>
      <c r="D204" s="2" t="str">
        <f>'[1]QB Pull'!O203</f>
        <v>VEN034</v>
      </c>
      <c r="E204" s="2">
        <f>VLOOKUP(D:D,[2]Vendors!$A:$B,2,0)</f>
        <v>84</v>
      </c>
      <c r="F204" s="2"/>
      <c r="G204" s="6">
        <v>2</v>
      </c>
      <c r="H204" s="7" t="s">
        <v>32</v>
      </c>
      <c r="I204" s="8">
        <v>1</v>
      </c>
      <c r="J204" s="9">
        <f>'[1]QB Pull'!F203</f>
        <v>45003</v>
      </c>
      <c r="K204" s="5" t="s">
        <v>33</v>
      </c>
      <c r="L204" s="4"/>
      <c r="M204" s="10">
        <f>'[1]QB Pull'!H203</f>
        <v>44973</v>
      </c>
      <c r="N204" s="2"/>
      <c r="O204" s="2">
        <v>1</v>
      </c>
      <c r="P204" s="11">
        <f>'[1]QB Pull'!L203</f>
        <v>3760</v>
      </c>
      <c r="Q204" s="11">
        <f t="shared" si="3"/>
        <v>3760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x14ac:dyDescent="0.3">
      <c r="A205" s="2" t="str">
        <f>'[1]QB Pull'!B204</f>
        <v>Bill</v>
      </c>
      <c r="B205" s="6" t="str">
        <f>'[1]QB Pull'!C204</f>
        <v>MYPM23-02-002</v>
      </c>
      <c r="C205" s="2" t="str">
        <f>'[1]QB Pull'!P204</f>
        <v>Matsuki-YPM Sinapore Pte LTD</v>
      </c>
      <c r="D205" s="2" t="str">
        <f>'[1]QB Pull'!O204</f>
        <v>VEN035</v>
      </c>
      <c r="E205" s="2">
        <f>VLOOKUP(D:D,[2]Vendors!$A:$B,2,0)</f>
        <v>85</v>
      </c>
      <c r="F205" s="2"/>
      <c r="G205" s="6">
        <v>2</v>
      </c>
      <c r="H205" s="7" t="s">
        <v>32</v>
      </c>
      <c r="I205" s="8">
        <v>1</v>
      </c>
      <c r="J205" s="9">
        <f>'[1]QB Pull'!F204</f>
        <v>44997</v>
      </c>
      <c r="K205" s="5" t="s">
        <v>33</v>
      </c>
      <c r="L205" s="4"/>
      <c r="M205" s="10">
        <f>'[1]QB Pull'!H204</f>
        <v>44967</v>
      </c>
      <c r="N205" s="2"/>
      <c r="O205" s="2">
        <v>1</v>
      </c>
      <c r="P205" s="11">
        <f>'[1]QB Pull'!L204</f>
        <v>1052</v>
      </c>
      <c r="Q205" s="11">
        <f t="shared" si="3"/>
        <v>1052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x14ac:dyDescent="0.3">
      <c r="A206" s="2" t="str">
        <f>'[1]QB Pull'!B205</f>
        <v>Bill</v>
      </c>
      <c r="B206" s="6">
        <f>'[1]QB Pull'!C205</f>
        <v>52114</v>
      </c>
      <c r="C206" s="2" t="str">
        <f>'[1]QB Pull'!P205</f>
        <v>Meter Technology Werks</v>
      </c>
      <c r="D206" s="2" t="str">
        <f>'[1]QB Pull'!O205</f>
        <v>VEN004</v>
      </c>
      <c r="E206" s="2">
        <f>VLOOKUP(D:D,[2]Vendors!$A:$B,2,0)</f>
        <v>13</v>
      </c>
      <c r="F206" s="2"/>
      <c r="G206" s="6">
        <v>2</v>
      </c>
      <c r="H206" s="7" t="s">
        <v>32</v>
      </c>
      <c r="I206" s="8">
        <v>1</v>
      </c>
      <c r="J206" s="9">
        <f>'[1]QB Pull'!F205</f>
        <v>44987</v>
      </c>
      <c r="K206" s="5" t="s">
        <v>33</v>
      </c>
      <c r="L206" s="4"/>
      <c r="M206" s="10">
        <f>'[1]QB Pull'!H205</f>
        <v>44957</v>
      </c>
      <c r="N206" s="2"/>
      <c r="O206" s="2">
        <v>1</v>
      </c>
      <c r="P206" s="11">
        <f>'[1]QB Pull'!L205</f>
        <v>76523.39</v>
      </c>
      <c r="Q206" s="11">
        <f t="shared" si="3"/>
        <v>76523.39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x14ac:dyDescent="0.3">
      <c r="A207" s="2" t="str">
        <f>'[1]QB Pull'!B206</f>
        <v>Bill</v>
      </c>
      <c r="B207" s="6">
        <f>'[1]QB Pull'!C206</f>
        <v>52181</v>
      </c>
      <c r="C207" s="2" t="str">
        <f>'[1]QB Pull'!P206</f>
        <v>Meter Technology Werks</v>
      </c>
      <c r="D207" s="2" t="str">
        <f>'[1]QB Pull'!O206</f>
        <v>VEN004</v>
      </c>
      <c r="E207" s="2">
        <f>VLOOKUP(D:D,[2]Vendors!$A:$B,2,0)</f>
        <v>13</v>
      </c>
      <c r="F207" s="2"/>
      <c r="G207" s="6">
        <v>2</v>
      </c>
      <c r="H207" s="7" t="s">
        <v>32</v>
      </c>
      <c r="I207" s="8">
        <v>1</v>
      </c>
      <c r="J207" s="9">
        <f>'[1]QB Pull'!F206</f>
        <v>44989</v>
      </c>
      <c r="K207" s="5" t="s">
        <v>33</v>
      </c>
      <c r="L207" s="4"/>
      <c r="M207" s="10">
        <f>'[1]QB Pull'!H206</f>
        <v>44959</v>
      </c>
      <c r="N207" s="2"/>
      <c r="O207" s="2">
        <v>1</v>
      </c>
      <c r="P207" s="11">
        <f>'[1]QB Pull'!L206</f>
        <v>103.5</v>
      </c>
      <c r="Q207" s="11">
        <f t="shared" si="3"/>
        <v>103.5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x14ac:dyDescent="0.3">
      <c r="A208" s="2" t="str">
        <f>'[1]QB Pull'!B207</f>
        <v>Bill</v>
      </c>
      <c r="B208" s="6">
        <f>'[1]QB Pull'!C207</f>
        <v>52237</v>
      </c>
      <c r="C208" s="2" t="str">
        <f>'[1]QB Pull'!P207</f>
        <v>Meter Technology Werks</v>
      </c>
      <c r="D208" s="2" t="str">
        <f>'[1]QB Pull'!O207</f>
        <v>VEN004</v>
      </c>
      <c r="E208" s="2">
        <f>VLOOKUP(D:D,[2]Vendors!$A:$B,2,0)</f>
        <v>13</v>
      </c>
      <c r="F208" s="2"/>
      <c r="G208" s="6">
        <v>2</v>
      </c>
      <c r="H208" s="7" t="s">
        <v>32</v>
      </c>
      <c r="I208" s="8">
        <v>1</v>
      </c>
      <c r="J208" s="9">
        <f>'[1]QB Pull'!F207</f>
        <v>44993</v>
      </c>
      <c r="K208" s="5" t="s">
        <v>33</v>
      </c>
      <c r="L208" s="4"/>
      <c r="M208" s="10">
        <f>'[1]QB Pull'!H207</f>
        <v>44963</v>
      </c>
      <c r="N208" s="2"/>
      <c r="O208" s="2">
        <v>1</v>
      </c>
      <c r="P208" s="11">
        <f>'[1]QB Pull'!L207</f>
        <v>1633.5</v>
      </c>
      <c r="Q208" s="11">
        <f t="shared" si="3"/>
        <v>1633.5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x14ac:dyDescent="0.3">
      <c r="A209" s="2" t="str">
        <f>'[1]QB Pull'!B208</f>
        <v>Bill</v>
      </c>
      <c r="B209" s="6">
        <f>'[1]QB Pull'!C208</f>
        <v>52278</v>
      </c>
      <c r="C209" s="2" t="str">
        <f>'[1]QB Pull'!P208</f>
        <v>Meter Technology Werks</v>
      </c>
      <c r="D209" s="2" t="str">
        <f>'[1]QB Pull'!O208</f>
        <v>VEN004</v>
      </c>
      <c r="E209" s="2">
        <f>VLOOKUP(D:D,[2]Vendors!$A:$B,2,0)</f>
        <v>13</v>
      </c>
      <c r="F209" s="2"/>
      <c r="G209" s="6">
        <v>2</v>
      </c>
      <c r="H209" s="7" t="s">
        <v>32</v>
      </c>
      <c r="I209" s="8">
        <v>1</v>
      </c>
      <c r="J209" s="9">
        <f>'[1]QB Pull'!F208</f>
        <v>44994</v>
      </c>
      <c r="K209" s="5" t="s">
        <v>33</v>
      </c>
      <c r="L209" s="4"/>
      <c r="M209" s="10">
        <f>'[1]QB Pull'!H208</f>
        <v>44964</v>
      </c>
      <c r="N209" s="2"/>
      <c r="O209" s="2">
        <v>1</v>
      </c>
      <c r="P209" s="11">
        <f>'[1]QB Pull'!L208</f>
        <v>1128</v>
      </c>
      <c r="Q209" s="11">
        <f t="shared" si="3"/>
        <v>1128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x14ac:dyDescent="0.3">
      <c r="A210" s="2" t="str">
        <f>'[1]QB Pull'!B209</f>
        <v>Bill</v>
      </c>
      <c r="B210" s="6">
        <f>'[1]QB Pull'!C209</f>
        <v>52346</v>
      </c>
      <c r="C210" s="2" t="str">
        <f>'[1]QB Pull'!P209</f>
        <v>Meter Technology Werks</v>
      </c>
      <c r="D210" s="2" t="str">
        <f>'[1]QB Pull'!O209</f>
        <v>VEN004</v>
      </c>
      <c r="E210" s="2">
        <f>VLOOKUP(D:D,[2]Vendors!$A:$B,2,0)</f>
        <v>13</v>
      </c>
      <c r="F210" s="2"/>
      <c r="G210" s="6">
        <v>2</v>
      </c>
      <c r="H210" s="7" t="s">
        <v>32</v>
      </c>
      <c r="I210" s="8">
        <v>1</v>
      </c>
      <c r="J210" s="9">
        <f>'[1]QB Pull'!F209</f>
        <v>44996</v>
      </c>
      <c r="K210" s="5" t="s">
        <v>33</v>
      </c>
      <c r="L210" s="4"/>
      <c r="M210" s="10">
        <f>'[1]QB Pull'!H209</f>
        <v>44966</v>
      </c>
      <c r="N210" s="2"/>
      <c r="O210" s="2">
        <v>1</v>
      </c>
      <c r="P210" s="11">
        <f>'[1]QB Pull'!L209</f>
        <v>472.5</v>
      </c>
      <c r="Q210" s="11">
        <f t="shared" si="3"/>
        <v>472.5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x14ac:dyDescent="0.3">
      <c r="A211" s="2" t="str">
        <f>'[1]QB Pull'!B210</f>
        <v>Bill</v>
      </c>
      <c r="B211" s="6">
        <f>'[1]QB Pull'!C210</f>
        <v>52381</v>
      </c>
      <c r="C211" s="2" t="str">
        <f>'[1]QB Pull'!P210</f>
        <v>Meter Technology Werks</v>
      </c>
      <c r="D211" s="2" t="str">
        <f>'[1]QB Pull'!O210</f>
        <v>VEN004</v>
      </c>
      <c r="E211" s="2">
        <f>VLOOKUP(D:D,[2]Vendors!$A:$B,2,0)</f>
        <v>13</v>
      </c>
      <c r="F211" s="2"/>
      <c r="G211" s="6">
        <v>2</v>
      </c>
      <c r="H211" s="7" t="s">
        <v>32</v>
      </c>
      <c r="I211" s="8">
        <v>1</v>
      </c>
      <c r="J211" s="9">
        <f>'[1]QB Pull'!F210</f>
        <v>44997</v>
      </c>
      <c r="K211" s="5" t="s">
        <v>33</v>
      </c>
      <c r="L211" s="4"/>
      <c r="M211" s="10">
        <f>'[1]QB Pull'!H210</f>
        <v>44967</v>
      </c>
      <c r="N211" s="2"/>
      <c r="O211" s="2">
        <v>1</v>
      </c>
      <c r="P211" s="11">
        <f>'[1]QB Pull'!L210</f>
        <v>432</v>
      </c>
      <c r="Q211" s="11">
        <f t="shared" si="3"/>
        <v>432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x14ac:dyDescent="0.3">
      <c r="A212" s="2" t="str">
        <f>'[1]QB Pull'!B211</f>
        <v>Bill</v>
      </c>
      <c r="B212" s="6">
        <f>'[1]QB Pull'!C211</f>
        <v>52382</v>
      </c>
      <c r="C212" s="2" t="str">
        <f>'[1]QB Pull'!P211</f>
        <v>Meter Technology Werks</v>
      </c>
      <c r="D212" s="2" t="str">
        <f>'[1]QB Pull'!O211</f>
        <v>VEN004</v>
      </c>
      <c r="E212" s="2">
        <f>VLOOKUP(D:D,[2]Vendors!$A:$B,2,0)</f>
        <v>13</v>
      </c>
      <c r="F212" s="2"/>
      <c r="G212" s="6">
        <v>2</v>
      </c>
      <c r="H212" s="7" t="s">
        <v>32</v>
      </c>
      <c r="I212" s="8">
        <v>1</v>
      </c>
      <c r="J212" s="9">
        <f>'[1]QB Pull'!F211</f>
        <v>44997</v>
      </c>
      <c r="K212" s="5" t="s">
        <v>33</v>
      </c>
      <c r="L212" s="4"/>
      <c r="M212" s="10">
        <f>'[1]QB Pull'!H211</f>
        <v>44967</v>
      </c>
      <c r="N212" s="2"/>
      <c r="O212" s="2">
        <v>1</v>
      </c>
      <c r="P212" s="11">
        <f>'[1]QB Pull'!L211</f>
        <v>310.5</v>
      </c>
      <c r="Q212" s="11">
        <f t="shared" si="3"/>
        <v>310.5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x14ac:dyDescent="0.3">
      <c r="A213" s="2" t="str">
        <f>'[1]QB Pull'!B212</f>
        <v>Bill</v>
      </c>
      <c r="B213" s="6">
        <f>'[1]QB Pull'!C212</f>
        <v>52395</v>
      </c>
      <c r="C213" s="2" t="str">
        <f>'[1]QB Pull'!P212</f>
        <v>Meter Technology Werks</v>
      </c>
      <c r="D213" s="2" t="str">
        <f>'[1]QB Pull'!O212</f>
        <v>VEN004</v>
      </c>
      <c r="E213" s="2">
        <f>VLOOKUP(D:D,[2]Vendors!$A:$B,2,0)</f>
        <v>13</v>
      </c>
      <c r="F213" s="2"/>
      <c r="G213" s="6">
        <v>2</v>
      </c>
      <c r="H213" s="7" t="s">
        <v>32</v>
      </c>
      <c r="I213" s="8">
        <v>1</v>
      </c>
      <c r="J213" s="9">
        <f>'[1]QB Pull'!F212</f>
        <v>45000</v>
      </c>
      <c r="K213" s="5" t="s">
        <v>33</v>
      </c>
      <c r="L213" s="4"/>
      <c r="M213" s="10">
        <f>'[1]QB Pull'!H212</f>
        <v>44970</v>
      </c>
      <c r="N213" s="2"/>
      <c r="O213" s="2">
        <v>1</v>
      </c>
      <c r="P213" s="11">
        <f>'[1]QB Pull'!L212</f>
        <v>819</v>
      </c>
      <c r="Q213" s="11">
        <f t="shared" si="3"/>
        <v>819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x14ac:dyDescent="0.3">
      <c r="A214" s="2" t="str">
        <f>'[1]QB Pull'!B213</f>
        <v>Bill</v>
      </c>
      <c r="B214" s="6" t="str">
        <f>'[1]QB Pull'!C213</f>
        <v>SWB/15620251</v>
      </c>
      <c r="C214" s="2" t="str">
        <f>'[1]QB Pull'!P213</f>
        <v>Microchip Technology, Inc</v>
      </c>
      <c r="D214" s="2" t="str">
        <f>'[1]QB Pull'!O213</f>
        <v>VEN005</v>
      </c>
      <c r="E214" s="2">
        <f>VLOOKUP(D:D,[2]Vendors!$A:$B,2,0)</f>
        <v>14</v>
      </c>
      <c r="F214" s="2"/>
      <c r="G214" s="6">
        <v>2</v>
      </c>
      <c r="H214" s="7" t="s">
        <v>32</v>
      </c>
      <c r="I214" s="8">
        <v>1</v>
      </c>
      <c r="J214" s="9">
        <f>'[1]QB Pull'!F213</f>
        <v>44993</v>
      </c>
      <c r="K214" s="5" t="s">
        <v>33</v>
      </c>
      <c r="L214" s="4"/>
      <c r="M214" s="10">
        <f>'[1]QB Pull'!H213</f>
        <v>44963</v>
      </c>
      <c r="N214" s="2"/>
      <c r="O214" s="2">
        <v>1</v>
      </c>
      <c r="P214" s="11">
        <f>'[1]QB Pull'!L213</f>
        <v>1240.8499999999999</v>
      </c>
      <c r="Q214" s="11">
        <f t="shared" si="3"/>
        <v>1240.8499999999999</v>
      </c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x14ac:dyDescent="0.3">
      <c r="A215" s="2" t="str">
        <f>'[1]QB Pull'!B214</f>
        <v>Bill</v>
      </c>
      <c r="B215" s="6">
        <f>'[1]QB Pull'!C214</f>
        <v>869426</v>
      </c>
      <c r="C215" s="2" t="str">
        <f>'[1]QB Pull'!P214</f>
        <v>Mutual of Omaha</v>
      </c>
      <c r="D215" s="2" t="str">
        <f>'[1]QB Pull'!O214</f>
        <v>VEN051</v>
      </c>
      <c r="E215" s="2">
        <f>VLOOKUP(D:D,[2]Vendors!$A:$B,2,0)</f>
        <v>130</v>
      </c>
      <c r="F215" s="2"/>
      <c r="G215" s="6">
        <v>1</v>
      </c>
      <c r="H215" s="7" t="s">
        <v>32</v>
      </c>
      <c r="I215" s="8">
        <v>1</v>
      </c>
      <c r="J215" s="9">
        <f>'[1]QB Pull'!F214</f>
        <v>44988</v>
      </c>
      <c r="K215" s="5" t="s">
        <v>33</v>
      </c>
      <c r="L215" s="4"/>
      <c r="M215" s="10">
        <f>'[1]QB Pull'!H214</f>
        <v>44973</v>
      </c>
      <c r="N215" s="2"/>
      <c r="O215" s="2">
        <v>1</v>
      </c>
      <c r="P215" s="11">
        <f>'[1]QB Pull'!L214</f>
        <v>1176.3</v>
      </c>
      <c r="Q215" s="11">
        <f t="shared" si="3"/>
        <v>1176.3</v>
      </c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x14ac:dyDescent="0.3">
      <c r="A216" s="2" t="str">
        <f>'[1]QB Pull'!B215</f>
        <v>Bill</v>
      </c>
      <c r="B216" s="6" t="str">
        <f>'[1]QB Pull'!C215</f>
        <v>INV9090510</v>
      </c>
      <c r="C216" s="2" t="str">
        <f>'[1]QB Pull'!P215</f>
        <v>Okaya Electra America</v>
      </c>
      <c r="D216" s="2" t="str">
        <f>'[1]QB Pull'!O215</f>
        <v>VEN023</v>
      </c>
      <c r="E216" s="2">
        <f>VLOOKUP(D:D,[2]Vendors!$A:$B,2,0)</f>
        <v>49</v>
      </c>
      <c r="F216" s="2"/>
      <c r="G216" s="6">
        <v>2</v>
      </c>
      <c r="H216" s="7" t="s">
        <v>32</v>
      </c>
      <c r="I216" s="8">
        <v>1</v>
      </c>
      <c r="J216" s="9">
        <f>'[1]QB Pull'!F215</f>
        <v>44988</v>
      </c>
      <c r="K216" s="5" t="s">
        <v>33</v>
      </c>
      <c r="L216" s="4"/>
      <c r="M216" s="10">
        <f>'[1]QB Pull'!H215</f>
        <v>44958</v>
      </c>
      <c r="N216" s="2"/>
      <c r="O216" s="2">
        <v>1</v>
      </c>
      <c r="P216" s="11">
        <f>'[1]QB Pull'!L215</f>
        <v>30800</v>
      </c>
      <c r="Q216" s="11">
        <f t="shared" si="3"/>
        <v>30800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x14ac:dyDescent="0.3">
      <c r="A217" s="2" t="str">
        <f>'[1]QB Pull'!B216</f>
        <v>Bill</v>
      </c>
      <c r="B217" s="6">
        <f>'[1]QB Pull'!C216</f>
        <v>1526076</v>
      </c>
      <c r="C217" s="2" t="str">
        <f>'[1]QB Pull'!P216</f>
        <v>Oracle NetSuite</v>
      </c>
      <c r="D217" s="2" t="str">
        <f>'[1]QB Pull'!O216</f>
        <v>VEN052</v>
      </c>
      <c r="E217" s="2">
        <f>VLOOKUP(D:D,[2]Vendors!$A:$B,2,0)</f>
        <v>131</v>
      </c>
      <c r="F217" s="2"/>
      <c r="G217" s="6">
        <v>2</v>
      </c>
      <c r="H217" s="7" t="s">
        <v>32</v>
      </c>
      <c r="I217" s="8">
        <v>1</v>
      </c>
      <c r="J217" s="9">
        <f>'[1]QB Pull'!F216</f>
        <v>45000</v>
      </c>
      <c r="K217" s="5" t="s">
        <v>33</v>
      </c>
      <c r="L217" s="4"/>
      <c r="M217" s="10">
        <f>'[1]QB Pull'!H216</f>
        <v>44970</v>
      </c>
      <c r="N217" s="2"/>
      <c r="O217" s="2">
        <v>1</v>
      </c>
      <c r="P217" s="11">
        <f>'[1]QB Pull'!L216</f>
        <v>8019.7</v>
      </c>
      <c r="Q217" s="11">
        <f t="shared" si="3"/>
        <v>8019.7</v>
      </c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x14ac:dyDescent="0.3">
      <c r="A218" s="2" t="str">
        <f>'[1]QB Pull'!B217</f>
        <v>Bill</v>
      </c>
      <c r="B218" s="6" t="str">
        <f>'[1]QB Pull'!C217</f>
        <v>163996-2</v>
      </c>
      <c r="C218" s="2" t="str">
        <f>'[1]QB Pull'!P217</f>
        <v>PalPilot</v>
      </c>
      <c r="D218" s="2" t="str">
        <f>'[1]QB Pull'!O217</f>
        <v>VEN024</v>
      </c>
      <c r="E218" s="2">
        <f>VLOOKUP(D:D,[2]Vendors!$A:$B,2,0)</f>
        <v>50</v>
      </c>
      <c r="F218" s="2"/>
      <c r="G218" s="6">
        <v>2</v>
      </c>
      <c r="H218" s="7" t="s">
        <v>32</v>
      </c>
      <c r="I218" s="8">
        <v>1</v>
      </c>
      <c r="J218" s="9">
        <f>'[1]QB Pull'!F217</f>
        <v>44996</v>
      </c>
      <c r="K218" s="5" t="s">
        <v>33</v>
      </c>
      <c r="L218" s="4"/>
      <c r="M218" s="10">
        <f>'[1]QB Pull'!H217</f>
        <v>44966</v>
      </c>
      <c r="N218" s="2"/>
      <c r="O218" s="2">
        <v>1</v>
      </c>
      <c r="P218" s="11">
        <f>'[1]QB Pull'!L217</f>
        <v>81362.399999999994</v>
      </c>
      <c r="Q218" s="11">
        <f t="shared" si="3"/>
        <v>81362.399999999994</v>
      </c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x14ac:dyDescent="0.3">
      <c r="A219" s="2" t="str">
        <f>'[1]QB Pull'!B218</f>
        <v>Bill</v>
      </c>
      <c r="B219" s="6" t="str">
        <f>'[1]QB Pull'!C218</f>
        <v>INV13667</v>
      </c>
      <c r="C219" s="2" t="str">
        <f>'[1]QB Pull'!P218</f>
        <v>Precision Measurement Technologies, LLC</v>
      </c>
      <c r="D219" s="2" t="str">
        <f>'[1]QB Pull'!O218</f>
        <v>VEN044</v>
      </c>
      <c r="E219" s="2">
        <f>VLOOKUP(D:D,[2]Vendors!$A:$B,2,0)</f>
        <v>113</v>
      </c>
      <c r="F219" s="2"/>
      <c r="G219" s="6">
        <v>3</v>
      </c>
      <c r="H219" s="7" t="s">
        <v>32</v>
      </c>
      <c r="I219" s="8">
        <v>1</v>
      </c>
      <c r="J219" s="9">
        <f>'[1]QB Pull'!F218</f>
        <v>44983</v>
      </c>
      <c r="K219" s="5" t="s">
        <v>33</v>
      </c>
      <c r="L219" s="4"/>
      <c r="M219" s="10">
        <f>'[1]QB Pull'!H218</f>
        <v>44923</v>
      </c>
      <c r="N219" s="2"/>
      <c r="O219" s="2">
        <v>1</v>
      </c>
      <c r="P219" s="11">
        <f>'[1]QB Pull'!L218</f>
        <v>32550</v>
      </c>
      <c r="Q219" s="11">
        <f t="shared" si="3"/>
        <v>32550</v>
      </c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x14ac:dyDescent="0.3">
      <c r="A220" s="2" t="str">
        <f>'[1]QB Pull'!B219</f>
        <v>Bill</v>
      </c>
      <c r="B220" s="6">
        <f>'[1]QB Pull'!C219</f>
        <v>3003129</v>
      </c>
      <c r="C220" s="2" t="str">
        <f>'[1]QB Pull'!P219</f>
        <v>Richardson RFPD</v>
      </c>
      <c r="D220" s="2" t="str">
        <f>'[1]QB Pull'!O219</f>
        <v>VEN040</v>
      </c>
      <c r="E220" s="2">
        <f>VLOOKUP(D:D,[2]Vendors!$A:$B,2,0)</f>
        <v>109</v>
      </c>
      <c r="F220" s="2"/>
      <c r="G220" s="6">
        <v>2</v>
      </c>
      <c r="H220" s="7" t="s">
        <v>32</v>
      </c>
      <c r="I220" s="8">
        <v>1</v>
      </c>
      <c r="J220" s="9">
        <f>'[1]QB Pull'!F219</f>
        <v>45000</v>
      </c>
      <c r="K220" s="5" t="s">
        <v>33</v>
      </c>
      <c r="L220" s="4"/>
      <c r="M220" s="10">
        <f>'[1]QB Pull'!H219</f>
        <v>44970</v>
      </c>
      <c r="N220" s="2"/>
      <c r="O220" s="2">
        <v>1</v>
      </c>
      <c r="P220" s="11">
        <f>'[1]QB Pull'!L219</f>
        <v>43520</v>
      </c>
      <c r="Q220" s="11">
        <f t="shared" si="3"/>
        <v>43520</v>
      </c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x14ac:dyDescent="0.3">
      <c r="A221" s="2" t="str">
        <f>'[1]QB Pull'!B220</f>
        <v>Bill</v>
      </c>
      <c r="B221" s="6">
        <f>'[1]QB Pull'!C220</f>
        <v>3003086</v>
      </c>
      <c r="C221" s="2" t="str">
        <f>'[1]QB Pull'!P220</f>
        <v>Richardson RFPD</v>
      </c>
      <c r="D221" s="2" t="str">
        <f>'[1]QB Pull'!O220</f>
        <v>VEN040</v>
      </c>
      <c r="E221" s="2">
        <f>VLOOKUP(D:D,[2]Vendors!$A:$B,2,0)</f>
        <v>109</v>
      </c>
      <c r="F221" s="2"/>
      <c r="G221" s="6">
        <v>2</v>
      </c>
      <c r="H221" s="7" t="s">
        <v>32</v>
      </c>
      <c r="I221" s="8">
        <v>1</v>
      </c>
      <c r="J221" s="9">
        <f>'[1]QB Pull'!F220</f>
        <v>44997</v>
      </c>
      <c r="K221" s="5" t="s">
        <v>33</v>
      </c>
      <c r="L221" s="4"/>
      <c r="M221" s="10">
        <f>'[1]QB Pull'!H220</f>
        <v>44967</v>
      </c>
      <c r="N221" s="2"/>
      <c r="O221" s="2">
        <v>1</v>
      </c>
      <c r="P221" s="11">
        <f>'[1]QB Pull'!L220</f>
        <v>5440</v>
      </c>
      <c r="Q221" s="11">
        <f t="shared" si="3"/>
        <v>5440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x14ac:dyDescent="0.3">
      <c r="A222" s="2" t="str">
        <f>'[1]QB Pull'!B221</f>
        <v>Bill</v>
      </c>
      <c r="B222" s="6">
        <f>'[1]QB Pull'!C221</f>
        <v>8961</v>
      </c>
      <c r="C222" s="2" t="str">
        <f>'[1]QB Pull'!P221</f>
        <v>Sierra Wireless</v>
      </c>
      <c r="D222" s="2" t="str">
        <f>'[1]QB Pull'!O221</f>
        <v>VEN043</v>
      </c>
      <c r="E222" s="2">
        <f>VLOOKUP(D:D,[2]Vendors!$A:$B,2,0)</f>
        <v>112</v>
      </c>
      <c r="F222" s="2"/>
      <c r="G222" s="6">
        <v>2</v>
      </c>
      <c r="H222" s="7" t="s">
        <v>32</v>
      </c>
      <c r="I222" s="8">
        <v>1</v>
      </c>
      <c r="J222" s="9">
        <f>'[1]QB Pull'!F221</f>
        <v>44988</v>
      </c>
      <c r="K222" s="5" t="s">
        <v>33</v>
      </c>
      <c r="L222" s="4"/>
      <c r="M222" s="10">
        <f>'[1]QB Pull'!H221</f>
        <v>44958</v>
      </c>
      <c r="N222" s="2"/>
      <c r="O222" s="2">
        <v>1</v>
      </c>
      <c r="P222" s="11">
        <f>'[1]QB Pull'!L221</f>
        <v>9619.59</v>
      </c>
      <c r="Q222" s="11">
        <f t="shared" si="3"/>
        <v>9619.59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x14ac:dyDescent="0.3">
      <c r="A223" s="2" t="str">
        <f>'[1]QB Pull'!B222</f>
        <v>Bill</v>
      </c>
      <c r="B223" s="6">
        <f>'[1]QB Pull'!C222</f>
        <v>28186200597</v>
      </c>
      <c r="C223" s="2" t="str">
        <f>'[1]QB Pull'!P222</f>
        <v>Swire Coca-Cola, USA</v>
      </c>
      <c r="D223" s="2" t="str">
        <f>'[1]QB Pull'!O222</f>
        <v>VEN041</v>
      </c>
      <c r="E223" s="2">
        <f>VLOOKUP(D:D,[2]Vendors!$A:$B,2,0)</f>
        <v>110</v>
      </c>
      <c r="F223" s="2"/>
      <c r="G223" s="6">
        <v>2</v>
      </c>
      <c r="H223" s="7" t="s">
        <v>32</v>
      </c>
      <c r="I223" s="8">
        <v>1</v>
      </c>
      <c r="J223" s="9">
        <f>'[1]QB Pull'!F222</f>
        <v>44982</v>
      </c>
      <c r="K223" s="5" t="s">
        <v>33</v>
      </c>
      <c r="L223" s="4"/>
      <c r="M223" s="10">
        <f>'[1]QB Pull'!H222</f>
        <v>44952</v>
      </c>
      <c r="N223" s="2"/>
      <c r="O223" s="2">
        <v>1</v>
      </c>
      <c r="P223" s="11">
        <f>'[1]QB Pull'!L222</f>
        <v>109.31</v>
      </c>
      <c r="Q223" s="11">
        <f t="shared" si="3"/>
        <v>109.31</v>
      </c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x14ac:dyDescent="0.3">
      <c r="A224" s="2" t="str">
        <f>'[1]QB Pull'!B223</f>
        <v>Bill</v>
      </c>
      <c r="B224" s="6">
        <f>'[1]QB Pull'!C223</f>
        <v>28186200700</v>
      </c>
      <c r="C224" s="2" t="str">
        <f>'[1]QB Pull'!P223</f>
        <v>Swire Coca-Cola, USA</v>
      </c>
      <c r="D224" s="2" t="str">
        <f>'[1]QB Pull'!O223</f>
        <v>VEN041</v>
      </c>
      <c r="E224" s="2">
        <f>VLOOKUP(D:D,[2]Vendors!$A:$B,2,0)</f>
        <v>110</v>
      </c>
      <c r="F224" s="2"/>
      <c r="G224" s="6">
        <v>2</v>
      </c>
      <c r="H224" s="7" t="s">
        <v>32</v>
      </c>
      <c r="I224" s="8">
        <v>1</v>
      </c>
      <c r="J224" s="9">
        <f>'[1]QB Pull'!F223</f>
        <v>44989</v>
      </c>
      <c r="K224" s="5" t="s">
        <v>33</v>
      </c>
      <c r="L224" s="4"/>
      <c r="M224" s="10">
        <f>'[1]QB Pull'!H223</f>
        <v>44959</v>
      </c>
      <c r="N224" s="2"/>
      <c r="O224" s="2">
        <v>1</v>
      </c>
      <c r="P224" s="11">
        <f>'[1]QB Pull'!L223</f>
        <v>423.55</v>
      </c>
      <c r="Q224" s="11">
        <f t="shared" si="3"/>
        <v>423.55</v>
      </c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x14ac:dyDescent="0.3">
      <c r="A225" s="2" t="str">
        <f>'[1]QB Pull'!B224</f>
        <v>Bill</v>
      </c>
      <c r="B225" s="6">
        <f>'[1]QB Pull'!C224</f>
        <v>501035740</v>
      </c>
      <c r="C225" s="2" t="str">
        <f>'[1]QB Pull'!P224</f>
        <v>Swire Coca-Cola, USA</v>
      </c>
      <c r="D225" s="2" t="str">
        <f>'[1]QB Pull'!O224</f>
        <v>VEN041</v>
      </c>
      <c r="E225" s="2">
        <f>VLOOKUP(D:D,[2]Vendors!$A:$B,2,0)</f>
        <v>110</v>
      </c>
      <c r="F225" s="2"/>
      <c r="G225" s="6">
        <v>2</v>
      </c>
      <c r="H225" s="7" t="s">
        <v>32</v>
      </c>
      <c r="I225" s="8">
        <v>1</v>
      </c>
      <c r="J225" s="9">
        <f>'[1]QB Pull'!F224</f>
        <v>44996</v>
      </c>
      <c r="K225" s="5" t="s">
        <v>33</v>
      </c>
      <c r="L225" s="4"/>
      <c r="M225" s="10">
        <f>'[1]QB Pull'!H224</f>
        <v>44966</v>
      </c>
      <c r="N225" s="2"/>
      <c r="O225" s="2">
        <v>1</v>
      </c>
      <c r="P225" s="11">
        <f>'[1]QB Pull'!L224</f>
        <v>23.04</v>
      </c>
      <c r="Q225" s="11">
        <f t="shared" si="3"/>
        <v>23.04</v>
      </c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x14ac:dyDescent="0.3">
      <c r="A226" s="2" t="str">
        <f>'[1]QB Pull'!B225</f>
        <v>Bill</v>
      </c>
      <c r="B226" s="6">
        <f>'[1]QB Pull'!C225</f>
        <v>13353223751</v>
      </c>
      <c r="C226" s="2" t="str">
        <f>'[1]QB Pull'!P225</f>
        <v>Swire Coca-Cola, USA</v>
      </c>
      <c r="D226" s="2" t="str">
        <f>'[1]QB Pull'!O225</f>
        <v>VEN041</v>
      </c>
      <c r="E226" s="2">
        <f>VLOOKUP(D:D,[2]Vendors!$A:$B,2,0)</f>
        <v>110</v>
      </c>
      <c r="F226" s="2"/>
      <c r="G226" s="6">
        <v>4</v>
      </c>
      <c r="H226" s="7" t="s">
        <v>32</v>
      </c>
      <c r="I226" s="8">
        <v>1</v>
      </c>
      <c r="J226" s="9">
        <f>'[1]QB Pull'!F225</f>
        <v>44974</v>
      </c>
      <c r="K226" s="5" t="s">
        <v>33</v>
      </c>
      <c r="L226" s="4"/>
      <c r="M226" s="10">
        <f>'[1]QB Pull'!H225</f>
        <v>44974</v>
      </c>
      <c r="N226" s="2"/>
      <c r="O226" s="2">
        <v>1</v>
      </c>
      <c r="P226" s="11">
        <f>'[1]QB Pull'!L225</f>
        <v>1.42</v>
      </c>
      <c r="Q226" s="11">
        <f t="shared" si="3"/>
        <v>1.42</v>
      </c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x14ac:dyDescent="0.3">
      <c r="A227" s="2" t="str">
        <f>'[1]QB Pull'!B226</f>
        <v>Bill</v>
      </c>
      <c r="B227" s="6">
        <f>'[1]QB Pull'!C226</f>
        <v>28186200891</v>
      </c>
      <c r="C227" s="2" t="str">
        <f>'[1]QB Pull'!P226</f>
        <v>Swire Coca-Cola, USA</v>
      </c>
      <c r="D227" s="2" t="str">
        <f>'[1]QB Pull'!O226</f>
        <v>VEN041</v>
      </c>
      <c r="E227" s="2">
        <f>VLOOKUP(D:D,[2]Vendors!$A:$B,2,0)</f>
        <v>110</v>
      </c>
      <c r="F227" s="2"/>
      <c r="G227" s="6">
        <v>2</v>
      </c>
      <c r="H227" s="7" t="s">
        <v>32</v>
      </c>
      <c r="I227" s="8">
        <v>1</v>
      </c>
      <c r="J227" s="9">
        <f>'[1]QB Pull'!F226</f>
        <v>45003</v>
      </c>
      <c r="K227" s="5" t="s">
        <v>33</v>
      </c>
      <c r="L227" s="4"/>
      <c r="M227" s="10">
        <f>'[1]QB Pull'!H226</f>
        <v>44973</v>
      </c>
      <c r="N227" s="2"/>
      <c r="O227" s="2">
        <v>1</v>
      </c>
      <c r="P227" s="11">
        <f>'[1]QB Pull'!L226</f>
        <v>171.28</v>
      </c>
      <c r="Q227" s="11">
        <f t="shared" si="3"/>
        <v>171.28</v>
      </c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x14ac:dyDescent="0.3">
      <c r="A228" s="2" t="str">
        <f>'[1]QB Pull'!B227</f>
        <v>Bill</v>
      </c>
      <c r="B228" s="6">
        <f>'[1]QB Pull'!C227</f>
        <v>9833107379</v>
      </c>
      <c r="C228" s="2" t="str">
        <f>'[1]QB Pull'!P227</f>
        <v>Telit IoT Solutions, LLC</v>
      </c>
      <c r="D228" s="2" t="str">
        <f>'[1]QB Pull'!O227</f>
        <v>VEN053</v>
      </c>
      <c r="E228" s="2">
        <f>VLOOKUP(D:D,[2]Vendors!$A:$B,2,0)</f>
        <v>132</v>
      </c>
      <c r="F228" s="2"/>
      <c r="G228" s="6">
        <v>2</v>
      </c>
      <c r="H228" s="7" t="s">
        <v>32</v>
      </c>
      <c r="I228" s="8">
        <v>1</v>
      </c>
      <c r="J228" s="9">
        <f>'[1]QB Pull'!F227</f>
        <v>44988</v>
      </c>
      <c r="K228" s="5" t="s">
        <v>33</v>
      </c>
      <c r="L228" s="4"/>
      <c r="M228" s="10">
        <f>'[1]QB Pull'!H227</f>
        <v>44958</v>
      </c>
      <c r="N228" s="2"/>
      <c r="O228" s="2">
        <v>1</v>
      </c>
      <c r="P228" s="11">
        <f>'[1]QB Pull'!L227</f>
        <v>17565.71</v>
      </c>
      <c r="Q228" s="11">
        <f t="shared" si="3"/>
        <v>17565.71</v>
      </c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x14ac:dyDescent="0.3">
      <c r="A229" s="2" t="str">
        <f>'[1]QB Pull'!B228</f>
        <v>Bill</v>
      </c>
      <c r="B229" s="6" t="str">
        <f>'[1]QB Pull'!C228</f>
        <v>NC17</v>
      </c>
      <c r="C229" s="2" t="str">
        <f>'[1]QB Pull'!P228</f>
        <v>Thomas Birnbaum, P.E.</v>
      </c>
      <c r="D229" s="2" t="str">
        <f>'[1]QB Pull'!O228</f>
        <v>VEN054</v>
      </c>
      <c r="E229" s="2">
        <f>VLOOKUP(D:D,[2]Vendors!$A:$B,2,0)</f>
        <v>133</v>
      </c>
      <c r="F229" s="2"/>
      <c r="G229" s="6">
        <v>2</v>
      </c>
      <c r="H229" s="7" t="s">
        <v>32</v>
      </c>
      <c r="I229" s="8">
        <v>1</v>
      </c>
      <c r="J229" s="9">
        <f>'[1]QB Pull'!F228</f>
        <v>44997</v>
      </c>
      <c r="K229" s="5" t="s">
        <v>33</v>
      </c>
      <c r="L229" s="4"/>
      <c r="M229" s="10">
        <f>'[1]QB Pull'!H228</f>
        <v>44967</v>
      </c>
      <c r="N229" s="2"/>
      <c r="O229" s="2">
        <v>1</v>
      </c>
      <c r="P229" s="11">
        <f>'[1]QB Pull'!L228</f>
        <v>375</v>
      </c>
      <c r="Q229" s="11">
        <f t="shared" si="3"/>
        <v>375</v>
      </c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x14ac:dyDescent="0.3">
      <c r="A230" s="2" t="str">
        <f>'[1]QB Pull'!B229</f>
        <v>Bill</v>
      </c>
      <c r="B230" s="6" t="str">
        <f>'[1]QB Pull'!C229</f>
        <v>P063</v>
      </c>
      <c r="C230" s="2" t="str">
        <f>'[1]QB Pull'!P229</f>
        <v>UPS</v>
      </c>
      <c r="D230" s="2" t="str">
        <f>'[1]QB Pull'!O229</f>
        <v>VEN055</v>
      </c>
      <c r="E230" s="2">
        <f>VLOOKUP(D:D,[2]Vendors!$A:$B,2,0)</f>
        <v>134</v>
      </c>
      <c r="F230" s="2"/>
      <c r="G230" s="6">
        <v>4</v>
      </c>
      <c r="H230" s="7" t="s">
        <v>32</v>
      </c>
      <c r="I230" s="8">
        <v>1</v>
      </c>
      <c r="J230" s="9">
        <f>'[1]QB Pull'!F229</f>
        <v>44968</v>
      </c>
      <c r="K230" s="5" t="s">
        <v>33</v>
      </c>
      <c r="L230" s="4"/>
      <c r="M230" s="10">
        <f>'[1]QB Pull'!H229</f>
        <v>44968</v>
      </c>
      <c r="N230" s="2"/>
      <c r="O230" s="2">
        <v>1</v>
      </c>
      <c r="P230" s="11">
        <f>'[1]QB Pull'!L229</f>
        <v>3.7</v>
      </c>
      <c r="Q230" s="11">
        <f t="shared" si="3"/>
        <v>3.7</v>
      </c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x14ac:dyDescent="0.3">
      <c r="A231" s="2" t="str">
        <f>'[1]QB Pull'!B230</f>
        <v>Bill</v>
      </c>
      <c r="B231" s="6">
        <f>'[1]QB Pull'!C230</f>
        <v>45359</v>
      </c>
      <c r="C231" s="2" t="str">
        <f>'[1]QB Pull'!P230</f>
        <v>Victig</v>
      </c>
      <c r="D231" s="2" t="str">
        <f>'[1]QB Pull'!O230</f>
        <v>VEN038</v>
      </c>
      <c r="E231" s="2">
        <f>VLOOKUP(D:D,[2]Vendors!$A:$B,2,0)</f>
        <v>107</v>
      </c>
      <c r="F231" s="2"/>
      <c r="G231" s="6">
        <v>2</v>
      </c>
      <c r="H231" s="7" t="s">
        <v>32</v>
      </c>
      <c r="I231" s="8">
        <v>1</v>
      </c>
      <c r="J231" s="9">
        <f>'[1]QB Pull'!F230</f>
        <v>44987</v>
      </c>
      <c r="K231" s="5" t="s">
        <v>33</v>
      </c>
      <c r="L231" s="4"/>
      <c r="M231" s="10">
        <f>'[1]QB Pull'!H230</f>
        <v>44957</v>
      </c>
      <c r="N231" s="2"/>
      <c r="O231" s="2">
        <v>1</v>
      </c>
      <c r="P231" s="11">
        <f>'[1]QB Pull'!L230</f>
        <v>69.03</v>
      </c>
      <c r="Q231" s="11">
        <f t="shared" si="3"/>
        <v>69.03</v>
      </c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x14ac:dyDescent="0.3">
      <c r="A232" s="2" t="str">
        <f>'[1]QB Pull'!B233</f>
        <v>Bill</v>
      </c>
      <c r="B232" s="6" t="str">
        <f>'[1]QB Pull'!C233</f>
        <v>PO 1857</v>
      </c>
      <c r="C232" s="2" t="str">
        <f>'[1]QB Pull'!P233</f>
        <v>SoQ Sourcing, LLC</v>
      </c>
      <c r="D232" s="2" t="str">
        <f>'[1]QB Pull'!O233</f>
        <v>VEN026</v>
      </c>
      <c r="E232" s="2">
        <f>VLOOKUP(D:D,[2]Vendors!$A:$B,2,0)</f>
        <v>52</v>
      </c>
      <c r="F232" s="2"/>
      <c r="G232" s="6">
        <v>2</v>
      </c>
      <c r="H232" s="7" t="s">
        <v>32</v>
      </c>
      <c r="I232" s="8">
        <v>1</v>
      </c>
      <c r="J232" s="9"/>
      <c r="K232" s="5" t="s">
        <v>33</v>
      </c>
      <c r="L232" s="4"/>
      <c r="M232" s="10">
        <f>'[1]QB Pull'!H233</f>
        <v>44935</v>
      </c>
      <c r="N232" s="2"/>
      <c r="O232" s="2">
        <v>1</v>
      </c>
      <c r="P232" s="11">
        <f>'[1]QB Pull'!L233</f>
        <v>298840</v>
      </c>
      <c r="Q232" s="11">
        <f t="shared" si="3"/>
        <v>298840</v>
      </c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x14ac:dyDescent="0.3">
      <c r="A233" s="2" t="str">
        <f>'[1]QB Pull'!B234</f>
        <v>Bill</v>
      </c>
      <c r="B233" s="6" t="str">
        <f>'[1]QB Pull'!C234</f>
        <v>1.11.2023</v>
      </c>
      <c r="C233" s="2" t="str">
        <f>'[1]QB Pull'!P234</f>
        <v>SoQ Sourcing, LLC</v>
      </c>
      <c r="D233" s="2" t="str">
        <f>'[1]QB Pull'!O234</f>
        <v>VEN026</v>
      </c>
      <c r="E233" s="2">
        <f>VLOOKUP(D:D,[2]Vendors!$A:$B,2,0)</f>
        <v>52</v>
      </c>
      <c r="F233" s="2"/>
      <c r="G233" s="6">
        <v>2</v>
      </c>
      <c r="H233" s="7" t="s">
        <v>32</v>
      </c>
      <c r="I233" s="8">
        <v>1</v>
      </c>
      <c r="J233" s="9"/>
      <c r="K233" s="5" t="s">
        <v>33</v>
      </c>
      <c r="L233" s="4"/>
      <c r="M233" s="10">
        <f>'[1]QB Pull'!H234</f>
        <v>44937</v>
      </c>
      <c r="N233" s="2"/>
      <c r="O233" s="2">
        <v>1</v>
      </c>
      <c r="P233" s="11">
        <f>'[1]QB Pull'!L234</f>
        <v>324</v>
      </c>
      <c r="Q233" s="11">
        <f t="shared" si="3"/>
        <v>324</v>
      </c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x14ac:dyDescent="0.3">
      <c r="A234" s="2" t="str">
        <f>'[1]QB Pull'!B235</f>
        <v>Bill</v>
      </c>
      <c r="B234" s="6" t="str">
        <f>'[1]QB Pull'!C235</f>
        <v>PO 1936</v>
      </c>
      <c r="C234" s="2" t="str">
        <f>'[1]QB Pull'!P235</f>
        <v>SoQ Sourcing, LLC</v>
      </c>
      <c r="D234" s="2" t="str">
        <f>'[1]QB Pull'!O235</f>
        <v>VEN026</v>
      </c>
      <c r="E234" s="2">
        <f>VLOOKUP(D:D,[2]Vendors!$A:$B,2,0)</f>
        <v>52</v>
      </c>
      <c r="F234" s="2"/>
      <c r="G234" s="6">
        <v>2</v>
      </c>
      <c r="H234" s="7" t="s">
        <v>32</v>
      </c>
      <c r="I234" s="8">
        <v>1</v>
      </c>
      <c r="J234" s="9"/>
      <c r="K234" s="5" t="s">
        <v>33</v>
      </c>
      <c r="L234" s="4"/>
      <c r="M234" s="10">
        <f>'[1]QB Pull'!H235</f>
        <v>44943</v>
      </c>
      <c r="N234" s="2"/>
      <c r="O234" s="2">
        <v>1</v>
      </c>
      <c r="P234" s="11">
        <f>'[1]QB Pull'!L235</f>
        <v>116280</v>
      </c>
      <c r="Q234" s="11">
        <f t="shared" si="3"/>
        <v>116280</v>
      </c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x14ac:dyDescent="0.3">
      <c r="A235" s="2" t="str">
        <f>'[1]QB Pull'!B236</f>
        <v>Bill</v>
      </c>
      <c r="B235" s="6">
        <f>'[1]QB Pull'!C236</f>
        <v>1182023</v>
      </c>
      <c r="C235" s="2" t="str">
        <f>'[1]QB Pull'!P236</f>
        <v>SoQ Sourcing, LLC</v>
      </c>
      <c r="D235" s="2" t="str">
        <f>'[1]QB Pull'!O236</f>
        <v>VEN026</v>
      </c>
      <c r="E235" s="2">
        <f>VLOOKUP(D:D,[2]Vendors!$A:$B,2,0)</f>
        <v>52</v>
      </c>
      <c r="F235" s="2"/>
      <c r="G235" s="6">
        <v>2</v>
      </c>
      <c r="H235" s="7" t="s">
        <v>32</v>
      </c>
      <c r="I235" s="8">
        <v>1</v>
      </c>
      <c r="J235" s="9"/>
      <c r="K235" s="5" t="s">
        <v>33</v>
      </c>
      <c r="L235" s="4"/>
      <c r="M235" s="10">
        <f>'[1]QB Pull'!H236</f>
        <v>44944</v>
      </c>
      <c r="N235" s="2"/>
      <c r="O235" s="2">
        <v>1</v>
      </c>
      <c r="P235" s="11">
        <f>'[1]QB Pull'!L236</f>
        <v>19998</v>
      </c>
      <c r="Q235" s="11">
        <f t="shared" si="3"/>
        <v>19998</v>
      </c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x14ac:dyDescent="0.3">
      <c r="A236" s="2" t="str">
        <f>'[1]QB Pull'!B237</f>
        <v>Bill</v>
      </c>
      <c r="B236" s="6" t="str">
        <f>'[1]QB Pull'!C237</f>
        <v>01182023-3</v>
      </c>
      <c r="C236" s="2" t="str">
        <f>'[1]QB Pull'!P237</f>
        <v>SoQ Sourcing, LLC</v>
      </c>
      <c r="D236" s="2" t="str">
        <f>'[1]QB Pull'!O237</f>
        <v>VEN026</v>
      </c>
      <c r="E236" s="2">
        <f>VLOOKUP(D:D,[2]Vendors!$A:$B,2,0)</f>
        <v>52</v>
      </c>
      <c r="F236" s="2"/>
      <c r="G236" s="6">
        <v>2</v>
      </c>
      <c r="H236" s="7" t="s">
        <v>32</v>
      </c>
      <c r="I236" s="8">
        <v>1</v>
      </c>
      <c r="J236" s="9"/>
      <c r="K236" s="5" t="s">
        <v>33</v>
      </c>
      <c r="L236" s="4"/>
      <c r="M236" s="10">
        <f>'[1]QB Pull'!H237</f>
        <v>44944</v>
      </c>
      <c r="N236" s="2"/>
      <c r="O236" s="2">
        <v>1</v>
      </c>
      <c r="P236" s="11">
        <f>'[1]QB Pull'!L237</f>
        <v>35100</v>
      </c>
      <c r="Q236" s="11">
        <f t="shared" si="3"/>
        <v>35100</v>
      </c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x14ac:dyDescent="0.3">
      <c r="A237" s="2" t="str">
        <f>'[1]QB Pull'!B238</f>
        <v>Bill</v>
      </c>
      <c r="B237" s="6" t="str">
        <f>'[1]QB Pull'!C238</f>
        <v>01182023-4</v>
      </c>
      <c r="C237" s="2" t="str">
        <f>'[1]QB Pull'!P238</f>
        <v>SoQ Sourcing, LLC</v>
      </c>
      <c r="D237" s="2" t="str">
        <f>'[1]QB Pull'!O238</f>
        <v>VEN026</v>
      </c>
      <c r="E237" s="2">
        <f>VLOOKUP(D:D,[2]Vendors!$A:$B,2,0)</f>
        <v>52</v>
      </c>
      <c r="F237" s="2"/>
      <c r="G237" s="6">
        <v>2</v>
      </c>
      <c r="H237" s="7" t="s">
        <v>32</v>
      </c>
      <c r="I237" s="8">
        <v>1</v>
      </c>
      <c r="J237" s="9"/>
      <c r="K237" s="5" t="s">
        <v>33</v>
      </c>
      <c r="L237" s="4"/>
      <c r="M237" s="10">
        <f>'[1]QB Pull'!H238</f>
        <v>44944</v>
      </c>
      <c r="N237" s="2"/>
      <c r="O237" s="2">
        <v>1</v>
      </c>
      <c r="P237" s="11">
        <f>'[1]QB Pull'!L238</f>
        <v>7020</v>
      </c>
      <c r="Q237" s="11">
        <f t="shared" si="3"/>
        <v>7020</v>
      </c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x14ac:dyDescent="0.3">
      <c r="A238" s="2" t="str">
        <f>'[1]QB Pull'!B239</f>
        <v>Bill</v>
      </c>
      <c r="B238" s="6" t="str">
        <f>'[1]QB Pull'!C239</f>
        <v>01182023-7</v>
      </c>
      <c r="C238" s="2" t="str">
        <f>'[1]QB Pull'!P239</f>
        <v>SoQ Sourcing, LLC</v>
      </c>
      <c r="D238" s="2" t="str">
        <f>'[1]QB Pull'!O239</f>
        <v>VEN026</v>
      </c>
      <c r="E238" s="2">
        <f>VLOOKUP(D:D,[2]Vendors!$A:$B,2,0)</f>
        <v>52</v>
      </c>
      <c r="F238" s="2"/>
      <c r="G238" s="6">
        <v>2</v>
      </c>
      <c r="H238" s="7" t="s">
        <v>32</v>
      </c>
      <c r="I238" s="8">
        <v>1</v>
      </c>
      <c r="J238" s="9"/>
      <c r="K238" s="5" t="s">
        <v>33</v>
      </c>
      <c r="L238" s="4"/>
      <c r="M238" s="10">
        <f>'[1]QB Pull'!H239</f>
        <v>44944</v>
      </c>
      <c r="N238" s="2"/>
      <c r="O238" s="2">
        <v>1</v>
      </c>
      <c r="P238" s="11">
        <f>'[1]QB Pull'!L239</f>
        <v>90</v>
      </c>
      <c r="Q238" s="11">
        <f t="shared" si="3"/>
        <v>90</v>
      </c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x14ac:dyDescent="0.3">
      <c r="A239" s="2" t="str">
        <f>'[1]QB Pull'!B240</f>
        <v>Bill</v>
      </c>
      <c r="B239" s="6" t="str">
        <f>'[1]QB Pull'!C240</f>
        <v>PO 1837</v>
      </c>
      <c r="C239" s="2" t="str">
        <f>'[1]QB Pull'!P240</f>
        <v>SoQ Sourcing, LLC</v>
      </c>
      <c r="D239" s="2" t="str">
        <f>'[1]QB Pull'!O240</f>
        <v>VEN026</v>
      </c>
      <c r="E239" s="2">
        <f>VLOOKUP(D:D,[2]Vendors!$A:$B,2,0)</f>
        <v>52</v>
      </c>
      <c r="F239" s="2"/>
      <c r="G239" s="6">
        <v>2</v>
      </c>
      <c r="H239" s="7" t="s">
        <v>32</v>
      </c>
      <c r="I239" s="8">
        <v>1</v>
      </c>
      <c r="J239" s="9"/>
      <c r="K239" s="5" t="s">
        <v>33</v>
      </c>
      <c r="L239" s="4"/>
      <c r="M239" s="10">
        <f>'[1]QB Pull'!H240</f>
        <v>44956</v>
      </c>
      <c r="N239" s="2"/>
      <c r="O239" s="2">
        <v>1</v>
      </c>
      <c r="P239" s="11">
        <f>'[1]QB Pull'!L240</f>
        <v>111458</v>
      </c>
      <c r="Q239" s="11">
        <f t="shared" si="3"/>
        <v>111458</v>
      </c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x14ac:dyDescent="0.3">
      <c r="A240" s="2" t="str">
        <f>'[1]QB Pull'!B241</f>
        <v>Bill</v>
      </c>
      <c r="B240" s="6" t="str">
        <f>'[1]QB Pull'!C241</f>
        <v>01312023-2</v>
      </c>
      <c r="C240" s="2" t="str">
        <f>'[1]QB Pull'!P241</f>
        <v>SoQ Sourcing, LLC</v>
      </c>
      <c r="D240" s="2" t="str">
        <f>'[1]QB Pull'!O241</f>
        <v>VEN026</v>
      </c>
      <c r="E240" s="2">
        <f>VLOOKUP(D:D,[2]Vendors!$A:$B,2,0)</f>
        <v>52</v>
      </c>
      <c r="F240" s="2"/>
      <c r="G240" s="6">
        <v>2</v>
      </c>
      <c r="H240" s="7" t="s">
        <v>32</v>
      </c>
      <c r="I240" s="8">
        <v>1</v>
      </c>
      <c r="J240" s="9"/>
      <c r="K240" s="5" t="s">
        <v>33</v>
      </c>
      <c r="L240" s="4"/>
      <c r="M240" s="10">
        <f>'[1]QB Pull'!H241</f>
        <v>44957</v>
      </c>
      <c r="N240" s="2"/>
      <c r="O240" s="2">
        <v>1</v>
      </c>
      <c r="P240" s="11">
        <f>'[1]QB Pull'!L241</f>
        <v>406.4</v>
      </c>
      <c r="Q240" s="11">
        <f t="shared" si="3"/>
        <v>406.4</v>
      </c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x14ac:dyDescent="0.3">
      <c r="A241" s="2" t="str">
        <f>'[1]QB Pull'!B242</f>
        <v>Bill</v>
      </c>
      <c r="B241" s="6" t="str">
        <f>'[1]QB Pull'!C242</f>
        <v>01312023-3</v>
      </c>
      <c r="C241" s="2" t="str">
        <f>'[1]QB Pull'!P242</f>
        <v>SoQ Sourcing, LLC</v>
      </c>
      <c r="D241" s="2" t="str">
        <f>'[1]QB Pull'!O242</f>
        <v>VEN026</v>
      </c>
      <c r="E241" s="2">
        <f>VLOOKUP(D:D,[2]Vendors!$A:$B,2,0)</f>
        <v>52</v>
      </c>
      <c r="F241" s="2"/>
      <c r="G241" s="6">
        <v>2</v>
      </c>
      <c r="H241" s="7" t="s">
        <v>32</v>
      </c>
      <c r="I241" s="8">
        <v>1</v>
      </c>
      <c r="J241" s="9"/>
      <c r="K241" s="5" t="s">
        <v>33</v>
      </c>
      <c r="L241" s="4"/>
      <c r="M241" s="10">
        <f>'[1]QB Pull'!H242</f>
        <v>44957</v>
      </c>
      <c r="N241" s="2"/>
      <c r="O241" s="2">
        <v>1</v>
      </c>
      <c r="P241" s="11">
        <f>'[1]QB Pull'!L242</f>
        <v>1000</v>
      </c>
      <c r="Q241" s="11">
        <f t="shared" si="3"/>
        <v>1000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x14ac:dyDescent="0.3">
      <c r="A242" s="2" t="str">
        <f>'[1]QB Pull'!B243</f>
        <v>Bill</v>
      </c>
      <c r="B242" s="6" t="str">
        <f>'[1]QB Pull'!C243</f>
        <v>02152023-1</v>
      </c>
      <c r="C242" s="2" t="str">
        <f>'[1]QB Pull'!P243</f>
        <v>SoQ Sourcing, LLC</v>
      </c>
      <c r="D242" s="2" t="str">
        <f>'[1]QB Pull'!O243</f>
        <v>VEN026</v>
      </c>
      <c r="E242" s="2">
        <f>VLOOKUP(D:D,[2]Vendors!$A:$B,2,0)</f>
        <v>52</v>
      </c>
      <c r="F242" s="2"/>
      <c r="G242" s="6">
        <v>2</v>
      </c>
      <c r="H242" s="7" t="s">
        <v>32</v>
      </c>
      <c r="I242" s="8">
        <v>1</v>
      </c>
      <c r="J242" s="9"/>
      <c r="K242" s="5" t="s">
        <v>33</v>
      </c>
      <c r="L242" s="4"/>
      <c r="M242" s="10">
        <f>'[1]QB Pull'!H243</f>
        <v>44972</v>
      </c>
      <c r="N242" s="2"/>
      <c r="O242" s="2">
        <v>1</v>
      </c>
      <c r="P242" s="11">
        <f>'[1]QB Pull'!L243</f>
        <v>15480</v>
      </c>
      <c r="Q242" s="11">
        <f t="shared" si="3"/>
        <v>15480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x14ac:dyDescent="0.3">
      <c r="A243" s="2" t="str">
        <f>'[1]QB Pull'!B244</f>
        <v>Bill</v>
      </c>
      <c r="B243" s="6" t="str">
        <f>'[1]QB Pull'!C244</f>
        <v>02152023-2</v>
      </c>
      <c r="C243" s="2" t="str">
        <f>'[1]QB Pull'!P244</f>
        <v>SoQ Sourcing, LLC</v>
      </c>
      <c r="D243" s="2" t="str">
        <f>'[1]QB Pull'!O244</f>
        <v>VEN026</v>
      </c>
      <c r="E243" s="2">
        <f>VLOOKUP(D:D,[2]Vendors!$A:$B,2,0)</f>
        <v>52</v>
      </c>
      <c r="F243" s="2"/>
      <c r="G243" s="6">
        <v>2</v>
      </c>
      <c r="H243" s="7" t="s">
        <v>32</v>
      </c>
      <c r="I243" s="8">
        <v>1</v>
      </c>
      <c r="J243" s="9"/>
      <c r="K243" s="5" t="s">
        <v>33</v>
      </c>
      <c r="L243" s="4"/>
      <c r="M243" s="10">
        <f>'[1]QB Pull'!H244</f>
        <v>44972</v>
      </c>
      <c r="N243" s="2"/>
      <c r="O243" s="2">
        <v>1</v>
      </c>
      <c r="P243" s="11">
        <f>'[1]QB Pull'!L244</f>
        <v>765</v>
      </c>
      <c r="Q243" s="11">
        <f t="shared" si="3"/>
        <v>765</v>
      </c>
      <c r="R243" s="2"/>
      <c r="S243" s="2"/>
      <c r="T243" s="2"/>
      <c r="U243" s="2"/>
      <c r="V243" s="2"/>
      <c r="W243" s="2"/>
      <c r="X243" s="2"/>
      <c r="Y243" s="2"/>
      <c r="Z243" s="2"/>
      <c r="AA243" s="2"/>
    </row>
  </sheetData>
  <autoFilter ref="A1:AA243"/>
  <conditionalFormatting sqref="Q1:Q1048576">
    <cfRule type="cellIs" dxfId="1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2" sqref="A2:XFD3"/>
    </sheetView>
  </sheetViews>
  <sheetFormatPr defaultRowHeight="14.4" x14ac:dyDescent="0.3"/>
  <sheetData>
    <row r="1" spans="1:26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">
      <c r="A2" s="2" t="s">
        <v>34</v>
      </c>
      <c r="B2" s="6" t="s">
        <v>35</v>
      </c>
      <c r="C2" s="2" t="s">
        <v>36</v>
      </c>
      <c r="D2" s="2" t="s">
        <v>37</v>
      </c>
      <c r="E2" s="2"/>
      <c r="F2" s="6" t="s">
        <v>38</v>
      </c>
      <c r="G2" s="7" t="s">
        <v>32</v>
      </c>
      <c r="H2" s="8">
        <v>1</v>
      </c>
      <c r="I2" s="9">
        <v>0</v>
      </c>
      <c r="J2" s="5" t="s">
        <v>33</v>
      </c>
      <c r="K2" s="4"/>
      <c r="L2" s="10">
        <v>44958</v>
      </c>
      <c r="M2" s="2"/>
      <c r="N2" s="2">
        <v>1</v>
      </c>
      <c r="O2" s="11">
        <v>-192.11</v>
      </c>
      <c r="P2" s="11">
        <v>-192.11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3">
      <c r="A3" s="2" t="s">
        <v>34</v>
      </c>
      <c r="B3" s="6" t="s">
        <v>39</v>
      </c>
      <c r="C3" s="2" t="s">
        <v>40</v>
      </c>
      <c r="D3" s="2" t="s">
        <v>41</v>
      </c>
      <c r="E3" s="2"/>
      <c r="F3" s="6" t="s">
        <v>38</v>
      </c>
      <c r="G3" s="7" t="s">
        <v>32</v>
      </c>
      <c r="H3" s="8">
        <v>1</v>
      </c>
      <c r="I3" s="9">
        <v>0</v>
      </c>
      <c r="J3" s="5" t="s">
        <v>33</v>
      </c>
      <c r="K3" s="4"/>
      <c r="L3" s="10">
        <v>44957</v>
      </c>
      <c r="M3" s="2"/>
      <c r="N3" s="2">
        <v>1</v>
      </c>
      <c r="O3" s="11">
        <v>-8080.92</v>
      </c>
      <c r="P3" s="11">
        <v>-8080.92</v>
      </c>
      <c r="Q3" s="2"/>
      <c r="R3" s="2"/>
      <c r="S3" s="2"/>
      <c r="T3" s="2"/>
      <c r="U3" s="2"/>
      <c r="V3" s="2"/>
      <c r="W3" s="2"/>
      <c r="X3" s="2"/>
      <c r="Y3" s="2"/>
      <c r="Z3" s="2"/>
    </row>
  </sheetData>
  <conditionalFormatting sqref="P1:P3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Bill</vt:lpstr>
      <vt:lpstr>Sheet1</vt:lpstr>
      <vt:lpstr>Vendor Credit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paapr</dc:creator>
  <cp:lastModifiedBy>paapr</cp:lastModifiedBy>
  <dcterms:created xsi:type="dcterms:W3CDTF">2023-02-20T09:21:25Z</dcterms:created>
  <dcterms:modified xsi:type="dcterms:W3CDTF">2023-02-20T13:47:43Z</dcterms:modified>
</cp:coreProperties>
</file>