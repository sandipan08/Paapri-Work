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Next Meters Global\"/>
    </mc:Choice>
  </mc:AlternateContent>
  <bookViews>
    <workbookView xWindow="-28920" yWindow="-120" windowWidth="29040" windowHeight="15720" activeTab="1"/>
  </bookViews>
  <sheets>
    <sheet name="Field Restrictions" sheetId="2" r:id="rId1"/>
    <sheet name="Assembly Item Template" sheetId="1" r:id="rId2"/>
    <sheet name="Sheet1" sheetId="3" r:id="rId3"/>
  </sheets>
  <externalReferences>
    <externalReference r:id="rId4"/>
    <externalReference r:id="rId5"/>
  </externalReferences>
  <definedNames>
    <definedName name="_xlnm._FilterDatabase" localSheetId="1" hidden="1">'Assembly Item Template'!$A$1:$U$40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2" i="1"/>
  <c r="B2" i="3" l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<sst xmlns="http://schemas.openxmlformats.org/spreadsheetml/2006/main" count="761" uniqueCount="231">
  <si>
    <t>Field</t>
  </si>
  <si>
    <t>Data Type</t>
  </si>
  <si>
    <t>Character Limit</t>
  </si>
  <si>
    <t>itemID</t>
  </si>
  <si>
    <t>Alpha Numeric</t>
  </si>
  <si>
    <t>name</t>
  </si>
  <si>
    <t>displayName</t>
  </si>
  <si>
    <t>vendorName</t>
  </si>
  <si>
    <t>parentRef</t>
  </si>
  <si>
    <t>List</t>
  </si>
  <si>
    <t>purchaseDescription</t>
  </si>
  <si>
    <t>cost</t>
  </si>
  <si>
    <t>Numbers</t>
  </si>
  <si>
    <t>cogsAccountRef</t>
  </si>
  <si>
    <t>vendorRef</t>
  </si>
  <si>
    <t>preferredVendor</t>
  </si>
  <si>
    <t>Boolean</t>
  </si>
  <si>
    <t>TRUE/FALSE</t>
  </si>
  <si>
    <t>salesDescription</t>
  </si>
  <si>
    <t>incomeAccountRef</t>
  </si>
  <si>
    <t>taxCodeRef</t>
  </si>
  <si>
    <t>purchaseTaxCodeRef</t>
  </si>
  <si>
    <t>salesPrice</t>
  </si>
  <si>
    <t>itemPriceLine1_itemPriceTypeRef</t>
  </si>
  <si>
    <t>itemPriceLine1_currencyRef</t>
  </si>
  <si>
    <t>itemPriceLine1_itemPrice</t>
  </si>
  <si>
    <t>itemPriceLine2_itemPriceTypeRef</t>
  </si>
  <si>
    <t>itemPriceLine2_currencyRef</t>
  </si>
  <si>
    <t>itemPriceLine2_itemPrice</t>
  </si>
  <si>
    <t>itemPriceLine3_itemPriceTypeRef</t>
  </si>
  <si>
    <t>itemPriceLine3_currencyRef</t>
  </si>
  <si>
    <t>itemPriceLine3_itemPrice</t>
  </si>
  <si>
    <t>assetAccountRef</t>
  </si>
  <si>
    <t>quantityOnHand</t>
  </si>
  <si>
    <t>serialNumbers</t>
  </si>
  <si>
    <t>reorderPoint</t>
  </si>
  <si>
    <t>preferredStockLevel</t>
  </si>
  <si>
    <t>itemLocationLine1_locationRef</t>
  </si>
  <si>
    <t>itemLocationLine1_quantityOnHand</t>
  </si>
  <si>
    <t>itemLocationLine1_serialNumbers</t>
  </si>
  <si>
    <t>itemLocationLine1_reorderPoint</t>
  </si>
  <si>
    <t>itemLocationLine1_preferredStockLevel</t>
  </si>
  <si>
    <t>itemLocationLine2_locationRef</t>
  </si>
  <si>
    <t>itemLocationLine2_quantityOnHand</t>
  </si>
  <si>
    <t>itemLocationLine2_serialNumbers</t>
  </si>
  <si>
    <t>itemLocationLine2_reorderPoint</t>
  </si>
  <si>
    <t>itemLocationLine2_preferredStockLevel</t>
  </si>
  <si>
    <t>departmentRef</t>
  </si>
  <si>
    <t>classRef</t>
  </si>
  <si>
    <t>locationRef</t>
  </si>
  <si>
    <t>deferredRevenueAccountRef</t>
  </si>
  <si>
    <t>revenueRecognitionTemplateRef</t>
  </si>
  <si>
    <t>shippingCost</t>
  </si>
  <si>
    <t>handlingCost</t>
  </si>
  <si>
    <t>weight</t>
  </si>
  <si>
    <t>weightUnitRef</t>
  </si>
  <si>
    <t>costingMethodRef</t>
  </si>
  <si>
    <t>isTaxable</t>
  </si>
  <si>
    <t>isInactive</t>
  </si>
  <si>
    <t>offerSupport</t>
  </si>
  <si>
    <t>storeDisplayName</t>
  </si>
  <si>
    <t>storeCategoryLine_storeCategoryRef</t>
  </si>
  <si>
    <t>storeDescription</t>
  </si>
  <si>
    <t>storeDisplayThumbnailRef</t>
  </si>
  <si>
    <t>storeDetailedDescription</t>
  </si>
  <si>
    <t>storeDisplayImageRef</t>
  </si>
  <si>
    <t>onSpecial</t>
  </si>
  <si>
    <t>specialsDescription</t>
  </si>
  <si>
    <t>isFeatured</t>
  </si>
  <si>
    <t>featuredDescription</t>
  </si>
  <si>
    <t>itemDrilldownTemplateRef</t>
  </si>
  <si>
    <t>isDropShipItem</t>
  </si>
  <si>
    <t>isSpecialOrderItem</t>
  </si>
  <si>
    <t>unitsTypeRef</t>
  </si>
  <si>
    <t>stockUnitRef</t>
  </si>
  <si>
    <t>saleUnitRef</t>
  </si>
  <si>
    <t>purchaseUnitRef</t>
  </si>
  <si>
    <t>upcCode</t>
  </si>
  <si>
    <t>subsidiary</t>
  </si>
  <si>
    <t>itemId</t>
  </si>
  <si>
    <t>displayname</t>
  </si>
  <si>
    <t>unitstype</t>
  </si>
  <si>
    <t>stockunit</t>
  </si>
  <si>
    <t>purchaseunit</t>
  </si>
  <si>
    <t>saleunits</t>
  </si>
  <si>
    <t>Consumption Unit</t>
  </si>
  <si>
    <t>Location</t>
  </si>
  <si>
    <t>Track Landed Cost</t>
  </si>
  <si>
    <t>costingmethod</t>
  </si>
  <si>
    <t>cogsaccount</t>
  </si>
  <si>
    <t>incomeaccount</t>
  </si>
  <si>
    <t>assetaccount</t>
  </si>
  <si>
    <t>taxSchedule</t>
  </si>
  <si>
    <t>bomName</t>
  </si>
  <si>
    <t>masterDefault</t>
  </si>
  <si>
    <t>GW4</t>
  </si>
  <si>
    <t>Gateway - GW4</t>
  </si>
  <si>
    <t>Each</t>
  </si>
  <si>
    <t>Eaches</t>
  </si>
  <si>
    <t>Cape Manufacturing</t>
  </si>
  <si>
    <t>Yes</t>
  </si>
  <si>
    <t>Average</t>
  </si>
  <si>
    <t>Taxable</t>
  </si>
  <si>
    <t>MPN</t>
  </si>
  <si>
    <t>supplyreplenishmentmethod</t>
  </si>
  <si>
    <t>planningitemcategory</t>
  </si>
  <si>
    <t>Gateway</t>
  </si>
  <si>
    <t>GW4 BOM</t>
  </si>
  <si>
    <t>GW4-L</t>
  </si>
  <si>
    <t>Gateway Lite - GW4</t>
  </si>
  <si>
    <t>Gateway Lite</t>
  </si>
  <si>
    <t>GW4-L BOM</t>
  </si>
  <si>
    <t>RE4</t>
  </si>
  <si>
    <t>Repeater - RE4</t>
  </si>
  <si>
    <t>Repeater</t>
  </si>
  <si>
    <t>RE4 BOM</t>
  </si>
  <si>
    <t>TR4</t>
  </si>
  <si>
    <t>Transceiver - TR4</t>
  </si>
  <si>
    <t>Transceiver</t>
  </si>
  <si>
    <t>TR4 BOM</t>
  </si>
  <si>
    <t>TR4-I</t>
  </si>
  <si>
    <t>Transceiver - TR4-I</t>
  </si>
  <si>
    <t>Transceiver-I</t>
  </si>
  <si>
    <t>TR4-I BOM</t>
  </si>
  <si>
    <t>TR4-E</t>
  </si>
  <si>
    <t>Transceiver - TR4-E</t>
  </si>
  <si>
    <t>Trabsceiver-E</t>
  </si>
  <si>
    <t>TR4-E BOM</t>
  </si>
  <si>
    <t>TR4-X</t>
  </si>
  <si>
    <t>Outdoor Transceiver - TR4-X</t>
  </si>
  <si>
    <t>Outdoor Transceiver</t>
  </si>
  <si>
    <t>TR4-X BOM</t>
  </si>
  <si>
    <t>LS4</t>
  </si>
  <si>
    <t>Leak Sensor - LS4</t>
  </si>
  <si>
    <t>Leak Sensor</t>
  </si>
  <si>
    <t>LS4 BOM</t>
  </si>
  <si>
    <t>NM4</t>
  </si>
  <si>
    <t>NextMeter Indoor - NM4-I</t>
  </si>
  <si>
    <t>Next Meter Indoor</t>
  </si>
  <si>
    <t>NM4-I BOM</t>
  </si>
  <si>
    <t>RR4</t>
  </si>
  <si>
    <t>Remote Reader - RR4</t>
  </si>
  <si>
    <t>Remote Reader</t>
  </si>
  <si>
    <t>RR4 BOM</t>
  </si>
  <si>
    <t>RR4-TR</t>
  </si>
  <si>
    <t>Remote Reader (with integrated Transceiver)- RR4-TR</t>
  </si>
  <si>
    <t>Remote Reader w/ Integrated Transceiver</t>
  </si>
  <si>
    <t>RR4-TR BOM</t>
  </si>
  <si>
    <t>FSK</t>
  </si>
  <si>
    <t>Field Splice Kit</t>
  </si>
  <si>
    <t>FSK BOM</t>
  </si>
  <si>
    <t>NR4</t>
  </si>
  <si>
    <t>Next Register</t>
  </si>
  <si>
    <t>NR4 BOM</t>
  </si>
  <si>
    <t>BAT201</t>
  </si>
  <si>
    <t>CR123A Battery Kit</t>
  </si>
  <si>
    <t>BAT301</t>
  </si>
  <si>
    <t>ER18505 Battery Kit</t>
  </si>
  <si>
    <t>BAT4</t>
  </si>
  <si>
    <t>CR18505 Battery Kit</t>
  </si>
  <si>
    <t>M201C-10G</t>
  </si>
  <si>
    <t>3/4" Polymer Water Meter Gallons Cold</t>
  </si>
  <si>
    <t>M201C-10L</t>
  </si>
  <si>
    <t>3/4" Polymer Water Meter Liters Cold</t>
  </si>
  <si>
    <t>M201C-CA-10G</t>
  </si>
  <si>
    <t>3/4" Polymer Water CA Meter Gallons Cold</t>
  </si>
  <si>
    <t>M201CH-10G</t>
  </si>
  <si>
    <t>3/4" Polymer Water Meter Gallons Cold/Hot</t>
  </si>
  <si>
    <t>M201CH-10L</t>
  </si>
  <si>
    <t>3/4" Polymer Water Meter Liters Cold/Hot</t>
  </si>
  <si>
    <t>M201CH-CA-10G</t>
  </si>
  <si>
    <t>3/4" Polymer Water CA Meter Gallons Cold/Hot</t>
  </si>
  <si>
    <t>3PC-Dual</t>
  </si>
  <si>
    <t>Gateway Connection Cable</t>
  </si>
  <si>
    <t>LS4-Cable</t>
  </si>
  <si>
    <t>Leak Sensor Cable</t>
  </si>
  <si>
    <t>LS4-Targeted</t>
  </si>
  <si>
    <t>Targeted Leak Sensor Cable</t>
  </si>
  <si>
    <t>ST201</t>
  </si>
  <si>
    <t>Spacer Tubes</t>
  </si>
  <si>
    <t>CS201</t>
  </si>
  <si>
    <t>Coupling Sets</t>
  </si>
  <si>
    <t>PLM</t>
  </si>
  <si>
    <t>Pit Lid Mount</t>
  </si>
  <si>
    <t>TR4 5.3 PCBA</t>
  </si>
  <si>
    <t>Transceiver PCBA</t>
  </si>
  <si>
    <t xml:space="preserve">Transceiver </t>
  </si>
  <si>
    <t>TR4 5.3 PCBA BOM</t>
  </si>
  <si>
    <t>RE4 3.1 PCBA</t>
  </si>
  <si>
    <t>Repeater PCBA</t>
  </si>
  <si>
    <t xml:space="preserve">Repeater </t>
  </si>
  <si>
    <t>RE4 3.1 PCBA BOM</t>
  </si>
  <si>
    <t>TR4-X 6.3 PCBA</t>
  </si>
  <si>
    <t>Outdoor Transceiver PCBA</t>
  </si>
  <si>
    <t>TR4-X 6.3 PCBA BOM</t>
  </si>
  <si>
    <t>RR4 5.3 PCBA</t>
  </si>
  <si>
    <t>Remote Reader PCBA</t>
  </si>
  <si>
    <t xml:space="preserve">Remote Reader </t>
  </si>
  <si>
    <t>RR4 5.3 PCBA BOM</t>
  </si>
  <si>
    <t>RR4-TR 5.3 PCBA</t>
  </si>
  <si>
    <t>Remote Reader (with integrated Transceiver) PCBA</t>
  </si>
  <si>
    <t>Remote Reader (with integrated Transceiver)</t>
  </si>
  <si>
    <t>RR4-TR 5.3 PCBA BOM</t>
  </si>
  <si>
    <t>NM4-I 1.5 PCBA</t>
  </si>
  <si>
    <t>NextMeter Indoor PCBA</t>
  </si>
  <si>
    <t>NextMeter Indoor</t>
  </si>
  <si>
    <t>NM4-I 1.5 PCBA BOM</t>
  </si>
  <si>
    <t>LS4 2.2 PCBA</t>
  </si>
  <si>
    <t>Leak Sensor PCBA</t>
  </si>
  <si>
    <t xml:space="preserve">Leak Sensor </t>
  </si>
  <si>
    <t>LS4 2.2 PCBA BOM</t>
  </si>
  <si>
    <t>GW4 4.6 PCBA</t>
  </si>
  <si>
    <t>Gateway PCBA</t>
  </si>
  <si>
    <t>GW4 4.6 PCBA BOM</t>
  </si>
  <si>
    <t>TR4-E 3.1 PCBA</t>
  </si>
  <si>
    <t>Transceiver-E PCBA</t>
  </si>
  <si>
    <t xml:space="preserve">Transceiver-E </t>
  </si>
  <si>
    <t>TR4-E 3.1 PCBA BOM</t>
  </si>
  <si>
    <t>NR4 2.2 PCBA</t>
  </si>
  <si>
    <t>Next Register PCBA</t>
  </si>
  <si>
    <t>NR4 2.2 PCBA BOM</t>
  </si>
  <si>
    <t>FSK 1.1 PCBA</t>
  </si>
  <si>
    <t>Field Splice Kit PCBA</t>
  </si>
  <si>
    <t xml:space="preserve">Field Splice Kit </t>
  </si>
  <si>
    <t>FSK 1.1 PCBA BOM</t>
  </si>
  <si>
    <t>TR4-I 4.4 PCBA</t>
  </si>
  <si>
    <t>Integrated Transceiver PCBA</t>
  </si>
  <si>
    <t>Integrated Transceiver</t>
  </si>
  <si>
    <t>TR4-I 4.4 PCBA BOM</t>
  </si>
  <si>
    <t>Master Production Scheduling</t>
  </si>
  <si>
    <t>Internal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</si>
</sst>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7" fillId="0" borderId="1" xfId="0" applyFont="1" applyBorder="1"/>
    <xf numFmtId="2" fontId="2" fillId="0" borderId="1" xfId="0" applyNumberFormat="1" applyFont="1" applyBorder="1" applyAlignment="1">
      <alignment wrapText="1"/>
    </xf>
    <xf numFmtId="0" fontId="2" fillId="0" borderId="1" xfId="0" applyNumberFormat="1" applyFont="1" applyBorder="1"/>
    <xf numFmtId="0" fontId="8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ItemSearchResults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BillsofMaterials36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earchResults"/>
    </sheetNames>
    <sheetDataSet>
      <sheetData sheetId="0" refreshError="1">
        <row r="1">
          <cell r="A1" t="str">
            <v>Name</v>
          </cell>
          <cell r="B1" t="str">
            <v>Internal ID</v>
          </cell>
        </row>
        <row r="2">
          <cell r="A2" t="str">
            <v>3PC-Dual</v>
          </cell>
          <cell r="B2">
            <v>1658</v>
          </cell>
        </row>
        <row r="3">
          <cell r="A3" t="str">
            <v>BAT201</v>
          </cell>
          <cell r="B3">
            <v>1649</v>
          </cell>
        </row>
        <row r="4">
          <cell r="A4" t="str">
            <v>BAT301</v>
          </cell>
          <cell r="B4">
            <v>1650</v>
          </cell>
        </row>
        <row r="5">
          <cell r="A5" t="str">
            <v>BAT4</v>
          </cell>
          <cell r="B5">
            <v>1651</v>
          </cell>
        </row>
        <row r="6">
          <cell r="A6" t="str">
            <v>CS201</v>
          </cell>
          <cell r="B6">
            <v>1662</v>
          </cell>
        </row>
        <row r="7">
          <cell r="A7" t="str">
            <v>DP Assem 3</v>
          </cell>
          <cell r="B7">
            <v>1736</v>
          </cell>
        </row>
        <row r="8">
          <cell r="A8" t="str">
            <v>DP Assembly 1</v>
          </cell>
          <cell r="B8">
            <v>834</v>
          </cell>
        </row>
        <row r="9">
          <cell r="A9" t="str">
            <v>DP Assembly 2</v>
          </cell>
          <cell r="B9">
            <v>835</v>
          </cell>
        </row>
        <row r="10">
          <cell r="A10" t="str">
            <v>FSK</v>
          </cell>
          <cell r="B10">
            <v>1647</v>
          </cell>
        </row>
        <row r="11">
          <cell r="A11" t="str">
            <v>FSK 1.1 PCBA</v>
          </cell>
          <cell r="B11">
            <v>1674</v>
          </cell>
        </row>
        <row r="12">
          <cell r="A12" t="str">
            <v>GW4</v>
          </cell>
          <cell r="B12">
            <v>5</v>
          </cell>
        </row>
        <row r="13">
          <cell r="A13" t="str">
            <v>GW4 4.6 PCBA</v>
          </cell>
          <cell r="B13">
            <v>1671</v>
          </cell>
        </row>
        <row r="14">
          <cell r="A14" t="str">
            <v>GW4-L</v>
          </cell>
          <cell r="B14">
            <v>1637</v>
          </cell>
        </row>
        <row r="15">
          <cell r="A15" t="str">
            <v>LS4</v>
          </cell>
          <cell r="B15">
            <v>1643</v>
          </cell>
        </row>
        <row r="16">
          <cell r="A16" t="str">
            <v>LS4 2.2 PCBA</v>
          </cell>
          <cell r="B16">
            <v>1670</v>
          </cell>
        </row>
        <row r="17">
          <cell r="A17" t="str">
            <v>LS4-Cable</v>
          </cell>
          <cell r="B17">
            <v>1659</v>
          </cell>
        </row>
        <row r="18">
          <cell r="A18" t="str">
            <v>LS4-Targeted</v>
          </cell>
          <cell r="B18">
            <v>1660</v>
          </cell>
        </row>
        <row r="19">
          <cell r="A19" t="str">
            <v>M201C</v>
          </cell>
          <cell r="B19">
            <v>6</v>
          </cell>
        </row>
        <row r="20">
          <cell r="A20" t="str">
            <v>M201C-10G</v>
          </cell>
          <cell r="B20">
            <v>1652</v>
          </cell>
        </row>
        <row r="21">
          <cell r="A21" t="str">
            <v>M201C-10L</v>
          </cell>
          <cell r="B21">
            <v>1653</v>
          </cell>
        </row>
        <row r="22">
          <cell r="A22" t="str">
            <v>M201C-CA-10G</v>
          </cell>
          <cell r="B22">
            <v>1654</v>
          </cell>
        </row>
        <row r="23">
          <cell r="A23" t="str">
            <v>M201CH</v>
          </cell>
          <cell r="B23">
            <v>7</v>
          </cell>
        </row>
        <row r="24">
          <cell r="A24" t="str">
            <v>M201CH-10G</v>
          </cell>
          <cell r="B24">
            <v>1655</v>
          </cell>
        </row>
        <row r="25">
          <cell r="A25" t="str">
            <v>M201CH-10L</v>
          </cell>
          <cell r="B25">
            <v>1656</v>
          </cell>
        </row>
        <row r="26">
          <cell r="A26" t="str">
            <v>M201CH-CA-10G</v>
          </cell>
          <cell r="B26">
            <v>1657</v>
          </cell>
        </row>
        <row r="27">
          <cell r="A27" t="str">
            <v>NM4</v>
          </cell>
          <cell r="B27">
            <v>1644</v>
          </cell>
        </row>
        <row r="28">
          <cell r="A28" t="str">
            <v>NM4-I 1.5 PCBA</v>
          </cell>
          <cell r="B28">
            <v>1669</v>
          </cell>
        </row>
        <row r="29">
          <cell r="A29" t="str">
            <v>NM4-Solar PCBA</v>
          </cell>
          <cell r="B29">
            <v>1743</v>
          </cell>
        </row>
        <row r="30">
          <cell r="A30" t="str">
            <v>NR4</v>
          </cell>
          <cell r="B30">
            <v>1648</v>
          </cell>
        </row>
        <row r="31">
          <cell r="A31" t="str">
            <v>NR4 2.2 PCBA</v>
          </cell>
          <cell r="B31">
            <v>1673</v>
          </cell>
        </row>
        <row r="32">
          <cell r="A32" t="str">
            <v>PLM</v>
          </cell>
          <cell r="B32">
            <v>1663</v>
          </cell>
        </row>
        <row r="33">
          <cell r="A33" t="str">
            <v>RE4</v>
          </cell>
          <cell r="B33">
            <v>9</v>
          </cell>
        </row>
        <row r="34">
          <cell r="A34" t="str">
            <v>RE4 3.1 PCBA</v>
          </cell>
          <cell r="B34">
            <v>728</v>
          </cell>
        </row>
        <row r="35">
          <cell r="A35" t="str">
            <v>RR4</v>
          </cell>
          <cell r="B35">
            <v>1645</v>
          </cell>
        </row>
        <row r="36">
          <cell r="A36" t="str">
            <v>RR4 5.3 PCBA</v>
          </cell>
          <cell r="B36">
            <v>1667</v>
          </cell>
        </row>
        <row r="37">
          <cell r="A37" t="str">
            <v>RR4-TR</v>
          </cell>
          <cell r="B37">
            <v>1646</v>
          </cell>
        </row>
        <row r="38">
          <cell r="A38" t="str">
            <v>RR4-TR 5.3 PCBA</v>
          </cell>
          <cell r="B38">
            <v>1668</v>
          </cell>
        </row>
        <row r="39">
          <cell r="A39" t="str">
            <v>Sam Assembly 1</v>
          </cell>
          <cell r="B39">
            <v>1738</v>
          </cell>
        </row>
        <row r="40">
          <cell r="A40" t="str">
            <v>Sam subassem 1</v>
          </cell>
          <cell r="B40">
            <v>1739</v>
          </cell>
        </row>
        <row r="41">
          <cell r="A41" t="str">
            <v>ST201</v>
          </cell>
          <cell r="B41">
            <v>1661</v>
          </cell>
        </row>
        <row r="42">
          <cell r="A42" t="str">
            <v>TR4 5.3 PCBA</v>
          </cell>
          <cell r="B42">
            <v>1664</v>
          </cell>
        </row>
        <row r="43">
          <cell r="A43" t="str">
            <v>TR4-E</v>
          </cell>
          <cell r="B43">
            <v>1641</v>
          </cell>
        </row>
        <row r="44">
          <cell r="A44" t="str">
            <v>TR4-E 3.1 PCBA</v>
          </cell>
          <cell r="B44">
            <v>1672</v>
          </cell>
        </row>
        <row r="45">
          <cell r="A45" t="str">
            <v>TR4-I</v>
          </cell>
          <cell r="B45">
            <v>1640</v>
          </cell>
        </row>
        <row r="46">
          <cell r="A46" t="str">
            <v>TR4-I 4.4 PCBA</v>
          </cell>
          <cell r="B46">
            <v>1675</v>
          </cell>
        </row>
        <row r="47">
          <cell r="A47" t="str">
            <v>TR4-PCBA</v>
          </cell>
          <cell r="B47">
            <v>724</v>
          </cell>
        </row>
        <row r="48">
          <cell r="A48" t="str">
            <v>TR4-X</v>
          </cell>
          <cell r="B48">
            <v>1642</v>
          </cell>
        </row>
        <row r="49">
          <cell r="A49" t="str">
            <v>TR4-X 6.3 PCBA</v>
          </cell>
          <cell r="B49">
            <v>1666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sofMaterial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TR4 - BOM</v>
          </cell>
          <cell r="B2">
            <v>2</v>
          </cell>
        </row>
        <row r="3">
          <cell r="A3" t="str">
            <v>TR4-PCBA - BOM</v>
          </cell>
          <cell r="B3">
            <v>3</v>
          </cell>
        </row>
        <row r="4">
          <cell r="A4" t="str">
            <v>GW-4 BOM</v>
          </cell>
          <cell r="B4">
            <v>4</v>
          </cell>
        </row>
        <row r="5">
          <cell r="A5" t="str">
            <v>RE4-BOM</v>
          </cell>
          <cell r="B5">
            <v>5</v>
          </cell>
        </row>
        <row r="6">
          <cell r="A6" t="str">
            <v>RE4 3.1 PCBA-BOM</v>
          </cell>
          <cell r="B6">
            <v>6</v>
          </cell>
        </row>
        <row r="7">
          <cell r="A7" t="str">
            <v>DP Assembly item - BOM</v>
          </cell>
          <cell r="B7">
            <v>7</v>
          </cell>
        </row>
        <row r="8">
          <cell r="A8" t="str">
            <v>DP Assembly item - BOM 2</v>
          </cell>
          <cell r="B8">
            <v>8</v>
          </cell>
        </row>
        <row r="9">
          <cell r="A9" t="str">
            <v>FSK 1.1 PCBA BOM</v>
          </cell>
          <cell r="B9">
            <v>9</v>
          </cell>
        </row>
        <row r="10">
          <cell r="A10" t="str">
            <v>FSK BOM</v>
          </cell>
          <cell r="B10">
            <v>10</v>
          </cell>
        </row>
        <row r="11">
          <cell r="A11" t="str">
            <v>GW4 4.6 PCBA BOM</v>
          </cell>
          <cell r="B11">
            <v>11</v>
          </cell>
        </row>
        <row r="12">
          <cell r="A12" t="str">
            <v>GW4 BOM</v>
          </cell>
          <cell r="B12">
            <v>12</v>
          </cell>
        </row>
        <row r="13">
          <cell r="A13" t="str">
            <v>GW4-L BOM</v>
          </cell>
          <cell r="B13">
            <v>13</v>
          </cell>
        </row>
        <row r="14">
          <cell r="A14" t="str">
            <v>LS4 2.2 PCBA BOM</v>
          </cell>
          <cell r="B14">
            <v>14</v>
          </cell>
        </row>
        <row r="15">
          <cell r="A15" t="str">
            <v>LS4 BOM</v>
          </cell>
          <cell r="B15">
            <v>15</v>
          </cell>
        </row>
        <row r="16">
          <cell r="A16" t="str">
            <v>NM4-I 1.5 PCBA BOM</v>
          </cell>
          <cell r="B16">
            <v>16</v>
          </cell>
        </row>
        <row r="17">
          <cell r="A17" t="str">
            <v>NM4-I BOM</v>
          </cell>
          <cell r="B17">
            <v>17</v>
          </cell>
        </row>
        <row r="18">
          <cell r="A18" t="str">
            <v>NR4 2.2 PCBA BOM</v>
          </cell>
          <cell r="B18">
            <v>18</v>
          </cell>
        </row>
        <row r="19">
          <cell r="A19" t="str">
            <v>NR4 BOM</v>
          </cell>
          <cell r="B19">
            <v>19</v>
          </cell>
        </row>
        <row r="20">
          <cell r="A20" t="str">
            <v>RE4 3.1 PCBA BOM</v>
          </cell>
          <cell r="B20">
            <v>20</v>
          </cell>
        </row>
        <row r="21">
          <cell r="A21" t="str">
            <v>RE4 BOM</v>
          </cell>
          <cell r="B21">
            <v>21</v>
          </cell>
        </row>
        <row r="22">
          <cell r="A22" t="str">
            <v>RR4 5.3 PCBA BOM</v>
          </cell>
          <cell r="B22">
            <v>22</v>
          </cell>
        </row>
        <row r="23">
          <cell r="A23" t="str">
            <v>RR4 BOM</v>
          </cell>
          <cell r="B23">
            <v>23</v>
          </cell>
        </row>
        <row r="24">
          <cell r="A24" t="str">
            <v>RR4-TR 5.3 PCBA BOM</v>
          </cell>
          <cell r="B24">
            <v>24</v>
          </cell>
        </row>
        <row r="25">
          <cell r="A25" t="str">
            <v>RR4-TR BOM</v>
          </cell>
          <cell r="B25">
            <v>25</v>
          </cell>
        </row>
        <row r="26">
          <cell r="A26" t="str">
            <v>TR4 5.3 PCBA BOM</v>
          </cell>
          <cell r="B26">
            <v>26</v>
          </cell>
        </row>
        <row r="27">
          <cell r="A27" t="str">
            <v>TR4 BOM</v>
          </cell>
          <cell r="B27">
            <v>27</v>
          </cell>
        </row>
        <row r="28">
          <cell r="A28" t="str">
            <v>TR4-E 3.1 PCBA BOM</v>
          </cell>
          <cell r="B28">
            <v>28</v>
          </cell>
        </row>
        <row r="29">
          <cell r="A29" t="str">
            <v>TR4-E BOM</v>
          </cell>
          <cell r="B29">
            <v>29</v>
          </cell>
        </row>
        <row r="30">
          <cell r="A30" t="str">
            <v>TR4-I 4.4 PCBA BOM</v>
          </cell>
          <cell r="B30">
            <v>30</v>
          </cell>
        </row>
        <row r="31">
          <cell r="A31" t="str">
            <v>TR4-I BOM</v>
          </cell>
          <cell r="B31">
            <v>31</v>
          </cell>
        </row>
        <row r="32">
          <cell r="A32" t="str">
            <v>TR4-X 6.3 PCBA BOM</v>
          </cell>
          <cell r="B32">
            <v>32</v>
          </cell>
        </row>
        <row r="33">
          <cell r="A33" t="str">
            <v>TR4-X BOM</v>
          </cell>
          <cell r="B33">
            <v>33</v>
          </cell>
        </row>
        <row r="34">
          <cell r="A34" t="str">
            <v>DP assem-BOM</v>
          </cell>
          <cell r="B34">
            <v>34</v>
          </cell>
        </row>
        <row r="35">
          <cell r="A35" t="str">
            <v>Sam Assem -BOM</v>
          </cell>
          <cell r="B35">
            <v>35</v>
          </cell>
        </row>
        <row r="36">
          <cell r="A36" t="str">
            <v>Sam Subassem-BOM</v>
          </cell>
          <cell r="B36">
            <v>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C79" sqref="C79"/>
    </sheetView>
  </sheetViews>
  <sheetFormatPr defaultColWidth="9.109375" defaultRowHeight="13.2" x14ac:dyDescent="0.25"/>
  <cols>
    <col min="1" max="1" width="34" style="2" bestFit="1" customWidth="1"/>
    <col min="2" max="2" width="14.5546875" style="2" bestFit="1" customWidth="1"/>
    <col min="3" max="3" width="15.109375" style="2" bestFit="1" customWidth="1"/>
    <col min="4" max="16384" width="9.1093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>
        <v>60</v>
      </c>
    </row>
    <row r="3" spans="1:3" x14ac:dyDescent="0.25">
      <c r="A3" s="3" t="s">
        <v>5</v>
      </c>
      <c r="B3" s="4" t="s">
        <v>4</v>
      </c>
      <c r="C3" s="4">
        <v>60</v>
      </c>
    </row>
    <row r="4" spans="1:3" x14ac:dyDescent="0.25">
      <c r="A4" s="3" t="s">
        <v>6</v>
      </c>
      <c r="B4" s="4" t="s">
        <v>4</v>
      </c>
      <c r="C4" s="4">
        <v>60</v>
      </c>
    </row>
    <row r="5" spans="1:3" x14ac:dyDescent="0.25">
      <c r="A5" s="3" t="s">
        <v>7</v>
      </c>
      <c r="B5" s="4" t="s">
        <v>4</v>
      </c>
      <c r="C5" s="4">
        <v>60</v>
      </c>
    </row>
    <row r="6" spans="1:3" x14ac:dyDescent="0.25">
      <c r="A6" s="3" t="s">
        <v>8</v>
      </c>
      <c r="B6" s="4" t="s">
        <v>9</v>
      </c>
      <c r="C6" s="4" t="s">
        <v>9</v>
      </c>
    </row>
    <row r="7" spans="1:3" x14ac:dyDescent="0.25">
      <c r="A7" s="3" t="s">
        <v>10</v>
      </c>
      <c r="B7" s="4" t="s">
        <v>4</v>
      </c>
      <c r="C7" s="4">
        <v>999</v>
      </c>
    </row>
    <row r="8" spans="1:3" x14ac:dyDescent="0.25">
      <c r="A8" s="3" t="s">
        <v>11</v>
      </c>
      <c r="B8" s="4" t="s">
        <v>12</v>
      </c>
      <c r="C8" s="4" t="s">
        <v>12</v>
      </c>
    </row>
    <row r="9" spans="1:3" x14ac:dyDescent="0.25">
      <c r="A9" s="3" t="s">
        <v>13</v>
      </c>
      <c r="B9" s="4"/>
      <c r="C9" s="4" t="s">
        <v>9</v>
      </c>
    </row>
    <row r="10" spans="1:3" x14ac:dyDescent="0.25">
      <c r="A10" s="3" t="s">
        <v>14</v>
      </c>
      <c r="B10" s="4" t="s">
        <v>9</v>
      </c>
      <c r="C10" s="4" t="s">
        <v>9</v>
      </c>
    </row>
    <row r="11" spans="1:3" x14ac:dyDescent="0.25">
      <c r="A11" s="3" t="s">
        <v>15</v>
      </c>
      <c r="B11" s="3" t="s">
        <v>16</v>
      </c>
      <c r="C11" s="3" t="s">
        <v>17</v>
      </c>
    </row>
    <row r="12" spans="1:3" x14ac:dyDescent="0.25">
      <c r="A12" s="3" t="s">
        <v>18</v>
      </c>
      <c r="B12" s="4" t="s">
        <v>4</v>
      </c>
      <c r="C12" s="4">
        <v>999</v>
      </c>
    </row>
    <row r="13" spans="1:3" x14ac:dyDescent="0.25">
      <c r="A13" s="3" t="s">
        <v>19</v>
      </c>
      <c r="B13" s="4" t="s">
        <v>9</v>
      </c>
      <c r="C13" s="4" t="s">
        <v>9</v>
      </c>
    </row>
    <row r="14" spans="1:3" x14ac:dyDescent="0.25">
      <c r="A14" s="3" t="s">
        <v>20</v>
      </c>
      <c r="B14" s="4" t="s">
        <v>9</v>
      </c>
      <c r="C14" s="4" t="s">
        <v>9</v>
      </c>
    </row>
    <row r="15" spans="1:3" x14ac:dyDescent="0.25">
      <c r="A15" s="3" t="s">
        <v>21</v>
      </c>
      <c r="B15" s="4" t="s">
        <v>9</v>
      </c>
      <c r="C15" s="4" t="s">
        <v>9</v>
      </c>
    </row>
    <row r="16" spans="1:3" x14ac:dyDescent="0.25">
      <c r="A16" s="3" t="s">
        <v>22</v>
      </c>
      <c r="B16" s="4" t="s">
        <v>12</v>
      </c>
      <c r="C16" s="4"/>
    </row>
    <row r="17" spans="1:3" x14ac:dyDescent="0.25">
      <c r="A17" s="3" t="s">
        <v>23</v>
      </c>
      <c r="B17" s="4" t="s">
        <v>9</v>
      </c>
      <c r="C17" s="4" t="s">
        <v>9</v>
      </c>
    </row>
    <row r="18" spans="1:3" x14ac:dyDescent="0.25">
      <c r="A18" s="3" t="s">
        <v>24</v>
      </c>
      <c r="B18" s="4" t="s">
        <v>9</v>
      </c>
      <c r="C18" s="4" t="s">
        <v>9</v>
      </c>
    </row>
    <row r="19" spans="1:3" x14ac:dyDescent="0.25">
      <c r="A19" s="3" t="s">
        <v>25</v>
      </c>
      <c r="B19" s="4"/>
      <c r="C19" s="4"/>
    </row>
    <row r="20" spans="1:3" x14ac:dyDescent="0.25">
      <c r="A20" s="3" t="s">
        <v>26</v>
      </c>
      <c r="B20" s="4" t="s">
        <v>9</v>
      </c>
      <c r="C20" s="4" t="s">
        <v>9</v>
      </c>
    </row>
    <row r="21" spans="1:3" x14ac:dyDescent="0.25">
      <c r="A21" s="3" t="s">
        <v>27</v>
      </c>
      <c r="B21" s="4" t="s">
        <v>9</v>
      </c>
      <c r="C21" s="4" t="s">
        <v>9</v>
      </c>
    </row>
    <row r="22" spans="1:3" x14ac:dyDescent="0.25">
      <c r="A22" s="3" t="s">
        <v>28</v>
      </c>
      <c r="B22" s="4"/>
      <c r="C22" s="4"/>
    </row>
    <row r="23" spans="1:3" x14ac:dyDescent="0.25">
      <c r="A23" s="3" t="s">
        <v>29</v>
      </c>
      <c r="B23" s="4" t="s">
        <v>9</v>
      </c>
      <c r="C23" s="4" t="s">
        <v>9</v>
      </c>
    </row>
    <row r="24" spans="1:3" x14ac:dyDescent="0.25">
      <c r="A24" s="3" t="s">
        <v>30</v>
      </c>
      <c r="B24" s="4" t="s">
        <v>9</v>
      </c>
      <c r="C24" s="4" t="s">
        <v>9</v>
      </c>
    </row>
    <row r="25" spans="1:3" x14ac:dyDescent="0.25">
      <c r="A25" s="3" t="s">
        <v>31</v>
      </c>
      <c r="B25" s="4"/>
      <c r="C25" s="4"/>
    </row>
    <row r="26" spans="1:3" x14ac:dyDescent="0.25">
      <c r="A26" s="3" t="s">
        <v>32</v>
      </c>
      <c r="B26" s="4"/>
      <c r="C26" s="4" t="s">
        <v>9</v>
      </c>
    </row>
    <row r="27" spans="1:3" x14ac:dyDescent="0.25">
      <c r="A27" s="3" t="s">
        <v>33</v>
      </c>
      <c r="B27" s="4" t="s">
        <v>12</v>
      </c>
      <c r="C27" s="4"/>
    </row>
    <row r="28" spans="1:3" x14ac:dyDescent="0.25">
      <c r="A28" s="3" t="s">
        <v>34</v>
      </c>
      <c r="B28" s="4" t="s">
        <v>12</v>
      </c>
      <c r="C28" s="4"/>
    </row>
    <row r="29" spans="1:3" x14ac:dyDescent="0.25">
      <c r="A29" s="3" t="s">
        <v>35</v>
      </c>
      <c r="B29" s="4" t="s">
        <v>12</v>
      </c>
      <c r="C29" s="4"/>
    </row>
    <row r="30" spans="1:3" x14ac:dyDescent="0.25">
      <c r="A30" s="3" t="s">
        <v>36</v>
      </c>
      <c r="B30" s="4" t="s">
        <v>12</v>
      </c>
      <c r="C30" s="4"/>
    </row>
    <row r="31" spans="1:3" x14ac:dyDescent="0.25">
      <c r="A31" s="3" t="s">
        <v>37</v>
      </c>
      <c r="B31" s="4" t="s">
        <v>9</v>
      </c>
      <c r="C31" s="4" t="s">
        <v>9</v>
      </c>
    </row>
    <row r="32" spans="1:3" x14ac:dyDescent="0.25">
      <c r="A32" s="3" t="s">
        <v>38</v>
      </c>
      <c r="B32" s="4" t="s">
        <v>12</v>
      </c>
      <c r="C32" s="4"/>
    </row>
    <row r="33" spans="1:3" x14ac:dyDescent="0.25">
      <c r="A33" s="3" t="s">
        <v>39</v>
      </c>
      <c r="B33" s="4" t="s">
        <v>12</v>
      </c>
      <c r="C33" s="4"/>
    </row>
    <row r="34" spans="1:3" x14ac:dyDescent="0.25">
      <c r="A34" s="3" t="s">
        <v>40</v>
      </c>
      <c r="B34" s="4" t="s">
        <v>12</v>
      </c>
      <c r="C34" s="4"/>
    </row>
    <row r="35" spans="1:3" x14ac:dyDescent="0.25">
      <c r="A35" s="3" t="s">
        <v>41</v>
      </c>
      <c r="B35" s="4" t="s">
        <v>12</v>
      </c>
      <c r="C35" s="4"/>
    </row>
    <row r="36" spans="1:3" x14ac:dyDescent="0.25">
      <c r="A36" s="3" t="s">
        <v>42</v>
      </c>
      <c r="B36" s="4" t="s">
        <v>9</v>
      </c>
      <c r="C36" s="4" t="s">
        <v>9</v>
      </c>
    </row>
    <row r="37" spans="1:3" x14ac:dyDescent="0.25">
      <c r="A37" s="3" t="s">
        <v>43</v>
      </c>
      <c r="B37" s="4" t="s">
        <v>12</v>
      </c>
      <c r="C37" s="4"/>
    </row>
    <row r="38" spans="1:3" x14ac:dyDescent="0.25">
      <c r="A38" s="3" t="s">
        <v>44</v>
      </c>
      <c r="B38" s="4" t="s">
        <v>12</v>
      </c>
      <c r="C38" s="4"/>
    </row>
    <row r="39" spans="1:3" x14ac:dyDescent="0.25">
      <c r="A39" s="3" t="s">
        <v>45</v>
      </c>
      <c r="B39" s="4" t="s">
        <v>12</v>
      </c>
      <c r="C39" s="4"/>
    </row>
    <row r="40" spans="1:3" x14ac:dyDescent="0.25">
      <c r="A40" s="3" t="s">
        <v>46</v>
      </c>
      <c r="B40" s="4" t="s">
        <v>12</v>
      </c>
      <c r="C40" s="4"/>
    </row>
    <row r="41" spans="1:3" x14ac:dyDescent="0.25">
      <c r="A41" s="3" t="s">
        <v>47</v>
      </c>
      <c r="B41" s="4" t="s">
        <v>9</v>
      </c>
      <c r="C41" s="4" t="s">
        <v>9</v>
      </c>
    </row>
    <row r="42" spans="1:3" x14ac:dyDescent="0.25">
      <c r="A42" s="3" t="s">
        <v>48</v>
      </c>
      <c r="B42" s="4" t="s">
        <v>9</v>
      </c>
      <c r="C42" s="4" t="s">
        <v>9</v>
      </c>
    </row>
    <row r="43" spans="1:3" x14ac:dyDescent="0.25">
      <c r="A43" s="3" t="s">
        <v>49</v>
      </c>
      <c r="B43" s="4" t="s">
        <v>9</v>
      </c>
      <c r="C43" s="4" t="s">
        <v>9</v>
      </c>
    </row>
    <row r="44" spans="1:3" x14ac:dyDescent="0.25">
      <c r="A44" s="3" t="s">
        <v>50</v>
      </c>
      <c r="B44" s="4" t="s">
        <v>9</v>
      </c>
      <c r="C44" s="4" t="s">
        <v>9</v>
      </c>
    </row>
    <row r="45" spans="1:3" x14ac:dyDescent="0.25">
      <c r="A45" s="3" t="s">
        <v>51</v>
      </c>
      <c r="B45" s="4"/>
      <c r="C45" s="4"/>
    </row>
    <row r="46" spans="1:3" x14ac:dyDescent="0.25">
      <c r="A46" s="3" t="s">
        <v>52</v>
      </c>
      <c r="B46" s="4" t="s">
        <v>12</v>
      </c>
      <c r="C46" s="4"/>
    </row>
    <row r="47" spans="1:3" x14ac:dyDescent="0.25">
      <c r="A47" s="3" t="s">
        <v>53</v>
      </c>
      <c r="B47" s="4" t="s">
        <v>12</v>
      </c>
      <c r="C47" s="4"/>
    </row>
    <row r="48" spans="1:3" x14ac:dyDescent="0.25">
      <c r="A48" s="3" t="s">
        <v>54</v>
      </c>
      <c r="B48" s="4" t="s">
        <v>12</v>
      </c>
      <c r="C48" s="4"/>
    </row>
    <row r="49" spans="1:3" x14ac:dyDescent="0.25">
      <c r="A49" s="3" t="s">
        <v>55</v>
      </c>
      <c r="B49" s="4" t="s">
        <v>9</v>
      </c>
      <c r="C49" s="4" t="s">
        <v>9</v>
      </c>
    </row>
    <row r="50" spans="1:3" x14ac:dyDescent="0.25">
      <c r="A50" s="3" t="s">
        <v>56</v>
      </c>
      <c r="B50" s="4"/>
      <c r="C50" s="4"/>
    </row>
    <row r="51" spans="1:3" x14ac:dyDescent="0.25">
      <c r="A51" s="3" t="s">
        <v>57</v>
      </c>
      <c r="B51" s="4" t="s">
        <v>16</v>
      </c>
      <c r="C51" s="4" t="s">
        <v>17</v>
      </c>
    </row>
    <row r="52" spans="1:3" x14ac:dyDescent="0.25">
      <c r="A52" s="3" t="s">
        <v>58</v>
      </c>
      <c r="B52" s="4" t="s">
        <v>16</v>
      </c>
      <c r="C52" s="4" t="s">
        <v>17</v>
      </c>
    </row>
    <row r="53" spans="1:3" x14ac:dyDescent="0.25">
      <c r="A53" s="3" t="s">
        <v>59</v>
      </c>
      <c r="B53" s="4" t="s">
        <v>16</v>
      </c>
      <c r="C53" s="4" t="s">
        <v>17</v>
      </c>
    </row>
    <row r="54" spans="1:3" x14ac:dyDescent="0.25">
      <c r="A54" s="3" t="s">
        <v>60</v>
      </c>
      <c r="B54" s="4" t="s">
        <v>4</v>
      </c>
      <c r="C54" s="4">
        <v>99</v>
      </c>
    </row>
    <row r="55" spans="1:3" x14ac:dyDescent="0.25">
      <c r="A55" s="3" t="s">
        <v>61</v>
      </c>
      <c r="B55" s="4" t="s">
        <v>9</v>
      </c>
      <c r="C55" s="4" t="s">
        <v>9</v>
      </c>
    </row>
    <row r="56" spans="1:3" x14ac:dyDescent="0.25">
      <c r="A56" s="3" t="s">
        <v>62</v>
      </c>
      <c r="B56" s="4" t="s">
        <v>4</v>
      </c>
      <c r="C56" s="4">
        <v>999</v>
      </c>
    </row>
    <row r="57" spans="1:3" x14ac:dyDescent="0.25">
      <c r="A57" s="3" t="s">
        <v>63</v>
      </c>
      <c r="B57" s="4" t="s">
        <v>9</v>
      </c>
      <c r="C57" s="4" t="s">
        <v>9</v>
      </c>
    </row>
    <row r="58" spans="1:3" x14ac:dyDescent="0.25">
      <c r="A58" s="3" t="s">
        <v>64</v>
      </c>
      <c r="B58" s="4" t="s">
        <v>4</v>
      </c>
      <c r="C58" s="4">
        <v>4000</v>
      </c>
    </row>
    <row r="59" spans="1:3" x14ac:dyDescent="0.25">
      <c r="A59" s="3" t="s">
        <v>65</v>
      </c>
      <c r="B59" s="4" t="s">
        <v>9</v>
      </c>
      <c r="C59" s="4" t="s">
        <v>9</v>
      </c>
    </row>
    <row r="60" spans="1:3" x14ac:dyDescent="0.25">
      <c r="A60" s="3" t="s">
        <v>66</v>
      </c>
      <c r="B60" s="4" t="s">
        <v>9</v>
      </c>
      <c r="C60" s="4" t="s">
        <v>9</v>
      </c>
    </row>
    <row r="61" spans="1:3" x14ac:dyDescent="0.25">
      <c r="A61" s="3" t="s">
        <v>67</v>
      </c>
      <c r="B61" s="4" t="s">
        <v>4</v>
      </c>
      <c r="C61" s="4">
        <v>4000</v>
      </c>
    </row>
    <row r="62" spans="1:3" x14ac:dyDescent="0.25">
      <c r="A62" s="3" t="s">
        <v>68</v>
      </c>
      <c r="B62" s="4" t="s">
        <v>16</v>
      </c>
      <c r="C62" s="4" t="s">
        <v>17</v>
      </c>
    </row>
    <row r="63" spans="1:3" x14ac:dyDescent="0.25">
      <c r="A63" s="3" t="s">
        <v>69</v>
      </c>
      <c r="B63" s="4" t="s">
        <v>4</v>
      </c>
      <c r="C63" s="4">
        <v>4000</v>
      </c>
    </row>
    <row r="64" spans="1:3" x14ac:dyDescent="0.25">
      <c r="A64" s="3" t="s">
        <v>70</v>
      </c>
      <c r="B64" s="4" t="s">
        <v>9</v>
      </c>
      <c r="C64" s="4" t="s">
        <v>9</v>
      </c>
    </row>
    <row r="65" spans="1:3" x14ac:dyDescent="0.25">
      <c r="A65" s="3" t="s">
        <v>71</v>
      </c>
      <c r="B65" s="4" t="s">
        <v>16</v>
      </c>
      <c r="C65" s="4" t="s">
        <v>17</v>
      </c>
    </row>
    <row r="66" spans="1:3" x14ac:dyDescent="0.25">
      <c r="A66" s="3" t="s">
        <v>72</v>
      </c>
      <c r="B66" s="4" t="s">
        <v>16</v>
      </c>
      <c r="C66" s="4" t="s">
        <v>17</v>
      </c>
    </row>
    <row r="67" spans="1:3" x14ac:dyDescent="0.25">
      <c r="A67" s="3" t="s">
        <v>73</v>
      </c>
      <c r="B67" s="4" t="s">
        <v>9</v>
      </c>
      <c r="C67" s="4" t="s">
        <v>9</v>
      </c>
    </row>
    <row r="68" spans="1:3" x14ac:dyDescent="0.25">
      <c r="A68" s="3" t="s">
        <v>74</v>
      </c>
      <c r="B68" s="4" t="s">
        <v>9</v>
      </c>
      <c r="C68" s="4" t="s">
        <v>9</v>
      </c>
    </row>
    <row r="69" spans="1:3" x14ac:dyDescent="0.25">
      <c r="A69" s="3" t="s">
        <v>75</v>
      </c>
      <c r="B69" s="4" t="s">
        <v>9</v>
      </c>
      <c r="C69" s="4" t="s">
        <v>9</v>
      </c>
    </row>
    <row r="70" spans="1:3" x14ac:dyDescent="0.25">
      <c r="A70" s="3" t="s">
        <v>76</v>
      </c>
      <c r="B70" s="4" t="s">
        <v>9</v>
      </c>
      <c r="C70" s="4" t="s">
        <v>9</v>
      </c>
    </row>
    <row r="71" spans="1:3" x14ac:dyDescent="0.25">
      <c r="A71" s="3" t="s">
        <v>77</v>
      </c>
      <c r="B71" s="3" t="s">
        <v>4</v>
      </c>
      <c r="C71" s="3">
        <v>999</v>
      </c>
    </row>
    <row r="72" spans="1:3" x14ac:dyDescent="0.25">
      <c r="A72" s="3" t="s">
        <v>78</v>
      </c>
      <c r="B72" s="4" t="s">
        <v>9</v>
      </c>
      <c r="C72" s="3" t="s">
        <v>9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zoomScale="80" zoomScaleNormal="80" workbookViewId="0">
      <pane xSplit="1" topLeftCell="P1" activePane="topRight" state="frozen"/>
      <selection pane="topRight" activeCell="R14" sqref="R14"/>
    </sheetView>
  </sheetViews>
  <sheetFormatPr defaultColWidth="30.5546875" defaultRowHeight="13.2" x14ac:dyDescent="0.25"/>
  <cols>
    <col min="1" max="2" width="34.44140625" style="6" customWidth="1"/>
    <col min="3" max="3" width="52.33203125" style="6" bestFit="1" customWidth="1"/>
    <col min="4" max="4" width="30" style="6" customWidth="1"/>
    <col min="5" max="5" width="26.44140625" style="6" bestFit="1" customWidth="1"/>
    <col min="6" max="6" width="26.44140625" style="6" customWidth="1"/>
    <col min="7" max="7" width="26.44140625" style="6" bestFit="1" customWidth="1"/>
    <col min="8" max="8" width="26.44140625" style="6" customWidth="1"/>
    <col min="9" max="9" width="31.88671875" style="6" customWidth="1"/>
    <col min="10" max="10" width="32" style="6" customWidth="1"/>
    <col min="11" max="11" width="31.88671875" style="6" customWidth="1"/>
    <col min="12" max="12" width="30.88671875" style="6" bestFit="1" customWidth="1"/>
    <col min="13" max="13" width="41.44140625" style="12" customWidth="1"/>
    <col min="14" max="14" width="38.5546875" style="12" customWidth="1"/>
    <col min="15" max="15" width="36" style="12" bestFit="1" customWidth="1"/>
    <col min="16" max="16" width="28.88671875" style="6" bestFit="1" customWidth="1"/>
    <col min="17" max="16384" width="30.5546875" style="6"/>
  </cols>
  <sheetData>
    <row r="1" spans="1:21" s="5" customFormat="1" x14ac:dyDescent="0.25">
      <c r="A1" s="7" t="s">
        <v>79</v>
      </c>
      <c r="B1" s="7" t="s">
        <v>230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103</v>
      </c>
      <c r="K1" s="5" t="s">
        <v>87</v>
      </c>
      <c r="L1" s="7" t="s">
        <v>88</v>
      </c>
      <c r="M1" s="10" t="s">
        <v>89</v>
      </c>
      <c r="N1" s="10" t="s">
        <v>90</v>
      </c>
      <c r="O1" s="10" t="s">
        <v>91</v>
      </c>
      <c r="P1" s="7" t="s">
        <v>92</v>
      </c>
      <c r="Q1" s="8" t="s">
        <v>93</v>
      </c>
      <c r="R1" s="8"/>
      <c r="S1" s="5" t="s">
        <v>94</v>
      </c>
      <c r="T1" s="5" t="s">
        <v>104</v>
      </c>
      <c r="U1" s="5" t="s">
        <v>105</v>
      </c>
    </row>
    <row r="2" spans="1:21" ht="15" customHeight="1" x14ac:dyDescent="0.3">
      <c r="A2" s="6" t="s">
        <v>95</v>
      </c>
      <c r="B2" s="6">
        <f>VLOOKUP(A:A,[1]ItemSearchResults!$A:$B,2,0)</f>
        <v>5</v>
      </c>
      <c r="C2" s="6" t="s">
        <v>96</v>
      </c>
      <c r="D2" s="6" t="s">
        <v>97</v>
      </c>
      <c r="E2" s="6" t="s">
        <v>98</v>
      </c>
      <c r="F2" s="6" t="s">
        <v>98</v>
      </c>
      <c r="G2" s="6" t="s">
        <v>98</v>
      </c>
      <c r="H2" s="6" t="s">
        <v>98</v>
      </c>
      <c r="I2" s="6" t="s">
        <v>99</v>
      </c>
      <c r="J2" s="6" t="s">
        <v>106</v>
      </c>
      <c r="K2" s="9" t="s">
        <v>100</v>
      </c>
      <c r="L2" s="6" t="s">
        <v>101</v>
      </c>
      <c r="M2" s="12">
        <v>636</v>
      </c>
      <c r="N2" s="12">
        <v>948</v>
      </c>
      <c r="O2" s="11">
        <v>422</v>
      </c>
      <c r="P2" s="6" t="s">
        <v>102</v>
      </c>
      <c r="Q2" s="6" t="s">
        <v>107</v>
      </c>
      <c r="R2" s="6">
        <f>VLOOKUP(Q:Q,[2]BillsofMaterials!$A:$B,2,0)</f>
        <v>12</v>
      </c>
      <c r="T2" s="6" t="s">
        <v>229</v>
      </c>
      <c r="U2" s="6">
        <v>2</v>
      </c>
    </row>
    <row r="3" spans="1:21" ht="15" customHeight="1" x14ac:dyDescent="0.3">
      <c r="A3" s="6" t="s">
        <v>108</v>
      </c>
      <c r="B3" s="6">
        <f>VLOOKUP(A:A,[1]ItemSearchResults!$A:$B,2,0)</f>
        <v>1637</v>
      </c>
      <c r="C3" s="6" t="s">
        <v>109</v>
      </c>
      <c r="D3" s="6" t="s">
        <v>97</v>
      </c>
      <c r="E3" s="6" t="s">
        <v>98</v>
      </c>
      <c r="F3" s="6" t="s">
        <v>98</v>
      </c>
      <c r="G3" s="6" t="s">
        <v>98</v>
      </c>
      <c r="H3" s="6" t="s">
        <v>98</v>
      </c>
      <c r="I3" s="6" t="s">
        <v>99</v>
      </c>
      <c r="J3" s="6" t="s">
        <v>110</v>
      </c>
      <c r="K3" s="6" t="s">
        <v>100</v>
      </c>
      <c r="L3" s="6" t="s">
        <v>101</v>
      </c>
      <c r="M3" s="12">
        <v>636</v>
      </c>
      <c r="N3" s="12">
        <v>948</v>
      </c>
      <c r="O3" s="11">
        <v>422</v>
      </c>
      <c r="P3" s="6" t="s">
        <v>102</v>
      </c>
      <c r="Q3" s="6" t="s">
        <v>111</v>
      </c>
      <c r="R3" s="6">
        <f>VLOOKUP(Q:Q,[2]BillsofMaterials!$A:$B,2,0)</f>
        <v>13</v>
      </c>
      <c r="T3" s="6" t="s">
        <v>229</v>
      </c>
      <c r="U3" s="6">
        <v>2</v>
      </c>
    </row>
    <row r="4" spans="1:21" ht="15" customHeight="1" x14ac:dyDescent="0.3">
      <c r="A4" s="6" t="s">
        <v>112</v>
      </c>
      <c r="B4" s="6">
        <f>VLOOKUP(A:A,[1]ItemSearchResults!$A:$B,2,0)</f>
        <v>9</v>
      </c>
      <c r="C4" s="6" t="s">
        <v>113</v>
      </c>
      <c r="D4" s="6" t="s">
        <v>97</v>
      </c>
      <c r="E4" s="6" t="s">
        <v>98</v>
      </c>
      <c r="F4" s="6" t="s">
        <v>98</v>
      </c>
      <c r="G4" s="6" t="s">
        <v>98</v>
      </c>
      <c r="H4" s="6" t="s">
        <v>98</v>
      </c>
      <c r="I4" s="6" t="s">
        <v>99</v>
      </c>
      <c r="J4" s="6" t="s">
        <v>114</v>
      </c>
      <c r="K4" s="6" t="s">
        <v>100</v>
      </c>
      <c r="L4" s="6" t="s">
        <v>101</v>
      </c>
      <c r="M4" s="12">
        <v>631</v>
      </c>
      <c r="N4" s="12">
        <v>952</v>
      </c>
      <c r="O4" s="11">
        <v>422</v>
      </c>
      <c r="P4" s="6" t="s">
        <v>102</v>
      </c>
      <c r="Q4" s="6" t="s">
        <v>115</v>
      </c>
      <c r="R4" s="6">
        <f>VLOOKUP(Q:Q,[2]BillsofMaterials!$A:$B,2,0)</f>
        <v>21</v>
      </c>
      <c r="T4" s="6" t="s">
        <v>229</v>
      </c>
      <c r="U4" s="6">
        <v>2</v>
      </c>
    </row>
    <row r="5" spans="1:21" ht="15" customHeight="1" x14ac:dyDescent="0.3">
      <c r="A5" s="6" t="s">
        <v>120</v>
      </c>
      <c r="B5" s="6">
        <f>VLOOKUP(A:A,[1]ItemSearchResults!$A:$B,2,0)</f>
        <v>1640</v>
      </c>
      <c r="C5" s="6" t="s">
        <v>121</v>
      </c>
      <c r="D5" s="6" t="s">
        <v>97</v>
      </c>
      <c r="E5" s="6" t="s">
        <v>98</v>
      </c>
      <c r="F5" s="6" t="s">
        <v>98</v>
      </c>
      <c r="G5" s="6" t="s">
        <v>98</v>
      </c>
      <c r="H5" s="6" t="s">
        <v>98</v>
      </c>
      <c r="I5" s="6" t="s">
        <v>99</v>
      </c>
      <c r="J5" s="6" t="s">
        <v>122</v>
      </c>
      <c r="K5" s="6" t="s">
        <v>100</v>
      </c>
      <c r="L5" s="6" t="s">
        <v>101</v>
      </c>
      <c r="M5" s="12">
        <v>628</v>
      </c>
      <c r="N5" s="12">
        <v>851</v>
      </c>
      <c r="O5" s="11">
        <v>422</v>
      </c>
      <c r="P5" s="6" t="s">
        <v>102</v>
      </c>
      <c r="Q5" s="6" t="s">
        <v>123</v>
      </c>
      <c r="R5" s="6">
        <f>VLOOKUP(Q:Q,[2]BillsofMaterials!$A:$B,2,0)</f>
        <v>31</v>
      </c>
      <c r="T5" s="6" t="s">
        <v>229</v>
      </c>
      <c r="U5" s="6">
        <v>2</v>
      </c>
    </row>
    <row r="6" spans="1:21" ht="15" customHeight="1" x14ac:dyDescent="0.3">
      <c r="A6" s="6" t="s">
        <v>124</v>
      </c>
      <c r="B6" s="6">
        <f>VLOOKUP(A:A,[1]ItemSearchResults!$A:$B,2,0)</f>
        <v>1641</v>
      </c>
      <c r="C6" s="6" t="s">
        <v>125</v>
      </c>
      <c r="D6" s="6" t="s">
        <v>97</v>
      </c>
      <c r="E6" s="6" t="s">
        <v>98</v>
      </c>
      <c r="F6" s="6" t="s">
        <v>98</v>
      </c>
      <c r="G6" s="6" t="s">
        <v>98</v>
      </c>
      <c r="H6" s="6" t="s">
        <v>98</v>
      </c>
      <c r="I6" s="6" t="s">
        <v>99</v>
      </c>
      <c r="J6" s="6" t="s">
        <v>126</v>
      </c>
      <c r="K6" s="6" t="s">
        <v>100</v>
      </c>
      <c r="L6" s="6" t="s">
        <v>101</v>
      </c>
      <c r="M6" s="12">
        <v>626</v>
      </c>
      <c r="N6" s="12">
        <v>850</v>
      </c>
      <c r="O6" s="11">
        <v>422</v>
      </c>
      <c r="P6" s="6" t="s">
        <v>102</v>
      </c>
      <c r="Q6" s="6" t="s">
        <v>127</v>
      </c>
      <c r="R6" s="6">
        <f>VLOOKUP(Q:Q,[2]BillsofMaterials!$A:$B,2,0)</f>
        <v>29</v>
      </c>
      <c r="T6" s="6" t="s">
        <v>229</v>
      </c>
      <c r="U6" s="6">
        <v>2</v>
      </c>
    </row>
    <row r="7" spans="1:21" ht="15" customHeight="1" x14ac:dyDescent="0.3">
      <c r="A7" s="6" t="s">
        <v>128</v>
      </c>
      <c r="B7" s="6">
        <f>VLOOKUP(A:A,[1]ItemSearchResults!$A:$B,2,0)</f>
        <v>1642</v>
      </c>
      <c r="C7" s="6" t="s">
        <v>129</v>
      </c>
      <c r="D7" s="6" t="s">
        <v>97</v>
      </c>
      <c r="E7" s="6" t="s">
        <v>98</v>
      </c>
      <c r="F7" s="6" t="s">
        <v>98</v>
      </c>
      <c r="G7" s="6" t="s">
        <v>98</v>
      </c>
      <c r="H7" s="6" t="s">
        <v>98</v>
      </c>
      <c r="I7" s="6" t="s">
        <v>99</v>
      </c>
      <c r="J7" s="6" t="s">
        <v>130</v>
      </c>
      <c r="K7" s="6" t="s">
        <v>100</v>
      </c>
      <c r="L7" s="6" t="s">
        <v>101</v>
      </c>
      <c r="M7" s="12">
        <v>627</v>
      </c>
      <c r="N7" s="12">
        <v>852</v>
      </c>
      <c r="O7" s="11">
        <v>422</v>
      </c>
      <c r="P7" s="6" t="s">
        <v>102</v>
      </c>
      <c r="Q7" s="6" t="s">
        <v>131</v>
      </c>
      <c r="R7" s="6">
        <f>VLOOKUP(Q:Q,[2]BillsofMaterials!$A:$B,2,0)</f>
        <v>33</v>
      </c>
      <c r="T7" s="6" t="s">
        <v>229</v>
      </c>
      <c r="U7" s="6">
        <v>2</v>
      </c>
    </row>
    <row r="8" spans="1:21" ht="15" customHeight="1" x14ac:dyDescent="0.3">
      <c r="A8" s="6" t="s">
        <v>132</v>
      </c>
      <c r="B8" s="6">
        <f>VLOOKUP(A:A,[1]ItemSearchResults!$A:$B,2,0)</f>
        <v>1643</v>
      </c>
      <c r="C8" s="6" t="s">
        <v>133</v>
      </c>
      <c r="D8" s="6" t="s">
        <v>97</v>
      </c>
      <c r="E8" s="6" t="s">
        <v>98</v>
      </c>
      <c r="F8" s="6" t="s">
        <v>98</v>
      </c>
      <c r="G8" s="6" t="s">
        <v>98</v>
      </c>
      <c r="H8" s="6" t="s">
        <v>98</v>
      </c>
      <c r="I8" s="6" t="s">
        <v>99</v>
      </c>
      <c r="J8" s="6" t="s">
        <v>134</v>
      </c>
      <c r="K8" s="6" t="s">
        <v>100</v>
      </c>
      <c r="L8" s="6" t="s">
        <v>101</v>
      </c>
      <c r="M8" s="12">
        <v>645</v>
      </c>
      <c r="N8" s="12">
        <v>1045</v>
      </c>
      <c r="O8" s="11">
        <v>422</v>
      </c>
      <c r="P8" s="6" t="s">
        <v>102</v>
      </c>
      <c r="Q8" s="6" t="s">
        <v>135</v>
      </c>
      <c r="R8" s="6">
        <f>VLOOKUP(Q:Q,[2]BillsofMaterials!$A:$B,2,0)</f>
        <v>15</v>
      </c>
      <c r="T8" s="6" t="s">
        <v>229</v>
      </c>
      <c r="U8" s="6">
        <v>2</v>
      </c>
    </row>
    <row r="9" spans="1:21" ht="15" customHeight="1" x14ac:dyDescent="0.3">
      <c r="A9" s="6" t="s">
        <v>136</v>
      </c>
      <c r="B9" s="6">
        <f>VLOOKUP(A:A,[1]ItemSearchResults!$A:$B,2,0)</f>
        <v>1644</v>
      </c>
      <c r="C9" s="6" t="s">
        <v>137</v>
      </c>
      <c r="D9" s="6" t="s">
        <v>97</v>
      </c>
      <c r="E9" s="6" t="s">
        <v>98</v>
      </c>
      <c r="F9" s="6" t="s">
        <v>98</v>
      </c>
      <c r="G9" s="6" t="s">
        <v>98</v>
      </c>
      <c r="H9" s="6" t="s">
        <v>98</v>
      </c>
      <c r="I9" s="6" t="s">
        <v>99</v>
      </c>
      <c r="J9" s="6" t="s">
        <v>138</v>
      </c>
      <c r="K9" s="6" t="s">
        <v>100</v>
      </c>
      <c r="L9" s="6" t="s">
        <v>101</v>
      </c>
      <c r="M9" s="12">
        <v>526</v>
      </c>
      <c r="N9" s="12">
        <v>844</v>
      </c>
      <c r="O9" s="11">
        <v>422</v>
      </c>
      <c r="P9" s="6" t="s">
        <v>102</v>
      </c>
      <c r="Q9" s="6" t="s">
        <v>139</v>
      </c>
      <c r="R9" s="6">
        <f>VLOOKUP(Q:Q,[2]BillsofMaterials!$A:$B,2,0)</f>
        <v>17</v>
      </c>
      <c r="T9" s="6" t="s">
        <v>229</v>
      </c>
      <c r="U9" s="6">
        <v>2</v>
      </c>
    </row>
    <row r="10" spans="1:21" ht="15" customHeight="1" x14ac:dyDescent="0.3">
      <c r="A10" s="6" t="s">
        <v>140</v>
      </c>
      <c r="B10" s="6">
        <f>VLOOKUP(A:A,[1]ItemSearchResults!$A:$B,2,0)</f>
        <v>1645</v>
      </c>
      <c r="C10" s="6" t="s">
        <v>141</v>
      </c>
      <c r="D10" s="6" t="s">
        <v>97</v>
      </c>
      <c r="E10" s="6" t="s">
        <v>98</v>
      </c>
      <c r="F10" s="6" t="s">
        <v>98</v>
      </c>
      <c r="G10" s="6" t="s">
        <v>98</v>
      </c>
      <c r="H10" s="6" t="s">
        <v>98</v>
      </c>
      <c r="I10" s="6" t="s">
        <v>99</v>
      </c>
      <c r="J10" s="6" t="s">
        <v>142</v>
      </c>
      <c r="K10" s="6" t="s">
        <v>100</v>
      </c>
      <c r="L10" s="6" t="s">
        <v>101</v>
      </c>
      <c r="M10" s="12">
        <v>639</v>
      </c>
      <c r="N10" s="12">
        <v>952</v>
      </c>
      <c r="O10" s="11">
        <v>422</v>
      </c>
      <c r="P10" s="6" t="s">
        <v>102</v>
      </c>
      <c r="Q10" s="6" t="s">
        <v>143</v>
      </c>
      <c r="R10" s="6">
        <f>VLOOKUP(Q:Q,[2]BillsofMaterials!$A:$B,2,0)</f>
        <v>23</v>
      </c>
      <c r="T10" s="6" t="s">
        <v>229</v>
      </c>
      <c r="U10" s="6">
        <v>2</v>
      </c>
    </row>
    <row r="11" spans="1:21" ht="15" customHeight="1" x14ac:dyDescent="0.3">
      <c r="A11" s="6" t="s">
        <v>144</v>
      </c>
      <c r="B11" s="6">
        <f>VLOOKUP(A:A,[1]ItemSearchResults!$A:$B,2,0)</f>
        <v>1646</v>
      </c>
      <c r="C11" s="6" t="s">
        <v>145</v>
      </c>
      <c r="D11" s="6" t="s">
        <v>97</v>
      </c>
      <c r="E11" s="6" t="s">
        <v>98</v>
      </c>
      <c r="F11" s="6" t="s">
        <v>98</v>
      </c>
      <c r="G11" s="6" t="s">
        <v>98</v>
      </c>
      <c r="H11" s="6" t="s">
        <v>98</v>
      </c>
      <c r="I11" s="6" t="s">
        <v>99</v>
      </c>
      <c r="J11" s="6" t="s">
        <v>146</v>
      </c>
      <c r="K11" s="6" t="s">
        <v>100</v>
      </c>
      <c r="L11" s="6" t="s">
        <v>101</v>
      </c>
      <c r="M11" s="12">
        <v>640</v>
      </c>
      <c r="N11" s="12">
        <v>951</v>
      </c>
      <c r="O11" s="11">
        <v>422</v>
      </c>
      <c r="P11" s="6" t="s">
        <v>102</v>
      </c>
      <c r="Q11" s="6" t="s">
        <v>147</v>
      </c>
      <c r="R11" s="6">
        <f>VLOOKUP(Q:Q,[2]BillsofMaterials!$A:$B,2,0)</f>
        <v>25</v>
      </c>
      <c r="T11" s="6" t="s">
        <v>229</v>
      </c>
      <c r="U11" s="6">
        <v>2</v>
      </c>
    </row>
    <row r="12" spans="1:21" ht="15" customHeight="1" x14ac:dyDescent="0.3">
      <c r="A12" s="6" t="s">
        <v>148</v>
      </c>
      <c r="B12" s="6">
        <f>VLOOKUP(A:A,[1]ItemSearchResults!$A:$B,2,0)</f>
        <v>1647</v>
      </c>
      <c r="C12" s="6" t="s">
        <v>149</v>
      </c>
      <c r="D12" s="6" t="s">
        <v>97</v>
      </c>
      <c r="E12" s="6" t="s">
        <v>98</v>
      </c>
      <c r="F12" s="6" t="s">
        <v>98</v>
      </c>
      <c r="G12" s="6" t="s">
        <v>98</v>
      </c>
      <c r="H12" s="6" t="s">
        <v>98</v>
      </c>
      <c r="I12" s="6" t="s">
        <v>99</v>
      </c>
      <c r="J12" s="6" t="s">
        <v>149</v>
      </c>
      <c r="K12" s="6" t="s">
        <v>100</v>
      </c>
      <c r="L12" s="6" t="s">
        <v>101</v>
      </c>
      <c r="M12" s="12">
        <v>1055</v>
      </c>
      <c r="N12" s="12">
        <v>1057</v>
      </c>
      <c r="O12" s="11">
        <v>422</v>
      </c>
      <c r="P12" s="6" t="s">
        <v>102</v>
      </c>
      <c r="Q12" s="6" t="s">
        <v>150</v>
      </c>
      <c r="R12" s="6">
        <f>VLOOKUP(Q:Q,[2]BillsofMaterials!$A:$B,2,0)</f>
        <v>10</v>
      </c>
      <c r="T12" s="6" t="s">
        <v>229</v>
      </c>
      <c r="U12" s="6">
        <v>2</v>
      </c>
    </row>
    <row r="13" spans="1:21" ht="15" customHeight="1" x14ac:dyDescent="0.3">
      <c r="A13" s="6" t="s">
        <v>151</v>
      </c>
      <c r="B13" s="6">
        <f>VLOOKUP(A:A,[1]ItemSearchResults!$A:$B,2,0)</f>
        <v>1648</v>
      </c>
      <c r="C13" s="6" t="s">
        <v>152</v>
      </c>
      <c r="D13" s="6" t="s">
        <v>97</v>
      </c>
      <c r="E13" s="6" t="s">
        <v>98</v>
      </c>
      <c r="F13" s="6" t="s">
        <v>98</v>
      </c>
      <c r="G13" s="6" t="s">
        <v>98</v>
      </c>
      <c r="H13" s="6" t="s">
        <v>98</v>
      </c>
      <c r="I13" s="6" t="s">
        <v>99</v>
      </c>
      <c r="J13" s="6" t="s">
        <v>152</v>
      </c>
      <c r="K13" s="6" t="s">
        <v>100</v>
      </c>
      <c r="L13" s="6" t="s">
        <v>101</v>
      </c>
      <c r="M13" s="12">
        <v>644</v>
      </c>
      <c r="N13" s="12">
        <v>1044</v>
      </c>
      <c r="O13" s="11">
        <v>422</v>
      </c>
      <c r="P13" s="6" t="s">
        <v>102</v>
      </c>
      <c r="Q13" s="6" t="s">
        <v>153</v>
      </c>
      <c r="R13" s="6">
        <f>VLOOKUP(Q:Q,[2]BillsofMaterials!$A:$B,2,0)</f>
        <v>19</v>
      </c>
      <c r="T13" s="6" t="s">
        <v>229</v>
      </c>
      <c r="U13" s="6">
        <v>2</v>
      </c>
    </row>
    <row r="14" spans="1:21" ht="15" customHeight="1" x14ac:dyDescent="0.3">
      <c r="A14" s="6" t="s">
        <v>154</v>
      </c>
      <c r="B14" s="6">
        <f>VLOOKUP(A:A,[1]ItemSearchResults!$A:$B,2,0)</f>
        <v>1649</v>
      </c>
      <c r="C14" s="6" t="s">
        <v>155</v>
      </c>
      <c r="D14" s="6" t="s">
        <v>97</v>
      </c>
      <c r="E14" s="6" t="s">
        <v>98</v>
      </c>
      <c r="F14" s="6" t="s">
        <v>98</v>
      </c>
      <c r="G14" s="6" t="s">
        <v>98</v>
      </c>
      <c r="H14" s="6" t="s">
        <v>98</v>
      </c>
      <c r="I14" s="6" t="s">
        <v>99</v>
      </c>
      <c r="J14" s="6" t="s">
        <v>155</v>
      </c>
      <c r="K14" s="6" t="s">
        <v>100</v>
      </c>
      <c r="L14" s="6" t="s">
        <v>101</v>
      </c>
      <c r="M14" s="12">
        <v>1055</v>
      </c>
      <c r="N14" s="12">
        <v>1057</v>
      </c>
      <c r="O14" s="11">
        <v>422</v>
      </c>
      <c r="P14" s="6" t="s">
        <v>102</v>
      </c>
      <c r="R14" s="6" t="e">
        <f>VLOOKUP(Q:Q,[2]BillsofMaterials!$A:$B,2,0)</f>
        <v>#N/A</v>
      </c>
      <c r="T14" s="6" t="s">
        <v>229</v>
      </c>
      <c r="U14" s="6">
        <v>2</v>
      </c>
    </row>
    <row r="15" spans="1:21" ht="15" customHeight="1" x14ac:dyDescent="0.3">
      <c r="A15" s="6" t="s">
        <v>156</v>
      </c>
      <c r="B15" s="6">
        <f>VLOOKUP(A:A,[1]ItemSearchResults!$A:$B,2,0)</f>
        <v>1650</v>
      </c>
      <c r="C15" s="6" t="s">
        <v>157</v>
      </c>
      <c r="D15" s="6" t="s">
        <v>97</v>
      </c>
      <c r="E15" s="6" t="s">
        <v>98</v>
      </c>
      <c r="F15" s="6" t="s">
        <v>98</v>
      </c>
      <c r="G15" s="6" t="s">
        <v>98</v>
      </c>
      <c r="H15" s="6" t="s">
        <v>98</v>
      </c>
      <c r="I15" s="6" t="s">
        <v>99</v>
      </c>
      <c r="J15" s="6" t="s">
        <v>157</v>
      </c>
      <c r="K15" s="6" t="s">
        <v>100</v>
      </c>
      <c r="L15" s="6" t="s">
        <v>101</v>
      </c>
      <c r="M15" s="12">
        <v>1055</v>
      </c>
      <c r="N15" s="12">
        <v>1057</v>
      </c>
      <c r="O15" s="11">
        <v>422</v>
      </c>
      <c r="P15" s="6" t="s">
        <v>102</v>
      </c>
      <c r="R15" s="6" t="e">
        <f>VLOOKUP(Q:Q,[2]BillsofMaterials!$A:$B,2,0)</f>
        <v>#N/A</v>
      </c>
      <c r="T15" s="6" t="s">
        <v>229</v>
      </c>
      <c r="U15" s="6">
        <v>2</v>
      </c>
    </row>
    <row r="16" spans="1:21" ht="15" customHeight="1" x14ac:dyDescent="0.3">
      <c r="A16" s="6" t="s">
        <v>158</v>
      </c>
      <c r="B16" s="6">
        <f>VLOOKUP(A:A,[1]ItemSearchResults!$A:$B,2,0)</f>
        <v>1651</v>
      </c>
      <c r="C16" s="6" t="s">
        <v>159</v>
      </c>
      <c r="D16" s="6" t="s">
        <v>97</v>
      </c>
      <c r="E16" s="6" t="s">
        <v>98</v>
      </c>
      <c r="F16" s="6" t="s">
        <v>98</v>
      </c>
      <c r="G16" s="6" t="s">
        <v>98</v>
      </c>
      <c r="H16" s="6" t="s">
        <v>98</v>
      </c>
      <c r="I16" s="6" t="s">
        <v>99</v>
      </c>
      <c r="J16" s="6" t="s">
        <v>159</v>
      </c>
      <c r="K16" s="6" t="s">
        <v>100</v>
      </c>
      <c r="L16" s="6" t="s">
        <v>101</v>
      </c>
      <c r="M16" s="12">
        <v>1055</v>
      </c>
      <c r="N16" s="12">
        <v>1057</v>
      </c>
      <c r="O16" s="11">
        <v>422</v>
      </c>
      <c r="P16" s="6" t="s">
        <v>102</v>
      </c>
      <c r="R16" s="6" t="e">
        <f>VLOOKUP(Q:Q,[2]BillsofMaterials!$A:$B,2,0)</f>
        <v>#N/A</v>
      </c>
      <c r="T16" s="6" t="s">
        <v>229</v>
      </c>
      <c r="U16" s="6">
        <v>2</v>
      </c>
    </row>
    <row r="17" spans="1:21" ht="15" customHeight="1" x14ac:dyDescent="0.3">
      <c r="A17" s="6" t="s">
        <v>160</v>
      </c>
      <c r="B17" s="6">
        <f>VLOOKUP(A:A,[1]ItemSearchResults!$A:$B,2,0)</f>
        <v>1652</v>
      </c>
      <c r="C17" s="6" t="s">
        <v>161</v>
      </c>
      <c r="D17" s="6" t="s">
        <v>97</v>
      </c>
      <c r="E17" s="6" t="s">
        <v>98</v>
      </c>
      <c r="F17" s="6" t="s">
        <v>98</v>
      </c>
      <c r="G17" s="6" t="s">
        <v>98</v>
      </c>
      <c r="H17" s="6" t="s">
        <v>98</v>
      </c>
      <c r="I17" s="6" t="s">
        <v>99</v>
      </c>
      <c r="J17" s="6" t="s">
        <v>161</v>
      </c>
      <c r="K17" s="6" t="s">
        <v>100</v>
      </c>
      <c r="L17" s="6" t="s">
        <v>101</v>
      </c>
      <c r="M17" s="12">
        <v>520</v>
      </c>
      <c r="N17" s="12">
        <v>841</v>
      </c>
      <c r="O17" s="11">
        <v>422</v>
      </c>
      <c r="P17" s="6" t="s">
        <v>102</v>
      </c>
      <c r="R17" s="6" t="e">
        <f>VLOOKUP(Q:Q,[2]BillsofMaterials!$A:$B,2,0)</f>
        <v>#N/A</v>
      </c>
      <c r="T17" s="6" t="s">
        <v>229</v>
      </c>
      <c r="U17" s="6">
        <v>2</v>
      </c>
    </row>
    <row r="18" spans="1:21" ht="15" customHeight="1" x14ac:dyDescent="0.3">
      <c r="A18" s="6" t="s">
        <v>162</v>
      </c>
      <c r="B18" s="6">
        <f>VLOOKUP(A:A,[1]ItemSearchResults!$A:$B,2,0)</f>
        <v>1653</v>
      </c>
      <c r="C18" s="6" t="s">
        <v>163</v>
      </c>
      <c r="D18" s="6" t="s">
        <v>97</v>
      </c>
      <c r="E18" s="6" t="s">
        <v>98</v>
      </c>
      <c r="F18" s="6" t="s">
        <v>98</v>
      </c>
      <c r="G18" s="6" t="s">
        <v>98</v>
      </c>
      <c r="H18" s="6" t="s">
        <v>98</v>
      </c>
      <c r="I18" s="6" t="s">
        <v>99</v>
      </c>
      <c r="J18" s="6" t="s">
        <v>163</v>
      </c>
      <c r="K18" s="6" t="s">
        <v>100</v>
      </c>
      <c r="L18" s="6" t="s">
        <v>101</v>
      </c>
      <c r="M18" s="12">
        <v>520</v>
      </c>
      <c r="N18" s="12">
        <v>841</v>
      </c>
      <c r="O18" s="11">
        <v>422</v>
      </c>
      <c r="P18" s="6" t="s">
        <v>102</v>
      </c>
      <c r="R18" s="6" t="e">
        <f>VLOOKUP(Q:Q,[2]BillsofMaterials!$A:$B,2,0)</f>
        <v>#N/A</v>
      </c>
      <c r="T18" s="6" t="s">
        <v>229</v>
      </c>
      <c r="U18" s="6">
        <v>2</v>
      </c>
    </row>
    <row r="19" spans="1:21" ht="15" customHeight="1" x14ac:dyDescent="0.3">
      <c r="A19" s="6" t="s">
        <v>164</v>
      </c>
      <c r="B19" s="6">
        <f>VLOOKUP(A:A,[1]ItemSearchResults!$A:$B,2,0)</f>
        <v>1654</v>
      </c>
      <c r="C19" s="6" t="s">
        <v>165</v>
      </c>
      <c r="D19" s="6" t="s">
        <v>97</v>
      </c>
      <c r="E19" s="6" t="s">
        <v>98</v>
      </c>
      <c r="F19" s="6" t="s">
        <v>98</v>
      </c>
      <c r="G19" s="6" t="s">
        <v>98</v>
      </c>
      <c r="H19" s="6" t="s">
        <v>98</v>
      </c>
      <c r="I19" s="6" t="s">
        <v>99</v>
      </c>
      <c r="J19" s="6" t="s">
        <v>165</v>
      </c>
      <c r="K19" s="6" t="s">
        <v>100</v>
      </c>
      <c r="L19" s="6" t="s">
        <v>101</v>
      </c>
      <c r="M19" s="12">
        <v>520</v>
      </c>
      <c r="N19" s="12">
        <v>841</v>
      </c>
      <c r="O19" s="11">
        <v>422</v>
      </c>
      <c r="P19" s="6" t="s">
        <v>102</v>
      </c>
      <c r="R19" s="6" t="e">
        <f>VLOOKUP(Q:Q,[2]BillsofMaterials!$A:$B,2,0)</f>
        <v>#N/A</v>
      </c>
      <c r="T19" s="6" t="s">
        <v>229</v>
      </c>
      <c r="U19" s="6">
        <v>2</v>
      </c>
    </row>
    <row r="20" spans="1:21" ht="15" customHeight="1" x14ac:dyDescent="0.3">
      <c r="A20" s="6" t="s">
        <v>166</v>
      </c>
      <c r="B20" s="6">
        <f>VLOOKUP(A:A,[1]ItemSearchResults!$A:$B,2,0)</f>
        <v>1655</v>
      </c>
      <c r="C20" s="6" t="s">
        <v>167</v>
      </c>
      <c r="D20" s="6" t="s">
        <v>97</v>
      </c>
      <c r="E20" s="6" t="s">
        <v>98</v>
      </c>
      <c r="F20" s="6" t="s">
        <v>98</v>
      </c>
      <c r="G20" s="6" t="s">
        <v>98</v>
      </c>
      <c r="H20" s="6" t="s">
        <v>98</v>
      </c>
      <c r="I20" s="6" t="s">
        <v>99</v>
      </c>
      <c r="J20" s="6" t="s">
        <v>167</v>
      </c>
      <c r="K20" s="6" t="s">
        <v>100</v>
      </c>
      <c r="L20" s="6" t="s">
        <v>101</v>
      </c>
      <c r="M20" s="12">
        <v>521</v>
      </c>
      <c r="N20" s="12">
        <v>842</v>
      </c>
      <c r="O20" s="11">
        <v>422</v>
      </c>
      <c r="P20" s="6" t="s">
        <v>102</v>
      </c>
      <c r="R20" s="6" t="e">
        <f>VLOOKUP(Q:Q,[2]BillsofMaterials!$A:$B,2,0)</f>
        <v>#N/A</v>
      </c>
      <c r="T20" s="6" t="s">
        <v>229</v>
      </c>
      <c r="U20" s="6">
        <v>2</v>
      </c>
    </row>
    <row r="21" spans="1:21" ht="15" customHeight="1" x14ac:dyDescent="0.3">
      <c r="A21" s="6" t="s">
        <v>168</v>
      </c>
      <c r="B21" s="6">
        <f>VLOOKUP(A:A,[1]ItemSearchResults!$A:$B,2,0)</f>
        <v>1656</v>
      </c>
      <c r="C21" s="6" t="s">
        <v>169</v>
      </c>
      <c r="D21" s="6" t="s">
        <v>97</v>
      </c>
      <c r="E21" s="6" t="s">
        <v>98</v>
      </c>
      <c r="F21" s="6" t="s">
        <v>98</v>
      </c>
      <c r="G21" s="6" t="s">
        <v>98</v>
      </c>
      <c r="H21" s="6" t="s">
        <v>98</v>
      </c>
      <c r="I21" s="6" t="s">
        <v>99</v>
      </c>
      <c r="J21" s="6" t="s">
        <v>169</v>
      </c>
      <c r="K21" s="6" t="s">
        <v>100</v>
      </c>
      <c r="L21" s="6" t="s">
        <v>101</v>
      </c>
      <c r="M21" s="12">
        <v>521</v>
      </c>
      <c r="N21" s="12">
        <v>842</v>
      </c>
      <c r="O21" s="11">
        <v>422</v>
      </c>
      <c r="P21" s="6" t="s">
        <v>102</v>
      </c>
      <c r="R21" s="6" t="e">
        <f>VLOOKUP(Q:Q,[2]BillsofMaterials!$A:$B,2,0)</f>
        <v>#N/A</v>
      </c>
      <c r="T21" s="6" t="s">
        <v>229</v>
      </c>
      <c r="U21" s="6">
        <v>2</v>
      </c>
    </row>
    <row r="22" spans="1:21" ht="15" customHeight="1" x14ac:dyDescent="0.3">
      <c r="A22" s="6" t="s">
        <v>170</v>
      </c>
      <c r="B22" s="6">
        <f>VLOOKUP(A:A,[1]ItemSearchResults!$A:$B,2,0)</f>
        <v>1657</v>
      </c>
      <c r="C22" s="6" t="s">
        <v>171</v>
      </c>
      <c r="D22" s="6" t="s">
        <v>97</v>
      </c>
      <c r="E22" s="6" t="s">
        <v>98</v>
      </c>
      <c r="F22" s="6" t="s">
        <v>98</v>
      </c>
      <c r="G22" s="6" t="s">
        <v>98</v>
      </c>
      <c r="H22" s="6" t="s">
        <v>98</v>
      </c>
      <c r="I22" s="6" t="s">
        <v>99</v>
      </c>
      <c r="J22" s="6" t="s">
        <v>171</v>
      </c>
      <c r="K22" s="6" t="s">
        <v>100</v>
      </c>
      <c r="L22" s="6" t="s">
        <v>101</v>
      </c>
      <c r="M22" s="12">
        <v>521</v>
      </c>
      <c r="N22" s="12">
        <v>842</v>
      </c>
      <c r="O22" s="11">
        <v>422</v>
      </c>
      <c r="P22" s="6" t="s">
        <v>102</v>
      </c>
      <c r="R22" s="6" t="e">
        <f>VLOOKUP(Q:Q,[2]BillsofMaterials!$A:$B,2,0)</f>
        <v>#N/A</v>
      </c>
      <c r="T22" s="6" t="s">
        <v>229</v>
      </c>
      <c r="U22" s="6">
        <v>2</v>
      </c>
    </row>
    <row r="23" spans="1:21" ht="15" customHeight="1" x14ac:dyDescent="0.3">
      <c r="A23" s="6" t="s">
        <v>172</v>
      </c>
      <c r="B23" s="6">
        <f>VLOOKUP(A:A,[1]ItemSearchResults!$A:$B,2,0)</f>
        <v>1658</v>
      </c>
      <c r="C23" s="6" t="s">
        <v>173</v>
      </c>
      <c r="D23" s="6" t="s">
        <v>97</v>
      </c>
      <c r="E23" s="6" t="s">
        <v>98</v>
      </c>
      <c r="F23" s="6" t="s">
        <v>98</v>
      </c>
      <c r="G23" s="6" t="s">
        <v>98</v>
      </c>
      <c r="H23" s="6" t="s">
        <v>98</v>
      </c>
      <c r="I23" s="6" t="s">
        <v>99</v>
      </c>
      <c r="J23" s="6" t="s">
        <v>173</v>
      </c>
      <c r="K23" s="6" t="s">
        <v>100</v>
      </c>
      <c r="L23" s="6" t="s">
        <v>101</v>
      </c>
      <c r="M23" s="12">
        <v>1055</v>
      </c>
      <c r="N23" s="12">
        <v>1057</v>
      </c>
      <c r="O23" s="11">
        <v>422</v>
      </c>
      <c r="P23" s="6" t="s">
        <v>102</v>
      </c>
      <c r="R23" s="6" t="e">
        <f>VLOOKUP(Q:Q,[2]BillsofMaterials!$A:$B,2,0)</f>
        <v>#N/A</v>
      </c>
      <c r="T23" s="6" t="s">
        <v>229</v>
      </c>
      <c r="U23" s="6">
        <v>2</v>
      </c>
    </row>
    <row r="24" spans="1:21" ht="15" customHeight="1" x14ac:dyDescent="0.3">
      <c r="A24" s="6" t="s">
        <v>174</v>
      </c>
      <c r="B24" s="6">
        <f>VLOOKUP(A:A,[1]ItemSearchResults!$A:$B,2,0)</f>
        <v>1659</v>
      </c>
      <c r="C24" s="6" t="s">
        <v>175</v>
      </c>
      <c r="D24" s="6" t="s">
        <v>97</v>
      </c>
      <c r="E24" s="6" t="s">
        <v>98</v>
      </c>
      <c r="F24" s="6" t="s">
        <v>98</v>
      </c>
      <c r="G24" s="6" t="s">
        <v>98</v>
      </c>
      <c r="H24" s="6" t="s">
        <v>98</v>
      </c>
      <c r="I24" s="6" t="s">
        <v>99</v>
      </c>
      <c r="J24" s="6" t="s">
        <v>175</v>
      </c>
      <c r="K24" s="6" t="s">
        <v>100</v>
      </c>
      <c r="L24" s="6" t="s">
        <v>101</v>
      </c>
      <c r="M24" s="12">
        <v>1055</v>
      </c>
      <c r="N24" s="12">
        <v>1057</v>
      </c>
      <c r="O24" s="11">
        <v>422</v>
      </c>
      <c r="P24" s="6" t="s">
        <v>102</v>
      </c>
      <c r="R24" s="6" t="e">
        <f>VLOOKUP(Q:Q,[2]BillsofMaterials!$A:$B,2,0)</f>
        <v>#N/A</v>
      </c>
      <c r="T24" s="6" t="s">
        <v>229</v>
      </c>
      <c r="U24" s="6">
        <v>2</v>
      </c>
    </row>
    <row r="25" spans="1:21" ht="15" customHeight="1" x14ac:dyDescent="0.3">
      <c r="A25" s="6" t="s">
        <v>176</v>
      </c>
      <c r="B25" s="6">
        <f>VLOOKUP(A:A,[1]ItemSearchResults!$A:$B,2,0)</f>
        <v>1660</v>
      </c>
      <c r="C25" s="6" t="s">
        <v>177</v>
      </c>
      <c r="D25" s="6" t="s">
        <v>97</v>
      </c>
      <c r="E25" s="6" t="s">
        <v>98</v>
      </c>
      <c r="F25" s="6" t="s">
        <v>98</v>
      </c>
      <c r="G25" s="6" t="s">
        <v>98</v>
      </c>
      <c r="H25" s="6" t="s">
        <v>98</v>
      </c>
      <c r="I25" s="6" t="s">
        <v>99</v>
      </c>
      <c r="J25" s="6" t="s">
        <v>177</v>
      </c>
      <c r="K25" s="6" t="s">
        <v>100</v>
      </c>
      <c r="L25" s="6" t="s">
        <v>101</v>
      </c>
      <c r="M25" s="12">
        <v>1055</v>
      </c>
      <c r="N25" s="12">
        <v>1057</v>
      </c>
      <c r="O25" s="11">
        <v>422</v>
      </c>
      <c r="P25" s="6" t="s">
        <v>102</v>
      </c>
      <c r="R25" s="6" t="e">
        <f>VLOOKUP(Q:Q,[2]BillsofMaterials!$A:$B,2,0)</f>
        <v>#N/A</v>
      </c>
      <c r="T25" s="6" t="s">
        <v>229</v>
      </c>
      <c r="U25" s="6">
        <v>2</v>
      </c>
    </row>
    <row r="26" spans="1:21" ht="15" customHeight="1" x14ac:dyDescent="0.3">
      <c r="A26" s="6" t="s">
        <v>178</v>
      </c>
      <c r="B26" s="6">
        <f>VLOOKUP(A:A,[1]ItemSearchResults!$A:$B,2,0)</f>
        <v>1661</v>
      </c>
      <c r="C26" s="6" t="s">
        <v>179</v>
      </c>
      <c r="D26" s="6" t="s">
        <v>97</v>
      </c>
      <c r="E26" s="6" t="s">
        <v>98</v>
      </c>
      <c r="F26" s="6" t="s">
        <v>98</v>
      </c>
      <c r="G26" s="6" t="s">
        <v>98</v>
      </c>
      <c r="H26" s="6" t="s">
        <v>98</v>
      </c>
      <c r="I26" s="6" t="s">
        <v>99</v>
      </c>
      <c r="J26" s="6" t="s">
        <v>179</v>
      </c>
      <c r="K26" s="6" t="s">
        <v>100</v>
      </c>
      <c r="L26" s="6" t="s">
        <v>101</v>
      </c>
      <c r="M26" s="12">
        <v>523</v>
      </c>
      <c r="N26" s="12">
        <v>845</v>
      </c>
      <c r="O26" s="11">
        <v>422</v>
      </c>
      <c r="P26" s="6" t="s">
        <v>102</v>
      </c>
      <c r="R26" s="6" t="e">
        <f>VLOOKUP(Q:Q,[2]BillsofMaterials!$A:$B,2,0)</f>
        <v>#N/A</v>
      </c>
      <c r="T26" s="6" t="s">
        <v>229</v>
      </c>
      <c r="U26" s="6">
        <v>2</v>
      </c>
    </row>
    <row r="27" spans="1:21" ht="15" customHeight="1" x14ac:dyDescent="0.3">
      <c r="A27" s="6" t="s">
        <v>180</v>
      </c>
      <c r="B27" s="6">
        <f>VLOOKUP(A:A,[1]ItemSearchResults!$A:$B,2,0)</f>
        <v>1662</v>
      </c>
      <c r="C27" s="6" t="s">
        <v>181</v>
      </c>
      <c r="D27" s="6" t="s">
        <v>97</v>
      </c>
      <c r="E27" s="6" t="s">
        <v>98</v>
      </c>
      <c r="F27" s="6" t="s">
        <v>98</v>
      </c>
      <c r="G27" s="6" t="s">
        <v>98</v>
      </c>
      <c r="H27" s="6" t="s">
        <v>98</v>
      </c>
      <c r="I27" s="6" t="s">
        <v>99</v>
      </c>
      <c r="J27" s="6" t="s">
        <v>181</v>
      </c>
      <c r="K27" s="6" t="s">
        <v>100</v>
      </c>
      <c r="L27" s="6" t="s">
        <v>101</v>
      </c>
      <c r="M27" s="12">
        <v>524</v>
      </c>
      <c r="N27" s="12">
        <v>846</v>
      </c>
      <c r="O27" s="11">
        <v>422</v>
      </c>
      <c r="P27" s="6" t="s">
        <v>102</v>
      </c>
      <c r="R27" s="6" t="e">
        <f>VLOOKUP(Q:Q,[2]BillsofMaterials!$A:$B,2,0)</f>
        <v>#N/A</v>
      </c>
      <c r="T27" s="6" t="s">
        <v>229</v>
      </c>
      <c r="U27" s="6">
        <v>2</v>
      </c>
    </row>
    <row r="28" spans="1:21" ht="15" customHeight="1" x14ac:dyDescent="0.3">
      <c r="A28" s="6" t="s">
        <v>182</v>
      </c>
      <c r="B28" s="6">
        <f>VLOOKUP(A:A,[1]ItemSearchResults!$A:$B,2,0)</f>
        <v>1663</v>
      </c>
      <c r="C28" s="6" t="s">
        <v>183</v>
      </c>
      <c r="D28" s="6" t="s">
        <v>97</v>
      </c>
      <c r="E28" s="6" t="s">
        <v>98</v>
      </c>
      <c r="F28" s="6" t="s">
        <v>98</v>
      </c>
      <c r="G28" s="6" t="s">
        <v>98</v>
      </c>
      <c r="H28" s="6" t="s">
        <v>98</v>
      </c>
      <c r="I28" s="6" t="s">
        <v>99</v>
      </c>
      <c r="J28" s="6" t="s">
        <v>183</v>
      </c>
      <c r="K28" s="6" t="s">
        <v>100</v>
      </c>
      <c r="L28" s="6" t="s">
        <v>101</v>
      </c>
      <c r="M28" s="12">
        <v>1055</v>
      </c>
      <c r="N28" s="12">
        <v>848</v>
      </c>
      <c r="O28" s="11">
        <v>422</v>
      </c>
      <c r="P28" s="6" t="s">
        <v>102</v>
      </c>
      <c r="R28" s="6" t="e">
        <f>VLOOKUP(Q:Q,[2]BillsofMaterials!$A:$B,2,0)</f>
        <v>#N/A</v>
      </c>
      <c r="T28" s="6" t="s">
        <v>229</v>
      </c>
      <c r="U28" s="6">
        <v>2</v>
      </c>
    </row>
    <row r="29" spans="1:21" ht="15" customHeight="1" x14ac:dyDescent="0.25">
      <c r="A29" s="6" t="s">
        <v>184</v>
      </c>
      <c r="B29" s="6">
        <f>VLOOKUP(A:A,[1]ItemSearchResults!$A:$B,2,0)</f>
        <v>1664</v>
      </c>
      <c r="C29" s="6" t="s">
        <v>185</v>
      </c>
      <c r="D29" s="6" t="s">
        <v>97</v>
      </c>
      <c r="E29" s="6" t="s">
        <v>98</v>
      </c>
      <c r="F29" s="6" t="s">
        <v>98</v>
      </c>
      <c r="G29" s="6" t="s">
        <v>98</v>
      </c>
      <c r="H29" s="6" t="s">
        <v>98</v>
      </c>
      <c r="I29" s="6" t="s">
        <v>99</v>
      </c>
      <c r="J29" s="6" t="s">
        <v>186</v>
      </c>
      <c r="K29" s="6" t="s">
        <v>100</v>
      </c>
      <c r="L29" s="6" t="s">
        <v>101</v>
      </c>
      <c r="M29" s="12">
        <v>1055</v>
      </c>
      <c r="N29" s="12">
        <v>1057</v>
      </c>
      <c r="O29" s="12">
        <v>421</v>
      </c>
      <c r="P29" s="6" t="s">
        <v>102</v>
      </c>
      <c r="Q29" s="6" t="s">
        <v>187</v>
      </c>
      <c r="R29" s="6">
        <f>VLOOKUP(Q:Q,[2]BillsofMaterials!$A:$B,2,0)</f>
        <v>26</v>
      </c>
      <c r="T29" s="6" t="s">
        <v>229</v>
      </c>
      <c r="U29" s="6">
        <v>3</v>
      </c>
    </row>
    <row r="30" spans="1:21" ht="15" customHeight="1" x14ac:dyDescent="0.25">
      <c r="A30" s="6" t="s">
        <v>188</v>
      </c>
      <c r="B30" s="6">
        <f>VLOOKUP(A:A,[1]ItemSearchResults!$A:$B,2,0)</f>
        <v>728</v>
      </c>
      <c r="C30" s="6" t="s">
        <v>189</v>
      </c>
      <c r="D30" s="6" t="s">
        <v>97</v>
      </c>
      <c r="E30" s="6" t="s">
        <v>98</v>
      </c>
      <c r="F30" s="6" t="s">
        <v>98</v>
      </c>
      <c r="G30" s="6" t="s">
        <v>98</v>
      </c>
      <c r="H30" s="6" t="s">
        <v>98</v>
      </c>
      <c r="I30" s="6" t="s">
        <v>99</v>
      </c>
      <c r="J30" s="6" t="s">
        <v>190</v>
      </c>
      <c r="K30" s="6" t="s">
        <v>100</v>
      </c>
      <c r="L30" s="6" t="s">
        <v>101</v>
      </c>
      <c r="M30" s="12">
        <v>1055</v>
      </c>
      <c r="N30" s="12">
        <v>1057</v>
      </c>
      <c r="O30" s="12">
        <v>421</v>
      </c>
      <c r="P30" s="6" t="s">
        <v>102</v>
      </c>
      <c r="Q30" s="6" t="s">
        <v>191</v>
      </c>
      <c r="R30" s="6">
        <f>VLOOKUP(Q:Q,[2]BillsofMaterials!$A:$B,2,0)</f>
        <v>20</v>
      </c>
      <c r="T30" s="6" t="s">
        <v>229</v>
      </c>
      <c r="U30" s="6">
        <v>3</v>
      </c>
    </row>
    <row r="31" spans="1:21" ht="15" customHeight="1" x14ac:dyDescent="0.25">
      <c r="A31" s="6" t="s">
        <v>192</v>
      </c>
      <c r="B31" s="6">
        <f>VLOOKUP(A:A,[1]ItemSearchResults!$A:$B,2,0)</f>
        <v>1666</v>
      </c>
      <c r="C31" s="6" t="s">
        <v>193</v>
      </c>
      <c r="D31" s="6" t="s">
        <v>97</v>
      </c>
      <c r="E31" s="6" t="s">
        <v>98</v>
      </c>
      <c r="F31" s="6" t="s">
        <v>98</v>
      </c>
      <c r="G31" s="6" t="s">
        <v>98</v>
      </c>
      <c r="H31" s="6" t="s">
        <v>98</v>
      </c>
      <c r="I31" s="6" t="s">
        <v>99</v>
      </c>
      <c r="J31" s="6" t="s">
        <v>130</v>
      </c>
      <c r="K31" s="6" t="s">
        <v>100</v>
      </c>
      <c r="L31" s="6" t="s">
        <v>101</v>
      </c>
      <c r="M31" s="12">
        <v>1055</v>
      </c>
      <c r="N31" s="12">
        <v>1057</v>
      </c>
      <c r="O31" s="12">
        <v>421</v>
      </c>
      <c r="P31" s="6" t="s">
        <v>102</v>
      </c>
      <c r="Q31" s="6" t="s">
        <v>194</v>
      </c>
      <c r="R31" s="6">
        <f>VLOOKUP(Q:Q,[2]BillsofMaterials!$A:$B,2,0)</f>
        <v>32</v>
      </c>
      <c r="T31" s="6" t="s">
        <v>229</v>
      </c>
      <c r="U31" s="6">
        <v>3</v>
      </c>
    </row>
    <row r="32" spans="1:21" ht="15" customHeight="1" x14ac:dyDescent="0.25">
      <c r="A32" s="6" t="s">
        <v>195</v>
      </c>
      <c r="B32" s="6">
        <f>VLOOKUP(A:A,[1]ItemSearchResults!$A:$B,2,0)</f>
        <v>1667</v>
      </c>
      <c r="C32" s="6" t="s">
        <v>196</v>
      </c>
      <c r="D32" s="6" t="s">
        <v>97</v>
      </c>
      <c r="E32" s="6" t="s">
        <v>98</v>
      </c>
      <c r="F32" s="6" t="s">
        <v>98</v>
      </c>
      <c r="G32" s="6" t="s">
        <v>98</v>
      </c>
      <c r="H32" s="6" t="s">
        <v>98</v>
      </c>
      <c r="I32" s="6" t="s">
        <v>99</v>
      </c>
      <c r="J32" s="6" t="s">
        <v>197</v>
      </c>
      <c r="K32" s="6" t="s">
        <v>100</v>
      </c>
      <c r="L32" s="6" t="s">
        <v>101</v>
      </c>
      <c r="M32" s="12">
        <v>1055</v>
      </c>
      <c r="N32" s="12">
        <v>1057</v>
      </c>
      <c r="O32" s="12">
        <v>421</v>
      </c>
      <c r="P32" s="6" t="s">
        <v>102</v>
      </c>
      <c r="Q32" s="6" t="s">
        <v>198</v>
      </c>
      <c r="R32" s="6">
        <f>VLOOKUP(Q:Q,[2]BillsofMaterials!$A:$B,2,0)</f>
        <v>22</v>
      </c>
      <c r="T32" s="6" t="s">
        <v>229</v>
      </c>
      <c r="U32" s="6">
        <v>3</v>
      </c>
    </row>
    <row r="33" spans="1:21" ht="15" customHeight="1" x14ac:dyDescent="0.25">
      <c r="A33" s="6" t="s">
        <v>199</v>
      </c>
      <c r="B33" s="6">
        <f>VLOOKUP(A:A,[1]ItemSearchResults!$A:$B,2,0)</f>
        <v>1668</v>
      </c>
      <c r="C33" s="6" t="s">
        <v>200</v>
      </c>
      <c r="D33" s="6" t="s">
        <v>97</v>
      </c>
      <c r="E33" s="6" t="s">
        <v>98</v>
      </c>
      <c r="F33" s="6" t="s">
        <v>98</v>
      </c>
      <c r="G33" s="6" t="s">
        <v>98</v>
      </c>
      <c r="H33" s="6" t="s">
        <v>98</v>
      </c>
      <c r="I33" s="6" t="s">
        <v>99</v>
      </c>
      <c r="J33" s="6" t="s">
        <v>201</v>
      </c>
      <c r="K33" s="6" t="s">
        <v>100</v>
      </c>
      <c r="L33" s="6" t="s">
        <v>101</v>
      </c>
      <c r="M33" s="12">
        <v>1055</v>
      </c>
      <c r="N33" s="12">
        <v>1057</v>
      </c>
      <c r="O33" s="12">
        <v>421</v>
      </c>
      <c r="P33" s="6" t="s">
        <v>102</v>
      </c>
      <c r="Q33" s="6" t="s">
        <v>202</v>
      </c>
      <c r="R33" s="6">
        <f>VLOOKUP(Q:Q,[2]BillsofMaterials!$A:$B,2,0)</f>
        <v>24</v>
      </c>
      <c r="T33" s="6" t="s">
        <v>229</v>
      </c>
      <c r="U33" s="6">
        <v>3</v>
      </c>
    </row>
    <row r="34" spans="1:21" ht="15" customHeight="1" x14ac:dyDescent="0.25">
      <c r="A34" s="6" t="s">
        <v>203</v>
      </c>
      <c r="B34" s="6">
        <f>VLOOKUP(A:A,[1]ItemSearchResults!$A:$B,2,0)</f>
        <v>1669</v>
      </c>
      <c r="C34" s="6" t="s">
        <v>204</v>
      </c>
      <c r="D34" s="6" t="s">
        <v>97</v>
      </c>
      <c r="E34" s="6" t="s">
        <v>98</v>
      </c>
      <c r="F34" s="6" t="s">
        <v>98</v>
      </c>
      <c r="G34" s="6" t="s">
        <v>98</v>
      </c>
      <c r="H34" s="6" t="s">
        <v>98</v>
      </c>
      <c r="I34" s="6" t="s">
        <v>99</v>
      </c>
      <c r="J34" s="6" t="s">
        <v>205</v>
      </c>
      <c r="K34" s="6" t="s">
        <v>100</v>
      </c>
      <c r="L34" s="6" t="s">
        <v>101</v>
      </c>
      <c r="M34" s="12">
        <v>1055</v>
      </c>
      <c r="N34" s="12">
        <v>1057</v>
      </c>
      <c r="O34" s="12">
        <v>421</v>
      </c>
      <c r="P34" s="6" t="s">
        <v>102</v>
      </c>
      <c r="Q34" s="6" t="s">
        <v>206</v>
      </c>
      <c r="R34" s="6">
        <f>VLOOKUP(Q:Q,[2]BillsofMaterials!$A:$B,2,0)</f>
        <v>16</v>
      </c>
      <c r="T34" s="6" t="s">
        <v>229</v>
      </c>
      <c r="U34" s="6">
        <v>3</v>
      </c>
    </row>
    <row r="35" spans="1:21" ht="15" customHeight="1" x14ac:dyDescent="0.25">
      <c r="A35" s="6" t="s">
        <v>207</v>
      </c>
      <c r="B35" s="6">
        <f>VLOOKUP(A:A,[1]ItemSearchResults!$A:$B,2,0)</f>
        <v>1670</v>
      </c>
      <c r="C35" s="6" t="s">
        <v>208</v>
      </c>
      <c r="D35" s="6" t="s">
        <v>97</v>
      </c>
      <c r="E35" s="6" t="s">
        <v>98</v>
      </c>
      <c r="F35" s="6" t="s">
        <v>98</v>
      </c>
      <c r="G35" s="6" t="s">
        <v>98</v>
      </c>
      <c r="H35" s="6" t="s">
        <v>98</v>
      </c>
      <c r="I35" s="6" t="s">
        <v>99</v>
      </c>
      <c r="J35" s="6" t="s">
        <v>209</v>
      </c>
      <c r="K35" s="6" t="s">
        <v>100</v>
      </c>
      <c r="L35" s="6" t="s">
        <v>101</v>
      </c>
      <c r="M35" s="12">
        <v>1055</v>
      </c>
      <c r="N35" s="12">
        <v>1057</v>
      </c>
      <c r="O35" s="12">
        <v>421</v>
      </c>
      <c r="P35" s="6" t="s">
        <v>102</v>
      </c>
      <c r="Q35" s="6" t="s">
        <v>210</v>
      </c>
      <c r="R35" s="6">
        <f>VLOOKUP(Q:Q,[2]BillsofMaterials!$A:$B,2,0)</f>
        <v>14</v>
      </c>
      <c r="T35" s="6" t="s">
        <v>229</v>
      </c>
      <c r="U35" s="6">
        <v>3</v>
      </c>
    </row>
    <row r="36" spans="1:21" ht="15" customHeight="1" x14ac:dyDescent="0.25">
      <c r="A36" s="6" t="s">
        <v>211</v>
      </c>
      <c r="B36" s="6">
        <f>VLOOKUP(A:A,[1]ItemSearchResults!$A:$B,2,0)</f>
        <v>1671</v>
      </c>
      <c r="C36" s="6" t="s">
        <v>212</v>
      </c>
      <c r="D36" s="6" t="s">
        <v>97</v>
      </c>
      <c r="E36" s="6" t="s">
        <v>98</v>
      </c>
      <c r="F36" s="6" t="s">
        <v>98</v>
      </c>
      <c r="G36" s="6" t="s">
        <v>98</v>
      </c>
      <c r="H36" s="6" t="s">
        <v>98</v>
      </c>
      <c r="I36" s="6" t="s">
        <v>99</v>
      </c>
      <c r="J36" s="6" t="s">
        <v>110</v>
      </c>
      <c r="K36" s="6" t="s">
        <v>100</v>
      </c>
      <c r="L36" s="6" t="s">
        <v>101</v>
      </c>
      <c r="M36" s="12">
        <v>1055</v>
      </c>
      <c r="N36" s="12">
        <v>1057</v>
      </c>
      <c r="O36" s="12">
        <v>421</v>
      </c>
      <c r="P36" s="6" t="s">
        <v>102</v>
      </c>
      <c r="Q36" s="6" t="s">
        <v>213</v>
      </c>
      <c r="R36" s="6">
        <f>VLOOKUP(Q:Q,[2]BillsofMaterials!$A:$B,2,0)</f>
        <v>11</v>
      </c>
      <c r="T36" s="6" t="s">
        <v>229</v>
      </c>
      <c r="U36" s="6">
        <v>3</v>
      </c>
    </row>
    <row r="37" spans="1:21" ht="15" customHeight="1" x14ac:dyDescent="0.25">
      <c r="A37" s="6" t="s">
        <v>214</v>
      </c>
      <c r="B37" s="6">
        <f>VLOOKUP(A:A,[1]ItemSearchResults!$A:$B,2,0)</f>
        <v>1672</v>
      </c>
      <c r="C37" s="6" t="s">
        <v>215</v>
      </c>
      <c r="D37" s="6" t="s">
        <v>97</v>
      </c>
      <c r="E37" s="6" t="s">
        <v>98</v>
      </c>
      <c r="F37" s="6" t="s">
        <v>98</v>
      </c>
      <c r="G37" s="6" t="s">
        <v>98</v>
      </c>
      <c r="H37" s="6" t="s">
        <v>98</v>
      </c>
      <c r="I37" s="6" t="s">
        <v>99</v>
      </c>
      <c r="J37" s="6" t="s">
        <v>216</v>
      </c>
      <c r="K37" s="6" t="s">
        <v>100</v>
      </c>
      <c r="L37" s="6" t="s">
        <v>101</v>
      </c>
      <c r="M37" s="12">
        <v>1055</v>
      </c>
      <c r="N37" s="12">
        <v>1057</v>
      </c>
      <c r="O37" s="12">
        <v>421</v>
      </c>
      <c r="P37" s="6" t="s">
        <v>102</v>
      </c>
      <c r="Q37" s="6" t="s">
        <v>217</v>
      </c>
      <c r="R37" s="6">
        <f>VLOOKUP(Q:Q,[2]BillsofMaterials!$A:$B,2,0)</f>
        <v>28</v>
      </c>
      <c r="T37" s="6" t="s">
        <v>229</v>
      </c>
      <c r="U37" s="6">
        <v>3</v>
      </c>
    </row>
    <row r="38" spans="1:21" ht="15" customHeight="1" x14ac:dyDescent="0.25">
      <c r="A38" s="6" t="s">
        <v>218</v>
      </c>
      <c r="B38" s="6">
        <f>VLOOKUP(A:A,[1]ItemSearchResults!$A:$B,2,0)</f>
        <v>1673</v>
      </c>
      <c r="C38" s="6" t="s">
        <v>219</v>
      </c>
      <c r="D38" s="6" t="s">
        <v>97</v>
      </c>
      <c r="E38" s="6" t="s">
        <v>98</v>
      </c>
      <c r="F38" s="6" t="s">
        <v>98</v>
      </c>
      <c r="G38" s="6" t="s">
        <v>98</v>
      </c>
      <c r="H38" s="6" t="s">
        <v>98</v>
      </c>
      <c r="I38" s="6" t="s">
        <v>99</v>
      </c>
      <c r="J38" s="6" t="s">
        <v>152</v>
      </c>
      <c r="K38" s="6" t="s">
        <v>100</v>
      </c>
      <c r="L38" s="6" t="s">
        <v>101</v>
      </c>
      <c r="M38" s="12">
        <v>1055</v>
      </c>
      <c r="N38" s="12">
        <v>1057</v>
      </c>
      <c r="O38" s="12">
        <v>421</v>
      </c>
      <c r="P38" s="6" t="s">
        <v>102</v>
      </c>
      <c r="Q38" s="6" t="s">
        <v>220</v>
      </c>
      <c r="R38" s="6">
        <f>VLOOKUP(Q:Q,[2]BillsofMaterials!$A:$B,2,0)</f>
        <v>18</v>
      </c>
      <c r="T38" s="6" t="s">
        <v>229</v>
      </c>
      <c r="U38" s="6">
        <v>3</v>
      </c>
    </row>
    <row r="39" spans="1:21" ht="15" customHeight="1" x14ac:dyDescent="0.25">
      <c r="A39" s="6" t="s">
        <v>221</v>
      </c>
      <c r="B39" s="6">
        <f>VLOOKUP(A:A,[1]ItemSearchResults!$A:$B,2,0)</f>
        <v>1674</v>
      </c>
      <c r="C39" s="6" t="s">
        <v>222</v>
      </c>
      <c r="D39" s="6" t="s">
        <v>97</v>
      </c>
      <c r="E39" s="6" t="s">
        <v>98</v>
      </c>
      <c r="F39" s="6" t="s">
        <v>98</v>
      </c>
      <c r="G39" s="6" t="s">
        <v>98</v>
      </c>
      <c r="H39" s="6" t="s">
        <v>98</v>
      </c>
      <c r="I39" s="6" t="s">
        <v>99</v>
      </c>
      <c r="J39" s="6" t="s">
        <v>223</v>
      </c>
      <c r="K39" s="6" t="s">
        <v>100</v>
      </c>
      <c r="L39" s="6" t="s">
        <v>101</v>
      </c>
      <c r="M39" s="12">
        <v>1055</v>
      </c>
      <c r="N39" s="12">
        <v>1057</v>
      </c>
      <c r="O39" s="12">
        <v>421</v>
      </c>
      <c r="P39" s="6" t="s">
        <v>102</v>
      </c>
      <c r="Q39" s="6" t="s">
        <v>224</v>
      </c>
      <c r="R39" s="6">
        <f>VLOOKUP(Q:Q,[2]BillsofMaterials!$A:$B,2,0)</f>
        <v>9</v>
      </c>
      <c r="T39" s="6" t="s">
        <v>229</v>
      </c>
      <c r="U39" s="6">
        <v>3</v>
      </c>
    </row>
    <row r="40" spans="1:21" ht="15" customHeight="1" x14ac:dyDescent="0.25">
      <c r="A40" s="6" t="s">
        <v>225</v>
      </c>
      <c r="B40" s="6">
        <f>VLOOKUP(A:A,[1]ItemSearchResults!$A:$B,2,0)</f>
        <v>1675</v>
      </c>
      <c r="C40" s="6" t="s">
        <v>226</v>
      </c>
      <c r="D40" s="6" t="s">
        <v>97</v>
      </c>
      <c r="E40" s="6" t="s">
        <v>98</v>
      </c>
      <c r="F40" s="6" t="s">
        <v>98</v>
      </c>
      <c r="G40" s="6" t="s">
        <v>98</v>
      </c>
      <c r="H40" s="6" t="s">
        <v>98</v>
      </c>
      <c r="I40" s="6" t="s">
        <v>99</v>
      </c>
      <c r="J40" s="6" t="s">
        <v>227</v>
      </c>
      <c r="K40" s="6" t="s">
        <v>100</v>
      </c>
      <c r="L40" s="6" t="s">
        <v>101</v>
      </c>
      <c r="M40" s="12">
        <v>1055</v>
      </c>
      <c r="N40" s="12">
        <v>1057</v>
      </c>
      <c r="O40" s="12">
        <v>421</v>
      </c>
      <c r="P40" s="6" t="s">
        <v>102</v>
      </c>
      <c r="Q40" s="6" t="s">
        <v>228</v>
      </c>
      <c r="R40" s="6">
        <f>VLOOKUP(Q:Q,[2]BillsofMaterials!$A:$B,2,0)</f>
        <v>30</v>
      </c>
      <c r="T40" s="6" t="s">
        <v>229</v>
      </c>
      <c r="U40" s="6">
        <v>3</v>
      </c>
    </row>
  </sheetData>
  <autoFilter ref="A1:U40"/>
  <phoneticPr fontId="1" type="noConversion"/>
  <conditionalFormatting sqref="A1:B1048576">
    <cfRule type="duplicateValues" dxfId="2" priority="1"/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L15" sqref="L15"/>
    </sheetView>
  </sheetViews>
  <sheetFormatPr defaultRowHeight="13.2" x14ac:dyDescent="0.25"/>
  <sheetData>
    <row r="1" spans="1:20" s="5" customFormat="1" x14ac:dyDescent="0.25">
      <c r="A1" s="7" t="s">
        <v>79</v>
      </c>
      <c r="B1" s="7" t="s">
        <v>230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103</v>
      </c>
      <c r="K1" s="5" t="s">
        <v>87</v>
      </c>
      <c r="L1" s="7" t="s">
        <v>88</v>
      </c>
      <c r="M1" s="10" t="s">
        <v>89</v>
      </c>
      <c r="N1" s="10" t="s">
        <v>90</v>
      </c>
      <c r="O1" s="10" t="s">
        <v>91</v>
      </c>
      <c r="P1" s="7" t="s">
        <v>92</v>
      </c>
      <c r="Q1" s="8" t="s">
        <v>93</v>
      </c>
      <c r="R1" s="5" t="s">
        <v>94</v>
      </c>
      <c r="S1" s="5" t="s">
        <v>104</v>
      </c>
      <c r="T1" s="5" t="s">
        <v>105</v>
      </c>
    </row>
    <row r="2" spans="1:20" s="6" customFormat="1" ht="15" customHeight="1" x14ac:dyDescent="0.3">
      <c r="A2" s="6" t="s">
        <v>116</v>
      </c>
      <c r="B2" s="6" t="e">
        <f>VLOOKUP(A:A,[1]ItemSearchResults!$A:$B,2,0)</f>
        <v>#N/A</v>
      </c>
      <c r="C2" s="6" t="s">
        <v>117</v>
      </c>
      <c r="D2" s="6" t="s">
        <v>97</v>
      </c>
      <c r="E2" s="6" t="s">
        <v>98</v>
      </c>
      <c r="F2" s="6" t="s">
        <v>98</v>
      </c>
      <c r="G2" s="6" t="s">
        <v>98</v>
      </c>
      <c r="H2" s="6" t="s">
        <v>98</v>
      </c>
      <c r="I2" s="6" t="s">
        <v>99</v>
      </c>
      <c r="J2" s="6" t="s">
        <v>118</v>
      </c>
      <c r="K2" s="6" t="s">
        <v>100</v>
      </c>
      <c r="L2" s="6" t="s">
        <v>101</v>
      </c>
      <c r="M2" s="12">
        <v>626</v>
      </c>
      <c r="N2" s="12">
        <v>850</v>
      </c>
      <c r="O2" s="11">
        <v>422</v>
      </c>
      <c r="P2" s="6" t="s">
        <v>102</v>
      </c>
      <c r="Q2" s="6" t="s">
        <v>119</v>
      </c>
      <c r="S2" s="6" t="s">
        <v>229</v>
      </c>
      <c r="T2" s="6">
        <v>2</v>
      </c>
    </row>
  </sheetData>
  <conditionalFormatting sqref="A1:B1">
    <cfRule type="duplicateValues" dxfId="1" priority="2"/>
  </conditionalFormatting>
  <conditionalFormatting sqref="A2: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Restrictions</vt:lpstr>
      <vt:lpstr>Assembly Item Template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2006-01-24T07:47:39Z</dcterms:created>
  <dcterms:modified xsi:type="dcterms:W3CDTF">2023-01-30T10:59:33Z</dcterms:modified>
  <cp:category/>
  <cp:contentStatus/>
</cp:coreProperties>
</file>