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E:\Work\Functional\SPC\Master Data\Work\"/>
    </mc:Choice>
  </mc:AlternateContent>
  <bookViews>
    <workbookView xWindow="0" yWindow="0" windowWidth="23040" windowHeight="9264" activeTab="1"/>
  </bookViews>
  <sheets>
    <sheet name="Sheet1" sheetId="1" r:id="rId1"/>
    <sheet name="Discrepancies" sheetId="4" r:id="rId2"/>
    <sheet name="Sheet2" sheetId="2" r:id="rId3"/>
    <sheet name="Sheet3" sheetId="3" r:id="rId4"/>
  </sheets>
  <externalReferences>
    <externalReference r:id="rId5"/>
  </externalReferences>
  <definedNames>
    <definedName name="_xlnm._FilterDatabase" localSheetId="1" hidden="1">Discrepancies!$A$2:$H$200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 i="4" l="1"/>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3" i="4"/>
</calcChain>
</file>

<file path=xl/sharedStrings.xml><?xml version="1.0" encoding="utf-8"?>
<sst xmlns="http://schemas.openxmlformats.org/spreadsheetml/2006/main" count="1061" uniqueCount="453">
  <si>
    <t>accountNumber</t>
  </si>
  <si>
    <t>accountTypeRef</t>
  </si>
  <si>
    <t>name</t>
  </si>
  <si>
    <t>parentRef</t>
  </si>
  <si>
    <t>subsidiaries</t>
  </si>
  <si>
    <t>includeChildren</t>
  </si>
  <si>
    <t>Number</t>
  </si>
  <si>
    <t>Type</t>
  </si>
  <si>
    <t>Name</t>
  </si>
  <si>
    <t>Subaccount of</t>
  </si>
  <si>
    <t>Subsidiaries</t>
  </si>
  <si>
    <t>Include Children</t>
  </si>
  <si>
    <t xml:space="preserve">Account Number. 
Required only if Setup -&gt; Accounting -&gt; Accounting Preferences -&gt; Use Account Number is checked. </t>
  </si>
  <si>
    <t>Type of account that must exist in your account prior to import.Accounts Receivable
Bank
Deferred Expense
Fixed Asset
Other Asset
Other Current Asset
Unbilled Receivable
Equity
Cost of Goods Sold
Expense
Other Expense
Income
Other Income
Accounts Payable
Credit Card
Deferred Revenue
Long Term Liability
Other Current Liability</t>
  </si>
  <si>
    <t>Account Name</t>
  </si>
  <si>
    <t>If the account is a sub-account, specify account hierarchy</t>
  </si>
  <si>
    <t>Put TRUE if the account has to be shared with the child subsidiaries</t>
  </si>
  <si>
    <t>List</t>
  </si>
  <si>
    <t>Alpha Numeric</t>
  </si>
  <si>
    <t>LIST</t>
  </si>
  <si>
    <t>Boolean</t>
  </si>
  <si>
    <t>Max Size 60 Chars.</t>
  </si>
  <si>
    <t>TRUE/FALSE</t>
  </si>
  <si>
    <t>Expense</t>
  </si>
  <si>
    <t>Consolodated Parent Subsidiary : Child US Subsidiary</t>
  </si>
  <si>
    <t>Travel &amp; Entertainment</t>
  </si>
  <si>
    <t>6000 Expense</t>
  </si>
  <si>
    <t>Consolodated Parent Subsidiary : Child US Subsidiary|Consolodated Parent Subsidiary : Child Canadian Subsidiaries</t>
  </si>
  <si>
    <t>Meals</t>
  </si>
  <si>
    <t>6010 Expense : Travel &amp; Entertainment</t>
  </si>
  <si>
    <t>Bank</t>
  </si>
  <si>
    <t>Gulf Capital Bank</t>
  </si>
  <si>
    <t>Accounts receivable (A/R)</t>
  </si>
  <si>
    <t>Accounts Receivable (A/R)</t>
  </si>
  <si>
    <t>Other Current Assets</t>
  </si>
  <si>
    <t>Allowance for Doubtful Accounts</t>
  </si>
  <si>
    <t>Inventory Asset</t>
  </si>
  <si>
    <t>Finished Goods Inventory</t>
  </si>
  <si>
    <t>Reman Inventory</t>
  </si>
  <si>
    <t>WIP</t>
  </si>
  <si>
    <t>Inventory in Transit</t>
  </si>
  <si>
    <t>Inventory Reserve</t>
  </si>
  <si>
    <t>Prepaid Rent</t>
  </si>
  <si>
    <t>Prepaid Insurance</t>
  </si>
  <si>
    <t>Prepaid Other</t>
  </si>
  <si>
    <t>Employee Receivable - Current</t>
  </si>
  <si>
    <t>Notes Receivable - Current</t>
  </si>
  <si>
    <t>Accounts Receivable - Other</t>
  </si>
  <si>
    <t>Fixed Assets</t>
  </si>
  <si>
    <t>Furniture and Fixtures</t>
  </si>
  <si>
    <t>Equipment</t>
  </si>
  <si>
    <t>Vehicles</t>
  </si>
  <si>
    <t>Computer Fixed Asset</t>
  </si>
  <si>
    <t>Leasehold Improvements</t>
  </si>
  <si>
    <t>Buildings</t>
  </si>
  <si>
    <t>Building Improvements</t>
  </si>
  <si>
    <t>Land</t>
  </si>
  <si>
    <t>Accumulated Depreciation, Furniture and Fixtures</t>
  </si>
  <si>
    <t>Accumulated Depreciation, Equipment</t>
  </si>
  <si>
    <t>Accumulated Depreciation, Vehicles</t>
  </si>
  <si>
    <t>Accumulated Depreciation, Computers</t>
  </si>
  <si>
    <t>Accumulated Depreciation, Leasehold</t>
  </si>
  <si>
    <t>Accumulated Depreciation, Buildings</t>
  </si>
  <si>
    <t>Accumulated Depreciation, Building Improvements</t>
  </si>
  <si>
    <t>Other Assets</t>
  </si>
  <si>
    <t>Deposits</t>
  </si>
  <si>
    <t>Notes Receivable - Long Term</t>
  </si>
  <si>
    <t>Other Non-Current Assets</t>
  </si>
  <si>
    <t>Goodwill</t>
  </si>
  <si>
    <t>Accounts payable (A/P)</t>
  </si>
  <si>
    <t>Accounts Payable (A/P)</t>
  </si>
  <si>
    <t>Other Current Liabilities</t>
  </si>
  <si>
    <t>Sales Tax Payable</t>
  </si>
  <si>
    <t>Sales Tax Payable:Louisiana Department of Revenue Payable</t>
  </si>
  <si>
    <t>Sales Tax Payable:Louisiana, Bossier Parish Payable</t>
  </si>
  <si>
    <t>Sales Tax Payable:Louisiana, Caddo Parish Payable</t>
  </si>
  <si>
    <t>Sales Tax Payable:Louisiana, DeSoto Parish Payable</t>
  </si>
  <si>
    <t>Sales Tax Payable:Louisiana, Lincoln Parish Payable</t>
  </si>
  <si>
    <t>Sales Tax Payable:Louisiana, Natchitoches Parish Payable</t>
  </si>
  <si>
    <t>Sales Tax Payable:Louisiana, Bienville Parish Payable</t>
  </si>
  <si>
    <t>Sales Tax Payable:Louisiana, Sabine Parish Payable</t>
  </si>
  <si>
    <t>Sales Tax Payable:Louisiana, Red River Parish Payable</t>
  </si>
  <si>
    <t>Sales Tax Payable:Louisiana, Webster Parish Payable</t>
  </si>
  <si>
    <t>Sales Tax Payable:Arkansas Department of Finance and Administration Payable</t>
  </si>
  <si>
    <t>Sales Tax Payable:Oklahoma Department of Revenue Payable</t>
  </si>
  <si>
    <t>Sales Tax Payable:Texas State Comptroller Payable</t>
  </si>
  <si>
    <t>Accrued Payroll</t>
  </si>
  <si>
    <t>HSA Payable - EE Pyrl Deduction</t>
  </si>
  <si>
    <t>Accrued 401-K Payable</t>
  </si>
  <si>
    <t>Accrued Property Tax</t>
  </si>
  <si>
    <t>Accrued Income Tax</t>
  </si>
  <si>
    <t>Accrued Other Tax</t>
  </si>
  <si>
    <t>Accrued Commissions</t>
  </si>
  <si>
    <t>Accrued Bonus</t>
  </si>
  <si>
    <t>Accrued Interest</t>
  </si>
  <si>
    <t>Customer Deposits/Pre-Payments</t>
  </si>
  <si>
    <t>Accrued Rent</t>
  </si>
  <si>
    <t>Accrued Misc. Other</t>
  </si>
  <si>
    <t>Deferred Revenue</t>
  </si>
  <si>
    <t>Notes Payable - Current - Vehicles</t>
  </si>
  <si>
    <t>Notes Payable - Current - Bank Loan</t>
  </si>
  <si>
    <t>Capex Loan - Current</t>
  </si>
  <si>
    <t>Notes Payable - Current - Other</t>
  </si>
  <si>
    <t>Long Term Liabilities</t>
  </si>
  <si>
    <t>Other Long-Term Liabilities</t>
  </si>
  <si>
    <t>Notes Payable - Long Term - Vehicles</t>
  </si>
  <si>
    <t>Notes Payable - Long Term - Bank Loan</t>
  </si>
  <si>
    <t>Notes Payable - Long Term - Capex Loan</t>
  </si>
  <si>
    <t>Notes Payable - Long Term - Other</t>
  </si>
  <si>
    <t>Equity</t>
  </si>
  <si>
    <t>Opening Balance Equity</t>
  </si>
  <si>
    <t>Owner's Investment</t>
  </si>
  <si>
    <t>Retained Earnings</t>
  </si>
  <si>
    <t>Income</t>
  </si>
  <si>
    <t>Product Revenue</t>
  </si>
  <si>
    <t>Service Revenue</t>
  </si>
  <si>
    <t>Freight, Shipping Revenue</t>
  </si>
  <si>
    <t>Sales Discounts</t>
  </si>
  <si>
    <t>Sales Returns &amp; Allowances</t>
  </si>
  <si>
    <t>Interco Sales - HLA to VTX</t>
  </si>
  <si>
    <t>Interco Sales - VTX to HLA</t>
  </si>
  <si>
    <t>Cost of Goods Sold</t>
  </si>
  <si>
    <t>Product Cost</t>
  </si>
  <si>
    <t>Product Cost - Surplus</t>
  </si>
  <si>
    <t>Product Cost - Outside Services</t>
  </si>
  <si>
    <t>Interco Cost - HLA</t>
  </si>
  <si>
    <t>Interco Cost - VTX</t>
  </si>
  <si>
    <t>Direct Labor Wages</t>
  </si>
  <si>
    <t>Direct Labor OT</t>
  </si>
  <si>
    <t>Direct Labor Bonus</t>
  </si>
  <si>
    <t>Direct Labor Benefits</t>
  </si>
  <si>
    <t>Direct Labor Tax Expense</t>
  </si>
  <si>
    <t>Indirect Labor Wages</t>
  </si>
  <si>
    <t>Indirect Labor OT</t>
  </si>
  <si>
    <t>Indirect Labor Bonus</t>
  </si>
  <si>
    <t>Indirect Labor Benefits</t>
  </si>
  <si>
    <t>Indirect Labor Tax Expense</t>
  </si>
  <si>
    <t>Contract Labor</t>
  </si>
  <si>
    <t>COGS Rent</t>
  </si>
  <si>
    <t>COGS Utilities</t>
  </si>
  <si>
    <t>COGS Shop Supplies &amp; Tooling</t>
  </si>
  <si>
    <t>COGS Fuel, Oil</t>
  </si>
  <si>
    <t>COGS Repair &amp; Maintenance</t>
  </si>
  <si>
    <t>Warranty Expense</t>
  </si>
  <si>
    <t>COGS Freight Out</t>
  </si>
  <si>
    <t>COGS Freight In</t>
  </si>
  <si>
    <t>COGS Shipping Supplies</t>
  </si>
  <si>
    <t>COGS Rental Equipment</t>
  </si>
  <si>
    <t>COGS Uniforms</t>
  </si>
  <si>
    <t>COGS Safety, Medical &amp; Environmental</t>
  </si>
  <si>
    <t>COGS Other</t>
  </si>
  <si>
    <t>COGS T&amp;E - Meals</t>
  </si>
  <si>
    <t>COGS T&amp;E - Meals w/Customers</t>
  </si>
  <si>
    <t>COGS T&amp;E - Hotel</t>
  </si>
  <si>
    <t>COGS T&amp;E - Fuel, Mileage</t>
  </si>
  <si>
    <t>COGS T&amp;E - Airfare</t>
  </si>
  <si>
    <t>COGS T&amp;E - Other</t>
  </si>
  <si>
    <t>Inventory Adjustments</t>
  </si>
  <si>
    <t>Purchase Discounts</t>
  </si>
  <si>
    <t>COGS Depreciation</t>
  </si>
  <si>
    <t>Expenses</t>
  </si>
  <si>
    <t>Salaries &amp; Wage Expense</t>
  </si>
  <si>
    <t>Overtime</t>
  </si>
  <si>
    <t>Bonus</t>
  </si>
  <si>
    <t>401K Expense</t>
  </si>
  <si>
    <t>Employee Benefit Expense, Health Insurance</t>
  </si>
  <si>
    <t>Employee Benefit Expense, Dental</t>
  </si>
  <si>
    <t>Employee Benefit Expense, Vision</t>
  </si>
  <si>
    <t>Employee Benefit Expense, Life</t>
  </si>
  <si>
    <t>Employee Benefit Expense, AD&amp;D/LTD</t>
  </si>
  <si>
    <t>Employer HSA Contributions</t>
  </si>
  <si>
    <t>Benefits R/C to COGS</t>
  </si>
  <si>
    <t>Employee Tax Expense</t>
  </si>
  <si>
    <t>Allocated Pyrl Cost</t>
  </si>
  <si>
    <t>Car Allowance</t>
  </si>
  <si>
    <t>Temp Labor</t>
  </si>
  <si>
    <t>Commissions</t>
  </si>
  <si>
    <t>Advertising &amp; Promotion</t>
  </si>
  <si>
    <t>Computer Services</t>
  </si>
  <si>
    <t>Legal Fees</t>
  </si>
  <si>
    <t>Accounting Fees</t>
  </si>
  <si>
    <t>Other Professional Fees</t>
  </si>
  <si>
    <t>Rent</t>
  </si>
  <si>
    <t>SG&amp;A Utilities</t>
  </si>
  <si>
    <t>Telecommunicatons</t>
  </si>
  <si>
    <t>Office Supplies</t>
  </si>
  <si>
    <t>Repair &amp; Maintenance</t>
  </si>
  <si>
    <t>Office Equipment Rental</t>
  </si>
  <si>
    <t>Postage &amp; Courier</t>
  </si>
  <si>
    <t>Safety, Medical &amp; Environmental</t>
  </si>
  <si>
    <t>Computer Equipment</t>
  </si>
  <si>
    <t>Computer Software, License, Maintenance</t>
  </si>
  <si>
    <t>General Insurance</t>
  </si>
  <si>
    <t>Worker's Comp Insurance</t>
  </si>
  <si>
    <t>Vehicle Insurance</t>
  </si>
  <si>
    <t>Property Tax</t>
  </si>
  <si>
    <t>Vehicle Tax</t>
  </si>
  <si>
    <t>Other Tax</t>
  </si>
  <si>
    <t>Business Licenses</t>
  </si>
  <si>
    <t>T&amp;E - EE Meals</t>
  </si>
  <si>
    <t>T&amp;E - EE With Cust Meals</t>
  </si>
  <si>
    <t>T&amp;E - Entertainment</t>
  </si>
  <si>
    <t>T&amp;E - Hotel</t>
  </si>
  <si>
    <t>T&amp;E - Fuel, Mileage</t>
  </si>
  <si>
    <t>T&amp;E - Airfare</t>
  </si>
  <si>
    <t>T&amp;E - Other</t>
  </si>
  <si>
    <t>Bad Debt Expense</t>
  </si>
  <si>
    <t>Gifts &amp; Rewards</t>
  </si>
  <si>
    <t>Dues &amp; Subscriptions</t>
  </si>
  <si>
    <t>Bank Charges and Credit Card Fees</t>
  </si>
  <si>
    <t>Fines &amp; Penalties</t>
  </si>
  <si>
    <t>Charitable Contributions</t>
  </si>
  <si>
    <t>Vehicle Rental</t>
  </si>
  <si>
    <t>Vehicle Repair &amp; Maintenance</t>
  </si>
  <si>
    <t>Other SG&amp;A Expense</t>
  </si>
  <si>
    <t>Depreciation</t>
  </si>
  <si>
    <t>Amortization</t>
  </si>
  <si>
    <t>Interest Income</t>
  </si>
  <si>
    <t>Interest Expense</t>
  </si>
  <si>
    <t>Federal Income Tax Expense</t>
  </si>
  <si>
    <t>Franchise Tax Expense</t>
  </si>
  <si>
    <t>Allocated Charges</t>
  </si>
  <si>
    <t>Gain/Loss on Sales of Assets</t>
  </si>
  <si>
    <t>Other Non-Operating Inc/Exp</t>
  </si>
  <si>
    <t>Parent Company:</t>
  </si>
  <si>
    <t>Subsidiaries:</t>
  </si>
  <si>
    <t>Interco Sales - HLA to HTX</t>
  </si>
  <si>
    <t>Interco Sales - HTX to HLA</t>
  </si>
  <si>
    <t>Interco Cost - HTX</t>
  </si>
  <si>
    <t>Allocated COGS Payroll</t>
  </si>
  <si>
    <t>Amegy Bank</t>
  </si>
  <si>
    <t>5720</t>
  </si>
  <si>
    <t>Bill Quantity Variance account</t>
  </si>
  <si>
    <t>5722</t>
  </si>
  <si>
    <t>Bill Price Variance account</t>
  </si>
  <si>
    <t>5724</t>
  </si>
  <si>
    <t>Bill Exchange Rate Variance account</t>
  </si>
  <si>
    <t>5726</t>
  </si>
  <si>
    <t>Unbuild Variance Account</t>
  </si>
  <si>
    <t>5728</t>
  </si>
  <si>
    <t>Vendor Return Variance Account</t>
  </si>
  <si>
    <t>5730</t>
  </si>
  <si>
    <t>Customer Return Variance Account</t>
  </si>
  <si>
    <t>5732</t>
  </si>
  <si>
    <t>Production Quantity Variance Account</t>
  </si>
  <si>
    <t>5734</t>
  </si>
  <si>
    <t>Production Price Variance Account</t>
  </si>
  <si>
    <t>5736</t>
  </si>
  <si>
    <t>Purchase Price Variance Account</t>
  </si>
  <si>
    <t>Labor Absorption</t>
  </si>
  <si>
    <t>Concat</t>
  </si>
  <si>
    <t>Vlookup</t>
  </si>
  <si>
    <t>GulfCapitalBankBank</t>
  </si>
  <si>
    <t>AmegyBankBank</t>
  </si>
  <si>
    <t>OpeningBalanceEquityEquity</t>
  </si>
  <si>
    <t>Owner'sInvestmentEquity</t>
  </si>
  <si>
    <t>RetainedEarningsEquity</t>
  </si>
  <si>
    <t>ProductRevenueIncome</t>
  </si>
  <si>
    <t>ServiceRevenueIncome</t>
  </si>
  <si>
    <t>Freight,ShippingRevenueIncome</t>
  </si>
  <si>
    <t>SalesDiscountsIncome</t>
  </si>
  <si>
    <t>SalesReturns&amp;AllowancesIncome</t>
  </si>
  <si>
    <t>IntercoSales-HLAtoVTXIncome</t>
  </si>
  <si>
    <t>IntercoSales-VTXtoHLAIncome</t>
  </si>
  <si>
    <t>IntercoSales-HLAtoHTXIncome</t>
  </si>
  <si>
    <t>IntercoSales-HTXtoHLAIncome</t>
  </si>
  <si>
    <t>ProductCostCostofGoodsSold</t>
  </si>
  <si>
    <t>ProductCost-SurplusCostofGoodsSold</t>
  </si>
  <si>
    <t>ProductCost-OutsideServicesCostofGoodsSold</t>
  </si>
  <si>
    <t>IntercoCost-HLACostofGoodsSold</t>
  </si>
  <si>
    <t>IntercoCost-VTXCostofGoodsSold</t>
  </si>
  <si>
    <t>IntercoCost-HTXCostofGoodsSold</t>
  </si>
  <si>
    <t>DirectLaborWagesCostofGoodsSold</t>
  </si>
  <si>
    <t>DirectLaborOTCostofGoodsSold</t>
  </si>
  <si>
    <t>DirectLaborBonusCostofGoodsSold</t>
  </si>
  <si>
    <t>DirectLaborBenefitsCostofGoodsSold</t>
  </si>
  <si>
    <t>DirectLaborTaxExpenseCostofGoodsSold</t>
  </si>
  <si>
    <t>IndirectLaborWagesCostofGoodsSold</t>
  </si>
  <si>
    <t>IndirectLaborOTCostofGoodsSold</t>
  </si>
  <si>
    <t>IndirectLaborBonusCostofGoodsSold</t>
  </si>
  <si>
    <t>IndirectLaborBenefitsCostofGoodsSold</t>
  </si>
  <si>
    <t>IndirectLaborTaxExpenseCostofGoodsSold</t>
  </si>
  <si>
    <t>ContractLaborCostofGoodsSold</t>
  </si>
  <si>
    <t>AllocatedCOGSPayrollCostofGoodsSold</t>
  </si>
  <si>
    <t>COGSRentCostofGoodsSold</t>
  </si>
  <si>
    <t>COGSUtilitiesCostofGoodsSold</t>
  </si>
  <si>
    <t>COGSShopSupplies&amp;ToolingCostofGoodsSold</t>
  </si>
  <si>
    <t>COGSFuel,OilCostofGoodsSold</t>
  </si>
  <si>
    <t>COGSRepair&amp;MaintenanceCostofGoodsSold</t>
  </si>
  <si>
    <t>WarrantyExpenseCostofGoodsSold</t>
  </si>
  <si>
    <t>COGSFreightOutCostofGoodsSold</t>
  </si>
  <si>
    <t>COGSFreightInCostofGoodsSold</t>
  </si>
  <si>
    <t>COGSShippingSuppliesCostofGoodsSold</t>
  </si>
  <si>
    <t>COGSRentalEquipmentCostofGoodsSold</t>
  </si>
  <si>
    <t>COGSUniformsCostofGoodsSold</t>
  </si>
  <si>
    <t>COGSSafety,Medical&amp;EnvironmentalCostofGoodsSold</t>
  </si>
  <si>
    <t>COGSOtherCostofGoodsSold</t>
  </si>
  <si>
    <t>COGST&amp;E-MealsCostofGoodsSold</t>
  </si>
  <si>
    <t>COGST&amp;E-Mealsw/CustomersCostofGoodsSold</t>
  </si>
  <si>
    <t>COGST&amp;E-HotelCostofGoodsSold</t>
  </si>
  <si>
    <t>COGST&amp;E-Fuel,MileageCostofGoodsSold</t>
  </si>
  <si>
    <t>COGST&amp;E-AirfareCostofGoodsSold</t>
  </si>
  <si>
    <t>COGST&amp;E-OtherCostofGoodsSold</t>
  </si>
  <si>
    <t>InventoryAdjustmentsCostofGoodsSold</t>
  </si>
  <si>
    <t>PurchaseDiscountsCostofGoodsSold</t>
  </si>
  <si>
    <t>BillQuantityVarianceaccountCostofGoodsSold</t>
  </si>
  <si>
    <t>BillPriceVarianceaccountCostofGoodsSold</t>
  </si>
  <si>
    <t>BillExchangeRateVarianceaccountCostofGoodsSold</t>
  </si>
  <si>
    <t>UnbuildVarianceAccountCostofGoodsSold</t>
  </si>
  <si>
    <t>VendorReturnVarianceAccountCostofGoodsSold</t>
  </si>
  <si>
    <t>CustomerReturnVarianceAccountCostofGoodsSold</t>
  </si>
  <si>
    <t>ProductionQuantityVarianceAccountCostofGoodsSold</t>
  </si>
  <si>
    <t>ProductionPriceVarianceAccountCostofGoodsSold</t>
  </si>
  <si>
    <t>PurchasePriceVarianceAccountCostofGoodsSold</t>
  </si>
  <si>
    <t>LaborAbsorptionCostofGoodsSold</t>
  </si>
  <si>
    <t>COGSDepreciationCostofGoodsSold</t>
  </si>
  <si>
    <t>AllowanceforDoubtfulAccountsOtherCurrentAsset</t>
  </si>
  <si>
    <t>InventoryAssetOtherCurrentAsset</t>
  </si>
  <si>
    <t>FinishedGoodsInventoryOtherCurrentAsset</t>
  </si>
  <si>
    <t>RemanInventoryOtherCurrentAsset</t>
  </si>
  <si>
    <t>WIPOtherCurrentAsset</t>
  </si>
  <si>
    <t>InventoryinTransitOtherCurrentAsset</t>
  </si>
  <si>
    <t>InventoryReserveOtherCurrentAsset</t>
  </si>
  <si>
    <t>PrepaidRentOtherCurrentAsset</t>
  </si>
  <si>
    <t>PrepaidInsuranceOtherCurrentAsset</t>
  </si>
  <si>
    <t>PrepaidOtherOtherCurrentAsset</t>
  </si>
  <si>
    <t>EmployeeReceivable-CurrentOtherCurrentAsset</t>
  </si>
  <si>
    <t>NotesReceivable-CurrentOtherCurrentAsset</t>
  </si>
  <si>
    <t>AccountsReceivable-OtherOtherCurrentAsset</t>
  </si>
  <si>
    <t>OtherCurrentAssetOtherCurrentAsset</t>
  </si>
  <si>
    <t>FurnitureandFixturesFixedAsset</t>
  </si>
  <si>
    <t>EquipmentFixedAsset</t>
  </si>
  <si>
    <t>VehiclesFixedAsset</t>
  </si>
  <si>
    <t>ComputerFixedAssetFixedAsset</t>
  </si>
  <si>
    <t>LeaseholdImprovementsFixedAsset</t>
  </si>
  <si>
    <t>BuildingsFixedAsset</t>
  </si>
  <si>
    <t>BuildingImprovementsFixedAsset</t>
  </si>
  <si>
    <t>LandFixedAsset</t>
  </si>
  <si>
    <t>AccumulatedDepreciation,FurnitureandFixturesFixedAsset</t>
  </si>
  <si>
    <t>AccumulatedDepreciation,EquipmentFixedAsset</t>
  </si>
  <si>
    <t>AccumulatedDepreciation,VehiclesFixedAsset</t>
  </si>
  <si>
    <t>AccumulatedDepreciation,ComputersFixedAsset</t>
  </si>
  <si>
    <t>AccumulatedDepreciation,LeaseholdFixedAsset</t>
  </si>
  <si>
    <t>AccumulatedDepreciation,BuildingsFixedAsset</t>
  </si>
  <si>
    <t>AccumulatedDepreciation,BuildingImprovementsFixedAsset</t>
  </si>
  <si>
    <t>DepositsOtherAsset</t>
  </si>
  <si>
    <t>NotesReceivable-LongTermOtherAsset</t>
  </si>
  <si>
    <t>GoodwillOtherAsset</t>
  </si>
  <si>
    <t>SalesTaxPayableOtherCurrentLiability</t>
  </si>
  <si>
    <t>SalesTaxPayable:LouisianaDepartmentofRevenuePayableOtherCurrentLiability</t>
  </si>
  <si>
    <t>SalesTaxPayable:Louisiana,BossierParishPayableOtherCurrentLiability</t>
  </si>
  <si>
    <t>SalesTaxPayable:Louisiana,CaddoParishPayableOtherCurrentLiability</t>
  </si>
  <si>
    <t>SalesTaxPayable:Louisiana,DeSotoParishPayableOtherCurrentLiability</t>
  </si>
  <si>
    <t>SalesTaxPayable:Louisiana,LincolnParishPayableOtherCurrentLiability</t>
  </si>
  <si>
    <t>SalesTaxPayable:Louisiana,NatchitochesParishPayableOtherCurrentLiability</t>
  </si>
  <si>
    <t>SalesTaxPayable:Louisiana,BienvilleParishPayableOtherCurrentLiability</t>
  </si>
  <si>
    <t>SalesTaxPayable:Louisiana,SabineParishPayableOtherCurrentLiability</t>
  </si>
  <si>
    <t>SalesTaxPayable:Louisiana,RedRiverParishPayableOtherCurrentLiability</t>
  </si>
  <si>
    <t>SalesTaxPayable:Louisiana,WebsterParishPayableOtherCurrentLiability</t>
  </si>
  <si>
    <t>SalesTaxPayable:OklahomaDepartmentofRevenuePayableOtherCurrentLiability</t>
  </si>
  <si>
    <t>SalesTaxPayable:TexasStateComptrollerPayableOtherCurrentLiability</t>
  </si>
  <si>
    <t>AccruedPayrollOtherCurrentLiability</t>
  </si>
  <si>
    <t>HSAPayable-EEPyrlDeductionOtherCurrentLiability</t>
  </si>
  <si>
    <t>Accrued401-KPayableOtherCurrentLiability</t>
  </si>
  <si>
    <t>AccruedPropertyTaxOtherCurrentLiability</t>
  </si>
  <si>
    <t>AccruedIncomeTaxOtherCurrentLiability</t>
  </si>
  <si>
    <t>AccruedOtherTaxOtherCurrentLiability</t>
  </si>
  <si>
    <t>AccruedCommissionsOtherCurrentLiability</t>
  </si>
  <si>
    <t>AccruedBonusOtherCurrentLiability</t>
  </si>
  <si>
    <t>AccruedInterestOtherCurrentLiability</t>
  </si>
  <si>
    <t>CustomerDeposits/Pre-PaymentsOtherCurrentLiability</t>
  </si>
  <si>
    <t>AccruedRentOtherCurrentLiability</t>
  </si>
  <si>
    <t>AccruedMisc.OtherOtherCurrentLiability</t>
  </si>
  <si>
    <t>DeferredRevenueOtherCurrentLiability</t>
  </si>
  <si>
    <t>NotesPayable-Current-VehiclesOtherCurrentLiability</t>
  </si>
  <si>
    <t>NotesPayable-Current-BankLoanOtherCurrentLiability</t>
  </si>
  <si>
    <t>CapexLoan-CurrentOtherCurrentLiability</t>
  </si>
  <si>
    <t>NotesPayable-Current-OtherOtherCurrentLiability</t>
  </si>
  <si>
    <t>NotesPayable-LongTerm-VehiclesLongTermLiability</t>
  </si>
  <si>
    <t>NotesPayable-LongTerm-BankLoanLongTermLiability</t>
  </si>
  <si>
    <t>NotesPayable-LongTerm-CapexLoanLongTermLiability</t>
  </si>
  <si>
    <t>NotesPayable-LongTerm-OtherLongTermLiability</t>
  </si>
  <si>
    <t>OtherNon-CurrentAssetsOtherAsset</t>
  </si>
  <si>
    <t>AccountsPayableAccountspayable</t>
  </si>
  <si>
    <t>AccountsReceivableAccountsreceivable</t>
  </si>
  <si>
    <t>Salaries&amp;WageExpenseExpense</t>
  </si>
  <si>
    <t>OvertimeExpense</t>
  </si>
  <si>
    <t>BonusExpense</t>
  </si>
  <si>
    <t>401KExpenseExpense</t>
  </si>
  <si>
    <t>EmployeeBenefitExpense,HealthInsuranceExpense</t>
  </si>
  <si>
    <t>EmployeeBenefitExpense,DentalExpense</t>
  </si>
  <si>
    <t>EmployeeBenefitExpense,VisionExpense</t>
  </si>
  <si>
    <t>EmployeeBenefitExpense,LifeExpense</t>
  </si>
  <si>
    <t>EmployeeBenefitExpense,AD&amp;D/LTDExpense</t>
  </si>
  <si>
    <t>EmployerHSAContributionsExpense</t>
  </si>
  <si>
    <t>BenefitsR/CtoCOGSExpense</t>
  </si>
  <si>
    <t>EmployeeTaxExpenseExpense</t>
  </si>
  <si>
    <t>AllocatedPyrlCostExpense</t>
  </si>
  <si>
    <t>CarAllowanceExpense</t>
  </si>
  <si>
    <t>TempLaborExpense</t>
  </si>
  <si>
    <t>CommissionsExpense</t>
  </si>
  <si>
    <t>Advertising&amp;PromotionExpense</t>
  </si>
  <si>
    <t>ComputerServicesExpense</t>
  </si>
  <si>
    <t>LegalFeesExpense</t>
  </si>
  <si>
    <t>AccountingFeesExpense</t>
  </si>
  <si>
    <t>OtherProfessionalFeesExpense</t>
  </si>
  <si>
    <t>RentExpense</t>
  </si>
  <si>
    <t>SG&amp;AUtilitiesExpense</t>
  </si>
  <si>
    <t>TelecommunicatonsExpense</t>
  </si>
  <si>
    <t>OfficeSuppliesExpense</t>
  </si>
  <si>
    <t>Repair&amp;MaintenanceExpense</t>
  </si>
  <si>
    <t>OfficeEquipmentRentalExpense</t>
  </si>
  <si>
    <t>Postage&amp;CourierExpense</t>
  </si>
  <si>
    <t>Safety,Medical&amp;EnvironmentalExpense</t>
  </si>
  <si>
    <t>ComputerEquipmentExpense</t>
  </si>
  <si>
    <t>ComputerSoftware,License,MaintenanceExpense</t>
  </si>
  <si>
    <t>GeneralInsuranceExpense</t>
  </si>
  <si>
    <t>Worker'sCompInsuranceExpense</t>
  </si>
  <si>
    <t>VehicleInsuranceExpense</t>
  </si>
  <si>
    <t>PropertyTaxExpense</t>
  </si>
  <si>
    <t>VehicleTaxExpense</t>
  </si>
  <si>
    <t>OtherTaxExpense</t>
  </si>
  <si>
    <t>BusinessLicensesExpense</t>
  </si>
  <si>
    <t>T&amp;E-EEMealsExpense</t>
  </si>
  <si>
    <t>T&amp;E-EEWithCustMealsExpense</t>
  </si>
  <si>
    <t>T&amp;E-EntertainmentExpense</t>
  </si>
  <si>
    <t>T&amp;E-HotelExpense</t>
  </si>
  <si>
    <t>T&amp;E-Fuel,MileageExpense</t>
  </si>
  <si>
    <t>T&amp;E-AirfareExpense</t>
  </si>
  <si>
    <t>T&amp;E-OtherExpense</t>
  </si>
  <si>
    <t>BadDebtExpenseExpense</t>
  </si>
  <si>
    <t>Gifts&amp;RewardsExpense</t>
  </si>
  <si>
    <t>Dues&amp;SubscriptionsExpense</t>
  </si>
  <si>
    <t>BankChargesandCreditCardFeesExpense</t>
  </si>
  <si>
    <t>Fines&amp;PenaltiesExpense</t>
  </si>
  <si>
    <t>CharitableContributionsExpense</t>
  </si>
  <si>
    <t>VehicleRentalExpense</t>
  </si>
  <si>
    <t>VehicleRepair&amp;MaintenanceExpense</t>
  </si>
  <si>
    <t>OtherSG&amp;AExpenseExpense</t>
  </si>
  <si>
    <t>DepreciationExpense</t>
  </si>
  <si>
    <t>AmortizationExpense</t>
  </si>
  <si>
    <t>InterestIncomeExpense</t>
  </si>
  <si>
    <t>InterestExpenseExpense</t>
  </si>
  <si>
    <t>FederalIncomeTaxExpenseExpense</t>
  </si>
  <si>
    <t>FranchiseTaxExpenseExpense</t>
  </si>
  <si>
    <t>AllocatedChargesExpense</t>
  </si>
  <si>
    <t>OtherNon-OperatingInc/ExpExpense</t>
  </si>
  <si>
    <t>Gain/LossonSalesofAssetsExpense</t>
  </si>
  <si>
    <t>OtherLong-TermLiabilitiesLongTermLiability</t>
  </si>
  <si>
    <t>SalesTaxPayable:ArkansasDeptofFinance&amp;AdminPayableOtherCurrentLiability</t>
  </si>
  <si>
    <t>Account not present in netsuite</t>
  </si>
  <si>
    <t>Type is incorrect in NetSuite</t>
  </si>
  <si>
    <t xml:space="preserve">Numbering is incorrect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</si>
</sst>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0"/>
      <color indexed="10"/>
      <name val="Arial"/>
      <family val="2"/>
    </font>
    <font>
      <b/>
      <sz val="10"/>
      <color rgb="FFFF0000"/>
      <name val="Arial"/>
      <family val="2"/>
    </font>
    <font>
      <b/>
      <sz val="10"/>
      <name val="Arial"/>
      <family val="2"/>
    </font>
    <font>
      <sz val="10"/>
      <name val="Arial"/>
      <family val="2"/>
    </font>
    <font>
      <u/>
      <sz val="11"/>
      <color theme="10"/>
      <name val="Calibri"/>
      <family val="2"/>
      <scheme val="minor"/>
    </font>
    <font>
      <u/>
      <sz val="11"/>
      <color theme="11"/>
      <name val="Calibri"/>
      <family val="2"/>
      <scheme val="minor"/>
    </font>
    <font>
      <b/>
      <sz val="11"/>
      <color theme="1"/>
      <name val="Calibri"/>
      <family val="2"/>
      <scheme val="minor"/>
    </font>
    <font>
      <sz val="8"/>
      <color indexed="8"/>
      <name val="Arial"/>
    </font>
    <font>
      <sz val="8"/>
      <color theme="1"/>
      <name val="Arial"/>
      <family val="2"/>
    </font>
    <font>
      <sz val="8"/>
      <color indexed="8"/>
      <name val="Arial"/>
      <family val="2"/>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15">
    <xf numFmtId="0" fontId="0" fillId="0" borderId="0"/>
    <xf numFmtId="0" fontId="4"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4" fillId="0" borderId="0" xfId="0" applyFont="1"/>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horizontal="left"/>
    </xf>
    <xf numFmtId="0" fontId="3" fillId="0" borderId="0" xfId="0" applyFont="1" applyAlignment="1">
      <alignment wrapText="1"/>
    </xf>
    <xf numFmtId="0" fontId="3" fillId="2" borderId="0" xfId="0" applyFont="1" applyFill="1"/>
    <xf numFmtId="0" fontId="3" fillId="2" borderId="0" xfId="0" applyFont="1" applyFill="1" applyAlignment="1">
      <alignment wrapText="1"/>
    </xf>
    <xf numFmtId="0" fontId="4"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vertical="top" wrapText="1"/>
    </xf>
    <xf numFmtId="0" fontId="3" fillId="2" borderId="0" xfId="0" applyFont="1" applyFill="1" applyAlignment="1">
      <alignment horizontal="left"/>
    </xf>
    <xf numFmtId="0" fontId="7" fillId="3" borderId="0" xfId="0" applyFont="1" applyFill="1"/>
    <xf numFmtId="0" fontId="8" fillId="0" borderId="0" xfId="0" applyFont="1" applyAlignment="1">
      <alignment horizontal="left"/>
    </xf>
    <xf numFmtId="0" fontId="9" fillId="4" borderId="0" xfId="0" applyFont="1" applyFill="1" applyAlignment="1">
      <alignment horizontal="left"/>
    </xf>
    <xf numFmtId="0" fontId="8" fillId="4" borderId="0" xfId="0" applyFont="1" applyFill="1" applyAlignment="1">
      <alignment horizontal="left"/>
    </xf>
    <xf numFmtId="0" fontId="10" fillId="0" borderId="0" xfId="0" applyFont="1" applyAlignment="1">
      <alignment horizontal="left"/>
    </xf>
    <xf numFmtId="0" fontId="8" fillId="3" borderId="0" xfId="0" applyFont="1" applyFill="1" applyAlignment="1">
      <alignment horizontal="left"/>
    </xf>
    <xf numFmtId="0" fontId="4" fillId="3" borderId="0" xfId="0" applyFont="1" applyFill="1" applyAlignment="1">
      <alignment horizontal="left"/>
    </xf>
    <xf numFmtId="0" fontId="4" fillId="3" borderId="0" xfId="0" applyFont="1" applyFill="1"/>
  </cellXfs>
  <cellStyles count="15">
    <cellStyle name="Followed Hyperlink" xfId="12" builtinId="9" hidden="1"/>
    <cellStyle name="Followed Hyperlink" xfId="14" builtinId="9" hidden="1"/>
    <cellStyle name="Followed Hyperlink" xfId="8" builtinId="9" hidden="1"/>
    <cellStyle name="Followed Hyperlink" xfId="10" builtinId="9" hidden="1"/>
    <cellStyle name="Followed Hyperlink" xfId="6" builtinId="9" hidden="1"/>
    <cellStyle name="Followed Hyperlink" xfId="4" builtinId="9" hidden="1"/>
    <cellStyle name="Hyperlink" xfId="9" builtinId="8" hidden="1"/>
    <cellStyle name="Hyperlink" xfId="11" builtinId="8" hidden="1"/>
    <cellStyle name="Hyperlink" xfId="13" builtinId="8" hidden="1"/>
    <cellStyle name="Hyperlink" xfId="7" builtinId="8" hidden="1"/>
    <cellStyle name="Hyperlink" xfId="5" builtinId="8" hidden="1"/>
    <cellStyle name="Hyperlink" xfId="3" builtinId="8" hidden="1"/>
    <cellStyle name="Normal" xfId="0" builtinId="0"/>
    <cellStyle name="Normal 2 2" xfId="1"/>
    <cellStyle name="Normal 2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apr\Downloads\ChartofAccounts24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ofAccounts"/>
    </sheetNames>
    <sheetDataSet>
      <sheetData sheetId="0">
        <row r="1">
          <cell r="A1" t="str">
            <v>Concat</v>
          </cell>
          <cell r="B1" t="str">
            <v>Number</v>
          </cell>
          <cell r="C1" t="str">
            <v>Internal ID</v>
          </cell>
        </row>
        <row r="2">
          <cell r="B2" t="str">
            <v/>
          </cell>
          <cell r="C2">
            <v>830</v>
          </cell>
        </row>
        <row r="3">
          <cell r="B3" t="str">
            <v/>
          </cell>
          <cell r="C3">
            <v>833</v>
          </cell>
        </row>
        <row r="4">
          <cell r="A4" t="str">
            <v>AmegyBankBank</v>
          </cell>
          <cell r="B4">
            <v>1005</v>
          </cell>
          <cell r="C4">
            <v>1</v>
          </cell>
        </row>
        <row r="5">
          <cell r="A5" t="str">
            <v>GulfCapitalBankBank</v>
          </cell>
          <cell r="B5">
            <v>1008</v>
          </cell>
          <cell r="C5">
            <v>315</v>
          </cell>
        </row>
        <row r="6">
          <cell r="A6" t="str">
            <v>AccountsReceivableAccountsReceivable</v>
          </cell>
          <cell r="B6">
            <v>1100</v>
          </cell>
          <cell r="C6">
            <v>119</v>
          </cell>
        </row>
        <row r="7">
          <cell r="A7" t="str">
            <v>AllowanceforDoubtfulAccountsOtherCurrentAsset</v>
          </cell>
          <cell r="B7">
            <v>1190</v>
          </cell>
          <cell r="C7">
            <v>118</v>
          </cell>
        </row>
        <row r="8">
          <cell r="A8" t="str">
            <v>InventoryAssetOtherCurrentAsset</v>
          </cell>
          <cell r="B8">
            <v>1200</v>
          </cell>
          <cell r="C8">
            <v>211</v>
          </cell>
        </row>
        <row r="9">
          <cell r="A9" t="str">
            <v>FinishedGoodsInventoryOtherCurrentAsset</v>
          </cell>
          <cell r="B9">
            <v>1210</v>
          </cell>
          <cell r="C9">
            <v>218</v>
          </cell>
        </row>
        <row r="10">
          <cell r="A10" t="str">
            <v>RemanInventoryOtherCurrentAsset</v>
          </cell>
          <cell r="B10">
            <v>1220</v>
          </cell>
          <cell r="C10">
            <v>214</v>
          </cell>
        </row>
        <row r="11">
          <cell r="A11" t="str">
            <v>WIPOtherCurrentAsset</v>
          </cell>
          <cell r="B11">
            <v>1230</v>
          </cell>
          <cell r="C11">
            <v>121</v>
          </cell>
        </row>
        <row r="12">
          <cell r="A12" t="str">
            <v>InventoryinTransitOtherCurrentAsset</v>
          </cell>
          <cell r="B12">
            <v>1240</v>
          </cell>
          <cell r="C12">
            <v>317</v>
          </cell>
        </row>
        <row r="13">
          <cell r="A13" t="str">
            <v>InventoryReserveOtherCurrentAsset</v>
          </cell>
          <cell r="B13">
            <v>1290</v>
          </cell>
          <cell r="C13">
            <v>318</v>
          </cell>
        </row>
        <row r="14">
          <cell r="A14" t="str">
            <v>PrepaidRentOtherCurrentAsset</v>
          </cell>
          <cell r="B14">
            <v>1300</v>
          </cell>
          <cell r="C14">
            <v>319</v>
          </cell>
        </row>
        <row r="15">
          <cell r="A15" t="str">
            <v>PrepaidInsuranceOtherCurrentAsset</v>
          </cell>
          <cell r="B15">
            <v>1310</v>
          </cell>
          <cell r="C15">
            <v>320</v>
          </cell>
        </row>
        <row r="16">
          <cell r="A16" t="str">
            <v>PrepaidOtherOtherCurrentAsset</v>
          </cell>
          <cell r="B16">
            <v>1320</v>
          </cell>
          <cell r="C16">
            <v>321</v>
          </cell>
        </row>
        <row r="17">
          <cell r="A17" t="str">
            <v>EmployeeReceivable-CurrentOtherCurrentAsset</v>
          </cell>
          <cell r="B17">
            <v>1400</v>
          </cell>
          <cell r="C17">
            <v>322</v>
          </cell>
        </row>
        <row r="18">
          <cell r="A18" t="str">
            <v>NotesReceivable-CurrentOtherCurrentAsset</v>
          </cell>
          <cell r="B18">
            <v>1410</v>
          </cell>
          <cell r="C18">
            <v>323</v>
          </cell>
        </row>
        <row r="19">
          <cell r="A19" t="str">
            <v>AccountsReceivable-OtherOtherCurrentAsset</v>
          </cell>
          <cell r="B19">
            <v>1420</v>
          </cell>
          <cell r="C19">
            <v>324</v>
          </cell>
        </row>
        <row r="20">
          <cell r="A20" t="str">
            <v>OtherCurrentAssetOtherCurrentAsset</v>
          </cell>
          <cell r="B20">
            <v>1470</v>
          </cell>
          <cell r="C20">
            <v>325</v>
          </cell>
        </row>
        <row r="21">
          <cell r="A21" t="str">
            <v>UncategorizedAssetOtherCurrentAsset</v>
          </cell>
          <cell r="B21">
            <v>1496</v>
          </cell>
          <cell r="C21">
            <v>326</v>
          </cell>
        </row>
        <row r="22">
          <cell r="A22" t="str">
            <v>UndepositedFundsOtherCurrentAsset</v>
          </cell>
          <cell r="B22">
            <v>1497</v>
          </cell>
          <cell r="C22">
            <v>122</v>
          </cell>
        </row>
        <row r="23">
          <cell r="A23" t="str">
            <v>VendorPrepaymentOtherCurrentAsset</v>
          </cell>
          <cell r="B23">
            <v>1498</v>
          </cell>
          <cell r="C23">
            <v>825</v>
          </cell>
        </row>
        <row r="24">
          <cell r="A24" t="str">
            <v>ScrapItemOtherCurrentAsset</v>
          </cell>
          <cell r="B24">
            <v>1499</v>
          </cell>
          <cell r="C24">
            <v>826</v>
          </cell>
        </row>
        <row r="25">
          <cell r="A25" t="str">
            <v>FurnitureandFixturesFixedAsset</v>
          </cell>
          <cell r="B25">
            <v>1500</v>
          </cell>
          <cell r="C25">
            <v>328</v>
          </cell>
        </row>
        <row r="26">
          <cell r="A26" t="str">
            <v>EquipmentFixedAsset</v>
          </cell>
          <cell r="B26">
            <v>1510</v>
          </cell>
          <cell r="C26">
            <v>329</v>
          </cell>
        </row>
        <row r="27">
          <cell r="A27" t="str">
            <v>VehiclesFixedAsset</v>
          </cell>
          <cell r="B27">
            <v>1520</v>
          </cell>
          <cell r="C27">
            <v>330</v>
          </cell>
        </row>
        <row r="28">
          <cell r="A28" t="str">
            <v>ComputerFixedAssetFixedAsset</v>
          </cell>
          <cell r="B28">
            <v>1530</v>
          </cell>
          <cell r="C28">
            <v>416</v>
          </cell>
        </row>
        <row r="29">
          <cell r="A29" t="str">
            <v>LeaseholdImprovementsFixedAsset</v>
          </cell>
          <cell r="B29">
            <v>1540</v>
          </cell>
          <cell r="C29">
            <v>417</v>
          </cell>
        </row>
        <row r="30">
          <cell r="A30" t="str">
            <v>BuildingsFixedAsset</v>
          </cell>
          <cell r="B30">
            <v>1550</v>
          </cell>
          <cell r="C30">
            <v>418</v>
          </cell>
        </row>
        <row r="31">
          <cell r="A31" t="str">
            <v>BuildingImprovementsFixedAsset</v>
          </cell>
          <cell r="B31">
            <v>1560</v>
          </cell>
          <cell r="C31">
            <v>419</v>
          </cell>
        </row>
        <row r="32">
          <cell r="A32" t="str">
            <v>LandFixedAsset</v>
          </cell>
          <cell r="B32">
            <v>1590</v>
          </cell>
          <cell r="C32">
            <v>420</v>
          </cell>
        </row>
        <row r="33">
          <cell r="A33" t="str">
            <v>AccumulatedDepreciation,FurnitureandFixturesFixedAsset</v>
          </cell>
          <cell r="B33">
            <v>1600</v>
          </cell>
          <cell r="C33">
            <v>421</v>
          </cell>
        </row>
        <row r="34">
          <cell r="A34" t="str">
            <v>AccumulatedDepreciation,EquipmentFixedAsset</v>
          </cell>
          <cell r="B34">
            <v>1610</v>
          </cell>
          <cell r="C34">
            <v>422</v>
          </cell>
        </row>
        <row r="35">
          <cell r="A35" t="str">
            <v>AccumulatedDepreciation,VehiclesFixedAsset</v>
          </cell>
          <cell r="B35">
            <v>1620</v>
          </cell>
          <cell r="C35">
            <v>423</v>
          </cell>
        </row>
        <row r="36">
          <cell r="A36" t="str">
            <v>AccumulatedDepreciation,ComputersFixedAsset</v>
          </cell>
          <cell r="B36">
            <v>1630</v>
          </cell>
          <cell r="C36">
            <v>424</v>
          </cell>
        </row>
        <row r="37">
          <cell r="A37" t="str">
            <v>AccumulatedDepreciation,LeaseholdFixedAsset</v>
          </cell>
          <cell r="B37">
            <v>1640</v>
          </cell>
          <cell r="C37">
            <v>425</v>
          </cell>
        </row>
        <row r="38">
          <cell r="A38" t="str">
            <v>AccumulatedDepreciation,BuildingsFixedAsset</v>
          </cell>
          <cell r="B38">
            <v>1650</v>
          </cell>
          <cell r="C38">
            <v>426</v>
          </cell>
        </row>
        <row r="39">
          <cell r="A39" t="str">
            <v>AccumulatedDepreciation,BuildingImprovementsFixedAsset</v>
          </cell>
          <cell r="B39">
            <v>1660</v>
          </cell>
          <cell r="C39">
            <v>427</v>
          </cell>
        </row>
        <row r="40">
          <cell r="A40" t="str">
            <v>DepositsOtherAsset</v>
          </cell>
          <cell r="B40">
            <v>1800</v>
          </cell>
          <cell r="C40">
            <v>428</v>
          </cell>
        </row>
        <row r="41">
          <cell r="A41" t="str">
            <v>NotesReceivable-LongTermOtherAsset</v>
          </cell>
          <cell r="B41">
            <v>1810</v>
          </cell>
          <cell r="C41">
            <v>429</v>
          </cell>
        </row>
        <row r="42">
          <cell r="A42" t="str">
            <v>OtherNon-CurrentAssetsOtherAsset</v>
          </cell>
          <cell r="B42">
            <v>1890</v>
          </cell>
          <cell r="C42">
            <v>430</v>
          </cell>
        </row>
        <row r="43">
          <cell r="A43" t="str">
            <v>GoodwillOtherAsset</v>
          </cell>
          <cell r="B43">
            <v>1900</v>
          </cell>
          <cell r="C43">
            <v>431</v>
          </cell>
        </row>
        <row r="44">
          <cell r="A44" t="str">
            <v>AccountsPayableAccountsPayable</v>
          </cell>
          <cell r="B44">
            <v>2000</v>
          </cell>
          <cell r="C44">
            <v>111</v>
          </cell>
        </row>
        <row r="45">
          <cell r="A45" t="str">
            <v>SalesTaxPayableOtherCurrentLiability</v>
          </cell>
          <cell r="B45">
            <v>2005</v>
          </cell>
          <cell r="C45">
            <v>112</v>
          </cell>
        </row>
        <row r="46">
          <cell r="A46" t="str">
            <v>SalesTaxPayable:CaliforniaDeptofTax&amp;FeeAdminPayableOtherCurrentLiability</v>
          </cell>
          <cell r="B46">
            <v>2006</v>
          </cell>
          <cell r="C46">
            <v>123</v>
          </cell>
        </row>
        <row r="47">
          <cell r="A47" t="str">
            <v>SalesTaxPayable:LouisianaDepartmentofRevenuePayableOtherCurrentLiability</v>
          </cell>
          <cell r="B47">
            <v>2012</v>
          </cell>
          <cell r="C47">
            <v>210</v>
          </cell>
        </row>
        <row r="48">
          <cell r="A48" t="str">
            <v>SalesTaxPayable:Louisiana,BossierParishPayableOtherCurrentLiability</v>
          </cell>
          <cell r="B48">
            <v>2013</v>
          </cell>
          <cell r="C48">
            <v>818</v>
          </cell>
        </row>
        <row r="49">
          <cell r="A49" t="str">
            <v>SalesTaxPayable:Louisiana,CaddoParishPayableOtherCurrentLiability</v>
          </cell>
          <cell r="B49">
            <v>2014</v>
          </cell>
          <cell r="C49">
            <v>437</v>
          </cell>
        </row>
        <row r="50">
          <cell r="A50" t="str">
            <v>SalesTaxPayable:Louisiana,DeSotoParishPayableOtherCurrentLiability</v>
          </cell>
          <cell r="B50">
            <v>2015</v>
          </cell>
          <cell r="C50">
            <v>438</v>
          </cell>
        </row>
        <row r="51">
          <cell r="A51" t="str">
            <v>SalesTaxPayable:Louisiana,LincolnParishPayableOtherCurrentLiability</v>
          </cell>
          <cell r="B51">
            <v>2016</v>
          </cell>
          <cell r="C51">
            <v>439</v>
          </cell>
        </row>
        <row r="52">
          <cell r="A52" t="str">
            <v>SalesTaxPayable:Louisiana,NatchitochesParishPayableOtherCurrentLiability</v>
          </cell>
          <cell r="B52">
            <v>2017</v>
          </cell>
          <cell r="C52">
            <v>440</v>
          </cell>
        </row>
        <row r="53">
          <cell r="A53" t="str">
            <v>SalesTaxPayable:Louisiana,BienvilleParishPayableOtherCurrentLiability</v>
          </cell>
          <cell r="B53">
            <v>2018</v>
          </cell>
          <cell r="C53">
            <v>441</v>
          </cell>
        </row>
        <row r="54">
          <cell r="A54" t="str">
            <v>SalesTaxPayable:Louisiana,SabineParishPayableOtherCurrentLiability</v>
          </cell>
          <cell r="B54">
            <v>2019</v>
          </cell>
          <cell r="C54">
            <v>442</v>
          </cell>
        </row>
        <row r="55">
          <cell r="A55" t="str">
            <v>SalesTaxPayable:Louisiana,RedRiverParishPayableOtherCurrentLiability</v>
          </cell>
          <cell r="B55">
            <v>2020</v>
          </cell>
          <cell r="C55">
            <v>443</v>
          </cell>
        </row>
        <row r="56">
          <cell r="A56" t="str">
            <v>SalesTaxPayable:Louisiana,WebsterParishPayableOtherCurrentLiability</v>
          </cell>
          <cell r="B56">
            <v>2021</v>
          </cell>
          <cell r="C56">
            <v>444</v>
          </cell>
        </row>
        <row r="57">
          <cell r="A57" t="str">
            <v>SalesTaxPayable:ArkansasDeptofFinance&amp;AdminPayableOtherCurrentLiability</v>
          </cell>
          <cell r="B57">
            <v>2025</v>
          </cell>
          <cell r="C57">
            <v>817</v>
          </cell>
        </row>
        <row r="58">
          <cell r="A58" t="str">
            <v>SalesTaxPayable:FloridaDepartmentofRevenuePayableOtherCurrentLiability</v>
          </cell>
          <cell r="B58">
            <v>2027</v>
          </cell>
          <cell r="C58">
            <v>516</v>
          </cell>
        </row>
        <row r="59">
          <cell r="A59" t="str">
            <v>SalesTaxPayable:MassachusettsDeptofRevenuePayableOtherCurrentLiability</v>
          </cell>
          <cell r="B59">
            <v>2030</v>
          </cell>
          <cell r="C59">
            <v>517</v>
          </cell>
        </row>
        <row r="60">
          <cell r="A60" t="str">
            <v>SalesTaxPayable:MinnesotaDepartmentofRevenuePayableOtherCurrentLiability</v>
          </cell>
          <cell r="B60">
            <v>2032</v>
          </cell>
          <cell r="C60">
            <v>518</v>
          </cell>
        </row>
        <row r="61">
          <cell r="A61" t="str">
            <v>SalesTaxPayable:NewMexicoTaxation&amp;RevenueDeptPayableOtherCurrentLiability</v>
          </cell>
          <cell r="B61">
            <v>2050</v>
          </cell>
          <cell r="C61">
            <v>519</v>
          </cell>
        </row>
        <row r="62">
          <cell r="A62" t="str">
            <v>SalesTaxPayable:OhioDepartmentofRevenuePayableOtherCurrentLiability</v>
          </cell>
          <cell r="B62">
            <v>2054</v>
          </cell>
          <cell r="C62">
            <v>520</v>
          </cell>
        </row>
        <row r="63">
          <cell r="A63" t="str">
            <v>SalesTaxPayable:OklahomaDepartmentofRevenuePayableOtherCurrentLiability</v>
          </cell>
          <cell r="B63">
            <v>2058</v>
          </cell>
          <cell r="C63">
            <v>819</v>
          </cell>
        </row>
        <row r="64">
          <cell r="A64" t="str">
            <v>SalesTaxPayable:PennsylvaniaDepartmentofRevenuePayableOtherCurrentLiability</v>
          </cell>
          <cell r="B64">
            <v>2062</v>
          </cell>
          <cell r="C64">
            <v>522</v>
          </cell>
        </row>
        <row r="65">
          <cell r="A65" t="str">
            <v>SalesTaxPayable:TexasStateComptrollerPayableOtherCurrentLiability</v>
          </cell>
          <cell r="B65">
            <v>2064</v>
          </cell>
          <cell r="C65">
            <v>523</v>
          </cell>
        </row>
        <row r="66">
          <cell r="A66" t="str">
            <v>SalesTaxPayable:UtahStateTaxCommissionPayableOtherCurrentLiability</v>
          </cell>
          <cell r="B66">
            <v>2068</v>
          </cell>
          <cell r="C66">
            <v>524</v>
          </cell>
        </row>
        <row r="67">
          <cell r="A67" t="str">
            <v>SalesTaxPayable:WestVirginiaDeptofRevenuePayableOtherCurrentLiability</v>
          </cell>
          <cell r="B67">
            <v>2072</v>
          </cell>
          <cell r="C67">
            <v>525</v>
          </cell>
        </row>
        <row r="68">
          <cell r="A68" t="str">
            <v>SalesTaxPayable:WyomingDepartmentofRevenuePayableOtherCurrentLiability</v>
          </cell>
          <cell r="B68">
            <v>2076</v>
          </cell>
          <cell r="C68">
            <v>526</v>
          </cell>
        </row>
        <row r="69">
          <cell r="A69" t="str">
            <v>SalesTaxPayable:OutOfScopeAgencyPayableOtherCurrentLiability</v>
          </cell>
          <cell r="B69">
            <v>2095</v>
          </cell>
          <cell r="C69">
            <v>527</v>
          </cell>
        </row>
        <row r="70">
          <cell r="A70" t="str">
            <v>AccruedPayrollOtherCurrentLiability</v>
          </cell>
          <cell r="B70">
            <v>2100</v>
          </cell>
          <cell r="C70">
            <v>528</v>
          </cell>
        </row>
        <row r="71">
          <cell r="A71" t="str">
            <v>HSAPayable-EEPyrlDeductionOtherCurrentLiability</v>
          </cell>
          <cell r="B71">
            <v>2102</v>
          </cell>
          <cell r="C71">
            <v>529</v>
          </cell>
        </row>
        <row r="72">
          <cell r="A72" t="str">
            <v>Accrued401-KPayableOtherCurrentLiability</v>
          </cell>
          <cell r="B72">
            <v>2105</v>
          </cell>
          <cell r="C72">
            <v>530</v>
          </cell>
        </row>
        <row r="73">
          <cell r="A73" t="str">
            <v>AccruedPropertyTaxOtherCurrentLiability</v>
          </cell>
          <cell r="B73">
            <v>2110</v>
          </cell>
          <cell r="C73">
            <v>531</v>
          </cell>
        </row>
        <row r="74">
          <cell r="A74" t="str">
            <v>AccruedIncomeTaxOtherCurrentLiability</v>
          </cell>
          <cell r="B74">
            <v>2120</v>
          </cell>
          <cell r="C74">
            <v>532</v>
          </cell>
        </row>
        <row r="75">
          <cell r="A75" t="str">
            <v>AccruedOtherTaxOtherCurrentLiability</v>
          </cell>
          <cell r="B75">
            <v>2130</v>
          </cell>
          <cell r="C75">
            <v>533</v>
          </cell>
        </row>
        <row r="76">
          <cell r="A76" t="str">
            <v>AccruedCommissionsOtherCurrentLiability</v>
          </cell>
          <cell r="B76">
            <v>2135</v>
          </cell>
          <cell r="C76">
            <v>534</v>
          </cell>
        </row>
        <row r="77">
          <cell r="A77" t="str">
            <v>AccruedBonusOtherCurrentLiability</v>
          </cell>
          <cell r="B77">
            <v>2140</v>
          </cell>
          <cell r="C77">
            <v>535</v>
          </cell>
        </row>
        <row r="78">
          <cell r="A78" t="str">
            <v>AccruedInterestOtherCurrentLiability</v>
          </cell>
          <cell r="B78">
            <v>2145</v>
          </cell>
          <cell r="C78">
            <v>536</v>
          </cell>
        </row>
        <row r="79">
          <cell r="A79" t="str">
            <v>CustomerDeposits/Pre-PaymentsOtherCurrentLiability</v>
          </cell>
          <cell r="B79">
            <v>2150</v>
          </cell>
          <cell r="C79">
            <v>537</v>
          </cell>
        </row>
        <row r="80">
          <cell r="A80" t="str">
            <v>AccruedRentOtherCurrentLiability</v>
          </cell>
          <cell r="B80">
            <v>2155</v>
          </cell>
          <cell r="C80">
            <v>538</v>
          </cell>
        </row>
        <row r="81">
          <cell r="A81" t="str">
            <v>AccruedMisc.OtherOtherCurrentLiability</v>
          </cell>
          <cell r="B81">
            <v>2190</v>
          </cell>
          <cell r="C81">
            <v>539</v>
          </cell>
        </row>
        <row r="82">
          <cell r="A82" t="str">
            <v>DeferredRevenueOtherCurrentLiability</v>
          </cell>
          <cell r="B82">
            <v>2195</v>
          </cell>
          <cell r="C82">
            <v>540</v>
          </cell>
        </row>
        <row r="83">
          <cell r="A83" t="str">
            <v>NotesPayable-Current-VehiclesOtherCurrentLiability</v>
          </cell>
          <cell r="B83">
            <v>2200</v>
          </cell>
          <cell r="C83">
            <v>541</v>
          </cell>
        </row>
        <row r="84">
          <cell r="A84" t="str">
            <v>NotesPayable-Current-BankLoanOtherCurrentLiability</v>
          </cell>
          <cell r="B84">
            <v>2210</v>
          </cell>
          <cell r="C84">
            <v>542</v>
          </cell>
        </row>
        <row r="85">
          <cell r="A85" t="str">
            <v>CapexLoan-CurrentOtherCurrentLiability</v>
          </cell>
          <cell r="B85">
            <v>2215</v>
          </cell>
          <cell r="C85">
            <v>543</v>
          </cell>
        </row>
        <row r="86">
          <cell r="A86" t="str">
            <v>NotesPayable-Current-OtherOtherCurrentLiability</v>
          </cell>
          <cell r="B86">
            <v>2220</v>
          </cell>
          <cell r="C86">
            <v>544</v>
          </cell>
        </row>
        <row r="87">
          <cell r="A87" t="str">
            <v>OtherLong-TermLiabilitiesLongTermLiability</v>
          </cell>
          <cell r="B87">
            <v>2290</v>
          </cell>
          <cell r="C87">
            <v>545</v>
          </cell>
        </row>
        <row r="88">
          <cell r="A88" t="str">
            <v>NotesPayable-LongTerm-VehiclesLongTermLiability</v>
          </cell>
          <cell r="B88">
            <v>2300</v>
          </cell>
          <cell r="C88">
            <v>546</v>
          </cell>
        </row>
        <row r="89">
          <cell r="A89" t="str">
            <v>NotesPayable-LongTerm-BankLoanLongTermLiability</v>
          </cell>
          <cell r="B89">
            <v>2310</v>
          </cell>
          <cell r="C89">
            <v>547</v>
          </cell>
        </row>
        <row r="90">
          <cell r="A90" t="str">
            <v>NotesPayable-LongTerm-CapexLoanLongTermLiability</v>
          </cell>
          <cell r="B90">
            <v>2315</v>
          </cell>
          <cell r="C90">
            <v>548</v>
          </cell>
        </row>
        <row r="91">
          <cell r="A91" t="str">
            <v>NotesPayable-LongTerm-OtherLongTermLiability</v>
          </cell>
          <cell r="B91">
            <v>2320</v>
          </cell>
          <cell r="C91">
            <v>549</v>
          </cell>
        </row>
        <row r="92">
          <cell r="A92" t="str">
            <v>OpeningBalanceEquityEquity</v>
          </cell>
          <cell r="B92">
            <v>3000</v>
          </cell>
          <cell r="C92">
            <v>53</v>
          </cell>
        </row>
        <row r="93">
          <cell r="A93" t="str">
            <v>Owner'sInvestmentEquity</v>
          </cell>
          <cell r="B93">
            <v>3010</v>
          </cell>
          <cell r="C93">
            <v>617</v>
          </cell>
        </row>
        <row r="94">
          <cell r="A94" t="str">
            <v>RetainedEarningsEquity</v>
          </cell>
          <cell r="B94">
            <v>3030</v>
          </cell>
          <cell r="C94">
            <v>52</v>
          </cell>
        </row>
        <row r="95">
          <cell r="A95" t="str">
            <v>CumulativeTranslationAdjustmentEquity</v>
          </cell>
          <cell r="B95">
            <v>3035</v>
          </cell>
          <cell r="C95">
            <v>109</v>
          </cell>
        </row>
        <row r="96">
          <cell r="A96" t="str">
            <v>ProductRevenueIncome</v>
          </cell>
          <cell r="B96">
            <v>4000</v>
          </cell>
          <cell r="C96">
            <v>54</v>
          </cell>
        </row>
        <row r="97">
          <cell r="A97" t="str">
            <v>ServiceRevenueIncome</v>
          </cell>
          <cell r="B97">
            <v>4010</v>
          </cell>
          <cell r="C97">
            <v>619</v>
          </cell>
        </row>
        <row r="98">
          <cell r="A98" t="str">
            <v>Freight,ShippingRevenueIncome</v>
          </cell>
          <cell r="B98">
            <v>4020</v>
          </cell>
          <cell r="C98">
            <v>620</v>
          </cell>
        </row>
        <row r="99">
          <cell r="A99" t="str">
            <v>SalesDiscountsIncome</v>
          </cell>
          <cell r="B99">
            <v>4030</v>
          </cell>
          <cell r="C99">
            <v>621</v>
          </cell>
        </row>
        <row r="100">
          <cell r="A100" t="str">
            <v>SalesReturns&amp;AllowancesIncome</v>
          </cell>
          <cell r="B100">
            <v>4040</v>
          </cell>
          <cell r="C100">
            <v>622</v>
          </cell>
        </row>
        <row r="101">
          <cell r="A101" t="str">
            <v>IntercoSales-HLAtoVTXIncome</v>
          </cell>
          <cell r="B101">
            <v>4080</v>
          </cell>
          <cell r="C101">
            <v>623</v>
          </cell>
        </row>
        <row r="102">
          <cell r="A102" t="str">
            <v>IntercoSales-VTXtoHLAIncome</v>
          </cell>
          <cell r="B102">
            <v>4082</v>
          </cell>
          <cell r="C102">
            <v>624</v>
          </cell>
        </row>
        <row r="103">
          <cell r="A103" t="str">
            <v>DONOTUSEIncome</v>
          </cell>
          <cell r="B103">
            <v>4090</v>
          </cell>
          <cell r="C103">
            <v>625</v>
          </cell>
        </row>
        <row r="104">
          <cell r="A104" t="str">
            <v>UnappliedCashPaymentIncomeIncome</v>
          </cell>
          <cell r="B104">
            <v>4092</v>
          </cell>
          <cell r="C104">
            <v>626</v>
          </cell>
        </row>
        <row r="105">
          <cell r="A105" t="str">
            <v>UncategorizedIncomeIncome</v>
          </cell>
          <cell r="B105">
            <v>4094</v>
          </cell>
          <cell r="C105">
            <v>627</v>
          </cell>
        </row>
        <row r="106">
          <cell r="A106" t="str">
            <v>ProductCostCostofGoodsSold</v>
          </cell>
          <cell r="B106">
            <v>5000</v>
          </cell>
          <cell r="C106">
            <v>628</v>
          </cell>
        </row>
        <row r="107">
          <cell r="A107" t="str">
            <v>ProductCost-SurplusCostofGoodsSold</v>
          </cell>
          <cell r="B107">
            <v>5002</v>
          </cell>
          <cell r="C107">
            <v>212</v>
          </cell>
        </row>
        <row r="108">
          <cell r="A108" t="str">
            <v>ProductCost-OutsideServicesCostofGoodsSold</v>
          </cell>
          <cell r="B108">
            <v>5004</v>
          </cell>
          <cell r="C108">
            <v>630</v>
          </cell>
        </row>
        <row r="109">
          <cell r="A109" t="str">
            <v>IntercoCost-HLACostofGoodsSold</v>
          </cell>
          <cell r="B109">
            <v>5005</v>
          </cell>
          <cell r="C109">
            <v>631</v>
          </cell>
        </row>
        <row r="110">
          <cell r="A110" t="str">
            <v>IntercoCost-VTXCostofGoodsSold</v>
          </cell>
          <cell r="B110">
            <v>5006</v>
          </cell>
          <cell r="C110">
            <v>632</v>
          </cell>
        </row>
        <row r="111">
          <cell r="A111" t="str">
            <v>DirectLaborWagesCostofGoodsSold</v>
          </cell>
          <cell r="B111">
            <v>5010</v>
          </cell>
          <cell r="C111">
            <v>633</v>
          </cell>
        </row>
        <row r="112">
          <cell r="A112" t="str">
            <v>DirectLaborOTCostofGoodsSold</v>
          </cell>
          <cell r="B112">
            <v>5015</v>
          </cell>
          <cell r="C112">
            <v>634</v>
          </cell>
        </row>
        <row r="113">
          <cell r="A113" t="str">
            <v>DirectLaborBonusCostofGoodsSold</v>
          </cell>
          <cell r="B113">
            <v>5017</v>
          </cell>
          <cell r="C113">
            <v>635</v>
          </cell>
        </row>
        <row r="114">
          <cell r="A114" t="str">
            <v>DirectLaborBenefitsCostofGoodsSold</v>
          </cell>
          <cell r="B114">
            <v>5020</v>
          </cell>
          <cell r="C114">
            <v>636</v>
          </cell>
        </row>
        <row r="115">
          <cell r="A115" t="str">
            <v>DirectLaborTaxExpenseCostofGoodsSold</v>
          </cell>
          <cell r="B115">
            <v>5025</v>
          </cell>
          <cell r="C115">
            <v>637</v>
          </cell>
        </row>
        <row r="116">
          <cell r="A116" t="str">
            <v>IndirectLaborWagesCostofGoodsSold</v>
          </cell>
          <cell r="B116">
            <v>5030</v>
          </cell>
          <cell r="C116">
            <v>638</v>
          </cell>
        </row>
        <row r="117">
          <cell r="A117" t="str">
            <v>IndirectLaborOTCostofGoodsSold</v>
          </cell>
          <cell r="B117">
            <v>5035</v>
          </cell>
          <cell r="C117">
            <v>639</v>
          </cell>
        </row>
        <row r="118">
          <cell r="A118" t="str">
            <v>IndirectLaborBonusCostofGoodsSold</v>
          </cell>
          <cell r="B118">
            <v>5037</v>
          </cell>
          <cell r="C118">
            <v>640</v>
          </cell>
        </row>
        <row r="119">
          <cell r="A119" t="str">
            <v>IndirectLaborBenefitsCostofGoodsSold</v>
          </cell>
          <cell r="B119">
            <v>5040</v>
          </cell>
          <cell r="C119">
            <v>641</v>
          </cell>
        </row>
        <row r="120">
          <cell r="A120" t="str">
            <v>IndirectLaborTaxExpenseCostofGoodsSold</v>
          </cell>
          <cell r="B120">
            <v>5045</v>
          </cell>
          <cell r="C120">
            <v>642</v>
          </cell>
        </row>
        <row r="121">
          <cell r="A121" t="str">
            <v>ContractLaborCostofGoodsSold</v>
          </cell>
          <cell r="B121">
            <v>5047</v>
          </cell>
          <cell r="C121">
            <v>643</v>
          </cell>
        </row>
        <row r="122">
          <cell r="A122" t="str">
            <v>COGSRentCostofGoodsSold</v>
          </cell>
          <cell r="B122">
            <v>5100</v>
          </cell>
          <cell r="C122">
            <v>644</v>
          </cell>
        </row>
        <row r="123">
          <cell r="A123" t="str">
            <v>COGSUtilitiesCostofGoodsSold</v>
          </cell>
          <cell r="B123">
            <v>5110</v>
          </cell>
          <cell r="C123">
            <v>645</v>
          </cell>
        </row>
        <row r="124">
          <cell r="A124" t="str">
            <v>COGSShopSupplies&amp;ToolingCostofGoodsSold</v>
          </cell>
          <cell r="B124">
            <v>5120</v>
          </cell>
          <cell r="C124">
            <v>646</v>
          </cell>
        </row>
        <row r="125">
          <cell r="A125" t="str">
            <v>COGSFuel,OilCostofGoodsSold</v>
          </cell>
          <cell r="B125">
            <v>5125</v>
          </cell>
          <cell r="C125">
            <v>647</v>
          </cell>
        </row>
        <row r="126">
          <cell r="A126" t="str">
            <v>COGSRepair&amp;MaintenanceCostofGoodsSold</v>
          </cell>
          <cell r="B126">
            <v>5130</v>
          </cell>
          <cell r="C126">
            <v>648</v>
          </cell>
        </row>
        <row r="127">
          <cell r="A127" t="str">
            <v>WarrantyExpenseCostofGoodsSold</v>
          </cell>
          <cell r="B127">
            <v>5135</v>
          </cell>
          <cell r="C127">
            <v>649</v>
          </cell>
        </row>
        <row r="128">
          <cell r="A128" t="str">
            <v>COGSFreightOutCostofGoodsSold</v>
          </cell>
          <cell r="B128">
            <v>5140</v>
          </cell>
          <cell r="C128">
            <v>650</v>
          </cell>
        </row>
        <row r="129">
          <cell r="A129" t="str">
            <v>COGSFreightInCostofGoodsSold</v>
          </cell>
          <cell r="B129">
            <v>5145</v>
          </cell>
          <cell r="C129">
            <v>651</v>
          </cell>
        </row>
        <row r="130">
          <cell r="A130" t="str">
            <v>LandedCostVarianceExpense</v>
          </cell>
          <cell r="B130">
            <v>5147</v>
          </cell>
          <cell r="C130">
            <v>829</v>
          </cell>
        </row>
        <row r="131">
          <cell r="A131" t="str">
            <v>COGSShippingSuppliesCostofGoodsSold</v>
          </cell>
          <cell r="B131">
            <v>5150</v>
          </cell>
          <cell r="C131">
            <v>652</v>
          </cell>
        </row>
        <row r="132">
          <cell r="A132" t="str">
            <v>COGSRentalEquipmentCostofGoodsSold</v>
          </cell>
          <cell r="B132">
            <v>5160</v>
          </cell>
          <cell r="C132">
            <v>653</v>
          </cell>
        </row>
        <row r="133">
          <cell r="A133" t="str">
            <v>COGSUniformsCostofGoodsSold</v>
          </cell>
          <cell r="B133">
            <v>5170</v>
          </cell>
          <cell r="C133">
            <v>654</v>
          </cell>
        </row>
        <row r="134">
          <cell r="A134" t="str">
            <v>COGSSafety,Medical&amp;EnvironmentalCostofGoodsSold</v>
          </cell>
          <cell r="B134">
            <v>5175</v>
          </cell>
          <cell r="C134">
            <v>655</v>
          </cell>
        </row>
        <row r="135">
          <cell r="A135" t="str">
            <v>COGSOtherCostofGoodsSold</v>
          </cell>
          <cell r="B135">
            <v>5190</v>
          </cell>
          <cell r="C135">
            <v>656</v>
          </cell>
        </row>
        <row r="136">
          <cell r="A136" t="str">
            <v>COGST&amp;E-MealsCostofGoodsSold</v>
          </cell>
          <cell r="B136">
            <v>5600</v>
          </cell>
          <cell r="C136">
            <v>657</v>
          </cell>
        </row>
        <row r="137">
          <cell r="A137" t="str">
            <v>COGST&amp;E-Mealsw/CustomersCostofGoodsSold</v>
          </cell>
          <cell r="B137">
            <v>5602</v>
          </cell>
          <cell r="C137">
            <v>658</v>
          </cell>
        </row>
        <row r="138">
          <cell r="A138" t="str">
            <v>COGST&amp;E-HotelCostofGoodsSold</v>
          </cell>
          <cell r="B138">
            <v>5610</v>
          </cell>
          <cell r="C138">
            <v>659</v>
          </cell>
        </row>
        <row r="139">
          <cell r="A139" t="str">
            <v>COGST&amp;E-Fuel,MileageCostofGoodsSold</v>
          </cell>
          <cell r="B139">
            <v>5620</v>
          </cell>
          <cell r="C139">
            <v>660</v>
          </cell>
        </row>
        <row r="140">
          <cell r="A140" t="str">
            <v>COGST&amp;E-AirfareCostofGoodsSold</v>
          </cell>
          <cell r="B140">
            <v>5630</v>
          </cell>
          <cell r="C140">
            <v>661</v>
          </cell>
        </row>
        <row r="141">
          <cell r="A141" t="str">
            <v>COGST&amp;E-OtherCostofGoodsSold</v>
          </cell>
          <cell r="B141">
            <v>5640</v>
          </cell>
          <cell r="C141">
            <v>662</v>
          </cell>
        </row>
        <row r="142">
          <cell r="A142" t="str">
            <v>InventoryAdjustmentsCostofGoodsSold</v>
          </cell>
          <cell r="B142">
            <v>5700</v>
          </cell>
          <cell r="C142">
            <v>663</v>
          </cell>
        </row>
        <row r="143">
          <cell r="A143" t="str">
            <v>PurchaseDiscountsCostofGoodsSold</v>
          </cell>
          <cell r="B143">
            <v>5710</v>
          </cell>
          <cell r="C143">
            <v>664</v>
          </cell>
        </row>
        <row r="144">
          <cell r="A144" t="str">
            <v>BillQuantityVarianceaccountExpense</v>
          </cell>
          <cell r="B144">
            <v>5720</v>
          </cell>
          <cell r="C144">
            <v>834</v>
          </cell>
        </row>
        <row r="145">
          <cell r="A145" t="str">
            <v>BillPriceVarianceaccountExpense</v>
          </cell>
          <cell r="B145">
            <v>5722</v>
          </cell>
          <cell r="C145">
            <v>835</v>
          </cell>
        </row>
        <row r="146">
          <cell r="A146" t="str">
            <v>BillExchangeRateVarianceaccountExpense</v>
          </cell>
          <cell r="B146">
            <v>5724</v>
          </cell>
          <cell r="C146">
            <v>836</v>
          </cell>
        </row>
        <row r="147">
          <cell r="A147" t="str">
            <v>UnbuildVarianceAccountExpense</v>
          </cell>
          <cell r="B147">
            <v>5726</v>
          </cell>
          <cell r="C147">
            <v>837</v>
          </cell>
        </row>
        <row r="148">
          <cell r="A148" t="str">
            <v>VendorReturnVarianceAccountExpense</v>
          </cell>
          <cell r="B148">
            <v>5728</v>
          </cell>
          <cell r="C148">
            <v>838</v>
          </cell>
        </row>
        <row r="149">
          <cell r="A149" t="str">
            <v>CustomerReturnVarianceAccountExpense</v>
          </cell>
          <cell r="B149">
            <v>5730</v>
          </cell>
          <cell r="C149">
            <v>839</v>
          </cell>
        </row>
        <row r="150">
          <cell r="A150" t="str">
            <v>ProductionQuantityVarianceAccountExpense</v>
          </cell>
          <cell r="B150">
            <v>5732</v>
          </cell>
          <cell r="C150">
            <v>840</v>
          </cell>
        </row>
        <row r="151">
          <cell r="A151" t="str">
            <v>ProductionPriceVarianceAccountExpense</v>
          </cell>
          <cell r="B151">
            <v>5734</v>
          </cell>
          <cell r="C151">
            <v>841</v>
          </cell>
        </row>
        <row r="152">
          <cell r="A152" t="str">
            <v>PurchasePriceVarianceAccountExpense</v>
          </cell>
          <cell r="B152">
            <v>5736</v>
          </cell>
          <cell r="C152">
            <v>842</v>
          </cell>
        </row>
        <row r="153">
          <cell r="A153" t="str">
            <v>COGSDepreciationCostofGoodsSold</v>
          </cell>
          <cell r="B153">
            <v>5800</v>
          </cell>
          <cell r="C153">
            <v>665</v>
          </cell>
        </row>
        <row r="154">
          <cell r="A154" t="str">
            <v>WIPCostVarianceCostofGoodsSold</v>
          </cell>
          <cell r="B154">
            <v>5810</v>
          </cell>
          <cell r="C154">
            <v>827</v>
          </cell>
        </row>
        <row r="155">
          <cell r="A155" t="str">
            <v>Salaries&amp;WageExpenseExpense</v>
          </cell>
          <cell r="B155">
            <v>6000</v>
          </cell>
          <cell r="C155">
            <v>58</v>
          </cell>
        </row>
        <row r="156">
          <cell r="A156" t="str">
            <v>OvertimeExpense</v>
          </cell>
          <cell r="B156">
            <v>6010</v>
          </cell>
          <cell r="C156">
            <v>666</v>
          </cell>
        </row>
        <row r="157">
          <cell r="A157" t="str">
            <v>BonusExpense</v>
          </cell>
          <cell r="B157">
            <v>6020</v>
          </cell>
          <cell r="C157">
            <v>667</v>
          </cell>
        </row>
        <row r="158">
          <cell r="A158" t="str">
            <v>401KExpenseExpense</v>
          </cell>
          <cell r="B158">
            <v>6025</v>
          </cell>
          <cell r="C158">
            <v>668</v>
          </cell>
        </row>
        <row r="159">
          <cell r="A159" t="str">
            <v>EmployeeBenefitExpense,HealthInsuranceExpense</v>
          </cell>
          <cell r="B159">
            <v>6030</v>
          </cell>
          <cell r="C159">
            <v>669</v>
          </cell>
        </row>
        <row r="160">
          <cell r="A160" t="str">
            <v>EmployeeBenefitExpense,DentalExpense</v>
          </cell>
          <cell r="B160">
            <v>6040</v>
          </cell>
          <cell r="C160">
            <v>670</v>
          </cell>
        </row>
        <row r="161">
          <cell r="A161" t="str">
            <v>EmployeeBenefitExpense,VisionExpense</v>
          </cell>
          <cell r="B161">
            <v>6050</v>
          </cell>
          <cell r="C161">
            <v>671</v>
          </cell>
        </row>
        <row r="162">
          <cell r="A162" t="str">
            <v>EmployeeBenefitExpense,LifeExpense</v>
          </cell>
          <cell r="B162">
            <v>6060</v>
          </cell>
          <cell r="C162">
            <v>672</v>
          </cell>
        </row>
        <row r="163">
          <cell r="A163" t="str">
            <v>EmployeeBenefitExpense,AD&amp;D/LTDExpense</v>
          </cell>
          <cell r="B163">
            <v>6070</v>
          </cell>
          <cell r="C163">
            <v>673</v>
          </cell>
        </row>
        <row r="164">
          <cell r="A164" t="str">
            <v>EmployerHSAContributionsExpense</v>
          </cell>
          <cell r="B164">
            <v>6072</v>
          </cell>
          <cell r="C164">
            <v>674</v>
          </cell>
        </row>
        <row r="165">
          <cell r="A165" t="str">
            <v>BenefitsR/CtoCOGSExpense</v>
          </cell>
          <cell r="B165">
            <v>6075</v>
          </cell>
          <cell r="C165">
            <v>675</v>
          </cell>
        </row>
        <row r="166">
          <cell r="A166" t="str">
            <v>EmployeeTaxExpenseExpense</v>
          </cell>
          <cell r="B166">
            <v>6080</v>
          </cell>
          <cell r="C166">
            <v>676</v>
          </cell>
        </row>
        <row r="167">
          <cell r="A167" t="str">
            <v>AllocatedPyrlCostExpense</v>
          </cell>
          <cell r="B167">
            <v>6085</v>
          </cell>
          <cell r="C167">
            <v>677</v>
          </cell>
        </row>
        <row r="168">
          <cell r="A168" t="str">
            <v>CarAllowanceExpense</v>
          </cell>
          <cell r="B168">
            <v>6090</v>
          </cell>
          <cell r="C168">
            <v>678</v>
          </cell>
        </row>
        <row r="169">
          <cell r="A169" t="str">
            <v>TempLaborExpense</v>
          </cell>
          <cell r="B169">
            <v>6190</v>
          </cell>
          <cell r="C169">
            <v>679</v>
          </cell>
        </row>
        <row r="170">
          <cell r="A170" t="str">
            <v>CommissionsExpense</v>
          </cell>
          <cell r="B170">
            <v>6200</v>
          </cell>
          <cell r="C170">
            <v>680</v>
          </cell>
        </row>
        <row r="171">
          <cell r="A171" t="str">
            <v>Advertising&amp;PromotionExpense</v>
          </cell>
          <cell r="B171">
            <v>6210</v>
          </cell>
          <cell r="C171">
            <v>681</v>
          </cell>
        </row>
        <row r="172">
          <cell r="A172" t="str">
            <v>ComputerServicesExpense</v>
          </cell>
          <cell r="B172">
            <v>6220</v>
          </cell>
          <cell r="C172">
            <v>682</v>
          </cell>
        </row>
        <row r="173">
          <cell r="A173" t="str">
            <v>LegalFeesExpense</v>
          </cell>
          <cell r="B173">
            <v>6230</v>
          </cell>
          <cell r="C173">
            <v>683</v>
          </cell>
        </row>
        <row r="174">
          <cell r="A174" t="str">
            <v>AccountingFeesExpense</v>
          </cell>
          <cell r="B174">
            <v>6240</v>
          </cell>
          <cell r="C174">
            <v>684</v>
          </cell>
        </row>
        <row r="175">
          <cell r="A175" t="str">
            <v>OtherProfessionalFeesExpense</v>
          </cell>
          <cell r="B175">
            <v>6290</v>
          </cell>
          <cell r="C175">
            <v>685</v>
          </cell>
        </row>
        <row r="176">
          <cell r="A176" t="str">
            <v>RentExpense</v>
          </cell>
          <cell r="B176">
            <v>6300</v>
          </cell>
          <cell r="C176">
            <v>686</v>
          </cell>
        </row>
        <row r="177">
          <cell r="A177" t="str">
            <v>SG&amp;AUtilitiesExpense</v>
          </cell>
          <cell r="B177">
            <v>6310</v>
          </cell>
          <cell r="C177">
            <v>687</v>
          </cell>
        </row>
        <row r="178">
          <cell r="A178" t="str">
            <v>TelecommunicatonsExpense</v>
          </cell>
          <cell r="B178">
            <v>6320</v>
          </cell>
          <cell r="C178">
            <v>688</v>
          </cell>
        </row>
        <row r="179">
          <cell r="A179" t="str">
            <v>OfficeSuppliesExpense</v>
          </cell>
          <cell r="B179">
            <v>6330</v>
          </cell>
          <cell r="C179">
            <v>689</v>
          </cell>
        </row>
        <row r="180">
          <cell r="A180" t="str">
            <v>Repair&amp;MaintenanceExpense</v>
          </cell>
          <cell r="B180">
            <v>6340</v>
          </cell>
          <cell r="C180">
            <v>690</v>
          </cell>
        </row>
        <row r="181">
          <cell r="A181" t="str">
            <v>OfficeEquipmentRentalExpense</v>
          </cell>
          <cell r="B181">
            <v>6350</v>
          </cell>
          <cell r="C181">
            <v>691</v>
          </cell>
        </row>
        <row r="182">
          <cell r="A182" t="str">
            <v>Postage&amp;CourierExpense</v>
          </cell>
          <cell r="B182">
            <v>6355</v>
          </cell>
          <cell r="C182">
            <v>692</v>
          </cell>
        </row>
        <row r="183">
          <cell r="A183" t="str">
            <v>Safety,Medical&amp;EnvironmentalExpense</v>
          </cell>
          <cell r="B183">
            <v>6360</v>
          </cell>
          <cell r="C183">
            <v>693</v>
          </cell>
        </row>
        <row r="184">
          <cell r="A184" t="str">
            <v>ComputerEquipmentExpense</v>
          </cell>
          <cell r="B184">
            <v>6400</v>
          </cell>
          <cell r="C184">
            <v>694</v>
          </cell>
        </row>
        <row r="185">
          <cell r="A185" t="str">
            <v>ComputerSoftware,License,MaintenanceExpense</v>
          </cell>
          <cell r="B185">
            <v>6410</v>
          </cell>
          <cell r="C185">
            <v>695</v>
          </cell>
        </row>
        <row r="186">
          <cell r="A186" t="str">
            <v>GeneralInsuranceExpense</v>
          </cell>
          <cell r="B186">
            <v>6500</v>
          </cell>
          <cell r="C186">
            <v>696</v>
          </cell>
        </row>
        <row r="187">
          <cell r="A187" t="str">
            <v>Worker'sCompInsuranceExpense</v>
          </cell>
          <cell r="B187">
            <v>6510</v>
          </cell>
          <cell r="C187">
            <v>697</v>
          </cell>
        </row>
        <row r="188">
          <cell r="A188" t="str">
            <v>VehicleInsuranceExpense</v>
          </cell>
          <cell r="B188">
            <v>6520</v>
          </cell>
          <cell r="C188">
            <v>698</v>
          </cell>
        </row>
        <row r="189">
          <cell r="A189" t="str">
            <v>PropertyTaxExpense</v>
          </cell>
          <cell r="B189">
            <v>6550</v>
          </cell>
          <cell r="C189">
            <v>699</v>
          </cell>
        </row>
        <row r="190">
          <cell r="A190" t="str">
            <v>VehicleTaxExpense</v>
          </cell>
          <cell r="B190">
            <v>6560</v>
          </cell>
          <cell r="C190">
            <v>700</v>
          </cell>
        </row>
        <row r="191">
          <cell r="A191" t="str">
            <v>OtherTaxExpense</v>
          </cell>
          <cell r="B191">
            <v>6590</v>
          </cell>
          <cell r="C191">
            <v>701</v>
          </cell>
        </row>
        <row r="192">
          <cell r="A192" t="str">
            <v>BusinessLicensesExpense</v>
          </cell>
          <cell r="B192">
            <v>6595</v>
          </cell>
          <cell r="C192">
            <v>702</v>
          </cell>
        </row>
        <row r="193">
          <cell r="A193" t="str">
            <v>T&amp;E-EEMealsExpense</v>
          </cell>
          <cell r="B193">
            <v>6600</v>
          </cell>
          <cell r="C193">
            <v>703</v>
          </cell>
        </row>
        <row r="194">
          <cell r="A194" t="str">
            <v>T&amp;E-EEWithCustMealsExpense</v>
          </cell>
          <cell r="B194">
            <v>6602</v>
          </cell>
          <cell r="C194">
            <v>704</v>
          </cell>
        </row>
        <row r="195">
          <cell r="A195" t="str">
            <v>T&amp;E-EntertainmentExpense</v>
          </cell>
          <cell r="B195">
            <v>6606</v>
          </cell>
          <cell r="C195">
            <v>705</v>
          </cell>
        </row>
        <row r="196">
          <cell r="A196" t="str">
            <v>T&amp;E-HotelExpense</v>
          </cell>
          <cell r="B196">
            <v>6610</v>
          </cell>
          <cell r="C196">
            <v>706</v>
          </cell>
        </row>
        <row r="197">
          <cell r="A197" t="str">
            <v>T&amp;E-Fuel,MileageExpense</v>
          </cell>
          <cell r="B197">
            <v>6620</v>
          </cell>
          <cell r="C197">
            <v>707</v>
          </cell>
        </row>
        <row r="198">
          <cell r="A198" t="str">
            <v>T&amp;E-AirfareExpense</v>
          </cell>
          <cell r="B198">
            <v>6630</v>
          </cell>
          <cell r="C198">
            <v>708</v>
          </cell>
        </row>
        <row r="199">
          <cell r="A199" t="str">
            <v>T&amp;E-OtherExpense</v>
          </cell>
          <cell r="B199">
            <v>6640</v>
          </cell>
          <cell r="C199">
            <v>709</v>
          </cell>
        </row>
        <row r="200">
          <cell r="A200" t="str">
            <v>BadDebtExpenseExpense</v>
          </cell>
          <cell r="B200">
            <v>6700</v>
          </cell>
          <cell r="C200">
            <v>710</v>
          </cell>
        </row>
        <row r="201">
          <cell r="A201" t="str">
            <v>Gifts&amp;RewardsExpense</v>
          </cell>
          <cell r="B201">
            <v>6710</v>
          </cell>
          <cell r="C201">
            <v>711</v>
          </cell>
        </row>
        <row r="202">
          <cell r="A202" t="str">
            <v>Dues&amp;SubscriptionsExpense</v>
          </cell>
          <cell r="B202">
            <v>6720</v>
          </cell>
          <cell r="C202">
            <v>712</v>
          </cell>
        </row>
        <row r="203">
          <cell r="A203" t="str">
            <v>BankChargesandCreditCardFeesExpense</v>
          </cell>
          <cell r="B203">
            <v>6730</v>
          </cell>
          <cell r="C203">
            <v>713</v>
          </cell>
        </row>
        <row r="204">
          <cell r="A204" t="str">
            <v>Fines&amp;PenaltiesExpense</v>
          </cell>
          <cell r="B204">
            <v>6740</v>
          </cell>
          <cell r="C204">
            <v>714</v>
          </cell>
        </row>
        <row r="205">
          <cell r="A205" t="str">
            <v>CharitableContributionsExpense</v>
          </cell>
          <cell r="B205">
            <v>6750</v>
          </cell>
          <cell r="C205">
            <v>715</v>
          </cell>
        </row>
        <row r="206">
          <cell r="A206" t="str">
            <v>VehicleRentalExpense</v>
          </cell>
          <cell r="B206">
            <v>6760</v>
          </cell>
          <cell r="C206">
            <v>716</v>
          </cell>
        </row>
        <row r="207">
          <cell r="A207" t="str">
            <v>VehicleRepair&amp;MaintenanceExpense</v>
          </cell>
          <cell r="B207">
            <v>6770</v>
          </cell>
          <cell r="C207">
            <v>717</v>
          </cell>
        </row>
        <row r="208">
          <cell r="A208" t="str">
            <v>OtherSG&amp;AExpenseExpense</v>
          </cell>
          <cell r="B208">
            <v>6790</v>
          </cell>
          <cell r="C208">
            <v>718</v>
          </cell>
        </row>
        <row r="209">
          <cell r="A209" t="str">
            <v>DepreciationExpense</v>
          </cell>
          <cell r="B209">
            <v>6800</v>
          </cell>
          <cell r="C209">
            <v>719</v>
          </cell>
        </row>
        <row r="210">
          <cell r="A210" t="str">
            <v>AmortizationExpense</v>
          </cell>
          <cell r="B210">
            <v>6840</v>
          </cell>
          <cell r="C210">
            <v>720</v>
          </cell>
        </row>
        <row r="211">
          <cell r="A211" t="str">
            <v>InterestIncomeExpense</v>
          </cell>
          <cell r="B211">
            <v>7000</v>
          </cell>
          <cell r="C211">
            <v>721</v>
          </cell>
        </row>
        <row r="212">
          <cell r="A212" t="str">
            <v>InterestExpenseExpense</v>
          </cell>
          <cell r="B212">
            <v>7020</v>
          </cell>
          <cell r="C212">
            <v>722</v>
          </cell>
        </row>
        <row r="213">
          <cell r="A213" t="str">
            <v>FederalIncomeTaxExpenseExpense</v>
          </cell>
          <cell r="B213">
            <v>7200</v>
          </cell>
          <cell r="C213">
            <v>723</v>
          </cell>
        </row>
        <row r="214">
          <cell r="A214" t="str">
            <v>FranchiseTaxExpenseExpense</v>
          </cell>
          <cell r="B214">
            <v>7220</v>
          </cell>
          <cell r="C214">
            <v>724</v>
          </cell>
        </row>
        <row r="215">
          <cell r="A215" t="str">
            <v>AllocatedChargesExpense</v>
          </cell>
          <cell r="B215">
            <v>7300</v>
          </cell>
          <cell r="C215">
            <v>725</v>
          </cell>
        </row>
        <row r="216">
          <cell r="A216" t="str">
            <v>Gain/LossonSalesofAssetsExpense</v>
          </cell>
          <cell r="B216">
            <v>7320</v>
          </cell>
          <cell r="C216">
            <v>726</v>
          </cell>
        </row>
        <row r="217">
          <cell r="A217" t="str">
            <v>OtherNon-OperatingInc/ExpExpense</v>
          </cell>
          <cell r="B217">
            <v>7350</v>
          </cell>
          <cell r="C217">
            <v>727</v>
          </cell>
        </row>
        <row r="218">
          <cell r="A218" t="str">
            <v>UncategorizedExpenseExpense</v>
          </cell>
          <cell r="B218">
            <v>7390</v>
          </cell>
          <cell r="C218">
            <v>728</v>
          </cell>
        </row>
        <row r="219">
          <cell r="A219" t="str">
            <v>RoundingGain/LossOtherExpense</v>
          </cell>
          <cell r="B219">
            <v>7400</v>
          </cell>
          <cell r="C219">
            <v>820</v>
          </cell>
        </row>
        <row r="220">
          <cell r="A220" t="str">
            <v>AccumulatedDepreciationDeferredExpense</v>
          </cell>
          <cell r="B220">
            <v>7500</v>
          </cell>
          <cell r="C220">
            <v>822</v>
          </cell>
        </row>
        <row r="221">
          <cell r="A221" t="str">
            <v>DeferredExpenseDeferredExpense</v>
          </cell>
          <cell r="B221">
            <v>7510</v>
          </cell>
          <cell r="C221">
            <v>821</v>
          </cell>
        </row>
        <row r="222">
          <cell r="A222" t="str">
            <v>EstimatesNonPosting</v>
          </cell>
          <cell r="B222">
            <v>8000</v>
          </cell>
          <cell r="C222">
            <v>114</v>
          </cell>
        </row>
        <row r="223">
          <cell r="A223" t="str">
            <v>OpportunitiesNonPosting</v>
          </cell>
          <cell r="B223">
            <v>8010</v>
          </cell>
          <cell r="C223">
            <v>124</v>
          </cell>
        </row>
        <row r="224">
          <cell r="A224" t="str">
            <v>PurchaseOrdersNonPosting</v>
          </cell>
          <cell r="B224">
            <v>8020</v>
          </cell>
          <cell r="C224">
            <v>115</v>
          </cell>
        </row>
        <row r="225">
          <cell r="A225" t="str">
            <v>ReturnAuthorizationsNonPosting</v>
          </cell>
          <cell r="B225">
            <v>8030</v>
          </cell>
          <cell r="C225">
            <v>113</v>
          </cell>
        </row>
        <row r="226">
          <cell r="A226" t="str">
            <v>SalesOrdersNonPosting</v>
          </cell>
          <cell r="B226">
            <v>8040</v>
          </cell>
          <cell r="C226">
            <v>116</v>
          </cell>
        </row>
        <row r="227">
          <cell r="A227" t="str">
            <v>TransferOrdersNonPosting</v>
          </cell>
          <cell r="B227">
            <v>8050</v>
          </cell>
          <cell r="C227">
            <v>213</v>
          </cell>
        </row>
        <row r="228">
          <cell r="A228" t="str">
            <v>UnapprovedCustomerPaymentsNonPosting</v>
          </cell>
          <cell r="B228">
            <v>8060</v>
          </cell>
          <cell r="C228">
            <v>110</v>
          </cell>
        </row>
        <row r="229">
          <cell r="A229" t="str">
            <v>UnapprovedExpenseReportsNonPosting</v>
          </cell>
          <cell r="B229">
            <v>8070</v>
          </cell>
          <cell r="C229">
            <v>117</v>
          </cell>
        </row>
        <row r="230">
          <cell r="A230" t="str">
            <v>{#VendorReturnAuthorizations#}NonPosting</v>
          </cell>
          <cell r="B230">
            <v>8080</v>
          </cell>
          <cell r="C230">
            <v>120</v>
          </cell>
        </row>
        <row r="231">
          <cell r="A231" t="str">
            <v>WorkOrdersNonPosting</v>
          </cell>
          <cell r="B231">
            <v>8090</v>
          </cell>
          <cell r="C231">
            <v>824</v>
          </cell>
        </row>
        <row r="232">
          <cell r="A232" t="str">
            <v>RequisitionsNonPosting</v>
          </cell>
          <cell r="B232">
            <v>8095</v>
          </cell>
          <cell r="C232">
            <v>823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7"/>
  <sheetViews>
    <sheetView topLeftCell="A4" workbookViewId="0">
      <selection activeCell="A4" sqref="A1:XFD1048576"/>
    </sheetView>
  </sheetViews>
  <sheetFormatPr defaultColWidth="9.109375" defaultRowHeight="13.2" x14ac:dyDescent="0.25"/>
  <cols>
    <col min="1" max="1" width="20.44140625" style="12" customWidth="1"/>
    <col min="2" max="2" width="28.109375" style="5" customWidth="1"/>
    <col min="3" max="4" width="45.109375" style="5" customWidth="1"/>
    <col min="5" max="7" width="22" style="5" customWidth="1"/>
    <col min="8" max="8" width="7.77734375" style="5" customWidth="1"/>
    <col min="9" max="16384" width="9.109375" style="5"/>
  </cols>
  <sheetData>
    <row r="1" spans="1:7" x14ac:dyDescent="0.25">
      <c r="A1" s="13" t="s">
        <v>0</v>
      </c>
      <c r="B1" s="1" t="s">
        <v>1</v>
      </c>
      <c r="C1" s="1" t="s">
        <v>2</v>
      </c>
      <c r="D1" s="1"/>
      <c r="E1" s="3" t="s">
        <v>3</v>
      </c>
      <c r="F1" s="4" t="s">
        <v>4</v>
      </c>
      <c r="G1" s="1" t="s">
        <v>5</v>
      </c>
    </row>
    <row r="2" spans="1:7" x14ac:dyDescent="0.25">
      <c r="A2" s="14" t="s">
        <v>6</v>
      </c>
      <c r="B2" s="2" t="s">
        <v>7</v>
      </c>
      <c r="C2" s="2" t="s">
        <v>8</v>
      </c>
      <c r="D2" s="2"/>
      <c r="E2" s="3" t="s">
        <v>9</v>
      </c>
      <c r="F2" s="4" t="s">
        <v>10</v>
      </c>
      <c r="G2" s="1" t="s">
        <v>11</v>
      </c>
    </row>
    <row r="3" spans="1:7" s="7" customFormat="1" ht="264" x14ac:dyDescent="0.3">
      <c r="A3" s="15" t="s">
        <v>12</v>
      </c>
      <c r="B3" s="6" t="s">
        <v>13</v>
      </c>
      <c r="C3" s="6" t="s">
        <v>14</v>
      </c>
      <c r="D3" s="6"/>
      <c r="E3" s="6" t="s">
        <v>15</v>
      </c>
      <c r="F3" s="6"/>
      <c r="G3" s="6" t="s">
        <v>16</v>
      </c>
    </row>
    <row r="4" spans="1:7" x14ac:dyDescent="0.25">
      <c r="A4" s="8" t="s">
        <v>6</v>
      </c>
      <c r="B4" s="3" t="s">
        <v>17</v>
      </c>
      <c r="C4" s="8" t="s">
        <v>18</v>
      </c>
      <c r="D4" s="8"/>
      <c r="E4" s="8" t="s">
        <v>17</v>
      </c>
      <c r="F4" s="9" t="s">
        <v>19</v>
      </c>
      <c r="G4" s="3" t="s">
        <v>20</v>
      </c>
    </row>
    <row r="5" spans="1:7" x14ac:dyDescent="0.25">
      <c r="A5" s="8" t="s">
        <v>21</v>
      </c>
      <c r="B5" s="3" t="s">
        <v>17</v>
      </c>
      <c r="C5" s="3" t="s">
        <v>21</v>
      </c>
      <c r="D5" s="3"/>
      <c r="E5" s="8" t="s">
        <v>17</v>
      </c>
      <c r="F5" s="9" t="s">
        <v>19</v>
      </c>
      <c r="G5" s="3" t="s">
        <v>22</v>
      </c>
    </row>
    <row r="6" spans="1:7" x14ac:dyDescent="0.25">
      <c r="A6" s="8"/>
      <c r="B6" s="3"/>
      <c r="C6" s="3"/>
      <c r="D6" s="3"/>
      <c r="E6" s="3"/>
      <c r="F6" s="9"/>
      <c r="G6" s="3"/>
    </row>
    <row r="7" spans="1:7" ht="39.6" x14ac:dyDescent="0.25">
      <c r="A7" s="16">
        <v>6000</v>
      </c>
      <c r="B7" s="10" t="s">
        <v>23</v>
      </c>
      <c r="C7" s="10" t="s">
        <v>23</v>
      </c>
      <c r="D7" s="10"/>
      <c r="E7" s="10"/>
      <c r="F7" s="11" t="s">
        <v>24</v>
      </c>
      <c r="G7" s="10"/>
    </row>
    <row r="8" spans="1:7" ht="79.2" x14ac:dyDescent="0.25">
      <c r="A8" s="16">
        <v>6010</v>
      </c>
      <c r="B8" s="10" t="s">
        <v>23</v>
      </c>
      <c r="C8" s="10" t="s">
        <v>25</v>
      </c>
      <c r="D8" s="10"/>
      <c r="E8" s="10" t="s">
        <v>26</v>
      </c>
      <c r="F8" s="11" t="s">
        <v>27</v>
      </c>
      <c r="G8" s="10" t="b">
        <v>1</v>
      </c>
    </row>
    <row r="9" spans="1:7" x14ac:dyDescent="0.25">
      <c r="A9" s="16">
        <v>6020</v>
      </c>
      <c r="B9" s="10" t="s">
        <v>23</v>
      </c>
      <c r="C9" s="10" t="s">
        <v>28</v>
      </c>
      <c r="D9" s="10"/>
      <c r="E9" s="10" t="s">
        <v>29</v>
      </c>
      <c r="F9" s="10"/>
      <c r="G9" s="10"/>
    </row>
    <row r="10" spans="1:7" x14ac:dyDescent="0.25">
      <c r="A10" s="18">
        <v>1008</v>
      </c>
      <c r="B10" s="18" t="s">
        <v>30</v>
      </c>
      <c r="C10" s="18" t="s">
        <v>31</v>
      </c>
      <c r="D10" s="18"/>
      <c r="E10" s="18"/>
      <c r="F10" s="18"/>
      <c r="G10" s="18"/>
    </row>
    <row r="11" spans="1:7" x14ac:dyDescent="0.25">
      <c r="A11" s="18">
        <v>1010</v>
      </c>
      <c r="B11" s="18" t="s">
        <v>30</v>
      </c>
      <c r="C11" s="18" t="s">
        <v>230</v>
      </c>
      <c r="D11" s="18"/>
      <c r="E11" s="18"/>
      <c r="F11" s="18"/>
      <c r="G11" s="18"/>
    </row>
    <row r="12" spans="1:7" x14ac:dyDescent="0.25">
      <c r="A12" s="18">
        <v>1100</v>
      </c>
      <c r="B12" s="18" t="s">
        <v>32</v>
      </c>
      <c r="C12" s="18" t="s">
        <v>33</v>
      </c>
      <c r="D12" s="18"/>
      <c r="E12" s="18"/>
      <c r="F12" s="18"/>
      <c r="G12" s="18"/>
    </row>
    <row r="13" spans="1:7" x14ac:dyDescent="0.25">
      <c r="A13" s="18">
        <v>1190</v>
      </c>
      <c r="B13" s="18" t="s">
        <v>34</v>
      </c>
      <c r="C13" s="18" t="s">
        <v>35</v>
      </c>
      <c r="D13" s="18"/>
      <c r="E13" s="18"/>
      <c r="F13" s="18"/>
      <c r="G13" s="18"/>
    </row>
    <row r="14" spans="1:7" x14ac:dyDescent="0.25">
      <c r="A14" s="18">
        <v>1200</v>
      </c>
      <c r="B14" s="18" t="s">
        <v>34</v>
      </c>
      <c r="C14" s="18" t="s">
        <v>36</v>
      </c>
      <c r="D14" s="18"/>
      <c r="E14" s="18"/>
      <c r="F14" s="18"/>
      <c r="G14" s="18"/>
    </row>
    <row r="15" spans="1:7" x14ac:dyDescent="0.25">
      <c r="A15" s="18">
        <v>1210</v>
      </c>
      <c r="B15" s="18" t="s">
        <v>34</v>
      </c>
      <c r="C15" s="18" t="s">
        <v>37</v>
      </c>
      <c r="D15" s="18"/>
      <c r="E15" s="18"/>
      <c r="F15" s="18"/>
      <c r="G15" s="18"/>
    </row>
    <row r="16" spans="1:7" x14ac:dyDescent="0.25">
      <c r="A16" s="18">
        <v>1220</v>
      </c>
      <c r="B16" s="18" t="s">
        <v>34</v>
      </c>
      <c r="C16" s="18" t="s">
        <v>38</v>
      </c>
      <c r="D16" s="18"/>
      <c r="E16" s="18"/>
      <c r="F16" s="18"/>
      <c r="G16" s="18"/>
    </row>
    <row r="17" spans="1:7" x14ac:dyDescent="0.25">
      <c r="A17" s="18">
        <v>1230</v>
      </c>
      <c r="B17" s="18" t="s">
        <v>34</v>
      </c>
      <c r="C17" s="18" t="s">
        <v>39</v>
      </c>
      <c r="D17" s="18"/>
      <c r="E17" s="18"/>
      <c r="F17" s="18"/>
      <c r="G17" s="18"/>
    </row>
    <row r="18" spans="1:7" x14ac:dyDescent="0.25">
      <c r="A18" s="18">
        <v>1240</v>
      </c>
      <c r="B18" s="18" t="s">
        <v>34</v>
      </c>
      <c r="C18" s="18" t="s">
        <v>40</v>
      </c>
      <c r="D18" s="18"/>
      <c r="E18" s="18"/>
      <c r="F18" s="18"/>
      <c r="G18" s="18"/>
    </row>
    <row r="19" spans="1:7" x14ac:dyDescent="0.25">
      <c r="A19" s="18">
        <v>1290</v>
      </c>
      <c r="B19" s="18" t="s">
        <v>34</v>
      </c>
      <c r="C19" s="18" t="s">
        <v>41</v>
      </c>
      <c r="D19" s="18"/>
      <c r="E19" s="18"/>
      <c r="F19" s="18"/>
      <c r="G19" s="18"/>
    </row>
    <row r="20" spans="1:7" x14ac:dyDescent="0.25">
      <c r="A20" s="18">
        <v>1300</v>
      </c>
      <c r="B20" s="18" t="s">
        <v>34</v>
      </c>
      <c r="C20" s="18" t="s">
        <v>42</v>
      </c>
      <c r="D20" s="18"/>
      <c r="E20" s="18"/>
      <c r="F20" s="18"/>
      <c r="G20" s="18"/>
    </row>
    <row r="21" spans="1:7" x14ac:dyDescent="0.25">
      <c r="A21" s="18">
        <v>1310</v>
      </c>
      <c r="B21" s="18" t="s">
        <v>34</v>
      </c>
      <c r="C21" s="18" t="s">
        <v>43</v>
      </c>
      <c r="D21" s="18"/>
      <c r="E21" s="18"/>
      <c r="F21" s="18"/>
      <c r="G21" s="18"/>
    </row>
    <row r="22" spans="1:7" x14ac:dyDescent="0.25">
      <c r="A22" s="18">
        <v>1320</v>
      </c>
      <c r="B22" s="18" t="s">
        <v>34</v>
      </c>
      <c r="C22" s="18" t="s">
        <v>44</v>
      </c>
      <c r="D22" s="18"/>
      <c r="E22" s="18"/>
      <c r="F22" s="18"/>
      <c r="G22" s="18"/>
    </row>
    <row r="23" spans="1:7" x14ac:dyDescent="0.25">
      <c r="A23" s="18">
        <v>1400</v>
      </c>
      <c r="B23" s="18" t="s">
        <v>34</v>
      </c>
      <c r="C23" s="18" t="s">
        <v>45</v>
      </c>
      <c r="D23" s="18"/>
      <c r="E23" s="18"/>
      <c r="F23" s="18"/>
      <c r="G23" s="18"/>
    </row>
    <row r="24" spans="1:7" x14ac:dyDescent="0.25">
      <c r="A24" s="18">
        <v>1410</v>
      </c>
      <c r="B24" s="18" t="s">
        <v>34</v>
      </c>
      <c r="C24" s="18" t="s">
        <v>46</v>
      </c>
      <c r="D24" s="18"/>
      <c r="E24" s="18"/>
      <c r="F24" s="18"/>
      <c r="G24" s="18"/>
    </row>
    <row r="25" spans="1:7" x14ac:dyDescent="0.25">
      <c r="A25" s="18">
        <v>1420</v>
      </c>
      <c r="B25" s="18" t="s">
        <v>34</v>
      </c>
      <c r="C25" s="18" t="s">
        <v>47</v>
      </c>
      <c r="D25" s="18"/>
      <c r="E25" s="18"/>
      <c r="F25" s="18"/>
      <c r="G25" s="18"/>
    </row>
    <row r="26" spans="1:7" x14ac:dyDescent="0.25">
      <c r="A26" s="18">
        <v>1470</v>
      </c>
      <c r="B26" s="18" t="s">
        <v>34</v>
      </c>
      <c r="C26" s="18" t="s">
        <v>34</v>
      </c>
      <c r="D26" s="18"/>
      <c r="E26" s="18"/>
      <c r="F26" s="18"/>
      <c r="G26" s="18"/>
    </row>
    <row r="27" spans="1:7" x14ac:dyDescent="0.25">
      <c r="A27" s="18">
        <v>1500</v>
      </c>
      <c r="B27" s="18" t="s">
        <v>48</v>
      </c>
      <c r="C27" s="18" t="s">
        <v>49</v>
      </c>
      <c r="D27" s="18"/>
      <c r="E27" s="18"/>
      <c r="F27" s="18"/>
      <c r="G27" s="18"/>
    </row>
    <row r="28" spans="1:7" x14ac:dyDescent="0.25">
      <c r="A28" s="18">
        <v>1510</v>
      </c>
      <c r="B28" s="18" t="s">
        <v>48</v>
      </c>
      <c r="C28" s="18" t="s">
        <v>50</v>
      </c>
      <c r="D28" s="18"/>
      <c r="E28" s="18"/>
      <c r="F28" s="18"/>
      <c r="G28" s="18"/>
    </row>
    <row r="29" spans="1:7" x14ac:dyDescent="0.25">
      <c r="A29" s="18">
        <v>1520</v>
      </c>
      <c r="B29" s="18" t="s">
        <v>48</v>
      </c>
      <c r="C29" s="18" t="s">
        <v>51</v>
      </c>
      <c r="D29" s="18"/>
      <c r="E29" s="18"/>
      <c r="F29" s="18"/>
      <c r="G29" s="18"/>
    </row>
    <row r="30" spans="1:7" x14ac:dyDescent="0.25">
      <c r="A30" s="18">
        <v>1530</v>
      </c>
      <c r="B30" s="18" t="s">
        <v>48</v>
      </c>
      <c r="C30" s="18" t="s">
        <v>52</v>
      </c>
      <c r="D30" s="18"/>
      <c r="E30" s="18"/>
      <c r="F30" s="18"/>
      <c r="G30" s="18"/>
    </row>
    <row r="31" spans="1:7" x14ac:dyDescent="0.25">
      <c r="A31" s="18">
        <v>1540</v>
      </c>
      <c r="B31" s="18" t="s">
        <v>48</v>
      </c>
      <c r="C31" s="18" t="s">
        <v>53</v>
      </c>
      <c r="D31" s="18"/>
      <c r="E31" s="18"/>
      <c r="F31" s="18"/>
      <c r="G31" s="18"/>
    </row>
    <row r="32" spans="1:7" x14ac:dyDescent="0.25">
      <c r="A32" s="18">
        <v>1550</v>
      </c>
      <c r="B32" s="18" t="s">
        <v>48</v>
      </c>
      <c r="C32" s="18" t="s">
        <v>54</v>
      </c>
      <c r="D32" s="18"/>
      <c r="E32" s="18"/>
      <c r="F32" s="18"/>
      <c r="G32" s="18"/>
    </row>
    <row r="33" spans="1:7" x14ac:dyDescent="0.25">
      <c r="A33" s="18">
        <v>1560</v>
      </c>
      <c r="B33" s="18" t="s">
        <v>48</v>
      </c>
      <c r="C33" s="18" t="s">
        <v>55</v>
      </c>
      <c r="D33" s="18"/>
      <c r="E33" s="18"/>
      <c r="F33" s="18"/>
      <c r="G33" s="18"/>
    </row>
    <row r="34" spans="1:7" x14ac:dyDescent="0.25">
      <c r="A34" s="18">
        <v>1590</v>
      </c>
      <c r="B34" s="18" t="s">
        <v>48</v>
      </c>
      <c r="C34" s="18" t="s">
        <v>56</v>
      </c>
      <c r="D34" s="18"/>
      <c r="E34" s="18"/>
      <c r="F34" s="18"/>
      <c r="G34" s="18"/>
    </row>
    <row r="35" spans="1:7" x14ac:dyDescent="0.25">
      <c r="A35" s="18">
        <v>1600</v>
      </c>
      <c r="B35" s="18" t="s">
        <v>48</v>
      </c>
      <c r="C35" s="18" t="s">
        <v>57</v>
      </c>
      <c r="D35" s="18"/>
      <c r="E35" s="18"/>
      <c r="F35" s="18"/>
      <c r="G35" s="18"/>
    </row>
    <row r="36" spans="1:7" x14ac:dyDescent="0.25">
      <c r="A36" s="18">
        <v>1610</v>
      </c>
      <c r="B36" s="18" t="s">
        <v>48</v>
      </c>
      <c r="C36" s="18" t="s">
        <v>58</v>
      </c>
      <c r="D36" s="18"/>
      <c r="E36" s="18"/>
      <c r="F36" s="18"/>
      <c r="G36" s="18"/>
    </row>
    <row r="37" spans="1:7" x14ac:dyDescent="0.25">
      <c r="A37" s="18">
        <v>1620</v>
      </c>
      <c r="B37" s="18" t="s">
        <v>48</v>
      </c>
      <c r="C37" s="18" t="s">
        <v>59</v>
      </c>
      <c r="D37" s="18"/>
      <c r="E37" s="18"/>
      <c r="F37" s="18"/>
      <c r="G37" s="18"/>
    </row>
    <row r="38" spans="1:7" x14ac:dyDescent="0.25">
      <c r="A38" s="18">
        <v>1630</v>
      </c>
      <c r="B38" s="18" t="s">
        <v>48</v>
      </c>
      <c r="C38" s="18" t="s">
        <v>60</v>
      </c>
      <c r="D38" s="18"/>
      <c r="E38" s="18"/>
      <c r="F38" s="18"/>
      <c r="G38" s="18"/>
    </row>
    <row r="39" spans="1:7" x14ac:dyDescent="0.25">
      <c r="A39" s="18">
        <v>1640</v>
      </c>
      <c r="B39" s="18" t="s">
        <v>48</v>
      </c>
      <c r="C39" s="18" t="s">
        <v>61</v>
      </c>
      <c r="D39" s="18"/>
      <c r="E39" s="18"/>
      <c r="F39" s="18"/>
      <c r="G39" s="18"/>
    </row>
    <row r="40" spans="1:7" x14ac:dyDescent="0.25">
      <c r="A40" s="18">
        <v>1650</v>
      </c>
      <c r="B40" s="18" t="s">
        <v>48</v>
      </c>
      <c r="C40" s="18" t="s">
        <v>62</v>
      </c>
      <c r="D40" s="18"/>
      <c r="E40" s="18"/>
      <c r="F40" s="18"/>
      <c r="G40" s="18"/>
    </row>
    <row r="41" spans="1:7" x14ac:dyDescent="0.25">
      <c r="A41" s="18">
        <v>1660</v>
      </c>
      <c r="B41" s="18" t="s">
        <v>48</v>
      </c>
      <c r="C41" s="18" t="s">
        <v>63</v>
      </c>
      <c r="D41" s="18"/>
      <c r="E41" s="18"/>
      <c r="F41" s="18"/>
      <c r="G41" s="18"/>
    </row>
    <row r="42" spans="1:7" x14ac:dyDescent="0.25">
      <c r="A42" s="18">
        <v>1800</v>
      </c>
      <c r="B42" s="18" t="s">
        <v>64</v>
      </c>
      <c r="C42" s="18" t="s">
        <v>65</v>
      </c>
      <c r="D42" s="18"/>
      <c r="E42" s="18"/>
      <c r="F42" s="18"/>
      <c r="G42" s="18"/>
    </row>
    <row r="43" spans="1:7" x14ac:dyDescent="0.25">
      <c r="A43" s="18">
        <v>1810</v>
      </c>
      <c r="B43" s="18" t="s">
        <v>64</v>
      </c>
      <c r="C43" s="18" t="s">
        <v>66</v>
      </c>
      <c r="D43" s="18"/>
      <c r="E43" s="18"/>
      <c r="F43" s="18"/>
      <c r="G43" s="18"/>
    </row>
    <row r="44" spans="1:7" x14ac:dyDescent="0.25">
      <c r="A44" s="18">
        <v>1890</v>
      </c>
      <c r="B44" s="18" t="s">
        <v>64</v>
      </c>
      <c r="C44" s="18" t="s">
        <v>67</v>
      </c>
      <c r="D44" s="18"/>
      <c r="E44" s="18"/>
      <c r="F44" s="18"/>
      <c r="G44" s="18"/>
    </row>
    <row r="45" spans="1:7" x14ac:dyDescent="0.25">
      <c r="A45" s="18">
        <v>1900</v>
      </c>
      <c r="B45" s="18" t="s">
        <v>64</v>
      </c>
      <c r="C45" s="18" t="s">
        <v>68</v>
      </c>
      <c r="D45" s="18"/>
      <c r="E45" s="18"/>
      <c r="F45" s="18"/>
      <c r="G45" s="18"/>
    </row>
    <row r="46" spans="1:7" x14ac:dyDescent="0.25">
      <c r="A46" s="18">
        <v>2000</v>
      </c>
      <c r="B46" s="18" t="s">
        <v>69</v>
      </c>
      <c r="C46" s="18" t="s">
        <v>70</v>
      </c>
      <c r="D46" s="18"/>
      <c r="E46" s="18"/>
      <c r="F46" s="18"/>
      <c r="G46" s="18"/>
    </row>
    <row r="47" spans="1:7" x14ac:dyDescent="0.25">
      <c r="A47" s="18">
        <v>2005</v>
      </c>
      <c r="B47" s="18" t="s">
        <v>71</v>
      </c>
      <c r="C47" s="18" t="s">
        <v>72</v>
      </c>
      <c r="D47" s="18"/>
      <c r="E47" s="18"/>
      <c r="F47" s="18"/>
      <c r="G47" s="18"/>
    </row>
    <row r="48" spans="1:7" x14ac:dyDescent="0.25">
      <c r="A48" s="18">
        <v>2012</v>
      </c>
      <c r="B48" s="18" t="s">
        <v>71</v>
      </c>
      <c r="C48" s="18" t="s">
        <v>73</v>
      </c>
      <c r="D48" s="18"/>
      <c r="E48" s="18"/>
      <c r="F48" s="18"/>
      <c r="G48" s="18"/>
    </row>
    <row r="49" spans="1:7" x14ac:dyDescent="0.25">
      <c r="A49" s="18">
        <v>2013</v>
      </c>
      <c r="B49" s="18" t="s">
        <v>71</v>
      </c>
      <c r="C49" s="18" t="s">
        <v>74</v>
      </c>
      <c r="D49" s="18"/>
      <c r="E49" s="18"/>
      <c r="F49" s="18"/>
      <c r="G49" s="18"/>
    </row>
    <row r="50" spans="1:7" x14ac:dyDescent="0.25">
      <c r="A50" s="18">
        <v>2014</v>
      </c>
      <c r="B50" s="18" t="s">
        <v>71</v>
      </c>
      <c r="C50" s="18" t="s">
        <v>75</v>
      </c>
      <c r="D50" s="18"/>
      <c r="E50" s="18"/>
      <c r="F50" s="18"/>
      <c r="G50" s="18"/>
    </row>
    <row r="51" spans="1:7" x14ac:dyDescent="0.25">
      <c r="A51" s="18">
        <v>2015</v>
      </c>
      <c r="B51" s="18" t="s">
        <v>71</v>
      </c>
      <c r="C51" s="18" t="s">
        <v>76</v>
      </c>
      <c r="D51" s="18"/>
      <c r="E51" s="18"/>
      <c r="F51" s="18"/>
      <c r="G51" s="18"/>
    </row>
    <row r="52" spans="1:7" x14ac:dyDescent="0.25">
      <c r="A52" s="18">
        <v>2016</v>
      </c>
      <c r="B52" s="18" t="s">
        <v>71</v>
      </c>
      <c r="C52" s="18" t="s">
        <v>77</v>
      </c>
      <c r="D52" s="18"/>
      <c r="E52" s="18"/>
      <c r="F52" s="18"/>
      <c r="G52" s="18"/>
    </row>
    <row r="53" spans="1:7" x14ac:dyDescent="0.25">
      <c r="A53" s="18">
        <v>2017</v>
      </c>
      <c r="B53" s="18" t="s">
        <v>71</v>
      </c>
      <c r="C53" s="18" t="s">
        <v>78</v>
      </c>
      <c r="D53" s="18"/>
      <c r="E53" s="18"/>
      <c r="F53" s="18"/>
      <c r="G53" s="18"/>
    </row>
    <row r="54" spans="1:7" x14ac:dyDescent="0.25">
      <c r="A54" s="18">
        <v>2018</v>
      </c>
      <c r="B54" s="18" t="s">
        <v>71</v>
      </c>
      <c r="C54" s="18" t="s">
        <v>79</v>
      </c>
      <c r="D54" s="18"/>
      <c r="E54" s="18"/>
      <c r="F54" s="18"/>
      <c r="G54" s="18"/>
    </row>
    <row r="55" spans="1:7" x14ac:dyDescent="0.25">
      <c r="A55" s="18">
        <v>2019</v>
      </c>
      <c r="B55" s="18" t="s">
        <v>71</v>
      </c>
      <c r="C55" s="18" t="s">
        <v>80</v>
      </c>
      <c r="D55" s="18"/>
      <c r="E55" s="18"/>
      <c r="F55" s="18"/>
      <c r="G55" s="18"/>
    </row>
    <row r="56" spans="1:7" x14ac:dyDescent="0.25">
      <c r="A56" s="18">
        <v>2020</v>
      </c>
      <c r="B56" s="18" t="s">
        <v>71</v>
      </c>
      <c r="C56" s="18" t="s">
        <v>81</v>
      </c>
      <c r="D56" s="18"/>
      <c r="E56" s="18"/>
      <c r="F56" s="18"/>
      <c r="G56" s="18"/>
    </row>
    <row r="57" spans="1:7" x14ac:dyDescent="0.25">
      <c r="A57" s="18">
        <v>2021</v>
      </c>
      <c r="B57" s="18" t="s">
        <v>71</v>
      </c>
      <c r="C57" s="18" t="s">
        <v>82</v>
      </c>
      <c r="D57" s="18"/>
      <c r="E57" s="18"/>
      <c r="F57" s="18"/>
      <c r="G57" s="18"/>
    </row>
    <row r="58" spans="1:7" x14ac:dyDescent="0.25">
      <c r="A58" s="18">
        <v>2025</v>
      </c>
      <c r="B58" s="18" t="s">
        <v>71</v>
      </c>
      <c r="C58" s="18" t="s">
        <v>83</v>
      </c>
      <c r="D58" s="18"/>
      <c r="E58" s="18"/>
      <c r="F58" s="18"/>
      <c r="G58" s="18"/>
    </row>
    <row r="59" spans="1:7" x14ac:dyDescent="0.25">
      <c r="A59" s="18">
        <v>2058</v>
      </c>
      <c r="B59" s="18" t="s">
        <v>71</v>
      </c>
      <c r="C59" s="18" t="s">
        <v>84</v>
      </c>
      <c r="D59" s="18"/>
      <c r="E59" s="18"/>
      <c r="F59" s="18"/>
      <c r="G59" s="18"/>
    </row>
    <row r="60" spans="1:7" x14ac:dyDescent="0.25">
      <c r="A60" s="18">
        <v>2064</v>
      </c>
      <c r="B60" s="18" t="s">
        <v>71</v>
      </c>
      <c r="C60" s="18" t="s">
        <v>85</v>
      </c>
      <c r="D60" s="18"/>
      <c r="E60" s="18"/>
      <c r="F60" s="18"/>
      <c r="G60" s="18"/>
    </row>
    <row r="61" spans="1:7" x14ac:dyDescent="0.25">
      <c r="A61" s="18">
        <v>2100</v>
      </c>
      <c r="B61" s="18" t="s">
        <v>71</v>
      </c>
      <c r="C61" s="18" t="s">
        <v>86</v>
      </c>
      <c r="D61" s="18"/>
      <c r="E61" s="18"/>
      <c r="F61" s="18"/>
      <c r="G61" s="18"/>
    </row>
    <row r="62" spans="1:7" x14ac:dyDescent="0.25">
      <c r="A62" s="18">
        <v>2102</v>
      </c>
      <c r="B62" s="18" t="s">
        <v>71</v>
      </c>
      <c r="C62" s="18" t="s">
        <v>87</v>
      </c>
      <c r="D62" s="18"/>
      <c r="E62" s="18"/>
      <c r="F62" s="18"/>
      <c r="G62" s="18"/>
    </row>
    <row r="63" spans="1:7" x14ac:dyDescent="0.25">
      <c r="A63" s="18">
        <v>2105</v>
      </c>
      <c r="B63" s="18" t="s">
        <v>71</v>
      </c>
      <c r="C63" s="18" t="s">
        <v>88</v>
      </c>
      <c r="D63" s="18"/>
      <c r="E63" s="18"/>
      <c r="F63" s="18"/>
      <c r="G63" s="18"/>
    </row>
    <row r="64" spans="1:7" x14ac:dyDescent="0.25">
      <c r="A64" s="18">
        <v>2110</v>
      </c>
      <c r="B64" s="18" t="s">
        <v>71</v>
      </c>
      <c r="C64" s="18" t="s">
        <v>89</v>
      </c>
      <c r="D64" s="18"/>
      <c r="E64" s="18"/>
      <c r="F64" s="18"/>
      <c r="G64" s="18"/>
    </row>
    <row r="65" spans="1:7" x14ac:dyDescent="0.25">
      <c r="A65" s="18">
        <v>2120</v>
      </c>
      <c r="B65" s="18" t="s">
        <v>71</v>
      </c>
      <c r="C65" s="18" t="s">
        <v>90</v>
      </c>
      <c r="D65" s="18"/>
      <c r="E65" s="18"/>
      <c r="F65" s="18"/>
      <c r="G65" s="18"/>
    </row>
    <row r="66" spans="1:7" x14ac:dyDescent="0.25">
      <c r="A66" s="18">
        <v>2130</v>
      </c>
      <c r="B66" s="18" t="s">
        <v>71</v>
      </c>
      <c r="C66" s="18" t="s">
        <v>91</v>
      </c>
      <c r="D66" s="18"/>
      <c r="E66" s="18"/>
      <c r="F66" s="18"/>
      <c r="G66" s="18"/>
    </row>
    <row r="67" spans="1:7" x14ac:dyDescent="0.25">
      <c r="A67" s="18">
        <v>2135</v>
      </c>
      <c r="B67" s="18" t="s">
        <v>71</v>
      </c>
      <c r="C67" s="18" t="s">
        <v>92</v>
      </c>
      <c r="D67" s="18"/>
      <c r="E67" s="18"/>
      <c r="F67" s="18"/>
      <c r="G67" s="18"/>
    </row>
    <row r="68" spans="1:7" x14ac:dyDescent="0.25">
      <c r="A68" s="18">
        <v>2140</v>
      </c>
      <c r="B68" s="18" t="s">
        <v>71</v>
      </c>
      <c r="C68" s="18" t="s">
        <v>93</v>
      </c>
      <c r="D68" s="18"/>
      <c r="E68" s="18"/>
      <c r="F68" s="18"/>
      <c r="G68" s="18"/>
    </row>
    <row r="69" spans="1:7" x14ac:dyDescent="0.25">
      <c r="A69" s="18">
        <v>2145</v>
      </c>
      <c r="B69" s="18" t="s">
        <v>71</v>
      </c>
      <c r="C69" s="18" t="s">
        <v>94</v>
      </c>
      <c r="D69" s="18"/>
      <c r="E69" s="18"/>
      <c r="F69" s="18"/>
      <c r="G69" s="18"/>
    </row>
    <row r="70" spans="1:7" x14ac:dyDescent="0.25">
      <c r="A70" s="18">
        <v>2150</v>
      </c>
      <c r="B70" s="18" t="s">
        <v>71</v>
      </c>
      <c r="C70" s="18" t="s">
        <v>95</v>
      </c>
      <c r="D70" s="18"/>
      <c r="E70" s="18"/>
      <c r="F70" s="18"/>
      <c r="G70" s="18"/>
    </row>
    <row r="71" spans="1:7" x14ac:dyDescent="0.25">
      <c r="A71" s="18">
        <v>2155</v>
      </c>
      <c r="B71" s="18" t="s">
        <v>71</v>
      </c>
      <c r="C71" s="18" t="s">
        <v>96</v>
      </c>
      <c r="D71" s="18"/>
      <c r="E71" s="18"/>
      <c r="F71" s="18"/>
      <c r="G71" s="18"/>
    </row>
    <row r="72" spans="1:7" x14ac:dyDescent="0.25">
      <c r="A72" s="18">
        <v>2190</v>
      </c>
      <c r="B72" s="18" t="s">
        <v>71</v>
      </c>
      <c r="C72" s="18" t="s">
        <v>97</v>
      </c>
      <c r="D72" s="18"/>
      <c r="E72" s="18"/>
      <c r="F72" s="18"/>
      <c r="G72" s="18"/>
    </row>
    <row r="73" spans="1:7" x14ac:dyDescent="0.25">
      <c r="A73" s="18">
        <v>2195</v>
      </c>
      <c r="B73" s="18" t="s">
        <v>71</v>
      </c>
      <c r="C73" s="18" t="s">
        <v>98</v>
      </c>
      <c r="D73" s="18"/>
      <c r="E73" s="18"/>
      <c r="F73" s="18"/>
      <c r="G73" s="18"/>
    </row>
    <row r="74" spans="1:7" x14ac:dyDescent="0.25">
      <c r="A74" s="18">
        <v>2200</v>
      </c>
      <c r="B74" s="18" t="s">
        <v>71</v>
      </c>
      <c r="C74" s="18" t="s">
        <v>99</v>
      </c>
      <c r="D74" s="18"/>
      <c r="E74" s="18"/>
      <c r="F74" s="18"/>
      <c r="G74" s="18"/>
    </row>
    <row r="75" spans="1:7" x14ac:dyDescent="0.25">
      <c r="A75" s="18">
        <v>2210</v>
      </c>
      <c r="B75" s="18" t="s">
        <v>71</v>
      </c>
      <c r="C75" s="18" t="s">
        <v>100</v>
      </c>
      <c r="D75" s="18"/>
      <c r="E75" s="18"/>
      <c r="F75" s="18"/>
      <c r="G75" s="18"/>
    </row>
    <row r="76" spans="1:7" x14ac:dyDescent="0.25">
      <c r="A76" s="18">
        <v>2215</v>
      </c>
      <c r="B76" s="18" t="s">
        <v>71</v>
      </c>
      <c r="C76" s="18" t="s">
        <v>101</v>
      </c>
      <c r="D76" s="18"/>
      <c r="E76" s="18"/>
      <c r="F76" s="18"/>
      <c r="G76" s="18"/>
    </row>
    <row r="77" spans="1:7" x14ac:dyDescent="0.25">
      <c r="A77" s="18">
        <v>2220</v>
      </c>
      <c r="B77" s="18" t="s">
        <v>71</v>
      </c>
      <c r="C77" s="18" t="s">
        <v>102</v>
      </c>
      <c r="D77" s="18"/>
      <c r="E77" s="18"/>
      <c r="F77" s="18"/>
      <c r="G77" s="18"/>
    </row>
    <row r="78" spans="1:7" x14ac:dyDescent="0.25">
      <c r="A78" s="18">
        <v>2290</v>
      </c>
      <c r="B78" s="18" t="s">
        <v>103</v>
      </c>
      <c r="C78" s="18" t="s">
        <v>104</v>
      </c>
      <c r="D78" s="18"/>
      <c r="E78" s="18"/>
      <c r="F78" s="18"/>
      <c r="G78" s="18"/>
    </row>
    <row r="79" spans="1:7" x14ac:dyDescent="0.25">
      <c r="A79" s="18">
        <v>2300</v>
      </c>
      <c r="B79" s="18" t="s">
        <v>103</v>
      </c>
      <c r="C79" s="18" t="s">
        <v>105</v>
      </c>
      <c r="D79" s="18"/>
      <c r="E79" s="18"/>
      <c r="F79" s="18"/>
      <c r="G79" s="18"/>
    </row>
    <row r="80" spans="1:7" x14ac:dyDescent="0.25">
      <c r="A80" s="18">
        <v>2310</v>
      </c>
      <c r="B80" s="18" t="s">
        <v>103</v>
      </c>
      <c r="C80" s="18" t="s">
        <v>106</v>
      </c>
      <c r="D80" s="18"/>
      <c r="E80" s="18"/>
      <c r="F80" s="18"/>
      <c r="G80" s="18"/>
    </row>
    <row r="81" spans="1:7" x14ac:dyDescent="0.25">
      <c r="A81" s="18">
        <v>2315</v>
      </c>
      <c r="B81" s="18" t="s">
        <v>103</v>
      </c>
      <c r="C81" s="18" t="s">
        <v>107</v>
      </c>
      <c r="D81" s="18"/>
      <c r="E81" s="18"/>
      <c r="F81" s="18"/>
      <c r="G81" s="18"/>
    </row>
    <row r="82" spans="1:7" x14ac:dyDescent="0.25">
      <c r="A82" s="18">
        <v>2320</v>
      </c>
      <c r="B82" s="18" t="s">
        <v>103</v>
      </c>
      <c r="C82" s="18" t="s">
        <v>108</v>
      </c>
      <c r="D82" s="18"/>
      <c r="E82" s="18"/>
      <c r="F82" s="18"/>
      <c r="G82" s="18"/>
    </row>
    <row r="83" spans="1:7" x14ac:dyDescent="0.25">
      <c r="A83" s="18">
        <v>3000</v>
      </c>
      <c r="B83" s="18" t="s">
        <v>109</v>
      </c>
      <c r="C83" s="18" t="s">
        <v>110</v>
      </c>
      <c r="D83" s="18"/>
      <c r="E83" s="18"/>
      <c r="F83" s="18"/>
      <c r="G83" s="18"/>
    </row>
    <row r="84" spans="1:7" x14ac:dyDescent="0.25">
      <c r="A84" s="18">
        <v>3010</v>
      </c>
      <c r="B84" s="18" t="s">
        <v>109</v>
      </c>
      <c r="C84" s="18" t="s">
        <v>111</v>
      </c>
      <c r="D84" s="18"/>
      <c r="E84" s="18"/>
      <c r="F84" s="18"/>
      <c r="G84" s="18"/>
    </row>
    <row r="85" spans="1:7" x14ac:dyDescent="0.25">
      <c r="A85" s="18">
        <v>3030</v>
      </c>
      <c r="B85" s="18" t="s">
        <v>109</v>
      </c>
      <c r="C85" s="18" t="s">
        <v>112</v>
      </c>
      <c r="D85" s="18"/>
      <c r="E85" s="18"/>
      <c r="F85" s="18"/>
      <c r="G85" s="18"/>
    </row>
    <row r="86" spans="1:7" x14ac:dyDescent="0.25">
      <c r="A86" s="18">
        <v>4000</v>
      </c>
      <c r="B86" s="18" t="s">
        <v>113</v>
      </c>
      <c r="C86" s="18" t="s">
        <v>114</v>
      </c>
      <c r="D86" s="18"/>
      <c r="E86" s="18"/>
      <c r="F86" s="18"/>
      <c r="G86" s="18"/>
    </row>
    <row r="87" spans="1:7" x14ac:dyDescent="0.25">
      <c r="A87" s="18">
        <v>4010</v>
      </c>
      <c r="B87" s="18" t="s">
        <v>113</v>
      </c>
      <c r="C87" s="18" t="s">
        <v>115</v>
      </c>
      <c r="D87" s="18"/>
      <c r="E87" s="18"/>
      <c r="F87" s="18"/>
      <c r="G87" s="18"/>
    </row>
    <row r="88" spans="1:7" x14ac:dyDescent="0.25">
      <c r="A88" s="18">
        <v>4020</v>
      </c>
      <c r="B88" s="18" t="s">
        <v>113</v>
      </c>
      <c r="C88" s="18" t="s">
        <v>116</v>
      </c>
      <c r="D88" s="18"/>
      <c r="E88" s="18"/>
      <c r="F88" s="18"/>
      <c r="G88" s="18"/>
    </row>
    <row r="89" spans="1:7" x14ac:dyDescent="0.25">
      <c r="A89" s="18">
        <v>4030</v>
      </c>
      <c r="B89" s="18" t="s">
        <v>113</v>
      </c>
      <c r="C89" s="18" t="s">
        <v>117</v>
      </c>
      <c r="D89" s="18"/>
      <c r="E89" s="18"/>
      <c r="F89" s="18"/>
      <c r="G89" s="18"/>
    </row>
    <row r="90" spans="1:7" x14ac:dyDescent="0.25">
      <c r="A90" s="18">
        <v>4040</v>
      </c>
      <c r="B90" s="18" t="s">
        <v>113</v>
      </c>
      <c r="C90" s="18" t="s">
        <v>118</v>
      </c>
      <c r="D90" s="18"/>
      <c r="E90" s="18"/>
      <c r="F90" s="18"/>
      <c r="G90" s="18"/>
    </row>
    <row r="91" spans="1:7" x14ac:dyDescent="0.25">
      <c r="A91" s="18">
        <v>4080</v>
      </c>
      <c r="B91" s="18" t="s">
        <v>113</v>
      </c>
      <c r="C91" s="18" t="s">
        <v>119</v>
      </c>
      <c r="D91" s="18"/>
      <c r="E91" s="18"/>
      <c r="F91" s="18"/>
      <c r="G91" s="18"/>
    </row>
    <row r="92" spans="1:7" x14ac:dyDescent="0.25">
      <c r="A92" s="18">
        <v>4082</v>
      </c>
      <c r="B92" s="18" t="s">
        <v>113</v>
      </c>
      <c r="C92" s="18" t="s">
        <v>120</v>
      </c>
      <c r="D92" s="18"/>
      <c r="E92" s="18"/>
      <c r="F92" s="18"/>
      <c r="G92" s="18"/>
    </row>
    <row r="93" spans="1:7" x14ac:dyDescent="0.25">
      <c r="A93" s="18">
        <v>4084</v>
      </c>
      <c r="B93" s="18" t="s">
        <v>113</v>
      </c>
      <c r="C93" s="18" t="s">
        <v>226</v>
      </c>
      <c r="D93" s="18"/>
      <c r="E93" s="18"/>
      <c r="F93" s="18"/>
      <c r="G93" s="18"/>
    </row>
    <row r="94" spans="1:7" x14ac:dyDescent="0.25">
      <c r="A94" s="18">
        <v>4086</v>
      </c>
      <c r="B94" s="18" t="s">
        <v>113</v>
      </c>
      <c r="C94" s="18" t="s">
        <v>227</v>
      </c>
      <c r="D94" s="18"/>
      <c r="E94" s="18"/>
      <c r="F94" s="18"/>
      <c r="G94" s="18"/>
    </row>
    <row r="95" spans="1:7" x14ac:dyDescent="0.25">
      <c r="A95" s="18">
        <v>5000</v>
      </c>
      <c r="B95" s="18" t="s">
        <v>121</v>
      </c>
      <c r="C95" s="18" t="s">
        <v>122</v>
      </c>
      <c r="D95" s="18"/>
      <c r="E95" s="18"/>
      <c r="F95" s="18"/>
      <c r="G95" s="18"/>
    </row>
    <row r="96" spans="1:7" x14ac:dyDescent="0.25">
      <c r="A96" s="18">
        <v>5002</v>
      </c>
      <c r="B96" s="18" t="s">
        <v>121</v>
      </c>
      <c r="C96" s="18" t="s">
        <v>123</v>
      </c>
      <c r="D96" s="18"/>
      <c r="E96" s="18"/>
      <c r="F96" s="18"/>
      <c r="G96" s="18"/>
    </row>
    <row r="97" spans="1:7" x14ac:dyDescent="0.25">
      <c r="A97" s="18">
        <v>5004</v>
      </c>
      <c r="B97" s="18" t="s">
        <v>121</v>
      </c>
      <c r="C97" s="18" t="s">
        <v>124</v>
      </c>
      <c r="D97" s="18"/>
      <c r="E97" s="18"/>
      <c r="F97" s="18"/>
      <c r="G97" s="18"/>
    </row>
    <row r="98" spans="1:7" x14ac:dyDescent="0.25">
      <c r="A98" s="18">
        <v>5005</v>
      </c>
      <c r="B98" s="18" t="s">
        <v>121</v>
      </c>
      <c r="C98" s="18" t="s">
        <v>125</v>
      </c>
      <c r="D98" s="18"/>
      <c r="E98" s="18"/>
      <c r="F98" s="18"/>
      <c r="G98" s="18"/>
    </row>
    <row r="99" spans="1:7" x14ac:dyDescent="0.25">
      <c r="A99" s="18">
        <v>5006</v>
      </c>
      <c r="B99" s="18" t="s">
        <v>121</v>
      </c>
      <c r="C99" s="18" t="s">
        <v>126</v>
      </c>
      <c r="D99" s="18"/>
      <c r="E99" s="18"/>
      <c r="F99" s="18"/>
      <c r="G99" s="18"/>
    </row>
    <row r="100" spans="1:7" x14ac:dyDescent="0.25">
      <c r="A100" s="18">
        <v>5007</v>
      </c>
      <c r="B100" s="18" t="s">
        <v>121</v>
      </c>
      <c r="C100" s="18" t="s">
        <v>228</v>
      </c>
      <c r="D100" s="18"/>
      <c r="E100" s="18"/>
      <c r="F100" s="18"/>
      <c r="G100" s="18"/>
    </row>
    <row r="101" spans="1:7" x14ac:dyDescent="0.25">
      <c r="A101" s="18">
        <v>5010</v>
      </c>
      <c r="B101" s="18" t="s">
        <v>121</v>
      </c>
      <c r="C101" s="18" t="s">
        <v>127</v>
      </c>
      <c r="D101" s="18"/>
      <c r="E101" s="18"/>
      <c r="F101" s="18"/>
      <c r="G101" s="18"/>
    </row>
    <row r="102" spans="1:7" x14ac:dyDescent="0.25">
      <c r="A102" s="18">
        <v>5015</v>
      </c>
      <c r="B102" s="18" t="s">
        <v>121</v>
      </c>
      <c r="C102" s="18" t="s">
        <v>128</v>
      </c>
      <c r="D102" s="18"/>
      <c r="E102" s="18"/>
      <c r="F102" s="18"/>
      <c r="G102" s="18"/>
    </row>
    <row r="103" spans="1:7" x14ac:dyDescent="0.25">
      <c r="A103" s="18">
        <v>5017</v>
      </c>
      <c r="B103" s="18" t="s">
        <v>121</v>
      </c>
      <c r="C103" s="18" t="s">
        <v>129</v>
      </c>
      <c r="D103" s="18"/>
      <c r="E103" s="18"/>
      <c r="F103" s="18"/>
      <c r="G103" s="18"/>
    </row>
    <row r="104" spans="1:7" x14ac:dyDescent="0.25">
      <c r="A104" s="18">
        <v>5020</v>
      </c>
      <c r="B104" s="18" t="s">
        <v>121</v>
      </c>
      <c r="C104" s="18" t="s">
        <v>130</v>
      </c>
      <c r="D104" s="18"/>
      <c r="E104" s="18"/>
      <c r="F104" s="18"/>
      <c r="G104" s="18"/>
    </row>
    <row r="105" spans="1:7" x14ac:dyDescent="0.25">
      <c r="A105" s="18">
        <v>5025</v>
      </c>
      <c r="B105" s="18" t="s">
        <v>121</v>
      </c>
      <c r="C105" s="18" t="s">
        <v>131</v>
      </c>
      <c r="D105" s="18"/>
      <c r="E105" s="18"/>
      <c r="F105" s="18"/>
      <c r="G105" s="18"/>
    </row>
    <row r="106" spans="1:7" x14ac:dyDescent="0.25">
      <c r="A106" s="18">
        <v>5030</v>
      </c>
      <c r="B106" s="18" t="s">
        <v>121</v>
      </c>
      <c r="C106" s="18" t="s">
        <v>132</v>
      </c>
      <c r="D106" s="18"/>
      <c r="E106" s="18"/>
      <c r="F106" s="18"/>
      <c r="G106" s="18"/>
    </row>
    <row r="107" spans="1:7" x14ac:dyDescent="0.25">
      <c r="A107" s="18">
        <v>5035</v>
      </c>
      <c r="B107" s="18" t="s">
        <v>121</v>
      </c>
      <c r="C107" s="18" t="s">
        <v>133</v>
      </c>
      <c r="D107" s="18"/>
      <c r="E107" s="18"/>
      <c r="F107" s="18"/>
      <c r="G107" s="18"/>
    </row>
    <row r="108" spans="1:7" x14ac:dyDescent="0.25">
      <c r="A108" s="18">
        <v>5037</v>
      </c>
      <c r="B108" s="18" t="s">
        <v>121</v>
      </c>
      <c r="C108" s="18" t="s">
        <v>134</v>
      </c>
      <c r="D108" s="18"/>
      <c r="E108" s="18"/>
      <c r="F108" s="18"/>
      <c r="G108" s="18"/>
    </row>
    <row r="109" spans="1:7" x14ac:dyDescent="0.25">
      <c r="A109" s="18">
        <v>5040</v>
      </c>
      <c r="B109" s="18" t="s">
        <v>121</v>
      </c>
      <c r="C109" s="18" t="s">
        <v>135</v>
      </c>
      <c r="D109" s="18"/>
      <c r="E109" s="18"/>
      <c r="F109" s="18"/>
      <c r="G109" s="18"/>
    </row>
    <row r="110" spans="1:7" x14ac:dyDescent="0.25">
      <c r="A110" s="18">
        <v>5045</v>
      </c>
      <c r="B110" s="18" t="s">
        <v>121</v>
      </c>
      <c r="C110" s="18" t="s">
        <v>136</v>
      </c>
      <c r="D110" s="18"/>
      <c r="E110" s="18"/>
      <c r="F110" s="18"/>
      <c r="G110" s="18"/>
    </row>
    <row r="111" spans="1:7" x14ac:dyDescent="0.25">
      <c r="A111" s="18">
        <v>5047</v>
      </c>
      <c r="B111" s="18" t="s">
        <v>121</v>
      </c>
      <c r="C111" s="18" t="s">
        <v>137</v>
      </c>
      <c r="D111" s="18"/>
      <c r="E111" s="18"/>
      <c r="F111" s="18"/>
      <c r="G111" s="18"/>
    </row>
    <row r="112" spans="1:7" x14ac:dyDescent="0.25">
      <c r="A112" s="18">
        <v>5085</v>
      </c>
      <c r="B112" s="18" t="s">
        <v>121</v>
      </c>
      <c r="C112" s="18" t="s">
        <v>229</v>
      </c>
      <c r="D112" s="18"/>
      <c r="E112" s="18"/>
      <c r="F112" s="18"/>
      <c r="G112" s="18"/>
    </row>
    <row r="113" spans="1:7" x14ac:dyDescent="0.25">
      <c r="A113" s="18">
        <v>5100</v>
      </c>
      <c r="B113" s="18" t="s">
        <v>121</v>
      </c>
      <c r="C113" s="18" t="s">
        <v>138</v>
      </c>
      <c r="D113" s="18"/>
      <c r="E113" s="18"/>
      <c r="F113" s="18"/>
      <c r="G113" s="18"/>
    </row>
    <row r="114" spans="1:7" x14ac:dyDescent="0.25">
      <c r="A114" s="18">
        <v>5110</v>
      </c>
      <c r="B114" s="18" t="s">
        <v>121</v>
      </c>
      <c r="C114" s="18" t="s">
        <v>139</v>
      </c>
      <c r="D114" s="18"/>
      <c r="E114" s="18"/>
      <c r="F114" s="18"/>
      <c r="G114" s="18"/>
    </row>
    <row r="115" spans="1:7" x14ac:dyDescent="0.25">
      <c r="A115" s="18">
        <v>5120</v>
      </c>
      <c r="B115" s="18" t="s">
        <v>121</v>
      </c>
      <c r="C115" s="18" t="s">
        <v>140</v>
      </c>
      <c r="D115" s="18"/>
      <c r="E115" s="18"/>
      <c r="F115" s="18"/>
      <c r="G115" s="18"/>
    </row>
    <row r="116" spans="1:7" x14ac:dyDescent="0.25">
      <c r="A116" s="18">
        <v>5125</v>
      </c>
      <c r="B116" s="18" t="s">
        <v>121</v>
      </c>
      <c r="C116" s="18" t="s">
        <v>141</v>
      </c>
      <c r="D116" s="18"/>
      <c r="E116" s="18"/>
      <c r="F116" s="18"/>
      <c r="G116" s="18"/>
    </row>
    <row r="117" spans="1:7" x14ac:dyDescent="0.25">
      <c r="A117" s="18">
        <v>5130</v>
      </c>
      <c r="B117" s="18" t="s">
        <v>121</v>
      </c>
      <c r="C117" s="18" t="s">
        <v>142</v>
      </c>
      <c r="D117" s="18"/>
      <c r="E117" s="18"/>
      <c r="F117" s="18"/>
      <c r="G117" s="18"/>
    </row>
    <row r="118" spans="1:7" x14ac:dyDescent="0.25">
      <c r="A118" s="18">
        <v>5135</v>
      </c>
      <c r="B118" s="18" t="s">
        <v>121</v>
      </c>
      <c r="C118" s="18" t="s">
        <v>143</v>
      </c>
      <c r="D118" s="18"/>
      <c r="E118" s="18"/>
      <c r="F118" s="18"/>
      <c r="G118" s="18"/>
    </row>
    <row r="119" spans="1:7" x14ac:dyDescent="0.25">
      <c r="A119" s="18">
        <v>5140</v>
      </c>
      <c r="B119" s="18" t="s">
        <v>121</v>
      </c>
      <c r="C119" s="18" t="s">
        <v>144</v>
      </c>
      <c r="D119" s="18"/>
      <c r="E119" s="18"/>
      <c r="F119" s="18"/>
      <c r="G119" s="18"/>
    </row>
    <row r="120" spans="1:7" x14ac:dyDescent="0.25">
      <c r="A120" s="18">
        <v>5145</v>
      </c>
      <c r="B120" s="18" t="s">
        <v>121</v>
      </c>
      <c r="C120" s="18" t="s">
        <v>145</v>
      </c>
      <c r="D120" s="18"/>
      <c r="E120" s="18"/>
      <c r="F120" s="18"/>
      <c r="G120" s="18"/>
    </row>
    <row r="121" spans="1:7" x14ac:dyDescent="0.25">
      <c r="A121" s="18">
        <v>5150</v>
      </c>
      <c r="B121" s="18" t="s">
        <v>121</v>
      </c>
      <c r="C121" s="18" t="s">
        <v>146</v>
      </c>
      <c r="D121" s="18"/>
      <c r="E121" s="18"/>
      <c r="F121" s="18"/>
      <c r="G121" s="18"/>
    </row>
    <row r="122" spans="1:7" x14ac:dyDescent="0.25">
      <c r="A122" s="18">
        <v>5160</v>
      </c>
      <c r="B122" s="18" t="s">
        <v>121</v>
      </c>
      <c r="C122" s="18" t="s">
        <v>147</v>
      </c>
      <c r="D122" s="18"/>
      <c r="E122" s="18"/>
      <c r="F122" s="18"/>
      <c r="G122" s="18"/>
    </row>
    <row r="123" spans="1:7" x14ac:dyDescent="0.25">
      <c r="A123" s="18">
        <v>5170</v>
      </c>
      <c r="B123" s="18" t="s">
        <v>121</v>
      </c>
      <c r="C123" s="18" t="s">
        <v>148</v>
      </c>
      <c r="D123" s="18"/>
      <c r="E123" s="18"/>
      <c r="F123" s="18"/>
      <c r="G123" s="18"/>
    </row>
    <row r="124" spans="1:7" x14ac:dyDescent="0.25">
      <c r="A124" s="18">
        <v>5175</v>
      </c>
      <c r="B124" s="18" t="s">
        <v>121</v>
      </c>
      <c r="C124" s="18" t="s">
        <v>149</v>
      </c>
      <c r="D124" s="18"/>
      <c r="E124" s="18"/>
      <c r="F124" s="18"/>
      <c r="G124" s="18"/>
    </row>
    <row r="125" spans="1:7" x14ac:dyDescent="0.25">
      <c r="A125" s="18">
        <v>5190</v>
      </c>
      <c r="B125" s="18" t="s">
        <v>121</v>
      </c>
      <c r="C125" s="18" t="s">
        <v>150</v>
      </c>
      <c r="D125" s="18"/>
      <c r="E125" s="18"/>
      <c r="F125" s="18"/>
      <c r="G125" s="18"/>
    </row>
    <row r="126" spans="1:7" x14ac:dyDescent="0.25">
      <c r="A126" s="18">
        <v>5600</v>
      </c>
      <c r="B126" s="18" t="s">
        <v>121</v>
      </c>
      <c r="C126" s="18" t="s">
        <v>151</v>
      </c>
      <c r="D126" s="18"/>
      <c r="E126" s="18"/>
      <c r="F126" s="18"/>
      <c r="G126" s="18"/>
    </row>
    <row r="127" spans="1:7" x14ac:dyDescent="0.25">
      <c r="A127" s="18">
        <v>5602</v>
      </c>
      <c r="B127" s="18" t="s">
        <v>121</v>
      </c>
      <c r="C127" s="18" t="s">
        <v>152</v>
      </c>
      <c r="D127" s="18"/>
      <c r="E127" s="18"/>
      <c r="F127" s="18"/>
      <c r="G127" s="18"/>
    </row>
    <row r="128" spans="1:7" x14ac:dyDescent="0.25">
      <c r="A128" s="18">
        <v>5610</v>
      </c>
      <c r="B128" s="18" t="s">
        <v>121</v>
      </c>
      <c r="C128" s="18" t="s">
        <v>153</v>
      </c>
      <c r="D128" s="18"/>
      <c r="E128" s="18"/>
      <c r="F128" s="18"/>
      <c r="G128" s="18"/>
    </row>
    <row r="129" spans="1:7" x14ac:dyDescent="0.25">
      <c r="A129" s="18">
        <v>5620</v>
      </c>
      <c r="B129" s="18" t="s">
        <v>121</v>
      </c>
      <c r="C129" s="18" t="s">
        <v>154</v>
      </c>
      <c r="D129" s="18"/>
      <c r="E129" s="18"/>
      <c r="F129" s="18"/>
      <c r="G129" s="18"/>
    </row>
    <row r="130" spans="1:7" x14ac:dyDescent="0.25">
      <c r="A130" s="18">
        <v>5630</v>
      </c>
      <c r="B130" s="18" t="s">
        <v>121</v>
      </c>
      <c r="C130" s="18" t="s">
        <v>155</v>
      </c>
      <c r="D130" s="18"/>
      <c r="E130" s="18"/>
      <c r="F130" s="18"/>
      <c r="G130" s="18"/>
    </row>
    <row r="131" spans="1:7" x14ac:dyDescent="0.25">
      <c r="A131" s="18">
        <v>5640</v>
      </c>
      <c r="B131" s="18" t="s">
        <v>121</v>
      </c>
      <c r="C131" s="18" t="s">
        <v>156</v>
      </c>
      <c r="D131" s="18"/>
      <c r="E131" s="18"/>
      <c r="F131" s="18"/>
      <c r="G131" s="18"/>
    </row>
    <row r="132" spans="1:7" x14ac:dyDescent="0.25">
      <c r="A132" s="18">
        <v>5700</v>
      </c>
      <c r="B132" s="18" t="s">
        <v>121</v>
      </c>
      <c r="C132" s="18" t="s">
        <v>157</v>
      </c>
      <c r="D132" s="18"/>
      <c r="E132" s="18"/>
      <c r="F132" s="18"/>
      <c r="G132" s="18"/>
    </row>
    <row r="133" spans="1:7" x14ac:dyDescent="0.25">
      <c r="A133" s="18">
        <v>5710</v>
      </c>
      <c r="B133" s="18" t="s">
        <v>121</v>
      </c>
      <c r="C133" s="18" t="s">
        <v>158</v>
      </c>
      <c r="D133" s="18"/>
      <c r="E133" s="18"/>
      <c r="F133" s="18"/>
      <c r="G133" s="18"/>
    </row>
    <row r="134" spans="1:7" x14ac:dyDescent="0.25">
      <c r="A134" s="18" t="s">
        <v>231</v>
      </c>
      <c r="B134" s="18" t="s">
        <v>121</v>
      </c>
      <c r="C134" s="18" t="s">
        <v>232</v>
      </c>
      <c r="D134" s="18"/>
      <c r="E134" s="18"/>
      <c r="F134" s="18"/>
      <c r="G134" s="18"/>
    </row>
    <row r="135" spans="1:7" x14ac:dyDescent="0.25">
      <c r="A135" s="18" t="s">
        <v>233</v>
      </c>
      <c r="B135" s="18" t="s">
        <v>121</v>
      </c>
      <c r="C135" s="18" t="s">
        <v>234</v>
      </c>
      <c r="D135" s="18"/>
      <c r="E135" s="18"/>
      <c r="F135" s="18"/>
      <c r="G135" s="18"/>
    </row>
    <row r="136" spans="1:7" x14ac:dyDescent="0.25">
      <c r="A136" s="18" t="s">
        <v>235</v>
      </c>
      <c r="B136" s="18" t="s">
        <v>121</v>
      </c>
      <c r="C136" s="18" t="s">
        <v>236</v>
      </c>
      <c r="D136" s="18"/>
      <c r="E136" s="18"/>
      <c r="F136" s="18"/>
      <c r="G136" s="18"/>
    </row>
    <row r="137" spans="1:7" x14ac:dyDescent="0.25">
      <c r="A137" s="18" t="s">
        <v>237</v>
      </c>
      <c r="B137" s="18" t="s">
        <v>121</v>
      </c>
      <c r="C137" s="18" t="s">
        <v>238</v>
      </c>
      <c r="D137" s="18"/>
      <c r="E137" s="18"/>
      <c r="F137" s="18"/>
      <c r="G137" s="18"/>
    </row>
    <row r="138" spans="1:7" x14ac:dyDescent="0.25">
      <c r="A138" s="18" t="s">
        <v>239</v>
      </c>
      <c r="B138" s="18" t="s">
        <v>121</v>
      </c>
      <c r="C138" s="18" t="s">
        <v>240</v>
      </c>
      <c r="D138" s="18"/>
      <c r="E138" s="18"/>
      <c r="F138" s="18"/>
      <c r="G138" s="18"/>
    </row>
    <row r="139" spans="1:7" x14ac:dyDescent="0.25">
      <c r="A139" s="18" t="s">
        <v>241</v>
      </c>
      <c r="B139" s="18" t="s">
        <v>121</v>
      </c>
      <c r="C139" s="18" t="s">
        <v>242</v>
      </c>
      <c r="D139" s="18"/>
      <c r="E139" s="18"/>
      <c r="F139" s="18"/>
      <c r="G139" s="18"/>
    </row>
    <row r="140" spans="1:7" x14ac:dyDescent="0.25">
      <c r="A140" s="18" t="s">
        <v>243</v>
      </c>
      <c r="B140" s="18" t="s">
        <v>121</v>
      </c>
      <c r="C140" s="18" t="s">
        <v>244</v>
      </c>
      <c r="D140" s="18"/>
      <c r="E140" s="18"/>
      <c r="F140" s="18"/>
      <c r="G140" s="18"/>
    </row>
    <row r="141" spans="1:7" x14ac:dyDescent="0.25">
      <c r="A141" s="18" t="s">
        <v>245</v>
      </c>
      <c r="B141" s="18" t="s">
        <v>121</v>
      </c>
      <c r="C141" s="18" t="s">
        <v>246</v>
      </c>
      <c r="D141" s="18"/>
      <c r="E141" s="18"/>
      <c r="F141" s="18"/>
      <c r="G141" s="18"/>
    </row>
    <row r="142" spans="1:7" x14ac:dyDescent="0.25">
      <c r="A142" s="18" t="s">
        <v>247</v>
      </c>
      <c r="B142" s="18" t="s">
        <v>121</v>
      </c>
      <c r="C142" s="18" t="s">
        <v>248</v>
      </c>
      <c r="D142" s="18"/>
      <c r="E142" s="18"/>
      <c r="F142" s="18"/>
      <c r="G142" s="18"/>
    </row>
    <row r="143" spans="1:7" x14ac:dyDescent="0.25">
      <c r="A143" s="18">
        <v>5750</v>
      </c>
      <c r="B143" s="18" t="s">
        <v>121</v>
      </c>
      <c r="C143" s="18" t="s">
        <v>249</v>
      </c>
      <c r="D143" s="18"/>
      <c r="E143" s="18"/>
      <c r="F143" s="18"/>
      <c r="G143" s="18"/>
    </row>
    <row r="144" spans="1:7" x14ac:dyDescent="0.25">
      <c r="A144" s="18">
        <v>5800</v>
      </c>
      <c r="B144" s="18" t="s">
        <v>121</v>
      </c>
      <c r="C144" s="18" t="s">
        <v>159</v>
      </c>
      <c r="D144" s="18"/>
      <c r="E144" s="18"/>
      <c r="F144" s="18"/>
      <c r="G144" s="18"/>
    </row>
    <row r="145" spans="1:7" x14ac:dyDescent="0.25">
      <c r="A145" s="18">
        <v>6000</v>
      </c>
      <c r="B145" s="18" t="s">
        <v>160</v>
      </c>
      <c r="C145" s="18" t="s">
        <v>161</v>
      </c>
      <c r="D145" s="18"/>
      <c r="E145" s="18"/>
      <c r="F145" s="18"/>
      <c r="G145" s="18"/>
    </row>
    <row r="146" spans="1:7" x14ac:dyDescent="0.25">
      <c r="A146" s="18">
        <v>6010</v>
      </c>
      <c r="B146" s="18" t="s">
        <v>160</v>
      </c>
      <c r="C146" s="18" t="s">
        <v>162</v>
      </c>
      <c r="D146" s="18"/>
      <c r="E146" s="18"/>
      <c r="F146" s="18"/>
      <c r="G146" s="18"/>
    </row>
    <row r="147" spans="1:7" x14ac:dyDescent="0.25">
      <c r="A147" s="18">
        <v>6020</v>
      </c>
      <c r="B147" s="18" t="s">
        <v>160</v>
      </c>
      <c r="C147" s="18" t="s">
        <v>163</v>
      </c>
      <c r="D147" s="18"/>
      <c r="E147" s="18"/>
      <c r="F147" s="18"/>
      <c r="G147" s="18"/>
    </row>
    <row r="148" spans="1:7" x14ac:dyDescent="0.25">
      <c r="A148" s="18">
        <v>6025</v>
      </c>
      <c r="B148" s="18" t="s">
        <v>160</v>
      </c>
      <c r="C148" s="18" t="s">
        <v>164</v>
      </c>
      <c r="D148" s="18"/>
      <c r="E148" s="18"/>
      <c r="F148" s="18"/>
      <c r="G148" s="18"/>
    </row>
    <row r="149" spans="1:7" x14ac:dyDescent="0.25">
      <c r="A149" s="18">
        <v>6030</v>
      </c>
      <c r="B149" s="18" t="s">
        <v>160</v>
      </c>
      <c r="C149" s="18" t="s">
        <v>165</v>
      </c>
      <c r="D149" s="18"/>
      <c r="E149" s="18"/>
      <c r="F149" s="18"/>
      <c r="G149" s="18"/>
    </row>
    <row r="150" spans="1:7" x14ac:dyDescent="0.25">
      <c r="A150" s="18">
        <v>6040</v>
      </c>
      <c r="B150" s="18" t="s">
        <v>160</v>
      </c>
      <c r="C150" s="18" t="s">
        <v>166</v>
      </c>
      <c r="D150" s="18"/>
      <c r="E150" s="18"/>
      <c r="F150" s="18"/>
      <c r="G150" s="18"/>
    </row>
    <row r="151" spans="1:7" x14ac:dyDescent="0.25">
      <c r="A151" s="18">
        <v>6050</v>
      </c>
      <c r="B151" s="18" t="s">
        <v>160</v>
      </c>
      <c r="C151" s="18" t="s">
        <v>167</v>
      </c>
      <c r="D151" s="18"/>
      <c r="E151" s="18"/>
      <c r="F151" s="18"/>
      <c r="G151" s="18"/>
    </row>
    <row r="152" spans="1:7" x14ac:dyDescent="0.25">
      <c r="A152" s="18">
        <v>6060</v>
      </c>
      <c r="B152" s="18" t="s">
        <v>160</v>
      </c>
      <c r="C152" s="18" t="s">
        <v>168</v>
      </c>
      <c r="D152" s="18"/>
      <c r="E152" s="18"/>
      <c r="F152" s="18"/>
      <c r="G152" s="18"/>
    </row>
    <row r="153" spans="1:7" x14ac:dyDescent="0.25">
      <c r="A153" s="18">
        <v>6070</v>
      </c>
      <c r="B153" s="18" t="s">
        <v>160</v>
      </c>
      <c r="C153" s="18" t="s">
        <v>169</v>
      </c>
      <c r="D153" s="18"/>
      <c r="E153" s="18"/>
      <c r="F153" s="18"/>
      <c r="G153" s="18"/>
    </row>
    <row r="154" spans="1:7" x14ac:dyDescent="0.25">
      <c r="A154" s="18">
        <v>6072</v>
      </c>
      <c r="B154" s="18" t="s">
        <v>160</v>
      </c>
      <c r="C154" s="18" t="s">
        <v>170</v>
      </c>
      <c r="D154" s="18"/>
      <c r="E154" s="18"/>
      <c r="F154" s="18"/>
      <c r="G154" s="18"/>
    </row>
    <row r="155" spans="1:7" x14ac:dyDescent="0.25">
      <c r="A155" s="18">
        <v>6075</v>
      </c>
      <c r="B155" s="18" t="s">
        <v>160</v>
      </c>
      <c r="C155" s="18" t="s">
        <v>171</v>
      </c>
      <c r="D155" s="18"/>
      <c r="E155" s="18"/>
      <c r="F155" s="18"/>
      <c r="G155" s="18"/>
    </row>
    <row r="156" spans="1:7" x14ac:dyDescent="0.25">
      <c r="A156" s="18">
        <v>6080</v>
      </c>
      <c r="B156" s="18" t="s">
        <v>160</v>
      </c>
      <c r="C156" s="18" t="s">
        <v>172</v>
      </c>
      <c r="D156" s="18"/>
      <c r="E156" s="18"/>
      <c r="F156" s="18"/>
      <c r="G156" s="18"/>
    </row>
    <row r="157" spans="1:7" x14ac:dyDescent="0.25">
      <c r="A157" s="18">
        <v>6085</v>
      </c>
      <c r="B157" s="18" t="s">
        <v>160</v>
      </c>
      <c r="C157" s="18" t="s">
        <v>173</v>
      </c>
      <c r="D157" s="18"/>
      <c r="E157" s="18"/>
      <c r="F157" s="18"/>
      <c r="G157" s="18"/>
    </row>
    <row r="158" spans="1:7" x14ac:dyDescent="0.25">
      <c r="A158" s="18">
        <v>6090</v>
      </c>
      <c r="B158" s="18" t="s">
        <v>160</v>
      </c>
      <c r="C158" s="18" t="s">
        <v>174</v>
      </c>
      <c r="D158" s="18"/>
      <c r="E158" s="18"/>
      <c r="F158" s="18"/>
      <c r="G158" s="18"/>
    </row>
    <row r="159" spans="1:7" x14ac:dyDescent="0.25">
      <c r="A159" s="18">
        <v>6190</v>
      </c>
      <c r="B159" s="18" t="s">
        <v>160</v>
      </c>
      <c r="C159" s="18" t="s">
        <v>175</v>
      </c>
      <c r="D159" s="18"/>
      <c r="E159" s="18"/>
      <c r="F159" s="18"/>
      <c r="G159" s="18"/>
    </row>
    <row r="160" spans="1:7" x14ac:dyDescent="0.25">
      <c r="A160" s="18">
        <v>6200</v>
      </c>
      <c r="B160" s="18" t="s">
        <v>160</v>
      </c>
      <c r="C160" s="18" t="s">
        <v>176</v>
      </c>
      <c r="D160" s="18"/>
      <c r="E160" s="18"/>
      <c r="F160" s="18"/>
      <c r="G160" s="18"/>
    </row>
    <row r="161" spans="1:7" x14ac:dyDescent="0.25">
      <c r="A161" s="18">
        <v>6210</v>
      </c>
      <c r="B161" s="18" t="s">
        <v>160</v>
      </c>
      <c r="C161" s="18" t="s">
        <v>177</v>
      </c>
      <c r="D161" s="18"/>
      <c r="E161" s="18"/>
      <c r="F161" s="18"/>
      <c r="G161" s="18"/>
    </row>
    <row r="162" spans="1:7" x14ac:dyDescent="0.25">
      <c r="A162" s="18">
        <v>6220</v>
      </c>
      <c r="B162" s="18" t="s">
        <v>160</v>
      </c>
      <c r="C162" s="18" t="s">
        <v>178</v>
      </c>
      <c r="D162" s="18"/>
      <c r="E162" s="18"/>
      <c r="F162" s="18"/>
      <c r="G162" s="18"/>
    </row>
    <row r="163" spans="1:7" x14ac:dyDescent="0.25">
      <c r="A163" s="18">
        <v>6230</v>
      </c>
      <c r="B163" s="18" t="s">
        <v>160</v>
      </c>
      <c r="C163" s="18" t="s">
        <v>179</v>
      </c>
      <c r="D163" s="18"/>
      <c r="E163" s="18"/>
      <c r="F163" s="18"/>
      <c r="G163" s="18"/>
    </row>
    <row r="164" spans="1:7" x14ac:dyDescent="0.25">
      <c r="A164" s="18">
        <v>6240</v>
      </c>
      <c r="B164" s="18" t="s">
        <v>160</v>
      </c>
      <c r="C164" s="18" t="s">
        <v>180</v>
      </c>
      <c r="D164" s="18"/>
      <c r="E164" s="18"/>
      <c r="F164" s="18"/>
      <c r="G164" s="18"/>
    </row>
    <row r="165" spans="1:7" x14ac:dyDescent="0.25">
      <c r="A165" s="18">
        <v>6290</v>
      </c>
      <c r="B165" s="18" t="s">
        <v>160</v>
      </c>
      <c r="C165" s="18" t="s">
        <v>181</v>
      </c>
      <c r="D165" s="18"/>
      <c r="E165" s="18"/>
      <c r="F165" s="18"/>
      <c r="G165" s="18"/>
    </row>
    <row r="166" spans="1:7" x14ac:dyDescent="0.25">
      <c r="A166" s="18">
        <v>6300</v>
      </c>
      <c r="B166" s="18" t="s">
        <v>160</v>
      </c>
      <c r="C166" s="18" t="s">
        <v>182</v>
      </c>
      <c r="D166" s="18"/>
      <c r="E166" s="18"/>
      <c r="F166" s="18"/>
      <c r="G166" s="18"/>
    </row>
    <row r="167" spans="1:7" x14ac:dyDescent="0.25">
      <c r="A167" s="18">
        <v>6310</v>
      </c>
      <c r="B167" s="18" t="s">
        <v>160</v>
      </c>
      <c r="C167" s="18" t="s">
        <v>183</v>
      </c>
      <c r="D167" s="18"/>
      <c r="E167" s="18"/>
      <c r="F167" s="18"/>
      <c r="G167" s="18"/>
    </row>
    <row r="168" spans="1:7" x14ac:dyDescent="0.25">
      <c r="A168" s="18">
        <v>6320</v>
      </c>
      <c r="B168" s="18" t="s">
        <v>160</v>
      </c>
      <c r="C168" s="18" t="s">
        <v>184</v>
      </c>
      <c r="D168" s="18"/>
      <c r="E168" s="18"/>
      <c r="F168" s="18"/>
      <c r="G168" s="18"/>
    </row>
    <row r="169" spans="1:7" x14ac:dyDescent="0.25">
      <c r="A169" s="18">
        <v>6330</v>
      </c>
      <c r="B169" s="18" t="s">
        <v>160</v>
      </c>
      <c r="C169" s="18" t="s">
        <v>185</v>
      </c>
      <c r="D169" s="18"/>
      <c r="E169" s="18"/>
      <c r="F169" s="18"/>
      <c r="G169" s="18"/>
    </row>
    <row r="170" spans="1:7" x14ac:dyDescent="0.25">
      <c r="A170" s="18">
        <v>6340</v>
      </c>
      <c r="B170" s="18" t="s">
        <v>160</v>
      </c>
      <c r="C170" s="18" t="s">
        <v>186</v>
      </c>
      <c r="D170" s="18"/>
      <c r="E170" s="18"/>
      <c r="F170" s="18"/>
      <c r="G170" s="18"/>
    </row>
    <row r="171" spans="1:7" x14ac:dyDescent="0.25">
      <c r="A171" s="18">
        <v>6350</v>
      </c>
      <c r="B171" s="18" t="s">
        <v>160</v>
      </c>
      <c r="C171" s="18" t="s">
        <v>187</v>
      </c>
      <c r="D171" s="18"/>
      <c r="E171" s="18"/>
      <c r="F171" s="18"/>
      <c r="G171" s="18"/>
    </row>
    <row r="172" spans="1:7" x14ac:dyDescent="0.25">
      <c r="A172" s="18">
        <v>6355</v>
      </c>
      <c r="B172" s="18" t="s">
        <v>160</v>
      </c>
      <c r="C172" s="18" t="s">
        <v>188</v>
      </c>
      <c r="D172" s="18"/>
      <c r="E172" s="18"/>
      <c r="F172" s="18"/>
      <c r="G172" s="18"/>
    </row>
    <row r="173" spans="1:7" x14ac:dyDescent="0.25">
      <c r="A173" s="18">
        <v>6360</v>
      </c>
      <c r="B173" s="18" t="s">
        <v>160</v>
      </c>
      <c r="C173" s="18" t="s">
        <v>189</v>
      </c>
      <c r="D173" s="18"/>
      <c r="E173" s="18"/>
      <c r="F173" s="18"/>
      <c r="G173" s="18"/>
    </row>
    <row r="174" spans="1:7" x14ac:dyDescent="0.25">
      <c r="A174" s="18">
        <v>6400</v>
      </c>
      <c r="B174" s="18" t="s">
        <v>160</v>
      </c>
      <c r="C174" s="18" t="s">
        <v>190</v>
      </c>
      <c r="D174" s="18"/>
      <c r="E174" s="18"/>
      <c r="F174" s="18"/>
      <c r="G174" s="18"/>
    </row>
    <row r="175" spans="1:7" x14ac:dyDescent="0.25">
      <c r="A175" s="18">
        <v>6410</v>
      </c>
      <c r="B175" s="18" t="s">
        <v>160</v>
      </c>
      <c r="C175" s="18" t="s">
        <v>191</v>
      </c>
      <c r="D175" s="18"/>
      <c r="E175" s="18"/>
      <c r="F175" s="18"/>
      <c r="G175" s="18"/>
    </row>
    <row r="176" spans="1:7" x14ac:dyDescent="0.25">
      <c r="A176" s="18">
        <v>6500</v>
      </c>
      <c r="B176" s="18" t="s">
        <v>160</v>
      </c>
      <c r="C176" s="18" t="s">
        <v>192</v>
      </c>
      <c r="D176" s="18"/>
      <c r="E176" s="18"/>
      <c r="F176" s="18"/>
      <c r="G176" s="18"/>
    </row>
    <row r="177" spans="1:7" x14ac:dyDescent="0.25">
      <c r="A177" s="18">
        <v>6510</v>
      </c>
      <c r="B177" s="18" t="s">
        <v>160</v>
      </c>
      <c r="C177" s="18" t="s">
        <v>193</v>
      </c>
      <c r="D177" s="18"/>
      <c r="E177" s="18"/>
      <c r="F177" s="18"/>
      <c r="G177" s="18"/>
    </row>
    <row r="178" spans="1:7" x14ac:dyDescent="0.25">
      <c r="A178" s="18">
        <v>6520</v>
      </c>
      <c r="B178" s="18" t="s">
        <v>160</v>
      </c>
      <c r="C178" s="18" t="s">
        <v>194</v>
      </c>
      <c r="D178" s="18"/>
      <c r="E178" s="18"/>
      <c r="F178" s="18"/>
      <c r="G178" s="18"/>
    </row>
    <row r="179" spans="1:7" x14ac:dyDescent="0.25">
      <c r="A179" s="18">
        <v>6550</v>
      </c>
      <c r="B179" s="18" t="s">
        <v>160</v>
      </c>
      <c r="C179" s="18" t="s">
        <v>195</v>
      </c>
      <c r="D179" s="18"/>
      <c r="E179" s="18"/>
      <c r="F179" s="18"/>
      <c r="G179" s="18"/>
    </row>
    <row r="180" spans="1:7" x14ac:dyDescent="0.25">
      <c r="A180" s="18">
        <v>6560</v>
      </c>
      <c r="B180" s="18" t="s">
        <v>160</v>
      </c>
      <c r="C180" s="18" t="s">
        <v>196</v>
      </c>
      <c r="D180" s="18"/>
      <c r="E180" s="18"/>
      <c r="F180" s="18"/>
      <c r="G180" s="18"/>
    </row>
    <row r="181" spans="1:7" x14ac:dyDescent="0.25">
      <c r="A181" s="18">
        <v>6590</v>
      </c>
      <c r="B181" s="18" t="s">
        <v>160</v>
      </c>
      <c r="C181" s="18" t="s">
        <v>197</v>
      </c>
      <c r="D181" s="18"/>
      <c r="E181" s="18"/>
      <c r="F181" s="18"/>
      <c r="G181" s="18"/>
    </row>
    <row r="182" spans="1:7" x14ac:dyDescent="0.25">
      <c r="A182" s="18">
        <v>6595</v>
      </c>
      <c r="B182" s="18" t="s">
        <v>160</v>
      </c>
      <c r="C182" s="18" t="s">
        <v>198</v>
      </c>
      <c r="D182" s="18"/>
      <c r="E182" s="18"/>
      <c r="F182" s="18"/>
      <c r="G182" s="18"/>
    </row>
    <row r="183" spans="1:7" x14ac:dyDescent="0.25">
      <c r="A183" s="18">
        <v>6600</v>
      </c>
      <c r="B183" s="18" t="s">
        <v>160</v>
      </c>
      <c r="C183" s="18" t="s">
        <v>199</v>
      </c>
      <c r="D183" s="18"/>
      <c r="E183" s="18"/>
      <c r="F183" s="18"/>
      <c r="G183" s="18"/>
    </row>
    <row r="184" spans="1:7" x14ac:dyDescent="0.25">
      <c r="A184" s="18">
        <v>6602</v>
      </c>
      <c r="B184" s="18" t="s">
        <v>160</v>
      </c>
      <c r="C184" s="18" t="s">
        <v>200</v>
      </c>
      <c r="D184" s="18"/>
      <c r="E184" s="18"/>
      <c r="F184" s="18"/>
      <c r="G184" s="18"/>
    </row>
    <row r="185" spans="1:7" x14ac:dyDescent="0.25">
      <c r="A185" s="18">
        <v>6606</v>
      </c>
      <c r="B185" s="18" t="s">
        <v>160</v>
      </c>
      <c r="C185" s="18" t="s">
        <v>201</v>
      </c>
      <c r="D185" s="18"/>
      <c r="E185" s="18"/>
      <c r="F185" s="18"/>
      <c r="G185" s="18"/>
    </row>
    <row r="186" spans="1:7" x14ac:dyDescent="0.25">
      <c r="A186" s="18">
        <v>6610</v>
      </c>
      <c r="B186" s="18" t="s">
        <v>160</v>
      </c>
      <c r="C186" s="18" t="s">
        <v>202</v>
      </c>
      <c r="D186" s="18"/>
      <c r="E186" s="18"/>
      <c r="F186" s="18"/>
      <c r="G186" s="18"/>
    </row>
    <row r="187" spans="1:7" x14ac:dyDescent="0.25">
      <c r="A187" s="18">
        <v>6620</v>
      </c>
      <c r="B187" s="18" t="s">
        <v>160</v>
      </c>
      <c r="C187" s="18" t="s">
        <v>203</v>
      </c>
      <c r="D187" s="18"/>
      <c r="E187" s="18"/>
      <c r="F187" s="18"/>
      <c r="G187" s="18"/>
    </row>
    <row r="188" spans="1:7" x14ac:dyDescent="0.25">
      <c r="A188" s="18">
        <v>6630</v>
      </c>
      <c r="B188" s="18" t="s">
        <v>160</v>
      </c>
      <c r="C188" s="18" t="s">
        <v>204</v>
      </c>
      <c r="D188" s="18"/>
      <c r="E188" s="18"/>
      <c r="F188" s="18"/>
      <c r="G188" s="18"/>
    </row>
    <row r="189" spans="1:7" x14ac:dyDescent="0.25">
      <c r="A189" s="18">
        <v>6640</v>
      </c>
      <c r="B189" s="18" t="s">
        <v>160</v>
      </c>
      <c r="C189" s="18" t="s">
        <v>205</v>
      </c>
      <c r="D189" s="18"/>
      <c r="E189" s="18"/>
      <c r="F189" s="18"/>
      <c r="G189" s="18"/>
    </row>
    <row r="190" spans="1:7" x14ac:dyDescent="0.25">
      <c r="A190" s="18">
        <v>6700</v>
      </c>
      <c r="B190" s="18" t="s">
        <v>160</v>
      </c>
      <c r="C190" s="18" t="s">
        <v>206</v>
      </c>
      <c r="D190" s="18"/>
      <c r="E190" s="18"/>
      <c r="F190" s="18"/>
      <c r="G190" s="18"/>
    </row>
    <row r="191" spans="1:7" x14ac:dyDescent="0.25">
      <c r="A191" s="18">
        <v>6710</v>
      </c>
      <c r="B191" s="18" t="s">
        <v>160</v>
      </c>
      <c r="C191" s="18" t="s">
        <v>207</v>
      </c>
      <c r="D191" s="18"/>
      <c r="E191" s="18"/>
      <c r="F191" s="18"/>
      <c r="G191" s="18"/>
    </row>
    <row r="192" spans="1:7" x14ac:dyDescent="0.25">
      <c r="A192" s="18">
        <v>6720</v>
      </c>
      <c r="B192" s="18" t="s">
        <v>160</v>
      </c>
      <c r="C192" s="18" t="s">
        <v>208</v>
      </c>
      <c r="D192" s="18"/>
      <c r="E192" s="18"/>
      <c r="F192" s="18"/>
      <c r="G192" s="18"/>
    </row>
    <row r="193" spans="1:7" x14ac:dyDescent="0.25">
      <c r="A193" s="18">
        <v>6730</v>
      </c>
      <c r="B193" s="18" t="s">
        <v>160</v>
      </c>
      <c r="C193" s="18" t="s">
        <v>209</v>
      </c>
      <c r="D193" s="18"/>
      <c r="E193" s="18"/>
      <c r="F193" s="18"/>
      <c r="G193" s="18"/>
    </row>
    <row r="194" spans="1:7" x14ac:dyDescent="0.25">
      <c r="A194" s="18">
        <v>6740</v>
      </c>
      <c r="B194" s="18" t="s">
        <v>160</v>
      </c>
      <c r="C194" s="18" t="s">
        <v>210</v>
      </c>
      <c r="D194" s="18"/>
      <c r="E194" s="18"/>
      <c r="F194" s="18"/>
      <c r="G194" s="18"/>
    </row>
    <row r="195" spans="1:7" x14ac:dyDescent="0.25">
      <c r="A195" s="18">
        <v>6750</v>
      </c>
      <c r="B195" s="18" t="s">
        <v>160</v>
      </c>
      <c r="C195" s="18" t="s">
        <v>211</v>
      </c>
      <c r="D195" s="18"/>
      <c r="E195" s="18"/>
      <c r="F195" s="18"/>
      <c r="G195" s="18"/>
    </row>
    <row r="196" spans="1:7" x14ac:dyDescent="0.25">
      <c r="A196" s="18">
        <v>6760</v>
      </c>
      <c r="B196" s="18" t="s">
        <v>160</v>
      </c>
      <c r="C196" s="18" t="s">
        <v>212</v>
      </c>
      <c r="D196" s="18"/>
      <c r="E196" s="18"/>
      <c r="F196" s="18"/>
      <c r="G196" s="18"/>
    </row>
    <row r="197" spans="1:7" x14ac:dyDescent="0.25">
      <c r="A197" s="18">
        <v>6770</v>
      </c>
      <c r="B197" s="18" t="s">
        <v>160</v>
      </c>
      <c r="C197" s="18" t="s">
        <v>213</v>
      </c>
      <c r="D197" s="18"/>
      <c r="E197" s="18"/>
      <c r="F197" s="18"/>
      <c r="G197" s="18"/>
    </row>
    <row r="198" spans="1:7" x14ac:dyDescent="0.25">
      <c r="A198" s="18">
        <v>6790</v>
      </c>
      <c r="B198" s="18" t="s">
        <v>160</v>
      </c>
      <c r="C198" s="18" t="s">
        <v>214</v>
      </c>
      <c r="D198" s="18"/>
      <c r="E198" s="18"/>
      <c r="F198" s="18"/>
      <c r="G198" s="18"/>
    </row>
    <row r="199" spans="1:7" x14ac:dyDescent="0.25">
      <c r="A199" s="18">
        <v>6800</v>
      </c>
      <c r="B199" s="18" t="s">
        <v>160</v>
      </c>
      <c r="C199" s="18" t="s">
        <v>215</v>
      </c>
      <c r="D199" s="18"/>
      <c r="E199" s="18"/>
      <c r="F199" s="18"/>
      <c r="G199" s="18"/>
    </row>
    <row r="200" spans="1:7" x14ac:dyDescent="0.25">
      <c r="A200" s="18">
        <v>6840</v>
      </c>
      <c r="B200" s="18" t="s">
        <v>160</v>
      </c>
      <c r="C200" s="18" t="s">
        <v>216</v>
      </c>
      <c r="D200" s="18"/>
      <c r="E200" s="18"/>
      <c r="F200" s="18"/>
      <c r="G200" s="18"/>
    </row>
    <row r="201" spans="1:7" x14ac:dyDescent="0.25">
      <c r="A201" s="18">
        <v>7000</v>
      </c>
      <c r="B201" s="18" t="s">
        <v>160</v>
      </c>
      <c r="C201" s="18" t="s">
        <v>217</v>
      </c>
      <c r="D201" s="18"/>
      <c r="E201" s="18"/>
      <c r="F201" s="18"/>
      <c r="G201" s="18"/>
    </row>
    <row r="202" spans="1:7" x14ac:dyDescent="0.25">
      <c r="A202" s="18">
        <v>7020</v>
      </c>
      <c r="B202" s="18" t="s">
        <v>160</v>
      </c>
      <c r="C202" s="18" t="s">
        <v>218</v>
      </c>
      <c r="D202" s="18"/>
      <c r="E202" s="18"/>
      <c r="F202" s="18"/>
      <c r="G202" s="18"/>
    </row>
    <row r="203" spans="1:7" x14ac:dyDescent="0.25">
      <c r="A203" s="18">
        <v>7200</v>
      </c>
      <c r="B203" s="18" t="s">
        <v>160</v>
      </c>
      <c r="C203" s="18" t="s">
        <v>219</v>
      </c>
      <c r="D203" s="18"/>
      <c r="E203" s="18"/>
      <c r="F203" s="18"/>
      <c r="G203" s="18"/>
    </row>
    <row r="204" spans="1:7" x14ac:dyDescent="0.25">
      <c r="A204" s="18">
        <v>7220</v>
      </c>
      <c r="B204" s="18" t="s">
        <v>160</v>
      </c>
      <c r="C204" s="18" t="s">
        <v>220</v>
      </c>
      <c r="D204" s="18"/>
      <c r="E204" s="18"/>
      <c r="F204" s="18"/>
      <c r="G204" s="18"/>
    </row>
    <row r="205" spans="1:7" x14ac:dyDescent="0.25">
      <c r="A205" s="18">
        <v>7300</v>
      </c>
      <c r="B205" s="18" t="s">
        <v>160</v>
      </c>
      <c r="C205" s="18" t="s">
        <v>221</v>
      </c>
      <c r="D205" s="18"/>
      <c r="E205" s="18"/>
      <c r="F205" s="18"/>
      <c r="G205" s="18"/>
    </row>
    <row r="206" spans="1:7" x14ac:dyDescent="0.25">
      <c r="A206" s="18">
        <v>7320</v>
      </c>
      <c r="B206" s="18" t="s">
        <v>160</v>
      </c>
      <c r="C206" s="18" t="s">
        <v>222</v>
      </c>
      <c r="D206" s="18"/>
      <c r="E206" s="18"/>
      <c r="F206" s="18"/>
      <c r="G206" s="18"/>
    </row>
    <row r="207" spans="1:7" x14ac:dyDescent="0.25">
      <c r="A207" s="18">
        <v>7350</v>
      </c>
      <c r="B207" s="18" t="s">
        <v>160</v>
      </c>
      <c r="C207" s="18" t="s">
        <v>223</v>
      </c>
      <c r="D207" s="18"/>
      <c r="E207" s="18"/>
      <c r="F207" s="18"/>
      <c r="G207" s="1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0"/>
  <sheetViews>
    <sheetView tabSelected="1" workbookViewId="0">
      <selection activeCell="B7" sqref="A1:H200"/>
    </sheetView>
  </sheetViews>
  <sheetFormatPr defaultColWidth="9.109375" defaultRowHeight="13.2" x14ac:dyDescent="0.25"/>
  <cols>
    <col min="1" max="1" width="20.44140625" style="12" customWidth="1"/>
    <col min="2" max="2" width="45.109375" style="5" customWidth="1"/>
    <col min="3" max="3" width="28.109375" style="5" customWidth="1"/>
    <col min="4" max="5" width="45.109375" style="5" customWidth="1"/>
    <col min="6" max="8" width="22" style="5" customWidth="1"/>
    <col min="9" max="9" width="7.77734375" style="5" customWidth="1"/>
    <col min="10" max="16384" width="9.109375" style="5"/>
  </cols>
  <sheetData>
    <row r="1" spans="1:8" x14ac:dyDescent="0.25">
      <c r="A1" s="23" t="s">
        <v>452</v>
      </c>
      <c r="B1" s="24" t="s">
        <v>450</v>
      </c>
      <c r="C1" s="24" t="s">
        <v>451</v>
      </c>
    </row>
    <row r="2" spans="1:8" x14ac:dyDescent="0.25">
      <c r="A2" s="14" t="s">
        <v>6</v>
      </c>
      <c r="B2" s="2" t="s">
        <v>8</v>
      </c>
      <c r="C2" s="2" t="s">
        <v>7</v>
      </c>
      <c r="D2" s="2" t="s">
        <v>250</v>
      </c>
      <c r="E2" s="2" t="s">
        <v>251</v>
      </c>
      <c r="F2" s="3" t="s">
        <v>9</v>
      </c>
      <c r="G2" s="4" t="s">
        <v>10</v>
      </c>
      <c r="H2" s="1" t="s">
        <v>11</v>
      </c>
    </row>
    <row r="3" spans="1:8" x14ac:dyDescent="0.25">
      <c r="A3" s="18">
        <v>1008</v>
      </c>
      <c r="B3" s="18" t="s">
        <v>31</v>
      </c>
      <c r="C3" s="18" t="s">
        <v>30</v>
      </c>
      <c r="D3" s="18" t="s">
        <v>252</v>
      </c>
      <c r="E3" s="18">
        <f>VLOOKUP(D:D,[1]ChartofAccounts!$A:$C,2,0)</f>
        <v>1008</v>
      </c>
      <c r="F3" s="18"/>
      <c r="G3" s="18"/>
      <c r="H3" s="18"/>
    </row>
    <row r="4" spans="1:8" x14ac:dyDescent="0.25">
      <c r="A4" s="20">
        <v>1010</v>
      </c>
      <c r="B4" s="18" t="s">
        <v>230</v>
      </c>
      <c r="C4" s="18" t="s">
        <v>30</v>
      </c>
      <c r="D4" s="18" t="s">
        <v>253</v>
      </c>
      <c r="E4" s="18">
        <f>VLOOKUP(D:D,[1]ChartofAccounts!$A:$C,2,0)</f>
        <v>1005</v>
      </c>
      <c r="F4" s="18"/>
      <c r="G4" s="18"/>
      <c r="H4" s="18"/>
    </row>
    <row r="5" spans="1:8" x14ac:dyDescent="0.25">
      <c r="A5" s="18">
        <v>1100</v>
      </c>
      <c r="B5" s="18" t="s">
        <v>33</v>
      </c>
      <c r="C5" s="18" t="s">
        <v>32</v>
      </c>
      <c r="D5" s="18" t="s">
        <v>384</v>
      </c>
      <c r="E5" s="18">
        <f>VLOOKUP(D:D,[1]ChartofAccounts!$A:$C,2,0)</f>
        <v>1100</v>
      </c>
      <c r="F5" s="18"/>
      <c r="G5" s="18"/>
      <c r="H5" s="18"/>
    </row>
    <row r="6" spans="1:8" x14ac:dyDescent="0.25">
      <c r="A6" s="18">
        <v>1190</v>
      </c>
      <c r="B6" s="18" t="s">
        <v>35</v>
      </c>
      <c r="C6" s="18" t="s">
        <v>34</v>
      </c>
      <c r="D6" s="18" t="s">
        <v>316</v>
      </c>
      <c r="E6" s="18">
        <f>VLOOKUP(D:D,[1]ChartofAccounts!$A:$C,2,0)</f>
        <v>1190</v>
      </c>
      <c r="F6" s="18"/>
      <c r="G6" s="18"/>
      <c r="H6" s="18"/>
    </row>
    <row r="7" spans="1:8" x14ac:dyDescent="0.25">
      <c r="A7" s="18">
        <v>1200</v>
      </c>
      <c r="B7" s="18" t="s">
        <v>36</v>
      </c>
      <c r="C7" s="18" t="s">
        <v>34</v>
      </c>
      <c r="D7" s="18" t="s">
        <v>317</v>
      </c>
      <c r="E7" s="18">
        <f>VLOOKUP(D:D,[1]ChartofAccounts!$A:$C,2,0)</f>
        <v>1200</v>
      </c>
      <c r="F7" s="18"/>
      <c r="G7" s="18"/>
      <c r="H7" s="18"/>
    </row>
    <row r="8" spans="1:8" x14ac:dyDescent="0.25">
      <c r="A8" s="18">
        <v>1210</v>
      </c>
      <c r="B8" s="18" t="s">
        <v>37</v>
      </c>
      <c r="C8" s="18" t="s">
        <v>34</v>
      </c>
      <c r="D8" s="18" t="s">
        <v>318</v>
      </c>
      <c r="E8" s="18">
        <f>VLOOKUP(D:D,[1]ChartofAccounts!$A:$C,2,0)</f>
        <v>1210</v>
      </c>
      <c r="F8" s="18"/>
      <c r="G8" s="18"/>
      <c r="H8" s="18"/>
    </row>
    <row r="9" spans="1:8" x14ac:dyDescent="0.25">
      <c r="A9" s="18">
        <v>1220</v>
      </c>
      <c r="B9" s="18" t="s">
        <v>38</v>
      </c>
      <c r="C9" s="18" t="s">
        <v>34</v>
      </c>
      <c r="D9" s="18" t="s">
        <v>319</v>
      </c>
      <c r="E9" s="18">
        <f>VLOOKUP(D:D,[1]ChartofAccounts!$A:$C,2,0)</f>
        <v>1220</v>
      </c>
      <c r="F9" s="18"/>
      <c r="G9" s="18"/>
      <c r="H9" s="18"/>
    </row>
    <row r="10" spans="1:8" x14ac:dyDescent="0.25">
      <c r="A10" s="18">
        <v>1230</v>
      </c>
      <c r="B10" s="18" t="s">
        <v>39</v>
      </c>
      <c r="C10" s="18" t="s">
        <v>34</v>
      </c>
      <c r="D10" s="18" t="s">
        <v>320</v>
      </c>
      <c r="E10" s="18">
        <f>VLOOKUP(D:D,[1]ChartofAccounts!$A:$C,2,0)</f>
        <v>1230</v>
      </c>
      <c r="F10" s="18"/>
      <c r="G10" s="18"/>
      <c r="H10" s="18"/>
    </row>
    <row r="11" spans="1:8" x14ac:dyDescent="0.25">
      <c r="A11" s="18">
        <v>1240</v>
      </c>
      <c r="B11" s="18" t="s">
        <v>40</v>
      </c>
      <c r="C11" s="18" t="s">
        <v>34</v>
      </c>
      <c r="D11" s="18" t="s">
        <v>321</v>
      </c>
      <c r="E11" s="18">
        <f>VLOOKUP(D:D,[1]ChartofAccounts!$A:$C,2,0)</f>
        <v>1240</v>
      </c>
      <c r="F11" s="18"/>
      <c r="G11" s="18"/>
      <c r="H11" s="18"/>
    </row>
    <row r="12" spans="1:8" x14ac:dyDescent="0.25">
      <c r="A12" s="18">
        <v>1290</v>
      </c>
      <c r="B12" s="18" t="s">
        <v>41</v>
      </c>
      <c r="C12" s="18" t="s">
        <v>34</v>
      </c>
      <c r="D12" s="18" t="s">
        <v>322</v>
      </c>
      <c r="E12" s="18">
        <f>VLOOKUP(D:D,[1]ChartofAccounts!$A:$C,2,0)</f>
        <v>1290</v>
      </c>
      <c r="F12" s="18"/>
      <c r="G12" s="18"/>
      <c r="H12" s="18"/>
    </row>
    <row r="13" spans="1:8" x14ac:dyDescent="0.25">
      <c r="A13" s="18">
        <v>1300</v>
      </c>
      <c r="B13" s="18" t="s">
        <v>42</v>
      </c>
      <c r="C13" s="18" t="s">
        <v>34</v>
      </c>
      <c r="D13" s="18" t="s">
        <v>323</v>
      </c>
      <c r="E13" s="18">
        <f>VLOOKUP(D:D,[1]ChartofAccounts!$A:$C,2,0)</f>
        <v>1300</v>
      </c>
      <c r="F13" s="18"/>
      <c r="G13" s="18"/>
      <c r="H13" s="18"/>
    </row>
    <row r="14" spans="1:8" x14ac:dyDescent="0.25">
      <c r="A14" s="18">
        <v>1310</v>
      </c>
      <c r="B14" s="18" t="s">
        <v>43</v>
      </c>
      <c r="C14" s="18" t="s">
        <v>34</v>
      </c>
      <c r="D14" s="18" t="s">
        <v>324</v>
      </c>
      <c r="E14" s="18">
        <f>VLOOKUP(D:D,[1]ChartofAccounts!$A:$C,2,0)</f>
        <v>1310</v>
      </c>
      <c r="F14" s="18"/>
      <c r="G14" s="18"/>
      <c r="H14" s="18"/>
    </row>
    <row r="15" spans="1:8" x14ac:dyDescent="0.25">
      <c r="A15" s="18">
        <v>1320</v>
      </c>
      <c r="B15" s="18" t="s">
        <v>44</v>
      </c>
      <c r="C15" s="18" t="s">
        <v>34</v>
      </c>
      <c r="D15" s="18" t="s">
        <v>325</v>
      </c>
      <c r="E15" s="18">
        <f>VLOOKUP(D:D,[1]ChartofAccounts!$A:$C,2,0)</f>
        <v>1320</v>
      </c>
      <c r="F15" s="18"/>
      <c r="G15" s="18"/>
      <c r="H15" s="18"/>
    </row>
    <row r="16" spans="1:8" x14ac:dyDescent="0.25">
      <c r="A16" s="18">
        <v>1400</v>
      </c>
      <c r="B16" s="18" t="s">
        <v>45</v>
      </c>
      <c r="C16" s="18" t="s">
        <v>34</v>
      </c>
      <c r="D16" s="18" t="s">
        <v>326</v>
      </c>
      <c r="E16" s="18">
        <f>VLOOKUP(D:D,[1]ChartofAccounts!$A:$C,2,0)</f>
        <v>1400</v>
      </c>
      <c r="F16" s="18"/>
      <c r="G16" s="18"/>
      <c r="H16" s="18"/>
    </row>
    <row r="17" spans="1:8" x14ac:dyDescent="0.25">
      <c r="A17" s="18">
        <v>1410</v>
      </c>
      <c r="B17" s="18" t="s">
        <v>46</v>
      </c>
      <c r="C17" s="18" t="s">
        <v>34</v>
      </c>
      <c r="D17" s="18" t="s">
        <v>327</v>
      </c>
      <c r="E17" s="18">
        <f>VLOOKUP(D:D,[1]ChartofAccounts!$A:$C,2,0)</f>
        <v>1410</v>
      </c>
      <c r="F17" s="18"/>
      <c r="G17" s="18"/>
      <c r="H17" s="18"/>
    </row>
    <row r="18" spans="1:8" x14ac:dyDescent="0.25">
      <c r="A18" s="18">
        <v>1420</v>
      </c>
      <c r="B18" s="18" t="s">
        <v>47</v>
      </c>
      <c r="C18" s="18" t="s">
        <v>34</v>
      </c>
      <c r="D18" s="18" t="s">
        <v>328</v>
      </c>
      <c r="E18" s="18">
        <f>VLOOKUP(D:D,[1]ChartofAccounts!$A:$C,2,0)</f>
        <v>1420</v>
      </c>
      <c r="F18" s="18"/>
      <c r="G18" s="18"/>
      <c r="H18" s="18"/>
    </row>
    <row r="19" spans="1:8" x14ac:dyDescent="0.25">
      <c r="A19" s="18">
        <v>1470</v>
      </c>
      <c r="B19" s="18" t="s">
        <v>34</v>
      </c>
      <c r="C19" s="18" t="s">
        <v>34</v>
      </c>
      <c r="D19" s="18" t="s">
        <v>329</v>
      </c>
      <c r="E19" s="18">
        <f>VLOOKUP(D:D,[1]ChartofAccounts!$A:$C,2,0)</f>
        <v>1470</v>
      </c>
      <c r="F19" s="18"/>
      <c r="G19" s="18"/>
      <c r="H19" s="18"/>
    </row>
    <row r="20" spans="1:8" x14ac:dyDescent="0.25">
      <c r="A20" s="18">
        <v>1500</v>
      </c>
      <c r="B20" s="18" t="s">
        <v>49</v>
      </c>
      <c r="C20" s="18" t="s">
        <v>48</v>
      </c>
      <c r="D20" s="18" t="s">
        <v>330</v>
      </c>
      <c r="E20" s="18">
        <f>VLOOKUP(D:D,[1]ChartofAccounts!$A:$C,2,0)</f>
        <v>1500</v>
      </c>
      <c r="F20" s="18"/>
      <c r="G20" s="18"/>
      <c r="H20" s="18"/>
    </row>
    <row r="21" spans="1:8" x14ac:dyDescent="0.25">
      <c r="A21" s="18">
        <v>1510</v>
      </c>
      <c r="B21" s="18" t="s">
        <v>50</v>
      </c>
      <c r="C21" s="18" t="s">
        <v>48</v>
      </c>
      <c r="D21" s="18" t="s">
        <v>331</v>
      </c>
      <c r="E21" s="18">
        <f>VLOOKUP(D:D,[1]ChartofAccounts!$A:$C,2,0)</f>
        <v>1510</v>
      </c>
      <c r="F21" s="18"/>
      <c r="G21" s="18"/>
      <c r="H21" s="18"/>
    </row>
    <row r="22" spans="1:8" x14ac:dyDescent="0.25">
      <c r="A22" s="18">
        <v>1520</v>
      </c>
      <c r="B22" s="18" t="s">
        <v>51</v>
      </c>
      <c r="C22" s="18" t="s">
        <v>48</v>
      </c>
      <c r="D22" s="18" t="s">
        <v>332</v>
      </c>
      <c r="E22" s="18">
        <f>VLOOKUP(D:D,[1]ChartofAccounts!$A:$C,2,0)</f>
        <v>1520</v>
      </c>
      <c r="F22" s="18"/>
      <c r="G22" s="18"/>
      <c r="H22" s="18"/>
    </row>
    <row r="23" spans="1:8" x14ac:dyDescent="0.25">
      <c r="A23" s="18">
        <v>1530</v>
      </c>
      <c r="B23" s="18" t="s">
        <v>52</v>
      </c>
      <c r="C23" s="18" t="s">
        <v>48</v>
      </c>
      <c r="D23" s="18" t="s">
        <v>333</v>
      </c>
      <c r="E23" s="18">
        <f>VLOOKUP(D:D,[1]ChartofAccounts!$A:$C,2,0)</f>
        <v>1530</v>
      </c>
      <c r="F23" s="18"/>
      <c r="G23" s="18"/>
      <c r="H23" s="18"/>
    </row>
    <row r="24" spans="1:8" x14ac:dyDescent="0.25">
      <c r="A24" s="18">
        <v>1540</v>
      </c>
      <c r="B24" s="18" t="s">
        <v>53</v>
      </c>
      <c r="C24" s="18" t="s">
        <v>48</v>
      </c>
      <c r="D24" s="18" t="s">
        <v>334</v>
      </c>
      <c r="E24" s="18">
        <f>VLOOKUP(D:D,[1]ChartofAccounts!$A:$C,2,0)</f>
        <v>1540</v>
      </c>
      <c r="F24" s="18"/>
      <c r="G24" s="18"/>
      <c r="H24" s="18"/>
    </row>
    <row r="25" spans="1:8" x14ac:dyDescent="0.25">
      <c r="A25" s="18">
        <v>1550</v>
      </c>
      <c r="B25" s="18" t="s">
        <v>54</v>
      </c>
      <c r="C25" s="18" t="s">
        <v>48</v>
      </c>
      <c r="D25" s="18" t="s">
        <v>335</v>
      </c>
      <c r="E25" s="18">
        <f>VLOOKUP(D:D,[1]ChartofAccounts!$A:$C,2,0)</f>
        <v>1550</v>
      </c>
      <c r="F25" s="18"/>
      <c r="G25" s="18"/>
      <c r="H25" s="18"/>
    </row>
    <row r="26" spans="1:8" x14ac:dyDescent="0.25">
      <c r="A26" s="18">
        <v>1560</v>
      </c>
      <c r="B26" s="18" t="s">
        <v>55</v>
      </c>
      <c r="C26" s="18" t="s">
        <v>48</v>
      </c>
      <c r="D26" s="18" t="s">
        <v>336</v>
      </c>
      <c r="E26" s="18">
        <f>VLOOKUP(D:D,[1]ChartofAccounts!$A:$C,2,0)</f>
        <v>1560</v>
      </c>
      <c r="F26" s="18"/>
      <c r="G26" s="18"/>
      <c r="H26" s="18"/>
    </row>
    <row r="27" spans="1:8" x14ac:dyDescent="0.25">
      <c r="A27" s="18">
        <v>1590</v>
      </c>
      <c r="B27" s="18" t="s">
        <v>56</v>
      </c>
      <c r="C27" s="18" t="s">
        <v>48</v>
      </c>
      <c r="D27" s="18" t="s">
        <v>337</v>
      </c>
      <c r="E27" s="18">
        <f>VLOOKUP(D:D,[1]ChartofAccounts!$A:$C,2,0)</f>
        <v>1590</v>
      </c>
      <c r="F27" s="18"/>
      <c r="G27" s="18"/>
      <c r="H27" s="18"/>
    </row>
    <row r="28" spans="1:8" x14ac:dyDescent="0.25">
      <c r="A28" s="18">
        <v>1600</v>
      </c>
      <c r="B28" s="18" t="s">
        <v>57</v>
      </c>
      <c r="C28" s="18" t="s">
        <v>48</v>
      </c>
      <c r="D28" s="18" t="s">
        <v>338</v>
      </c>
      <c r="E28" s="18">
        <f>VLOOKUP(D:D,[1]ChartofAccounts!$A:$C,2,0)</f>
        <v>1600</v>
      </c>
      <c r="F28" s="18"/>
      <c r="G28" s="18"/>
      <c r="H28" s="18"/>
    </row>
    <row r="29" spans="1:8" x14ac:dyDescent="0.25">
      <c r="A29" s="18">
        <v>1610</v>
      </c>
      <c r="B29" s="18" t="s">
        <v>58</v>
      </c>
      <c r="C29" s="18" t="s">
        <v>48</v>
      </c>
      <c r="D29" s="18" t="s">
        <v>339</v>
      </c>
      <c r="E29" s="18">
        <f>VLOOKUP(D:D,[1]ChartofAccounts!$A:$C,2,0)</f>
        <v>1610</v>
      </c>
      <c r="F29" s="18"/>
      <c r="G29" s="18"/>
      <c r="H29" s="18"/>
    </row>
    <row r="30" spans="1:8" x14ac:dyDescent="0.25">
      <c r="A30" s="18">
        <v>1620</v>
      </c>
      <c r="B30" s="18" t="s">
        <v>59</v>
      </c>
      <c r="C30" s="18" t="s">
        <v>48</v>
      </c>
      <c r="D30" s="18" t="s">
        <v>340</v>
      </c>
      <c r="E30" s="18">
        <f>VLOOKUP(D:D,[1]ChartofAccounts!$A:$C,2,0)</f>
        <v>1620</v>
      </c>
      <c r="F30" s="18"/>
      <c r="G30" s="18"/>
      <c r="H30" s="18"/>
    </row>
    <row r="31" spans="1:8" x14ac:dyDescent="0.25">
      <c r="A31" s="18">
        <v>1630</v>
      </c>
      <c r="B31" s="18" t="s">
        <v>60</v>
      </c>
      <c r="C31" s="18" t="s">
        <v>48</v>
      </c>
      <c r="D31" s="18" t="s">
        <v>341</v>
      </c>
      <c r="E31" s="18">
        <f>VLOOKUP(D:D,[1]ChartofAccounts!$A:$C,2,0)</f>
        <v>1630</v>
      </c>
      <c r="F31" s="18"/>
      <c r="G31" s="18"/>
      <c r="H31" s="18"/>
    </row>
    <row r="32" spans="1:8" x14ac:dyDescent="0.25">
      <c r="A32" s="18">
        <v>1640</v>
      </c>
      <c r="B32" s="18" t="s">
        <v>61</v>
      </c>
      <c r="C32" s="18" t="s">
        <v>48</v>
      </c>
      <c r="D32" s="18" t="s">
        <v>342</v>
      </c>
      <c r="E32" s="18">
        <f>VLOOKUP(D:D,[1]ChartofAccounts!$A:$C,2,0)</f>
        <v>1640</v>
      </c>
      <c r="F32" s="18"/>
      <c r="G32" s="18"/>
      <c r="H32" s="18"/>
    </row>
    <row r="33" spans="1:8" x14ac:dyDescent="0.25">
      <c r="A33" s="18">
        <v>1650</v>
      </c>
      <c r="B33" s="18" t="s">
        <v>62</v>
      </c>
      <c r="C33" s="18" t="s">
        <v>48</v>
      </c>
      <c r="D33" s="18" t="s">
        <v>343</v>
      </c>
      <c r="E33" s="18">
        <f>VLOOKUP(D:D,[1]ChartofAccounts!$A:$C,2,0)</f>
        <v>1650</v>
      </c>
      <c r="F33" s="18"/>
      <c r="G33" s="18"/>
      <c r="H33" s="18"/>
    </row>
    <row r="34" spans="1:8" x14ac:dyDescent="0.25">
      <c r="A34" s="18">
        <v>1660</v>
      </c>
      <c r="B34" s="18" t="s">
        <v>63</v>
      </c>
      <c r="C34" s="18" t="s">
        <v>48</v>
      </c>
      <c r="D34" s="18" t="s">
        <v>344</v>
      </c>
      <c r="E34" s="18">
        <f>VLOOKUP(D:D,[1]ChartofAccounts!$A:$C,2,0)</f>
        <v>1660</v>
      </c>
      <c r="F34" s="18"/>
      <c r="G34" s="18"/>
      <c r="H34" s="18"/>
    </row>
    <row r="35" spans="1:8" x14ac:dyDescent="0.25">
      <c r="A35" s="18">
        <v>1800</v>
      </c>
      <c r="B35" s="18" t="s">
        <v>65</v>
      </c>
      <c r="C35" s="18" t="s">
        <v>64</v>
      </c>
      <c r="D35" s="18" t="s">
        <v>345</v>
      </c>
      <c r="E35" s="18">
        <f>VLOOKUP(D:D,[1]ChartofAccounts!$A:$C,2,0)</f>
        <v>1800</v>
      </c>
      <c r="F35" s="18"/>
      <c r="G35" s="18"/>
      <c r="H35" s="18"/>
    </row>
    <row r="36" spans="1:8" x14ac:dyDescent="0.25">
      <c r="A36" s="18">
        <v>1810</v>
      </c>
      <c r="B36" s="18" t="s">
        <v>66</v>
      </c>
      <c r="C36" s="18" t="s">
        <v>64</v>
      </c>
      <c r="D36" s="18" t="s">
        <v>346</v>
      </c>
      <c r="E36" s="18">
        <f>VLOOKUP(D:D,[1]ChartofAccounts!$A:$C,2,0)</f>
        <v>1810</v>
      </c>
      <c r="F36" s="18"/>
      <c r="G36" s="18"/>
      <c r="H36" s="18"/>
    </row>
    <row r="37" spans="1:8" x14ac:dyDescent="0.25">
      <c r="A37" s="18">
        <v>1890</v>
      </c>
      <c r="B37" s="18" t="s">
        <v>67</v>
      </c>
      <c r="C37" s="18" t="s">
        <v>64</v>
      </c>
      <c r="D37" s="18" t="s">
        <v>382</v>
      </c>
      <c r="E37" s="18">
        <f>VLOOKUP(D:D,[1]ChartofAccounts!$A:$C,2,0)</f>
        <v>1890</v>
      </c>
      <c r="F37" s="18"/>
      <c r="G37" s="18"/>
      <c r="H37" s="18"/>
    </row>
    <row r="38" spans="1:8" x14ac:dyDescent="0.25">
      <c r="A38" s="18">
        <v>1900</v>
      </c>
      <c r="B38" s="18" t="s">
        <v>68</v>
      </c>
      <c r="C38" s="18" t="s">
        <v>64</v>
      </c>
      <c r="D38" s="18" t="s">
        <v>347</v>
      </c>
      <c r="E38" s="18">
        <f>VLOOKUP(D:D,[1]ChartofAccounts!$A:$C,2,0)</f>
        <v>1900</v>
      </c>
      <c r="F38" s="18"/>
      <c r="G38" s="18"/>
      <c r="H38" s="18"/>
    </row>
    <row r="39" spans="1:8" x14ac:dyDescent="0.25">
      <c r="A39" s="18">
        <v>2000</v>
      </c>
      <c r="B39" s="18" t="s">
        <v>70</v>
      </c>
      <c r="C39" s="18" t="s">
        <v>69</v>
      </c>
      <c r="D39" s="18" t="s">
        <v>383</v>
      </c>
      <c r="E39" s="18">
        <f>VLOOKUP(D:D,[1]ChartofAccounts!$A:$C,2,0)</f>
        <v>2000</v>
      </c>
      <c r="F39" s="18"/>
      <c r="G39" s="18"/>
      <c r="H39" s="18"/>
    </row>
    <row r="40" spans="1:8" x14ac:dyDescent="0.25">
      <c r="A40" s="18">
        <v>2005</v>
      </c>
      <c r="B40" s="18" t="s">
        <v>72</v>
      </c>
      <c r="C40" s="18" t="s">
        <v>71</v>
      </c>
      <c r="D40" s="18" t="s">
        <v>348</v>
      </c>
      <c r="E40" s="18">
        <f>VLOOKUP(D:D,[1]ChartofAccounts!$A:$C,2,0)</f>
        <v>2005</v>
      </c>
      <c r="F40" s="18"/>
      <c r="G40" s="18"/>
      <c r="H40" s="18"/>
    </row>
    <row r="41" spans="1:8" x14ac:dyDescent="0.25">
      <c r="A41" s="18">
        <v>2012</v>
      </c>
      <c r="B41" s="18" t="s">
        <v>73</v>
      </c>
      <c r="C41" s="18" t="s">
        <v>71</v>
      </c>
      <c r="D41" s="18" t="s">
        <v>349</v>
      </c>
      <c r="E41" s="18">
        <f>VLOOKUP(D:D,[1]ChartofAccounts!$A:$C,2,0)</f>
        <v>2012</v>
      </c>
      <c r="F41" s="18"/>
      <c r="G41" s="18"/>
      <c r="H41" s="18"/>
    </row>
    <row r="42" spans="1:8" x14ac:dyDescent="0.25">
      <c r="A42" s="18">
        <v>2013</v>
      </c>
      <c r="B42" s="18" t="s">
        <v>74</v>
      </c>
      <c r="C42" s="18" t="s">
        <v>71</v>
      </c>
      <c r="D42" s="18" t="s">
        <v>350</v>
      </c>
      <c r="E42" s="18">
        <f>VLOOKUP(D:D,[1]ChartofAccounts!$A:$C,2,0)</f>
        <v>2013</v>
      </c>
      <c r="F42" s="18"/>
      <c r="G42" s="18"/>
      <c r="H42" s="18"/>
    </row>
    <row r="43" spans="1:8" x14ac:dyDescent="0.25">
      <c r="A43" s="18">
        <v>2014</v>
      </c>
      <c r="B43" s="18" t="s">
        <v>75</v>
      </c>
      <c r="C43" s="18" t="s">
        <v>71</v>
      </c>
      <c r="D43" s="18" t="s">
        <v>351</v>
      </c>
      <c r="E43" s="18">
        <f>VLOOKUP(D:D,[1]ChartofAccounts!$A:$C,2,0)</f>
        <v>2014</v>
      </c>
      <c r="F43" s="18"/>
      <c r="G43" s="18"/>
      <c r="H43" s="18"/>
    </row>
    <row r="44" spans="1:8" x14ac:dyDescent="0.25">
      <c r="A44" s="18">
        <v>2015</v>
      </c>
      <c r="B44" s="18" t="s">
        <v>76</v>
      </c>
      <c r="C44" s="18" t="s">
        <v>71</v>
      </c>
      <c r="D44" s="18" t="s">
        <v>352</v>
      </c>
      <c r="E44" s="18">
        <f>VLOOKUP(D:D,[1]ChartofAccounts!$A:$C,2,0)</f>
        <v>2015</v>
      </c>
      <c r="F44" s="18"/>
      <c r="G44" s="18"/>
      <c r="H44" s="18"/>
    </row>
    <row r="45" spans="1:8" x14ac:dyDescent="0.25">
      <c r="A45" s="18">
        <v>2016</v>
      </c>
      <c r="B45" s="18" t="s">
        <v>77</v>
      </c>
      <c r="C45" s="18" t="s">
        <v>71</v>
      </c>
      <c r="D45" s="18" t="s">
        <v>353</v>
      </c>
      <c r="E45" s="18">
        <f>VLOOKUP(D:D,[1]ChartofAccounts!$A:$C,2,0)</f>
        <v>2016</v>
      </c>
      <c r="F45" s="18"/>
      <c r="G45" s="18"/>
      <c r="H45" s="18"/>
    </row>
    <row r="46" spans="1:8" x14ac:dyDescent="0.25">
      <c r="A46" s="18">
        <v>2017</v>
      </c>
      <c r="B46" s="18" t="s">
        <v>78</v>
      </c>
      <c r="C46" s="18" t="s">
        <v>71</v>
      </c>
      <c r="D46" s="18" t="s">
        <v>354</v>
      </c>
      <c r="E46" s="18">
        <f>VLOOKUP(D:D,[1]ChartofAccounts!$A:$C,2,0)</f>
        <v>2017</v>
      </c>
      <c r="F46" s="18"/>
      <c r="G46" s="18"/>
      <c r="H46" s="18"/>
    </row>
    <row r="47" spans="1:8" x14ac:dyDescent="0.25">
      <c r="A47" s="18">
        <v>2018</v>
      </c>
      <c r="B47" s="18" t="s">
        <v>79</v>
      </c>
      <c r="C47" s="18" t="s">
        <v>71</v>
      </c>
      <c r="D47" s="18" t="s">
        <v>355</v>
      </c>
      <c r="E47" s="18">
        <f>VLOOKUP(D:D,[1]ChartofAccounts!$A:$C,2,0)</f>
        <v>2018</v>
      </c>
      <c r="F47" s="18"/>
      <c r="G47" s="18"/>
      <c r="H47" s="18"/>
    </row>
    <row r="48" spans="1:8" x14ac:dyDescent="0.25">
      <c r="A48" s="18">
        <v>2019</v>
      </c>
      <c r="B48" s="18" t="s">
        <v>80</v>
      </c>
      <c r="C48" s="18" t="s">
        <v>71</v>
      </c>
      <c r="D48" s="18" t="s">
        <v>356</v>
      </c>
      <c r="E48" s="18">
        <f>VLOOKUP(D:D,[1]ChartofAccounts!$A:$C,2,0)</f>
        <v>2019</v>
      </c>
      <c r="F48" s="18"/>
      <c r="G48" s="18"/>
      <c r="H48" s="18"/>
    </row>
    <row r="49" spans="1:8" x14ac:dyDescent="0.25">
      <c r="A49" s="18">
        <v>2020</v>
      </c>
      <c r="B49" s="18" t="s">
        <v>81</v>
      </c>
      <c r="C49" s="18" t="s">
        <v>71</v>
      </c>
      <c r="D49" s="18" t="s">
        <v>357</v>
      </c>
      <c r="E49" s="18">
        <f>VLOOKUP(D:D,[1]ChartofAccounts!$A:$C,2,0)</f>
        <v>2020</v>
      </c>
      <c r="F49" s="18"/>
      <c r="G49" s="18"/>
      <c r="H49" s="18"/>
    </row>
    <row r="50" spans="1:8" x14ac:dyDescent="0.25">
      <c r="A50" s="18">
        <v>2021</v>
      </c>
      <c r="B50" s="18" t="s">
        <v>82</v>
      </c>
      <c r="C50" s="18" t="s">
        <v>71</v>
      </c>
      <c r="D50" s="18" t="s">
        <v>358</v>
      </c>
      <c r="E50" s="18">
        <f>VLOOKUP(D:D,[1]ChartofAccounts!$A:$C,2,0)</f>
        <v>2021</v>
      </c>
      <c r="F50" s="18"/>
      <c r="G50" s="18"/>
      <c r="H50" s="18"/>
    </row>
    <row r="51" spans="1:8" ht="14.4" x14ac:dyDescent="0.3">
      <c r="A51" s="18">
        <v>2025</v>
      </c>
      <c r="B51" s="22" t="s">
        <v>83</v>
      </c>
      <c r="C51" s="18" t="s">
        <v>71</v>
      </c>
      <c r="D51" s="21" t="s">
        <v>449</v>
      </c>
      <c r="E51" s="18">
        <f>VLOOKUP(D:D,[1]ChartofAccounts!$A:$C,2,0)</f>
        <v>2025</v>
      </c>
      <c r="F51" t="s">
        <v>449</v>
      </c>
      <c r="G51" s="18"/>
      <c r="H51" s="18"/>
    </row>
    <row r="52" spans="1:8" x14ac:dyDescent="0.25">
      <c r="A52" s="18">
        <v>2058</v>
      </c>
      <c r="B52" s="18" t="s">
        <v>84</v>
      </c>
      <c r="C52" s="18" t="s">
        <v>71</v>
      </c>
      <c r="D52" s="18" t="s">
        <v>359</v>
      </c>
      <c r="E52" s="18">
        <f>VLOOKUP(D:D,[1]ChartofAccounts!$A:$C,2,0)</f>
        <v>2058</v>
      </c>
      <c r="F52" s="18"/>
      <c r="G52" s="18"/>
      <c r="H52" s="18"/>
    </row>
    <row r="53" spans="1:8" x14ac:dyDescent="0.25">
      <c r="A53" s="18">
        <v>2064</v>
      </c>
      <c r="B53" s="18" t="s">
        <v>85</v>
      </c>
      <c r="C53" s="18" t="s">
        <v>71</v>
      </c>
      <c r="D53" s="18" t="s">
        <v>360</v>
      </c>
      <c r="E53" s="18">
        <f>VLOOKUP(D:D,[1]ChartofAccounts!$A:$C,2,0)</f>
        <v>2064</v>
      </c>
      <c r="F53" s="18"/>
      <c r="G53" s="18"/>
      <c r="H53" s="18"/>
    </row>
    <row r="54" spans="1:8" x14ac:dyDescent="0.25">
      <c r="A54" s="18">
        <v>2100</v>
      </c>
      <c r="B54" s="18" t="s">
        <v>86</v>
      </c>
      <c r="C54" s="18" t="s">
        <v>71</v>
      </c>
      <c r="D54" s="18" t="s">
        <v>361</v>
      </c>
      <c r="E54" s="18">
        <f>VLOOKUP(D:D,[1]ChartofAccounts!$A:$C,2,0)</f>
        <v>2100</v>
      </c>
      <c r="F54" s="18"/>
      <c r="G54" s="18"/>
      <c r="H54" s="18"/>
    </row>
    <row r="55" spans="1:8" x14ac:dyDescent="0.25">
      <c r="A55" s="18">
        <v>2102</v>
      </c>
      <c r="B55" s="18" t="s">
        <v>87</v>
      </c>
      <c r="C55" s="18" t="s">
        <v>71</v>
      </c>
      <c r="D55" s="18" t="s">
        <v>362</v>
      </c>
      <c r="E55" s="18">
        <f>VLOOKUP(D:D,[1]ChartofAccounts!$A:$C,2,0)</f>
        <v>2102</v>
      </c>
      <c r="F55" s="18"/>
      <c r="G55" s="18"/>
      <c r="H55" s="18"/>
    </row>
    <row r="56" spans="1:8" x14ac:dyDescent="0.25">
      <c r="A56" s="18">
        <v>2105</v>
      </c>
      <c r="B56" s="18" t="s">
        <v>88</v>
      </c>
      <c r="C56" s="18" t="s">
        <v>71</v>
      </c>
      <c r="D56" s="18" t="s">
        <v>363</v>
      </c>
      <c r="E56" s="18">
        <f>VLOOKUP(D:D,[1]ChartofAccounts!$A:$C,2,0)</f>
        <v>2105</v>
      </c>
      <c r="F56" s="18"/>
      <c r="G56" s="18"/>
      <c r="H56" s="18"/>
    </row>
    <row r="57" spans="1:8" x14ac:dyDescent="0.25">
      <c r="A57" s="18">
        <v>2110</v>
      </c>
      <c r="B57" s="18" t="s">
        <v>89</v>
      </c>
      <c r="C57" s="18" t="s">
        <v>71</v>
      </c>
      <c r="D57" s="18" t="s">
        <v>364</v>
      </c>
      <c r="E57" s="18">
        <f>VLOOKUP(D:D,[1]ChartofAccounts!$A:$C,2,0)</f>
        <v>2110</v>
      </c>
      <c r="F57" s="18"/>
      <c r="G57" s="18"/>
      <c r="H57" s="18"/>
    </row>
    <row r="58" spans="1:8" x14ac:dyDescent="0.25">
      <c r="A58" s="18">
        <v>2120</v>
      </c>
      <c r="B58" s="18" t="s">
        <v>90</v>
      </c>
      <c r="C58" s="18" t="s">
        <v>71</v>
      </c>
      <c r="D58" s="18" t="s">
        <v>365</v>
      </c>
      <c r="E58" s="18">
        <f>VLOOKUP(D:D,[1]ChartofAccounts!$A:$C,2,0)</f>
        <v>2120</v>
      </c>
      <c r="F58" s="18"/>
      <c r="G58" s="18"/>
      <c r="H58" s="18"/>
    </row>
    <row r="59" spans="1:8" x14ac:dyDescent="0.25">
      <c r="A59" s="18">
        <v>2130</v>
      </c>
      <c r="B59" s="18" t="s">
        <v>91</v>
      </c>
      <c r="C59" s="18" t="s">
        <v>71</v>
      </c>
      <c r="D59" s="18" t="s">
        <v>366</v>
      </c>
      <c r="E59" s="18">
        <f>VLOOKUP(D:D,[1]ChartofAccounts!$A:$C,2,0)</f>
        <v>2130</v>
      </c>
      <c r="F59" s="18"/>
      <c r="G59" s="18"/>
      <c r="H59" s="18"/>
    </row>
    <row r="60" spans="1:8" x14ac:dyDescent="0.25">
      <c r="A60" s="18">
        <v>2135</v>
      </c>
      <c r="B60" s="18" t="s">
        <v>92</v>
      </c>
      <c r="C60" s="18" t="s">
        <v>71</v>
      </c>
      <c r="D60" s="18" t="s">
        <v>367</v>
      </c>
      <c r="E60" s="18">
        <f>VLOOKUP(D:D,[1]ChartofAccounts!$A:$C,2,0)</f>
        <v>2135</v>
      </c>
      <c r="F60" s="18"/>
      <c r="G60" s="18"/>
      <c r="H60" s="18"/>
    </row>
    <row r="61" spans="1:8" x14ac:dyDescent="0.25">
      <c r="A61" s="18">
        <v>2140</v>
      </c>
      <c r="B61" s="18" t="s">
        <v>93</v>
      </c>
      <c r="C61" s="18" t="s">
        <v>71</v>
      </c>
      <c r="D61" s="18" t="s">
        <v>368</v>
      </c>
      <c r="E61" s="18">
        <f>VLOOKUP(D:D,[1]ChartofAccounts!$A:$C,2,0)</f>
        <v>2140</v>
      </c>
      <c r="F61" s="18"/>
      <c r="G61" s="18"/>
      <c r="H61" s="18"/>
    </row>
    <row r="62" spans="1:8" x14ac:dyDescent="0.25">
      <c r="A62" s="18">
        <v>2145</v>
      </c>
      <c r="B62" s="18" t="s">
        <v>94</v>
      </c>
      <c r="C62" s="18" t="s">
        <v>71</v>
      </c>
      <c r="D62" s="18" t="s">
        <v>369</v>
      </c>
      <c r="E62" s="18">
        <f>VLOOKUP(D:D,[1]ChartofAccounts!$A:$C,2,0)</f>
        <v>2145</v>
      </c>
      <c r="F62" s="18"/>
      <c r="G62" s="18"/>
      <c r="H62" s="18"/>
    </row>
    <row r="63" spans="1:8" x14ac:dyDescent="0.25">
      <c r="A63" s="18">
        <v>2150</v>
      </c>
      <c r="B63" s="18" t="s">
        <v>95</v>
      </c>
      <c r="C63" s="18" t="s">
        <v>71</v>
      </c>
      <c r="D63" s="18" t="s">
        <v>370</v>
      </c>
      <c r="E63" s="18">
        <f>VLOOKUP(D:D,[1]ChartofAccounts!$A:$C,2,0)</f>
        <v>2150</v>
      </c>
      <c r="F63" s="18"/>
      <c r="G63" s="18"/>
      <c r="H63" s="18"/>
    </row>
    <row r="64" spans="1:8" x14ac:dyDescent="0.25">
      <c r="A64" s="18">
        <v>2155</v>
      </c>
      <c r="B64" s="18" t="s">
        <v>96</v>
      </c>
      <c r="C64" s="18" t="s">
        <v>71</v>
      </c>
      <c r="D64" s="18" t="s">
        <v>371</v>
      </c>
      <c r="E64" s="18">
        <f>VLOOKUP(D:D,[1]ChartofAccounts!$A:$C,2,0)</f>
        <v>2155</v>
      </c>
      <c r="F64" s="18"/>
      <c r="G64" s="18"/>
      <c r="H64" s="18"/>
    </row>
    <row r="65" spans="1:8" x14ac:dyDescent="0.25">
      <c r="A65" s="18">
        <v>2190</v>
      </c>
      <c r="B65" s="18" t="s">
        <v>97</v>
      </c>
      <c r="C65" s="18" t="s">
        <v>71</v>
      </c>
      <c r="D65" s="18" t="s">
        <v>372</v>
      </c>
      <c r="E65" s="18">
        <f>VLOOKUP(D:D,[1]ChartofAccounts!$A:$C,2,0)</f>
        <v>2190</v>
      </c>
      <c r="F65" s="18"/>
      <c r="G65" s="18"/>
      <c r="H65" s="18"/>
    </row>
    <row r="66" spans="1:8" x14ac:dyDescent="0.25">
      <c r="A66" s="18">
        <v>2195</v>
      </c>
      <c r="B66" s="18" t="s">
        <v>98</v>
      </c>
      <c r="C66" s="18" t="s">
        <v>71</v>
      </c>
      <c r="D66" s="18" t="s">
        <v>373</v>
      </c>
      <c r="E66" s="18">
        <f>VLOOKUP(D:D,[1]ChartofAccounts!$A:$C,2,0)</f>
        <v>2195</v>
      </c>
      <c r="F66" s="18"/>
      <c r="G66" s="18"/>
      <c r="H66" s="18"/>
    </row>
    <row r="67" spans="1:8" x14ac:dyDescent="0.25">
      <c r="A67" s="18">
        <v>2200</v>
      </c>
      <c r="B67" s="18" t="s">
        <v>99</v>
      </c>
      <c r="C67" s="18" t="s">
        <v>71</v>
      </c>
      <c r="D67" s="18" t="s">
        <v>374</v>
      </c>
      <c r="E67" s="18">
        <f>VLOOKUP(D:D,[1]ChartofAccounts!$A:$C,2,0)</f>
        <v>2200</v>
      </c>
      <c r="F67" s="18"/>
      <c r="G67" s="18"/>
      <c r="H67" s="18"/>
    </row>
    <row r="68" spans="1:8" x14ac:dyDescent="0.25">
      <c r="A68" s="18">
        <v>2210</v>
      </c>
      <c r="B68" s="18" t="s">
        <v>100</v>
      </c>
      <c r="C68" s="18" t="s">
        <v>71</v>
      </c>
      <c r="D68" s="18" t="s">
        <v>375</v>
      </c>
      <c r="E68" s="18">
        <f>VLOOKUP(D:D,[1]ChartofAccounts!$A:$C,2,0)</f>
        <v>2210</v>
      </c>
      <c r="F68" s="18"/>
      <c r="G68" s="18"/>
      <c r="H68" s="18"/>
    </row>
    <row r="69" spans="1:8" x14ac:dyDescent="0.25">
      <c r="A69" s="18">
        <v>2215</v>
      </c>
      <c r="B69" s="18" t="s">
        <v>101</v>
      </c>
      <c r="C69" s="18" t="s">
        <v>71</v>
      </c>
      <c r="D69" s="18" t="s">
        <v>376</v>
      </c>
      <c r="E69" s="18">
        <f>VLOOKUP(D:D,[1]ChartofAccounts!$A:$C,2,0)</f>
        <v>2215</v>
      </c>
      <c r="F69" s="18"/>
      <c r="G69" s="18"/>
      <c r="H69" s="18"/>
    </row>
    <row r="70" spans="1:8" x14ac:dyDescent="0.25">
      <c r="A70" s="18">
        <v>2220</v>
      </c>
      <c r="B70" s="18" t="s">
        <v>102</v>
      </c>
      <c r="C70" s="18" t="s">
        <v>71</v>
      </c>
      <c r="D70" s="18" t="s">
        <v>377</v>
      </c>
      <c r="E70" s="18">
        <f>VLOOKUP(D:D,[1]ChartofAccounts!$A:$C,2,0)</f>
        <v>2220</v>
      </c>
      <c r="F70" s="18"/>
      <c r="G70" s="18"/>
      <c r="H70" s="18"/>
    </row>
    <row r="71" spans="1:8" x14ac:dyDescent="0.25">
      <c r="A71" s="18">
        <v>2290</v>
      </c>
      <c r="B71" s="18" t="s">
        <v>104</v>
      </c>
      <c r="C71" s="18" t="s">
        <v>103</v>
      </c>
      <c r="D71" s="21" t="s">
        <v>448</v>
      </c>
      <c r="E71" s="18">
        <f>VLOOKUP(D:D,[1]ChartofAccounts!$A:$C,2,0)</f>
        <v>2290</v>
      </c>
      <c r="F71" s="18"/>
      <c r="G71" s="18"/>
      <c r="H71" s="18"/>
    </row>
    <row r="72" spans="1:8" x14ac:dyDescent="0.25">
      <c r="A72" s="18">
        <v>2300</v>
      </c>
      <c r="B72" s="18" t="s">
        <v>105</v>
      </c>
      <c r="C72" s="18" t="s">
        <v>103</v>
      </c>
      <c r="D72" s="18" t="s">
        <v>378</v>
      </c>
      <c r="E72" s="18">
        <f>VLOOKUP(D:D,[1]ChartofAccounts!$A:$C,2,0)</f>
        <v>2300</v>
      </c>
      <c r="F72" s="18"/>
      <c r="G72" s="18"/>
      <c r="H72" s="18"/>
    </row>
    <row r="73" spans="1:8" x14ac:dyDescent="0.25">
      <c r="A73" s="18">
        <v>2310</v>
      </c>
      <c r="B73" s="18" t="s">
        <v>106</v>
      </c>
      <c r="C73" s="18" t="s">
        <v>103</v>
      </c>
      <c r="D73" s="18" t="s">
        <v>379</v>
      </c>
      <c r="E73" s="18">
        <f>VLOOKUP(D:D,[1]ChartofAccounts!$A:$C,2,0)</f>
        <v>2310</v>
      </c>
      <c r="F73" s="18"/>
      <c r="G73" s="18"/>
      <c r="H73" s="18"/>
    </row>
    <row r="74" spans="1:8" x14ac:dyDescent="0.25">
      <c r="A74" s="18">
        <v>2315</v>
      </c>
      <c r="B74" s="18" t="s">
        <v>107</v>
      </c>
      <c r="C74" s="18" t="s">
        <v>103</v>
      </c>
      <c r="D74" s="18" t="s">
        <v>380</v>
      </c>
      <c r="E74" s="18">
        <f>VLOOKUP(D:D,[1]ChartofAccounts!$A:$C,2,0)</f>
        <v>2315</v>
      </c>
      <c r="F74" s="18"/>
      <c r="G74" s="18"/>
      <c r="H74" s="18"/>
    </row>
    <row r="75" spans="1:8" x14ac:dyDescent="0.25">
      <c r="A75" s="18">
        <v>2320</v>
      </c>
      <c r="B75" s="18" t="s">
        <v>108</v>
      </c>
      <c r="C75" s="18" t="s">
        <v>103</v>
      </c>
      <c r="D75" s="18" t="s">
        <v>381</v>
      </c>
      <c r="E75" s="18">
        <f>VLOOKUP(D:D,[1]ChartofAccounts!$A:$C,2,0)</f>
        <v>2320</v>
      </c>
      <c r="F75" s="18"/>
      <c r="G75" s="18"/>
      <c r="H75" s="18"/>
    </row>
    <row r="76" spans="1:8" x14ac:dyDescent="0.25">
      <c r="A76" s="18">
        <v>3000</v>
      </c>
      <c r="B76" s="18" t="s">
        <v>110</v>
      </c>
      <c r="C76" s="18" t="s">
        <v>109</v>
      </c>
      <c r="D76" s="18" t="s">
        <v>254</v>
      </c>
      <c r="E76" s="18">
        <f>VLOOKUP(D:D,[1]ChartofAccounts!$A:$C,2,0)</f>
        <v>3000</v>
      </c>
      <c r="F76" s="18"/>
      <c r="G76" s="18"/>
      <c r="H76" s="18"/>
    </row>
    <row r="77" spans="1:8" x14ac:dyDescent="0.25">
      <c r="A77" s="18">
        <v>3010</v>
      </c>
      <c r="B77" s="18" t="s">
        <v>111</v>
      </c>
      <c r="C77" s="18" t="s">
        <v>109</v>
      </c>
      <c r="D77" s="18" t="s">
        <v>255</v>
      </c>
      <c r="E77" s="18">
        <f>VLOOKUP(D:D,[1]ChartofAccounts!$A:$C,2,0)</f>
        <v>3010</v>
      </c>
      <c r="F77" s="18"/>
      <c r="G77" s="18"/>
      <c r="H77" s="18"/>
    </row>
    <row r="78" spans="1:8" x14ac:dyDescent="0.25">
      <c r="A78" s="18">
        <v>3030</v>
      </c>
      <c r="B78" s="18" t="s">
        <v>112</v>
      </c>
      <c r="C78" s="18" t="s">
        <v>109</v>
      </c>
      <c r="D78" s="18" t="s">
        <v>256</v>
      </c>
      <c r="E78" s="18">
        <f>VLOOKUP(D:D,[1]ChartofAccounts!$A:$C,2,0)</f>
        <v>3030</v>
      </c>
      <c r="F78" s="18"/>
      <c r="G78" s="18"/>
      <c r="H78" s="18"/>
    </row>
    <row r="79" spans="1:8" x14ac:dyDescent="0.25">
      <c r="A79" s="18">
        <v>4000</v>
      </c>
      <c r="B79" s="18" t="s">
        <v>114</v>
      </c>
      <c r="C79" s="18" t="s">
        <v>113</v>
      </c>
      <c r="D79" s="18" t="s">
        <v>257</v>
      </c>
      <c r="E79" s="18">
        <f>VLOOKUP(D:D,[1]ChartofAccounts!$A:$C,2,0)</f>
        <v>4000</v>
      </c>
      <c r="F79" s="18"/>
      <c r="G79" s="18"/>
      <c r="H79" s="18"/>
    </row>
    <row r="80" spans="1:8" x14ac:dyDescent="0.25">
      <c r="A80" s="18">
        <v>4010</v>
      </c>
      <c r="B80" s="18" t="s">
        <v>115</v>
      </c>
      <c r="C80" s="18" t="s">
        <v>113</v>
      </c>
      <c r="D80" s="18" t="s">
        <v>258</v>
      </c>
      <c r="E80" s="18">
        <f>VLOOKUP(D:D,[1]ChartofAccounts!$A:$C,2,0)</f>
        <v>4010</v>
      </c>
      <c r="F80" s="18"/>
      <c r="G80" s="18"/>
      <c r="H80" s="18"/>
    </row>
    <row r="81" spans="1:8" x14ac:dyDescent="0.25">
      <c r="A81" s="18">
        <v>4020</v>
      </c>
      <c r="B81" s="18" t="s">
        <v>116</v>
      </c>
      <c r="C81" s="18" t="s">
        <v>113</v>
      </c>
      <c r="D81" s="18" t="s">
        <v>259</v>
      </c>
      <c r="E81" s="18">
        <f>VLOOKUP(D:D,[1]ChartofAccounts!$A:$C,2,0)</f>
        <v>4020</v>
      </c>
      <c r="F81" s="18"/>
      <c r="G81" s="18"/>
      <c r="H81" s="18"/>
    </row>
    <row r="82" spans="1:8" x14ac:dyDescent="0.25">
      <c r="A82" s="18">
        <v>4030</v>
      </c>
      <c r="B82" s="18" t="s">
        <v>117</v>
      </c>
      <c r="C82" s="18" t="s">
        <v>113</v>
      </c>
      <c r="D82" s="18" t="s">
        <v>260</v>
      </c>
      <c r="E82" s="18">
        <f>VLOOKUP(D:D,[1]ChartofAccounts!$A:$C,2,0)</f>
        <v>4030</v>
      </c>
      <c r="F82" s="18"/>
      <c r="G82" s="18"/>
      <c r="H82" s="18"/>
    </row>
    <row r="83" spans="1:8" x14ac:dyDescent="0.25">
      <c r="A83" s="18">
        <v>4040</v>
      </c>
      <c r="B83" s="18" t="s">
        <v>118</v>
      </c>
      <c r="C83" s="18" t="s">
        <v>113</v>
      </c>
      <c r="D83" s="18" t="s">
        <v>261</v>
      </c>
      <c r="E83" s="18">
        <f>VLOOKUP(D:D,[1]ChartofAccounts!$A:$C,2,0)</f>
        <v>4040</v>
      </c>
      <c r="F83" s="18"/>
      <c r="G83" s="18"/>
      <c r="H83" s="18"/>
    </row>
    <row r="84" spans="1:8" x14ac:dyDescent="0.25">
      <c r="A84" s="18">
        <v>4080</v>
      </c>
      <c r="B84" s="18" t="s">
        <v>119</v>
      </c>
      <c r="C84" s="18" t="s">
        <v>113</v>
      </c>
      <c r="D84" s="18" t="s">
        <v>262</v>
      </c>
      <c r="E84" s="18">
        <f>VLOOKUP(D:D,[1]ChartofAccounts!$A:$C,2,0)</f>
        <v>4080</v>
      </c>
      <c r="F84" s="18"/>
      <c r="G84" s="18"/>
      <c r="H84" s="18"/>
    </row>
    <row r="85" spans="1:8" x14ac:dyDescent="0.25">
      <c r="A85" s="18">
        <v>4082</v>
      </c>
      <c r="B85" s="18" t="s">
        <v>120</v>
      </c>
      <c r="C85" s="18" t="s">
        <v>113</v>
      </c>
      <c r="D85" s="18" t="s">
        <v>263</v>
      </c>
      <c r="E85" s="18">
        <f>VLOOKUP(D:D,[1]ChartofAccounts!$A:$C,2,0)</f>
        <v>4082</v>
      </c>
      <c r="F85" s="18"/>
      <c r="G85" s="18"/>
      <c r="H85" s="18"/>
    </row>
    <row r="86" spans="1:8" x14ac:dyDescent="0.25">
      <c r="A86" s="18">
        <v>4084</v>
      </c>
      <c r="B86" s="20" t="s">
        <v>226</v>
      </c>
      <c r="C86" s="18" t="s">
        <v>113</v>
      </c>
      <c r="D86" s="18" t="s">
        <v>264</v>
      </c>
      <c r="E86" s="18" t="e">
        <f>VLOOKUP(D:D,[1]ChartofAccounts!$A:$C,2,0)</f>
        <v>#N/A</v>
      </c>
      <c r="F86" s="18"/>
      <c r="G86" s="18"/>
      <c r="H86" s="18"/>
    </row>
    <row r="87" spans="1:8" x14ac:dyDescent="0.25">
      <c r="A87" s="18">
        <v>4086</v>
      </c>
      <c r="B87" s="20" t="s">
        <v>227</v>
      </c>
      <c r="C87" s="18" t="s">
        <v>113</v>
      </c>
      <c r="D87" s="18" t="s">
        <v>265</v>
      </c>
      <c r="E87" s="18" t="e">
        <f>VLOOKUP(D:D,[1]ChartofAccounts!$A:$C,2,0)</f>
        <v>#N/A</v>
      </c>
      <c r="F87" s="18"/>
      <c r="G87" s="18"/>
      <c r="H87" s="18"/>
    </row>
    <row r="88" spans="1:8" x14ac:dyDescent="0.25">
      <c r="A88" s="18">
        <v>5000</v>
      </c>
      <c r="B88" s="18" t="s">
        <v>122</v>
      </c>
      <c r="C88" s="18" t="s">
        <v>121</v>
      </c>
      <c r="D88" s="18" t="s">
        <v>266</v>
      </c>
      <c r="E88" s="18">
        <f>VLOOKUP(D:D,[1]ChartofAccounts!$A:$C,2,0)</f>
        <v>5000</v>
      </c>
      <c r="F88" s="18"/>
      <c r="G88" s="18"/>
      <c r="H88" s="18"/>
    </row>
    <row r="89" spans="1:8" x14ac:dyDescent="0.25">
      <c r="A89" s="18">
        <v>5002</v>
      </c>
      <c r="B89" s="18" t="s">
        <v>123</v>
      </c>
      <c r="C89" s="18" t="s">
        <v>121</v>
      </c>
      <c r="D89" s="18" t="s">
        <v>267</v>
      </c>
      <c r="E89" s="18">
        <f>VLOOKUP(D:D,[1]ChartofAccounts!$A:$C,2,0)</f>
        <v>5002</v>
      </c>
      <c r="F89" s="18"/>
      <c r="G89" s="18"/>
      <c r="H89" s="18"/>
    </row>
    <row r="90" spans="1:8" x14ac:dyDescent="0.25">
      <c r="A90" s="18">
        <v>5004</v>
      </c>
      <c r="B90" s="18" t="s">
        <v>124</v>
      </c>
      <c r="C90" s="18" t="s">
        <v>121</v>
      </c>
      <c r="D90" s="18" t="s">
        <v>268</v>
      </c>
      <c r="E90" s="18">
        <f>VLOOKUP(D:D,[1]ChartofAccounts!$A:$C,2,0)</f>
        <v>5004</v>
      </c>
      <c r="F90" s="18"/>
      <c r="G90" s="18"/>
      <c r="H90" s="18"/>
    </row>
    <row r="91" spans="1:8" x14ac:dyDescent="0.25">
      <c r="A91" s="18">
        <v>5005</v>
      </c>
      <c r="B91" s="18" t="s">
        <v>125</v>
      </c>
      <c r="C91" s="18" t="s">
        <v>121</v>
      </c>
      <c r="D91" s="18" t="s">
        <v>269</v>
      </c>
      <c r="E91" s="18">
        <f>VLOOKUP(D:D,[1]ChartofAccounts!$A:$C,2,0)</f>
        <v>5005</v>
      </c>
      <c r="F91" s="18"/>
      <c r="G91" s="18"/>
      <c r="H91" s="18"/>
    </row>
    <row r="92" spans="1:8" x14ac:dyDescent="0.25">
      <c r="A92" s="18">
        <v>5006</v>
      </c>
      <c r="B92" s="18" t="s">
        <v>126</v>
      </c>
      <c r="C92" s="18" t="s">
        <v>121</v>
      </c>
      <c r="D92" s="18" t="s">
        <v>270</v>
      </c>
      <c r="E92" s="18">
        <f>VLOOKUP(D:D,[1]ChartofAccounts!$A:$C,2,0)</f>
        <v>5006</v>
      </c>
      <c r="F92" s="18"/>
      <c r="G92" s="18"/>
      <c r="H92" s="18"/>
    </row>
    <row r="93" spans="1:8" x14ac:dyDescent="0.25">
      <c r="A93" s="18">
        <v>5007</v>
      </c>
      <c r="B93" s="20" t="s">
        <v>228</v>
      </c>
      <c r="C93" s="18" t="s">
        <v>121</v>
      </c>
      <c r="D93" s="18" t="s">
        <v>271</v>
      </c>
      <c r="E93" s="18" t="e">
        <f>VLOOKUP(D:D,[1]ChartofAccounts!$A:$C,2,0)</f>
        <v>#N/A</v>
      </c>
      <c r="F93" s="18"/>
      <c r="G93" s="18"/>
      <c r="H93" s="18"/>
    </row>
    <row r="94" spans="1:8" x14ac:dyDescent="0.25">
      <c r="A94" s="18">
        <v>5010</v>
      </c>
      <c r="B94" s="18" t="s">
        <v>127</v>
      </c>
      <c r="C94" s="18" t="s">
        <v>121</v>
      </c>
      <c r="D94" s="18" t="s">
        <v>272</v>
      </c>
      <c r="E94" s="18">
        <f>VLOOKUP(D:D,[1]ChartofAccounts!$A:$C,2,0)</f>
        <v>5010</v>
      </c>
      <c r="F94" s="18"/>
      <c r="G94" s="18"/>
      <c r="H94" s="18"/>
    </row>
    <row r="95" spans="1:8" x14ac:dyDescent="0.25">
      <c r="A95" s="18">
        <v>5015</v>
      </c>
      <c r="B95" s="18" t="s">
        <v>128</v>
      </c>
      <c r="C95" s="18" t="s">
        <v>121</v>
      </c>
      <c r="D95" s="18" t="s">
        <v>273</v>
      </c>
      <c r="E95" s="18">
        <f>VLOOKUP(D:D,[1]ChartofAccounts!$A:$C,2,0)</f>
        <v>5015</v>
      </c>
      <c r="F95" s="18"/>
      <c r="G95" s="18"/>
      <c r="H95" s="18"/>
    </row>
    <row r="96" spans="1:8" x14ac:dyDescent="0.25">
      <c r="A96" s="18">
        <v>5017</v>
      </c>
      <c r="B96" s="18" t="s">
        <v>129</v>
      </c>
      <c r="C96" s="18" t="s">
        <v>121</v>
      </c>
      <c r="D96" s="18" t="s">
        <v>274</v>
      </c>
      <c r="E96" s="18">
        <f>VLOOKUP(D:D,[1]ChartofAccounts!$A:$C,2,0)</f>
        <v>5017</v>
      </c>
      <c r="F96" s="18"/>
      <c r="G96" s="18"/>
      <c r="H96" s="18"/>
    </row>
    <row r="97" spans="1:8" x14ac:dyDescent="0.25">
      <c r="A97" s="18">
        <v>5020</v>
      </c>
      <c r="B97" s="18" t="s">
        <v>130</v>
      </c>
      <c r="C97" s="18" t="s">
        <v>121</v>
      </c>
      <c r="D97" s="18" t="s">
        <v>275</v>
      </c>
      <c r="E97" s="18">
        <f>VLOOKUP(D:D,[1]ChartofAccounts!$A:$C,2,0)</f>
        <v>5020</v>
      </c>
      <c r="F97" s="18"/>
      <c r="G97" s="18"/>
      <c r="H97" s="18"/>
    </row>
    <row r="98" spans="1:8" x14ac:dyDescent="0.25">
      <c r="A98" s="18">
        <v>5025</v>
      </c>
      <c r="B98" s="18" t="s">
        <v>131</v>
      </c>
      <c r="C98" s="18" t="s">
        <v>121</v>
      </c>
      <c r="D98" s="18" t="s">
        <v>276</v>
      </c>
      <c r="E98" s="18">
        <f>VLOOKUP(D:D,[1]ChartofAccounts!$A:$C,2,0)</f>
        <v>5025</v>
      </c>
      <c r="F98" s="18"/>
      <c r="G98" s="18"/>
      <c r="H98" s="18"/>
    </row>
    <row r="99" spans="1:8" x14ac:dyDescent="0.25">
      <c r="A99" s="18">
        <v>5030</v>
      </c>
      <c r="B99" s="18" t="s">
        <v>132</v>
      </c>
      <c r="C99" s="18" t="s">
        <v>121</v>
      </c>
      <c r="D99" s="18" t="s">
        <v>277</v>
      </c>
      <c r="E99" s="18">
        <f>VLOOKUP(D:D,[1]ChartofAccounts!$A:$C,2,0)</f>
        <v>5030</v>
      </c>
      <c r="F99" s="18"/>
      <c r="G99" s="18"/>
      <c r="H99" s="18"/>
    </row>
    <row r="100" spans="1:8" x14ac:dyDescent="0.25">
      <c r="A100" s="18">
        <v>5035</v>
      </c>
      <c r="B100" s="18" t="s">
        <v>133</v>
      </c>
      <c r="C100" s="18" t="s">
        <v>121</v>
      </c>
      <c r="D100" s="18" t="s">
        <v>278</v>
      </c>
      <c r="E100" s="18">
        <f>VLOOKUP(D:D,[1]ChartofAccounts!$A:$C,2,0)</f>
        <v>5035</v>
      </c>
      <c r="F100" s="18"/>
      <c r="G100" s="18"/>
      <c r="H100" s="18"/>
    </row>
    <row r="101" spans="1:8" x14ac:dyDescent="0.25">
      <c r="A101" s="18">
        <v>5037</v>
      </c>
      <c r="B101" s="18" t="s">
        <v>134</v>
      </c>
      <c r="C101" s="18" t="s">
        <v>121</v>
      </c>
      <c r="D101" s="18" t="s">
        <v>279</v>
      </c>
      <c r="E101" s="18">
        <f>VLOOKUP(D:D,[1]ChartofAccounts!$A:$C,2,0)</f>
        <v>5037</v>
      </c>
      <c r="F101" s="18"/>
      <c r="G101" s="18"/>
      <c r="H101" s="18"/>
    </row>
    <row r="102" spans="1:8" x14ac:dyDescent="0.25">
      <c r="A102" s="18">
        <v>5040</v>
      </c>
      <c r="B102" s="18" t="s">
        <v>135</v>
      </c>
      <c r="C102" s="18" t="s">
        <v>121</v>
      </c>
      <c r="D102" s="18" t="s">
        <v>280</v>
      </c>
      <c r="E102" s="18">
        <f>VLOOKUP(D:D,[1]ChartofAccounts!$A:$C,2,0)</f>
        <v>5040</v>
      </c>
      <c r="F102" s="18"/>
      <c r="G102" s="18"/>
      <c r="H102" s="18"/>
    </row>
    <row r="103" spans="1:8" x14ac:dyDescent="0.25">
      <c r="A103" s="18">
        <v>5045</v>
      </c>
      <c r="B103" s="18" t="s">
        <v>136</v>
      </c>
      <c r="C103" s="18" t="s">
        <v>121</v>
      </c>
      <c r="D103" s="18" t="s">
        <v>281</v>
      </c>
      <c r="E103" s="18">
        <f>VLOOKUP(D:D,[1]ChartofAccounts!$A:$C,2,0)</f>
        <v>5045</v>
      </c>
      <c r="F103" s="18"/>
      <c r="G103" s="18"/>
      <c r="H103" s="18"/>
    </row>
    <row r="104" spans="1:8" x14ac:dyDescent="0.25">
      <c r="A104" s="18">
        <v>5047</v>
      </c>
      <c r="B104" s="18" t="s">
        <v>137</v>
      </c>
      <c r="C104" s="18" t="s">
        <v>121</v>
      </c>
      <c r="D104" s="18" t="s">
        <v>282</v>
      </c>
      <c r="E104" s="18">
        <f>VLOOKUP(D:D,[1]ChartofAccounts!$A:$C,2,0)</f>
        <v>5047</v>
      </c>
      <c r="F104" s="18"/>
      <c r="G104" s="18"/>
      <c r="H104" s="18"/>
    </row>
    <row r="105" spans="1:8" x14ac:dyDescent="0.25">
      <c r="A105" s="18">
        <v>5085</v>
      </c>
      <c r="B105" s="20" t="s">
        <v>229</v>
      </c>
      <c r="C105" s="18" t="s">
        <v>121</v>
      </c>
      <c r="D105" s="18" t="s">
        <v>283</v>
      </c>
      <c r="E105" s="18" t="e">
        <f>VLOOKUP(D:D,[1]ChartofAccounts!$A:$C,2,0)</f>
        <v>#N/A</v>
      </c>
      <c r="F105" s="18"/>
      <c r="G105" s="18"/>
      <c r="H105" s="18"/>
    </row>
    <row r="106" spans="1:8" x14ac:dyDescent="0.25">
      <c r="A106" s="18">
        <v>5100</v>
      </c>
      <c r="B106" s="18" t="s">
        <v>138</v>
      </c>
      <c r="C106" s="18" t="s">
        <v>121</v>
      </c>
      <c r="D106" s="18" t="s">
        <v>284</v>
      </c>
      <c r="E106" s="18">
        <f>VLOOKUP(D:D,[1]ChartofAccounts!$A:$C,2,0)</f>
        <v>5100</v>
      </c>
      <c r="F106" s="18"/>
      <c r="G106" s="18"/>
      <c r="H106" s="18"/>
    </row>
    <row r="107" spans="1:8" x14ac:dyDescent="0.25">
      <c r="A107" s="18">
        <v>5110</v>
      </c>
      <c r="B107" s="18" t="s">
        <v>139</v>
      </c>
      <c r="C107" s="18" t="s">
        <v>121</v>
      </c>
      <c r="D107" s="18" t="s">
        <v>285</v>
      </c>
      <c r="E107" s="18">
        <f>VLOOKUP(D:D,[1]ChartofAccounts!$A:$C,2,0)</f>
        <v>5110</v>
      </c>
      <c r="F107" s="18"/>
      <c r="G107" s="18"/>
      <c r="H107" s="18"/>
    </row>
    <row r="108" spans="1:8" x14ac:dyDescent="0.25">
      <c r="A108" s="18">
        <v>5120</v>
      </c>
      <c r="B108" s="18" t="s">
        <v>140</v>
      </c>
      <c r="C108" s="18" t="s">
        <v>121</v>
      </c>
      <c r="D108" s="18" t="s">
        <v>286</v>
      </c>
      <c r="E108" s="18">
        <f>VLOOKUP(D:D,[1]ChartofAccounts!$A:$C,2,0)</f>
        <v>5120</v>
      </c>
      <c r="F108" s="18"/>
      <c r="G108" s="18"/>
      <c r="H108" s="18"/>
    </row>
    <row r="109" spans="1:8" x14ac:dyDescent="0.25">
      <c r="A109" s="18">
        <v>5125</v>
      </c>
      <c r="B109" s="18" t="s">
        <v>141</v>
      </c>
      <c r="C109" s="18" t="s">
        <v>121</v>
      </c>
      <c r="D109" s="18" t="s">
        <v>287</v>
      </c>
      <c r="E109" s="18">
        <f>VLOOKUP(D:D,[1]ChartofAccounts!$A:$C,2,0)</f>
        <v>5125</v>
      </c>
      <c r="F109" s="18"/>
      <c r="G109" s="18"/>
      <c r="H109" s="18"/>
    </row>
    <row r="110" spans="1:8" x14ac:dyDescent="0.25">
      <c r="A110" s="18">
        <v>5130</v>
      </c>
      <c r="B110" s="18" t="s">
        <v>142</v>
      </c>
      <c r="C110" s="18" t="s">
        <v>121</v>
      </c>
      <c r="D110" s="18" t="s">
        <v>288</v>
      </c>
      <c r="E110" s="18">
        <f>VLOOKUP(D:D,[1]ChartofAccounts!$A:$C,2,0)</f>
        <v>5130</v>
      </c>
      <c r="F110" s="18"/>
      <c r="G110" s="18"/>
      <c r="H110" s="18"/>
    </row>
    <row r="111" spans="1:8" x14ac:dyDescent="0.25">
      <c r="A111" s="18">
        <v>5135</v>
      </c>
      <c r="B111" s="18" t="s">
        <v>143</v>
      </c>
      <c r="C111" s="18" t="s">
        <v>121</v>
      </c>
      <c r="D111" s="18" t="s">
        <v>289</v>
      </c>
      <c r="E111" s="18">
        <f>VLOOKUP(D:D,[1]ChartofAccounts!$A:$C,2,0)</f>
        <v>5135</v>
      </c>
      <c r="F111" s="18"/>
      <c r="G111" s="18"/>
      <c r="H111" s="18"/>
    </row>
    <row r="112" spans="1:8" x14ac:dyDescent="0.25">
      <c r="A112" s="18">
        <v>5140</v>
      </c>
      <c r="B112" s="18" t="s">
        <v>144</v>
      </c>
      <c r="C112" s="18" t="s">
        <v>121</v>
      </c>
      <c r="D112" s="18" t="s">
        <v>290</v>
      </c>
      <c r="E112" s="18">
        <f>VLOOKUP(D:D,[1]ChartofAccounts!$A:$C,2,0)</f>
        <v>5140</v>
      </c>
      <c r="F112" s="18"/>
      <c r="G112" s="18"/>
      <c r="H112" s="18"/>
    </row>
    <row r="113" spans="1:8" x14ac:dyDescent="0.25">
      <c r="A113" s="18">
        <v>5145</v>
      </c>
      <c r="B113" s="18" t="s">
        <v>145</v>
      </c>
      <c r="C113" s="18" t="s">
        <v>121</v>
      </c>
      <c r="D113" s="18" t="s">
        <v>291</v>
      </c>
      <c r="E113" s="18">
        <f>VLOOKUP(D:D,[1]ChartofAccounts!$A:$C,2,0)</f>
        <v>5145</v>
      </c>
      <c r="F113" s="18"/>
      <c r="G113" s="18"/>
      <c r="H113" s="18"/>
    </row>
    <row r="114" spans="1:8" x14ac:dyDescent="0.25">
      <c r="A114" s="18">
        <v>5150</v>
      </c>
      <c r="B114" s="18" t="s">
        <v>146</v>
      </c>
      <c r="C114" s="18" t="s">
        <v>121</v>
      </c>
      <c r="D114" s="18" t="s">
        <v>292</v>
      </c>
      <c r="E114" s="18">
        <f>VLOOKUP(D:D,[1]ChartofAccounts!$A:$C,2,0)</f>
        <v>5150</v>
      </c>
      <c r="F114" s="18"/>
      <c r="G114" s="18"/>
      <c r="H114" s="18"/>
    </row>
    <row r="115" spans="1:8" x14ac:dyDescent="0.25">
      <c r="A115" s="18">
        <v>5160</v>
      </c>
      <c r="B115" s="18" t="s">
        <v>147</v>
      </c>
      <c r="C115" s="18" t="s">
        <v>121</v>
      </c>
      <c r="D115" s="18" t="s">
        <v>293</v>
      </c>
      <c r="E115" s="18">
        <f>VLOOKUP(D:D,[1]ChartofAccounts!$A:$C,2,0)</f>
        <v>5160</v>
      </c>
      <c r="F115" s="18"/>
      <c r="G115" s="18"/>
      <c r="H115" s="18"/>
    </row>
    <row r="116" spans="1:8" x14ac:dyDescent="0.25">
      <c r="A116" s="18">
        <v>5170</v>
      </c>
      <c r="B116" s="18" t="s">
        <v>148</v>
      </c>
      <c r="C116" s="18" t="s">
        <v>121</v>
      </c>
      <c r="D116" s="18" t="s">
        <v>294</v>
      </c>
      <c r="E116" s="18">
        <f>VLOOKUP(D:D,[1]ChartofAccounts!$A:$C,2,0)</f>
        <v>5170</v>
      </c>
      <c r="F116" s="18"/>
      <c r="G116" s="18"/>
      <c r="H116" s="18"/>
    </row>
    <row r="117" spans="1:8" x14ac:dyDescent="0.25">
      <c r="A117" s="18">
        <v>5175</v>
      </c>
      <c r="B117" s="18" t="s">
        <v>149</v>
      </c>
      <c r="C117" s="18" t="s">
        <v>121</v>
      </c>
      <c r="D117" s="18" t="s">
        <v>295</v>
      </c>
      <c r="E117" s="18">
        <f>VLOOKUP(D:D,[1]ChartofAccounts!$A:$C,2,0)</f>
        <v>5175</v>
      </c>
      <c r="F117" s="18"/>
      <c r="G117" s="18"/>
      <c r="H117" s="18"/>
    </row>
    <row r="118" spans="1:8" x14ac:dyDescent="0.25">
      <c r="A118" s="18">
        <v>5190</v>
      </c>
      <c r="B118" s="18" t="s">
        <v>150</v>
      </c>
      <c r="C118" s="18" t="s">
        <v>121</v>
      </c>
      <c r="D118" s="18" t="s">
        <v>296</v>
      </c>
      <c r="E118" s="18">
        <f>VLOOKUP(D:D,[1]ChartofAccounts!$A:$C,2,0)</f>
        <v>5190</v>
      </c>
      <c r="F118" s="18"/>
      <c r="G118" s="18"/>
      <c r="H118" s="18"/>
    </row>
    <row r="119" spans="1:8" x14ac:dyDescent="0.25">
      <c r="A119" s="18">
        <v>5600</v>
      </c>
      <c r="B119" s="18" t="s">
        <v>151</v>
      </c>
      <c r="C119" s="18" t="s">
        <v>121</v>
      </c>
      <c r="D119" s="18" t="s">
        <v>297</v>
      </c>
      <c r="E119" s="18">
        <f>VLOOKUP(D:D,[1]ChartofAccounts!$A:$C,2,0)</f>
        <v>5600</v>
      </c>
      <c r="F119" s="18"/>
      <c r="G119" s="18"/>
      <c r="H119" s="18"/>
    </row>
    <row r="120" spans="1:8" x14ac:dyDescent="0.25">
      <c r="A120" s="18">
        <v>5602</v>
      </c>
      <c r="B120" s="18" t="s">
        <v>152</v>
      </c>
      <c r="C120" s="18" t="s">
        <v>121</v>
      </c>
      <c r="D120" s="18" t="s">
        <v>298</v>
      </c>
      <c r="E120" s="18">
        <f>VLOOKUP(D:D,[1]ChartofAccounts!$A:$C,2,0)</f>
        <v>5602</v>
      </c>
      <c r="F120" s="18"/>
      <c r="G120" s="18"/>
      <c r="H120" s="18"/>
    </row>
    <row r="121" spans="1:8" x14ac:dyDescent="0.25">
      <c r="A121" s="18">
        <v>5610</v>
      </c>
      <c r="B121" s="18" t="s">
        <v>153</v>
      </c>
      <c r="C121" s="18" t="s">
        <v>121</v>
      </c>
      <c r="D121" s="18" t="s">
        <v>299</v>
      </c>
      <c r="E121" s="18">
        <f>VLOOKUP(D:D,[1]ChartofAccounts!$A:$C,2,0)</f>
        <v>5610</v>
      </c>
      <c r="F121" s="18"/>
      <c r="G121" s="18"/>
      <c r="H121" s="18"/>
    </row>
    <row r="122" spans="1:8" x14ac:dyDescent="0.25">
      <c r="A122" s="18">
        <v>5620</v>
      </c>
      <c r="B122" s="18" t="s">
        <v>154</v>
      </c>
      <c r="C122" s="18" t="s">
        <v>121</v>
      </c>
      <c r="D122" s="18" t="s">
        <v>300</v>
      </c>
      <c r="E122" s="18">
        <f>VLOOKUP(D:D,[1]ChartofAccounts!$A:$C,2,0)</f>
        <v>5620</v>
      </c>
      <c r="F122" s="18"/>
      <c r="G122" s="18"/>
      <c r="H122" s="18"/>
    </row>
    <row r="123" spans="1:8" x14ac:dyDescent="0.25">
      <c r="A123" s="18">
        <v>5630</v>
      </c>
      <c r="B123" s="18" t="s">
        <v>155</v>
      </c>
      <c r="C123" s="18" t="s">
        <v>121</v>
      </c>
      <c r="D123" s="18" t="s">
        <v>301</v>
      </c>
      <c r="E123" s="18">
        <f>VLOOKUP(D:D,[1]ChartofAccounts!$A:$C,2,0)</f>
        <v>5630</v>
      </c>
      <c r="F123" s="18"/>
      <c r="G123" s="18"/>
      <c r="H123" s="18"/>
    </row>
    <row r="124" spans="1:8" x14ac:dyDescent="0.25">
      <c r="A124" s="18">
        <v>5640</v>
      </c>
      <c r="B124" s="18" t="s">
        <v>156</v>
      </c>
      <c r="C124" s="18" t="s">
        <v>121</v>
      </c>
      <c r="D124" s="18" t="s">
        <v>302</v>
      </c>
      <c r="E124" s="18">
        <f>VLOOKUP(D:D,[1]ChartofAccounts!$A:$C,2,0)</f>
        <v>5640</v>
      </c>
      <c r="F124" s="18"/>
      <c r="G124" s="18"/>
      <c r="H124" s="18"/>
    </row>
    <row r="125" spans="1:8" x14ac:dyDescent="0.25">
      <c r="A125" s="18">
        <v>5700</v>
      </c>
      <c r="B125" s="18" t="s">
        <v>157</v>
      </c>
      <c r="C125" s="18" t="s">
        <v>121</v>
      </c>
      <c r="D125" s="18" t="s">
        <v>303</v>
      </c>
      <c r="E125" s="18">
        <f>VLOOKUP(D:D,[1]ChartofAccounts!$A:$C,2,0)</f>
        <v>5700</v>
      </c>
      <c r="F125" s="18"/>
      <c r="G125" s="18"/>
      <c r="H125" s="18"/>
    </row>
    <row r="126" spans="1:8" x14ac:dyDescent="0.25">
      <c r="A126" s="18">
        <v>5710</v>
      </c>
      <c r="B126" s="18" t="s">
        <v>158</v>
      </c>
      <c r="C126" s="18" t="s">
        <v>121</v>
      </c>
      <c r="D126" s="18" t="s">
        <v>304</v>
      </c>
      <c r="E126" s="18">
        <f>VLOOKUP(D:D,[1]ChartofAccounts!$A:$C,2,0)</f>
        <v>5710</v>
      </c>
      <c r="F126" s="18"/>
      <c r="G126" s="18"/>
      <c r="H126" s="18"/>
    </row>
    <row r="127" spans="1:8" x14ac:dyDescent="0.25">
      <c r="A127" s="18" t="s">
        <v>231</v>
      </c>
      <c r="B127" s="18" t="s">
        <v>232</v>
      </c>
      <c r="C127" s="20" t="s">
        <v>121</v>
      </c>
      <c r="D127" s="18" t="s">
        <v>305</v>
      </c>
      <c r="E127" s="18" t="e">
        <f>VLOOKUP(D:D,[1]ChartofAccounts!$A:$C,2,0)</f>
        <v>#N/A</v>
      </c>
      <c r="F127" s="18"/>
      <c r="G127" s="18"/>
      <c r="H127" s="18"/>
    </row>
    <row r="128" spans="1:8" x14ac:dyDescent="0.25">
      <c r="A128" s="18" t="s">
        <v>233</v>
      </c>
      <c r="B128" s="18" t="s">
        <v>234</v>
      </c>
      <c r="C128" s="20" t="s">
        <v>121</v>
      </c>
      <c r="D128" s="18" t="s">
        <v>306</v>
      </c>
      <c r="E128" s="18" t="e">
        <f>VLOOKUP(D:D,[1]ChartofAccounts!$A:$C,2,0)</f>
        <v>#N/A</v>
      </c>
      <c r="F128" s="18"/>
      <c r="G128" s="18"/>
      <c r="H128" s="18"/>
    </row>
    <row r="129" spans="1:8" x14ac:dyDescent="0.25">
      <c r="A129" s="18" t="s">
        <v>235</v>
      </c>
      <c r="B129" s="18" t="s">
        <v>236</v>
      </c>
      <c r="C129" s="20" t="s">
        <v>121</v>
      </c>
      <c r="D129" s="18" t="s">
        <v>307</v>
      </c>
      <c r="E129" s="18" t="e">
        <f>VLOOKUP(D:D,[1]ChartofAccounts!$A:$C,2,0)</f>
        <v>#N/A</v>
      </c>
      <c r="F129" s="18"/>
      <c r="G129" s="18"/>
      <c r="H129" s="18"/>
    </row>
    <row r="130" spans="1:8" x14ac:dyDescent="0.25">
      <c r="A130" s="18" t="s">
        <v>237</v>
      </c>
      <c r="B130" s="18" t="s">
        <v>238</v>
      </c>
      <c r="C130" s="20" t="s">
        <v>121</v>
      </c>
      <c r="D130" s="18" t="s">
        <v>308</v>
      </c>
      <c r="E130" s="18" t="e">
        <f>VLOOKUP(D:D,[1]ChartofAccounts!$A:$C,2,0)</f>
        <v>#N/A</v>
      </c>
      <c r="F130" s="18"/>
      <c r="G130" s="18"/>
      <c r="H130" s="18"/>
    </row>
    <row r="131" spans="1:8" x14ac:dyDescent="0.25">
      <c r="A131" s="18" t="s">
        <v>239</v>
      </c>
      <c r="B131" s="18" t="s">
        <v>240</v>
      </c>
      <c r="C131" s="20" t="s">
        <v>121</v>
      </c>
      <c r="D131" s="18" t="s">
        <v>309</v>
      </c>
      <c r="E131" s="18" t="e">
        <f>VLOOKUP(D:D,[1]ChartofAccounts!$A:$C,2,0)</f>
        <v>#N/A</v>
      </c>
      <c r="F131" s="18"/>
      <c r="G131" s="18"/>
      <c r="H131" s="18"/>
    </row>
    <row r="132" spans="1:8" x14ac:dyDescent="0.25">
      <c r="A132" s="18" t="s">
        <v>241</v>
      </c>
      <c r="B132" s="18" t="s">
        <v>242</v>
      </c>
      <c r="C132" s="20" t="s">
        <v>121</v>
      </c>
      <c r="D132" s="18" t="s">
        <v>310</v>
      </c>
      <c r="E132" s="18" t="e">
        <f>VLOOKUP(D:D,[1]ChartofAccounts!$A:$C,2,0)</f>
        <v>#N/A</v>
      </c>
      <c r="F132" s="18"/>
      <c r="G132" s="18"/>
      <c r="H132" s="18"/>
    </row>
    <row r="133" spans="1:8" x14ac:dyDescent="0.25">
      <c r="A133" s="18" t="s">
        <v>243</v>
      </c>
      <c r="B133" s="18" t="s">
        <v>244</v>
      </c>
      <c r="C133" s="20" t="s">
        <v>121</v>
      </c>
      <c r="D133" s="18" t="s">
        <v>311</v>
      </c>
      <c r="E133" s="18" t="e">
        <f>VLOOKUP(D:D,[1]ChartofAccounts!$A:$C,2,0)</f>
        <v>#N/A</v>
      </c>
      <c r="F133" s="18"/>
      <c r="G133" s="18"/>
      <c r="H133" s="18"/>
    </row>
    <row r="134" spans="1:8" x14ac:dyDescent="0.25">
      <c r="A134" s="18" t="s">
        <v>245</v>
      </c>
      <c r="B134" s="18" t="s">
        <v>246</v>
      </c>
      <c r="C134" s="20" t="s">
        <v>121</v>
      </c>
      <c r="D134" s="18" t="s">
        <v>312</v>
      </c>
      <c r="E134" s="18" t="e">
        <f>VLOOKUP(D:D,[1]ChartofAccounts!$A:$C,2,0)</f>
        <v>#N/A</v>
      </c>
      <c r="F134" s="18"/>
      <c r="G134" s="18"/>
      <c r="H134" s="18"/>
    </row>
    <row r="135" spans="1:8" x14ac:dyDescent="0.25">
      <c r="A135" s="18" t="s">
        <v>247</v>
      </c>
      <c r="B135" s="18" t="s">
        <v>248</v>
      </c>
      <c r="C135" s="19" t="s">
        <v>121</v>
      </c>
      <c r="D135" s="18" t="s">
        <v>313</v>
      </c>
      <c r="E135" s="18" t="e">
        <f>VLOOKUP(D:D,[1]ChartofAccounts!$A:$C,2,0)</f>
        <v>#N/A</v>
      </c>
      <c r="F135" s="18"/>
      <c r="G135" s="18"/>
      <c r="H135" s="18"/>
    </row>
    <row r="136" spans="1:8" x14ac:dyDescent="0.25">
      <c r="A136" s="18">
        <v>5750</v>
      </c>
      <c r="B136" s="20" t="s">
        <v>249</v>
      </c>
      <c r="C136" s="18" t="s">
        <v>121</v>
      </c>
      <c r="D136" s="18" t="s">
        <v>314</v>
      </c>
      <c r="E136" s="18" t="e">
        <f>VLOOKUP(D:D,[1]ChartofAccounts!$A:$C,2,0)</f>
        <v>#N/A</v>
      </c>
      <c r="F136" s="18"/>
      <c r="G136" s="18"/>
      <c r="H136" s="18"/>
    </row>
    <row r="137" spans="1:8" x14ac:dyDescent="0.25">
      <c r="A137" s="18">
        <v>5800</v>
      </c>
      <c r="B137" s="18" t="s">
        <v>159</v>
      </c>
      <c r="C137" s="18" t="s">
        <v>121</v>
      </c>
      <c r="D137" s="18" t="s">
        <v>315</v>
      </c>
      <c r="E137" s="18">
        <f>VLOOKUP(D:D,[1]ChartofAccounts!$A:$C,2,0)</f>
        <v>5800</v>
      </c>
      <c r="F137" s="18"/>
      <c r="G137" s="18"/>
      <c r="H137" s="18"/>
    </row>
    <row r="138" spans="1:8" x14ac:dyDescent="0.25">
      <c r="A138" s="18">
        <v>6000</v>
      </c>
      <c r="B138" s="18" t="s">
        <v>161</v>
      </c>
      <c r="C138" s="18" t="s">
        <v>160</v>
      </c>
      <c r="D138" s="18" t="s">
        <v>385</v>
      </c>
      <c r="E138" s="18">
        <f>VLOOKUP(D:D,[1]ChartofAccounts!$A:$C,2,0)</f>
        <v>6000</v>
      </c>
      <c r="F138" s="18"/>
      <c r="G138" s="18"/>
      <c r="H138" s="18"/>
    </row>
    <row r="139" spans="1:8" x14ac:dyDescent="0.25">
      <c r="A139" s="18">
        <v>6010</v>
      </c>
      <c r="B139" s="18" t="s">
        <v>162</v>
      </c>
      <c r="C139" s="18" t="s">
        <v>160</v>
      </c>
      <c r="D139" s="18" t="s">
        <v>386</v>
      </c>
      <c r="E139" s="18">
        <f>VLOOKUP(D:D,[1]ChartofAccounts!$A:$C,2,0)</f>
        <v>6010</v>
      </c>
      <c r="F139" s="18"/>
      <c r="G139" s="18"/>
      <c r="H139" s="18"/>
    </row>
    <row r="140" spans="1:8" x14ac:dyDescent="0.25">
      <c r="A140" s="18">
        <v>6020</v>
      </c>
      <c r="B140" s="18" t="s">
        <v>163</v>
      </c>
      <c r="C140" s="18" t="s">
        <v>160</v>
      </c>
      <c r="D140" s="18" t="s">
        <v>387</v>
      </c>
      <c r="E140" s="18">
        <f>VLOOKUP(D:D,[1]ChartofAccounts!$A:$C,2,0)</f>
        <v>6020</v>
      </c>
      <c r="F140" s="18"/>
      <c r="G140" s="18"/>
      <c r="H140" s="18"/>
    </row>
    <row r="141" spans="1:8" x14ac:dyDescent="0.25">
      <c r="A141" s="18">
        <v>6025</v>
      </c>
      <c r="B141" s="18" t="s">
        <v>164</v>
      </c>
      <c r="C141" s="18" t="s">
        <v>160</v>
      </c>
      <c r="D141" s="18" t="s">
        <v>388</v>
      </c>
      <c r="E141" s="18">
        <f>VLOOKUP(D:D,[1]ChartofAccounts!$A:$C,2,0)</f>
        <v>6025</v>
      </c>
      <c r="F141" s="18"/>
      <c r="G141" s="18"/>
      <c r="H141" s="18"/>
    </row>
    <row r="142" spans="1:8" x14ac:dyDescent="0.25">
      <c r="A142" s="18">
        <v>6030</v>
      </c>
      <c r="B142" s="18" t="s">
        <v>165</v>
      </c>
      <c r="C142" s="18" t="s">
        <v>160</v>
      </c>
      <c r="D142" s="18" t="s">
        <v>389</v>
      </c>
      <c r="E142" s="18">
        <f>VLOOKUP(D:D,[1]ChartofAccounts!$A:$C,2,0)</f>
        <v>6030</v>
      </c>
      <c r="F142" s="18"/>
      <c r="G142" s="18"/>
      <c r="H142" s="18"/>
    </row>
    <row r="143" spans="1:8" x14ac:dyDescent="0.25">
      <c r="A143" s="18">
        <v>6040</v>
      </c>
      <c r="B143" s="18" t="s">
        <v>166</v>
      </c>
      <c r="C143" s="18" t="s">
        <v>160</v>
      </c>
      <c r="D143" s="18" t="s">
        <v>390</v>
      </c>
      <c r="E143" s="18">
        <f>VLOOKUP(D:D,[1]ChartofAccounts!$A:$C,2,0)</f>
        <v>6040</v>
      </c>
      <c r="F143" s="18"/>
      <c r="G143" s="18"/>
      <c r="H143" s="18"/>
    </row>
    <row r="144" spans="1:8" x14ac:dyDescent="0.25">
      <c r="A144" s="18">
        <v>6050</v>
      </c>
      <c r="B144" s="18" t="s">
        <v>167</v>
      </c>
      <c r="C144" s="18" t="s">
        <v>160</v>
      </c>
      <c r="D144" s="18" t="s">
        <v>391</v>
      </c>
      <c r="E144" s="18">
        <f>VLOOKUP(D:D,[1]ChartofAccounts!$A:$C,2,0)</f>
        <v>6050</v>
      </c>
      <c r="F144" s="18"/>
      <c r="G144" s="18"/>
      <c r="H144" s="18"/>
    </row>
    <row r="145" spans="1:8" x14ac:dyDescent="0.25">
      <c r="A145" s="18">
        <v>6060</v>
      </c>
      <c r="B145" s="18" t="s">
        <v>168</v>
      </c>
      <c r="C145" s="18" t="s">
        <v>160</v>
      </c>
      <c r="D145" s="18" t="s">
        <v>392</v>
      </c>
      <c r="E145" s="18">
        <f>VLOOKUP(D:D,[1]ChartofAccounts!$A:$C,2,0)</f>
        <v>6060</v>
      </c>
      <c r="F145" s="18"/>
      <c r="G145" s="18"/>
      <c r="H145" s="18"/>
    </row>
    <row r="146" spans="1:8" x14ac:dyDescent="0.25">
      <c r="A146" s="18">
        <v>6070</v>
      </c>
      <c r="B146" s="18" t="s">
        <v>169</v>
      </c>
      <c r="C146" s="18" t="s">
        <v>160</v>
      </c>
      <c r="D146" s="18" t="s">
        <v>393</v>
      </c>
      <c r="E146" s="18">
        <f>VLOOKUP(D:D,[1]ChartofAccounts!$A:$C,2,0)</f>
        <v>6070</v>
      </c>
      <c r="F146" s="18"/>
      <c r="G146" s="18"/>
      <c r="H146" s="18"/>
    </row>
    <row r="147" spans="1:8" x14ac:dyDescent="0.25">
      <c r="A147" s="18">
        <v>6072</v>
      </c>
      <c r="B147" s="18" t="s">
        <v>170</v>
      </c>
      <c r="C147" s="18" t="s">
        <v>160</v>
      </c>
      <c r="D147" s="18" t="s">
        <v>394</v>
      </c>
      <c r="E147" s="18">
        <f>VLOOKUP(D:D,[1]ChartofAccounts!$A:$C,2,0)</f>
        <v>6072</v>
      </c>
      <c r="F147" s="18"/>
      <c r="G147" s="18"/>
      <c r="H147" s="18"/>
    </row>
    <row r="148" spans="1:8" x14ac:dyDescent="0.25">
      <c r="A148" s="18">
        <v>6075</v>
      </c>
      <c r="B148" s="18" t="s">
        <v>171</v>
      </c>
      <c r="C148" s="18" t="s">
        <v>160</v>
      </c>
      <c r="D148" s="18" t="s">
        <v>395</v>
      </c>
      <c r="E148" s="18">
        <f>VLOOKUP(D:D,[1]ChartofAccounts!$A:$C,2,0)</f>
        <v>6075</v>
      </c>
      <c r="F148" s="18"/>
      <c r="G148" s="18"/>
      <c r="H148" s="18"/>
    </row>
    <row r="149" spans="1:8" x14ac:dyDescent="0.25">
      <c r="A149" s="18">
        <v>6080</v>
      </c>
      <c r="B149" s="18" t="s">
        <v>172</v>
      </c>
      <c r="C149" s="18" t="s">
        <v>160</v>
      </c>
      <c r="D149" s="18" t="s">
        <v>396</v>
      </c>
      <c r="E149" s="18">
        <f>VLOOKUP(D:D,[1]ChartofAccounts!$A:$C,2,0)</f>
        <v>6080</v>
      </c>
      <c r="F149" s="18"/>
      <c r="G149" s="18"/>
      <c r="H149" s="18"/>
    </row>
    <row r="150" spans="1:8" x14ac:dyDescent="0.25">
      <c r="A150" s="18">
        <v>6085</v>
      </c>
      <c r="B150" s="18" t="s">
        <v>173</v>
      </c>
      <c r="C150" s="18" t="s">
        <v>160</v>
      </c>
      <c r="D150" s="18" t="s">
        <v>397</v>
      </c>
      <c r="E150" s="18">
        <f>VLOOKUP(D:D,[1]ChartofAccounts!$A:$C,2,0)</f>
        <v>6085</v>
      </c>
      <c r="F150" s="18"/>
      <c r="G150" s="18"/>
      <c r="H150" s="18"/>
    </row>
    <row r="151" spans="1:8" x14ac:dyDescent="0.25">
      <c r="A151" s="18">
        <v>6090</v>
      </c>
      <c r="B151" s="18" t="s">
        <v>174</v>
      </c>
      <c r="C151" s="18" t="s">
        <v>160</v>
      </c>
      <c r="D151" s="18" t="s">
        <v>398</v>
      </c>
      <c r="E151" s="18">
        <f>VLOOKUP(D:D,[1]ChartofAccounts!$A:$C,2,0)</f>
        <v>6090</v>
      </c>
      <c r="F151" s="18"/>
      <c r="G151" s="18"/>
      <c r="H151" s="18"/>
    </row>
    <row r="152" spans="1:8" x14ac:dyDescent="0.25">
      <c r="A152" s="18">
        <v>6190</v>
      </c>
      <c r="B152" s="18" t="s">
        <v>175</v>
      </c>
      <c r="C152" s="18" t="s">
        <v>160</v>
      </c>
      <c r="D152" s="18" t="s">
        <v>399</v>
      </c>
      <c r="E152" s="18">
        <f>VLOOKUP(D:D,[1]ChartofAccounts!$A:$C,2,0)</f>
        <v>6190</v>
      </c>
      <c r="F152" s="18"/>
      <c r="G152" s="18"/>
      <c r="H152" s="18"/>
    </row>
    <row r="153" spans="1:8" x14ac:dyDescent="0.25">
      <c r="A153" s="18">
        <v>6200</v>
      </c>
      <c r="B153" s="18" t="s">
        <v>176</v>
      </c>
      <c r="C153" s="18" t="s">
        <v>160</v>
      </c>
      <c r="D153" s="18" t="s">
        <v>400</v>
      </c>
      <c r="E153" s="18">
        <f>VLOOKUP(D:D,[1]ChartofAccounts!$A:$C,2,0)</f>
        <v>6200</v>
      </c>
      <c r="F153" s="18"/>
      <c r="G153" s="18"/>
      <c r="H153" s="18"/>
    </row>
    <row r="154" spans="1:8" x14ac:dyDescent="0.25">
      <c r="A154" s="18">
        <v>6210</v>
      </c>
      <c r="B154" s="18" t="s">
        <v>177</v>
      </c>
      <c r="C154" s="18" t="s">
        <v>160</v>
      </c>
      <c r="D154" s="18" t="s">
        <v>401</v>
      </c>
      <c r="E154" s="18">
        <f>VLOOKUP(D:D,[1]ChartofAccounts!$A:$C,2,0)</f>
        <v>6210</v>
      </c>
      <c r="F154" s="18"/>
      <c r="G154" s="18"/>
      <c r="H154" s="18"/>
    </row>
    <row r="155" spans="1:8" x14ac:dyDescent="0.25">
      <c r="A155" s="18">
        <v>6220</v>
      </c>
      <c r="B155" s="18" t="s">
        <v>178</v>
      </c>
      <c r="C155" s="18" t="s">
        <v>160</v>
      </c>
      <c r="D155" s="18" t="s">
        <v>402</v>
      </c>
      <c r="E155" s="18">
        <f>VLOOKUP(D:D,[1]ChartofAccounts!$A:$C,2,0)</f>
        <v>6220</v>
      </c>
      <c r="F155" s="18"/>
      <c r="G155" s="18"/>
      <c r="H155" s="18"/>
    </row>
    <row r="156" spans="1:8" x14ac:dyDescent="0.25">
      <c r="A156" s="18">
        <v>6230</v>
      </c>
      <c r="B156" s="18" t="s">
        <v>179</v>
      </c>
      <c r="C156" s="18" t="s">
        <v>160</v>
      </c>
      <c r="D156" s="18" t="s">
        <v>403</v>
      </c>
      <c r="E156" s="18">
        <f>VLOOKUP(D:D,[1]ChartofAccounts!$A:$C,2,0)</f>
        <v>6230</v>
      </c>
      <c r="F156" s="18"/>
      <c r="G156" s="18"/>
      <c r="H156" s="18"/>
    </row>
    <row r="157" spans="1:8" x14ac:dyDescent="0.25">
      <c r="A157" s="18">
        <v>6240</v>
      </c>
      <c r="B157" s="18" t="s">
        <v>180</v>
      </c>
      <c r="C157" s="18" t="s">
        <v>160</v>
      </c>
      <c r="D157" s="18" t="s">
        <v>404</v>
      </c>
      <c r="E157" s="18">
        <f>VLOOKUP(D:D,[1]ChartofAccounts!$A:$C,2,0)</f>
        <v>6240</v>
      </c>
      <c r="F157" s="18"/>
      <c r="G157" s="18"/>
      <c r="H157" s="18"/>
    </row>
    <row r="158" spans="1:8" x14ac:dyDescent="0.25">
      <c r="A158" s="18">
        <v>6290</v>
      </c>
      <c r="B158" s="18" t="s">
        <v>181</v>
      </c>
      <c r="C158" s="18" t="s">
        <v>160</v>
      </c>
      <c r="D158" s="18" t="s">
        <v>405</v>
      </c>
      <c r="E158" s="18">
        <f>VLOOKUP(D:D,[1]ChartofAccounts!$A:$C,2,0)</f>
        <v>6290</v>
      </c>
      <c r="F158" s="18"/>
      <c r="G158" s="18"/>
      <c r="H158" s="18"/>
    </row>
    <row r="159" spans="1:8" x14ac:dyDescent="0.25">
      <c r="A159" s="18">
        <v>6300</v>
      </c>
      <c r="B159" s="18" t="s">
        <v>182</v>
      </c>
      <c r="C159" s="18" t="s">
        <v>160</v>
      </c>
      <c r="D159" s="18" t="s">
        <v>406</v>
      </c>
      <c r="E159" s="18">
        <f>VLOOKUP(D:D,[1]ChartofAccounts!$A:$C,2,0)</f>
        <v>6300</v>
      </c>
      <c r="F159" s="18"/>
      <c r="G159" s="18"/>
      <c r="H159" s="18"/>
    </row>
    <row r="160" spans="1:8" x14ac:dyDescent="0.25">
      <c r="A160" s="18">
        <v>6310</v>
      </c>
      <c r="B160" s="18" t="s">
        <v>183</v>
      </c>
      <c r="C160" s="18" t="s">
        <v>160</v>
      </c>
      <c r="D160" s="18" t="s">
        <v>407</v>
      </c>
      <c r="E160" s="18">
        <f>VLOOKUP(D:D,[1]ChartofAccounts!$A:$C,2,0)</f>
        <v>6310</v>
      </c>
      <c r="F160" s="18"/>
      <c r="G160" s="18"/>
      <c r="H160" s="18"/>
    </row>
    <row r="161" spans="1:8" x14ac:dyDescent="0.25">
      <c r="A161" s="18">
        <v>6320</v>
      </c>
      <c r="B161" s="18" t="s">
        <v>184</v>
      </c>
      <c r="C161" s="18" t="s">
        <v>160</v>
      </c>
      <c r="D161" s="18" t="s">
        <v>408</v>
      </c>
      <c r="E161" s="18">
        <f>VLOOKUP(D:D,[1]ChartofAccounts!$A:$C,2,0)</f>
        <v>6320</v>
      </c>
      <c r="F161" s="18"/>
      <c r="G161" s="18"/>
      <c r="H161" s="18"/>
    </row>
    <row r="162" spans="1:8" x14ac:dyDescent="0.25">
      <c r="A162" s="18">
        <v>6330</v>
      </c>
      <c r="B162" s="18" t="s">
        <v>185</v>
      </c>
      <c r="C162" s="18" t="s">
        <v>160</v>
      </c>
      <c r="D162" s="18" t="s">
        <v>409</v>
      </c>
      <c r="E162" s="18">
        <f>VLOOKUP(D:D,[1]ChartofAccounts!$A:$C,2,0)</f>
        <v>6330</v>
      </c>
      <c r="F162" s="18"/>
      <c r="G162" s="18"/>
      <c r="H162" s="18"/>
    </row>
    <row r="163" spans="1:8" x14ac:dyDescent="0.25">
      <c r="A163" s="18">
        <v>6340</v>
      </c>
      <c r="B163" s="18" t="s">
        <v>186</v>
      </c>
      <c r="C163" s="18" t="s">
        <v>160</v>
      </c>
      <c r="D163" s="18" t="s">
        <v>410</v>
      </c>
      <c r="E163" s="18">
        <f>VLOOKUP(D:D,[1]ChartofAccounts!$A:$C,2,0)</f>
        <v>6340</v>
      </c>
      <c r="F163" s="18"/>
      <c r="G163" s="18"/>
      <c r="H163" s="18"/>
    </row>
    <row r="164" spans="1:8" x14ac:dyDescent="0.25">
      <c r="A164" s="18">
        <v>6350</v>
      </c>
      <c r="B164" s="18" t="s">
        <v>187</v>
      </c>
      <c r="C164" s="18" t="s">
        <v>160</v>
      </c>
      <c r="D164" s="18" t="s">
        <v>411</v>
      </c>
      <c r="E164" s="18">
        <f>VLOOKUP(D:D,[1]ChartofAccounts!$A:$C,2,0)</f>
        <v>6350</v>
      </c>
      <c r="F164" s="18"/>
      <c r="G164" s="18"/>
      <c r="H164" s="18"/>
    </row>
    <row r="165" spans="1:8" x14ac:dyDescent="0.25">
      <c r="A165" s="18">
        <v>6355</v>
      </c>
      <c r="B165" s="18" t="s">
        <v>188</v>
      </c>
      <c r="C165" s="18" t="s">
        <v>160</v>
      </c>
      <c r="D165" s="18" t="s">
        <v>412</v>
      </c>
      <c r="E165" s="18">
        <f>VLOOKUP(D:D,[1]ChartofAccounts!$A:$C,2,0)</f>
        <v>6355</v>
      </c>
      <c r="F165" s="18"/>
      <c r="G165" s="18"/>
      <c r="H165" s="18"/>
    </row>
    <row r="166" spans="1:8" x14ac:dyDescent="0.25">
      <c r="A166" s="18">
        <v>6360</v>
      </c>
      <c r="B166" s="18" t="s">
        <v>189</v>
      </c>
      <c r="C166" s="18" t="s">
        <v>160</v>
      </c>
      <c r="D166" s="18" t="s">
        <v>413</v>
      </c>
      <c r="E166" s="18">
        <f>VLOOKUP(D:D,[1]ChartofAccounts!$A:$C,2,0)</f>
        <v>6360</v>
      </c>
      <c r="F166" s="18"/>
      <c r="G166" s="18"/>
      <c r="H166" s="18"/>
    </row>
    <row r="167" spans="1:8" x14ac:dyDescent="0.25">
      <c r="A167" s="18">
        <v>6400</v>
      </c>
      <c r="B167" s="18" t="s">
        <v>190</v>
      </c>
      <c r="C167" s="18" t="s">
        <v>160</v>
      </c>
      <c r="D167" s="18" t="s">
        <v>414</v>
      </c>
      <c r="E167" s="18">
        <f>VLOOKUP(D:D,[1]ChartofAccounts!$A:$C,2,0)</f>
        <v>6400</v>
      </c>
      <c r="F167" s="18"/>
      <c r="G167" s="18"/>
      <c r="H167" s="18"/>
    </row>
    <row r="168" spans="1:8" x14ac:dyDescent="0.25">
      <c r="A168" s="18">
        <v>6410</v>
      </c>
      <c r="B168" s="18" t="s">
        <v>191</v>
      </c>
      <c r="C168" s="18" t="s">
        <v>160</v>
      </c>
      <c r="D168" s="18" t="s">
        <v>415</v>
      </c>
      <c r="E168" s="18">
        <f>VLOOKUP(D:D,[1]ChartofAccounts!$A:$C,2,0)</f>
        <v>6410</v>
      </c>
      <c r="F168" s="18"/>
      <c r="G168" s="18"/>
      <c r="H168" s="18"/>
    </row>
    <row r="169" spans="1:8" x14ac:dyDescent="0.25">
      <c r="A169" s="18">
        <v>6500</v>
      </c>
      <c r="B169" s="18" t="s">
        <v>192</v>
      </c>
      <c r="C169" s="18" t="s">
        <v>160</v>
      </c>
      <c r="D169" s="18" t="s">
        <v>416</v>
      </c>
      <c r="E169" s="18">
        <f>VLOOKUP(D:D,[1]ChartofAccounts!$A:$C,2,0)</f>
        <v>6500</v>
      </c>
      <c r="F169" s="18"/>
      <c r="G169" s="18"/>
      <c r="H169" s="18"/>
    </row>
    <row r="170" spans="1:8" x14ac:dyDescent="0.25">
      <c r="A170" s="18">
        <v>6510</v>
      </c>
      <c r="B170" s="18" t="s">
        <v>193</v>
      </c>
      <c r="C170" s="18" t="s">
        <v>160</v>
      </c>
      <c r="D170" s="18" t="s">
        <v>417</v>
      </c>
      <c r="E170" s="18">
        <f>VLOOKUP(D:D,[1]ChartofAccounts!$A:$C,2,0)</f>
        <v>6510</v>
      </c>
      <c r="F170" s="18"/>
      <c r="G170" s="18"/>
      <c r="H170" s="18"/>
    </row>
    <row r="171" spans="1:8" x14ac:dyDescent="0.25">
      <c r="A171" s="18">
        <v>6520</v>
      </c>
      <c r="B171" s="18" t="s">
        <v>194</v>
      </c>
      <c r="C171" s="18" t="s">
        <v>160</v>
      </c>
      <c r="D171" s="18" t="s">
        <v>418</v>
      </c>
      <c r="E171" s="18">
        <f>VLOOKUP(D:D,[1]ChartofAccounts!$A:$C,2,0)</f>
        <v>6520</v>
      </c>
      <c r="F171" s="18"/>
      <c r="G171" s="18"/>
      <c r="H171" s="18"/>
    </row>
    <row r="172" spans="1:8" x14ac:dyDescent="0.25">
      <c r="A172" s="18">
        <v>6550</v>
      </c>
      <c r="B172" s="18" t="s">
        <v>195</v>
      </c>
      <c r="C172" s="18" t="s">
        <v>160</v>
      </c>
      <c r="D172" s="18" t="s">
        <v>419</v>
      </c>
      <c r="E172" s="18">
        <f>VLOOKUP(D:D,[1]ChartofAccounts!$A:$C,2,0)</f>
        <v>6550</v>
      </c>
      <c r="F172" s="18"/>
      <c r="G172" s="18"/>
      <c r="H172" s="18"/>
    </row>
    <row r="173" spans="1:8" x14ac:dyDescent="0.25">
      <c r="A173" s="18">
        <v>6560</v>
      </c>
      <c r="B173" s="18" t="s">
        <v>196</v>
      </c>
      <c r="C173" s="18" t="s">
        <v>160</v>
      </c>
      <c r="D173" s="18" t="s">
        <v>420</v>
      </c>
      <c r="E173" s="18">
        <f>VLOOKUP(D:D,[1]ChartofAccounts!$A:$C,2,0)</f>
        <v>6560</v>
      </c>
      <c r="F173" s="18"/>
      <c r="G173" s="18"/>
      <c r="H173" s="18"/>
    </row>
    <row r="174" spans="1:8" x14ac:dyDescent="0.25">
      <c r="A174" s="18">
        <v>6590</v>
      </c>
      <c r="B174" s="18" t="s">
        <v>197</v>
      </c>
      <c r="C174" s="18" t="s">
        <v>160</v>
      </c>
      <c r="D174" s="18" t="s">
        <v>421</v>
      </c>
      <c r="E174" s="18">
        <f>VLOOKUP(D:D,[1]ChartofAccounts!$A:$C,2,0)</f>
        <v>6590</v>
      </c>
      <c r="F174" s="18"/>
      <c r="G174" s="18"/>
      <c r="H174" s="18"/>
    </row>
    <row r="175" spans="1:8" x14ac:dyDescent="0.25">
      <c r="A175" s="18">
        <v>6595</v>
      </c>
      <c r="B175" s="18" t="s">
        <v>198</v>
      </c>
      <c r="C175" s="18" t="s">
        <v>160</v>
      </c>
      <c r="D175" s="18" t="s">
        <v>422</v>
      </c>
      <c r="E175" s="18">
        <f>VLOOKUP(D:D,[1]ChartofAccounts!$A:$C,2,0)</f>
        <v>6595</v>
      </c>
      <c r="F175" s="18"/>
      <c r="G175" s="18"/>
      <c r="H175" s="18"/>
    </row>
    <row r="176" spans="1:8" x14ac:dyDescent="0.25">
      <c r="A176" s="18">
        <v>6600</v>
      </c>
      <c r="B176" s="18" t="s">
        <v>199</v>
      </c>
      <c r="C176" s="18" t="s">
        <v>160</v>
      </c>
      <c r="D176" s="18" t="s">
        <v>423</v>
      </c>
      <c r="E176" s="18">
        <f>VLOOKUP(D:D,[1]ChartofAccounts!$A:$C,2,0)</f>
        <v>6600</v>
      </c>
      <c r="F176" s="18"/>
      <c r="G176" s="18"/>
      <c r="H176" s="18"/>
    </row>
    <row r="177" spans="1:8" x14ac:dyDescent="0.25">
      <c r="A177" s="18">
        <v>6602</v>
      </c>
      <c r="B177" s="18" t="s">
        <v>200</v>
      </c>
      <c r="C177" s="18" t="s">
        <v>160</v>
      </c>
      <c r="D177" s="18" t="s">
        <v>424</v>
      </c>
      <c r="E177" s="18">
        <f>VLOOKUP(D:D,[1]ChartofAccounts!$A:$C,2,0)</f>
        <v>6602</v>
      </c>
      <c r="F177" s="18"/>
      <c r="G177" s="18"/>
      <c r="H177" s="18"/>
    </row>
    <row r="178" spans="1:8" x14ac:dyDescent="0.25">
      <c r="A178" s="18">
        <v>6606</v>
      </c>
      <c r="B178" s="18" t="s">
        <v>201</v>
      </c>
      <c r="C178" s="18" t="s">
        <v>160</v>
      </c>
      <c r="D178" s="18" t="s">
        <v>425</v>
      </c>
      <c r="E178" s="18">
        <f>VLOOKUP(D:D,[1]ChartofAccounts!$A:$C,2,0)</f>
        <v>6606</v>
      </c>
      <c r="F178" s="18"/>
      <c r="G178" s="18"/>
      <c r="H178" s="18"/>
    </row>
    <row r="179" spans="1:8" x14ac:dyDescent="0.25">
      <c r="A179" s="18">
        <v>6610</v>
      </c>
      <c r="B179" s="18" t="s">
        <v>202</v>
      </c>
      <c r="C179" s="18" t="s">
        <v>160</v>
      </c>
      <c r="D179" s="18" t="s">
        <v>426</v>
      </c>
      <c r="E179" s="18">
        <f>VLOOKUP(D:D,[1]ChartofAccounts!$A:$C,2,0)</f>
        <v>6610</v>
      </c>
      <c r="F179" s="18"/>
      <c r="G179" s="18"/>
      <c r="H179" s="18"/>
    </row>
    <row r="180" spans="1:8" x14ac:dyDescent="0.25">
      <c r="A180" s="18">
        <v>6620</v>
      </c>
      <c r="B180" s="18" t="s">
        <v>203</v>
      </c>
      <c r="C180" s="18" t="s">
        <v>160</v>
      </c>
      <c r="D180" s="18" t="s">
        <v>427</v>
      </c>
      <c r="E180" s="18">
        <f>VLOOKUP(D:D,[1]ChartofAccounts!$A:$C,2,0)</f>
        <v>6620</v>
      </c>
      <c r="F180" s="18"/>
      <c r="G180" s="18"/>
      <c r="H180" s="18"/>
    </row>
    <row r="181" spans="1:8" x14ac:dyDescent="0.25">
      <c r="A181" s="18">
        <v>6630</v>
      </c>
      <c r="B181" s="18" t="s">
        <v>204</v>
      </c>
      <c r="C181" s="18" t="s">
        <v>160</v>
      </c>
      <c r="D181" s="18" t="s">
        <v>428</v>
      </c>
      <c r="E181" s="18">
        <f>VLOOKUP(D:D,[1]ChartofAccounts!$A:$C,2,0)</f>
        <v>6630</v>
      </c>
      <c r="F181" s="18"/>
      <c r="G181" s="18"/>
      <c r="H181" s="18"/>
    </row>
    <row r="182" spans="1:8" x14ac:dyDescent="0.25">
      <c r="A182" s="18">
        <v>6640</v>
      </c>
      <c r="B182" s="18" t="s">
        <v>205</v>
      </c>
      <c r="C182" s="18" t="s">
        <v>160</v>
      </c>
      <c r="D182" s="18" t="s">
        <v>429</v>
      </c>
      <c r="E182" s="18">
        <f>VLOOKUP(D:D,[1]ChartofAccounts!$A:$C,2,0)</f>
        <v>6640</v>
      </c>
      <c r="F182" s="18"/>
      <c r="G182" s="18"/>
      <c r="H182" s="18"/>
    </row>
    <row r="183" spans="1:8" x14ac:dyDescent="0.25">
      <c r="A183" s="18">
        <v>6700</v>
      </c>
      <c r="B183" s="18" t="s">
        <v>206</v>
      </c>
      <c r="C183" s="18" t="s">
        <v>160</v>
      </c>
      <c r="D183" s="18" t="s">
        <v>430</v>
      </c>
      <c r="E183" s="18">
        <f>VLOOKUP(D:D,[1]ChartofAccounts!$A:$C,2,0)</f>
        <v>6700</v>
      </c>
      <c r="F183" s="18"/>
      <c r="G183" s="18"/>
      <c r="H183" s="18"/>
    </row>
    <row r="184" spans="1:8" x14ac:dyDescent="0.25">
      <c r="A184" s="18">
        <v>6710</v>
      </c>
      <c r="B184" s="18" t="s">
        <v>207</v>
      </c>
      <c r="C184" s="18" t="s">
        <v>160</v>
      </c>
      <c r="D184" s="18" t="s">
        <v>431</v>
      </c>
      <c r="E184" s="18">
        <f>VLOOKUP(D:D,[1]ChartofAccounts!$A:$C,2,0)</f>
        <v>6710</v>
      </c>
      <c r="F184" s="18"/>
      <c r="G184" s="18"/>
      <c r="H184" s="18"/>
    </row>
    <row r="185" spans="1:8" x14ac:dyDescent="0.25">
      <c r="A185" s="18">
        <v>6720</v>
      </c>
      <c r="B185" s="18" t="s">
        <v>208</v>
      </c>
      <c r="C185" s="18" t="s">
        <v>160</v>
      </c>
      <c r="D185" s="18" t="s">
        <v>432</v>
      </c>
      <c r="E185" s="18">
        <f>VLOOKUP(D:D,[1]ChartofAccounts!$A:$C,2,0)</f>
        <v>6720</v>
      </c>
      <c r="F185" s="18"/>
      <c r="G185" s="18"/>
      <c r="H185" s="18"/>
    </row>
    <row r="186" spans="1:8" x14ac:dyDescent="0.25">
      <c r="A186" s="18">
        <v>6730</v>
      </c>
      <c r="B186" s="18" t="s">
        <v>209</v>
      </c>
      <c r="C186" s="18" t="s">
        <v>160</v>
      </c>
      <c r="D186" s="18" t="s">
        <v>433</v>
      </c>
      <c r="E186" s="18">
        <f>VLOOKUP(D:D,[1]ChartofAccounts!$A:$C,2,0)</f>
        <v>6730</v>
      </c>
      <c r="F186" s="18"/>
      <c r="G186" s="18"/>
      <c r="H186" s="18"/>
    </row>
    <row r="187" spans="1:8" x14ac:dyDescent="0.25">
      <c r="A187" s="18">
        <v>6740</v>
      </c>
      <c r="B187" s="18" t="s">
        <v>210</v>
      </c>
      <c r="C187" s="18" t="s">
        <v>160</v>
      </c>
      <c r="D187" s="18" t="s">
        <v>434</v>
      </c>
      <c r="E187" s="18">
        <f>VLOOKUP(D:D,[1]ChartofAccounts!$A:$C,2,0)</f>
        <v>6740</v>
      </c>
      <c r="F187" s="18"/>
      <c r="G187" s="18"/>
      <c r="H187" s="18"/>
    </row>
    <row r="188" spans="1:8" x14ac:dyDescent="0.25">
      <c r="A188" s="18">
        <v>6750</v>
      </c>
      <c r="B188" s="18" t="s">
        <v>211</v>
      </c>
      <c r="C188" s="18" t="s">
        <v>160</v>
      </c>
      <c r="D188" s="18" t="s">
        <v>435</v>
      </c>
      <c r="E188" s="18">
        <f>VLOOKUP(D:D,[1]ChartofAccounts!$A:$C,2,0)</f>
        <v>6750</v>
      </c>
      <c r="F188" s="18"/>
      <c r="G188" s="18"/>
      <c r="H188" s="18"/>
    </row>
    <row r="189" spans="1:8" x14ac:dyDescent="0.25">
      <c r="A189" s="18">
        <v>6760</v>
      </c>
      <c r="B189" s="18" t="s">
        <v>212</v>
      </c>
      <c r="C189" s="18" t="s">
        <v>160</v>
      </c>
      <c r="D189" s="18" t="s">
        <v>436</v>
      </c>
      <c r="E189" s="18">
        <f>VLOOKUP(D:D,[1]ChartofAccounts!$A:$C,2,0)</f>
        <v>6760</v>
      </c>
      <c r="F189" s="18"/>
      <c r="G189" s="18"/>
      <c r="H189" s="18"/>
    </row>
    <row r="190" spans="1:8" x14ac:dyDescent="0.25">
      <c r="A190" s="18">
        <v>6770</v>
      </c>
      <c r="B190" s="18" t="s">
        <v>213</v>
      </c>
      <c r="C190" s="18" t="s">
        <v>160</v>
      </c>
      <c r="D190" s="18" t="s">
        <v>437</v>
      </c>
      <c r="E190" s="18">
        <f>VLOOKUP(D:D,[1]ChartofAccounts!$A:$C,2,0)</f>
        <v>6770</v>
      </c>
      <c r="F190" s="18"/>
      <c r="G190" s="18"/>
      <c r="H190" s="18"/>
    </row>
    <row r="191" spans="1:8" x14ac:dyDescent="0.25">
      <c r="A191" s="18">
        <v>6790</v>
      </c>
      <c r="B191" s="18" t="s">
        <v>214</v>
      </c>
      <c r="C191" s="18" t="s">
        <v>160</v>
      </c>
      <c r="D191" s="18" t="s">
        <v>438</v>
      </c>
      <c r="E191" s="18">
        <f>VLOOKUP(D:D,[1]ChartofAccounts!$A:$C,2,0)</f>
        <v>6790</v>
      </c>
      <c r="F191" s="18"/>
      <c r="G191" s="18"/>
      <c r="H191" s="18"/>
    </row>
    <row r="192" spans="1:8" x14ac:dyDescent="0.25">
      <c r="A192" s="18">
        <v>6800</v>
      </c>
      <c r="B192" s="18" t="s">
        <v>215</v>
      </c>
      <c r="C192" s="18" t="s">
        <v>160</v>
      </c>
      <c r="D192" s="18" t="s">
        <v>439</v>
      </c>
      <c r="E192" s="18">
        <f>VLOOKUP(D:D,[1]ChartofAccounts!$A:$C,2,0)</f>
        <v>6800</v>
      </c>
      <c r="F192" s="18"/>
      <c r="G192" s="18"/>
      <c r="H192" s="18"/>
    </row>
    <row r="193" spans="1:8" x14ac:dyDescent="0.25">
      <c r="A193" s="18">
        <v>6840</v>
      </c>
      <c r="B193" s="18" t="s">
        <v>216</v>
      </c>
      <c r="C193" s="18" t="s">
        <v>160</v>
      </c>
      <c r="D193" s="18" t="s">
        <v>440</v>
      </c>
      <c r="E193" s="18">
        <f>VLOOKUP(D:D,[1]ChartofAccounts!$A:$C,2,0)</f>
        <v>6840</v>
      </c>
      <c r="F193" s="18"/>
      <c r="G193" s="18"/>
      <c r="H193" s="18"/>
    </row>
    <row r="194" spans="1:8" x14ac:dyDescent="0.25">
      <c r="A194" s="18">
        <v>7000</v>
      </c>
      <c r="B194" s="18" t="s">
        <v>217</v>
      </c>
      <c r="C194" s="18" t="s">
        <v>160</v>
      </c>
      <c r="D194" s="18" t="s">
        <v>441</v>
      </c>
      <c r="E194" s="18">
        <f>VLOOKUP(D:D,[1]ChartofAccounts!$A:$C,2,0)</f>
        <v>7000</v>
      </c>
      <c r="F194" s="18"/>
      <c r="G194" s="18"/>
      <c r="H194" s="18"/>
    </row>
    <row r="195" spans="1:8" x14ac:dyDescent="0.25">
      <c r="A195" s="18">
        <v>7020</v>
      </c>
      <c r="B195" s="18" t="s">
        <v>218</v>
      </c>
      <c r="C195" s="18" t="s">
        <v>160</v>
      </c>
      <c r="D195" s="18" t="s">
        <v>442</v>
      </c>
      <c r="E195" s="18">
        <f>VLOOKUP(D:D,[1]ChartofAccounts!$A:$C,2,0)</f>
        <v>7020</v>
      </c>
      <c r="F195" s="18"/>
      <c r="G195" s="18"/>
      <c r="H195" s="18"/>
    </row>
    <row r="196" spans="1:8" x14ac:dyDescent="0.25">
      <c r="A196" s="18">
        <v>7200</v>
      </c>
      <c r="B196" s="18" t="s">
        <v>219</v>
      </c>
      <c r="C196" s="18" t="s">
        <v>160</v>
      </c>
      <c r="D196" s="18" t="s">
        <v>443</v>
      </c>
      <c r="E196" s="18">
        <f>VLOOKUP(D:D,[1]ChartofAccounts!$A:$C,2,0)</f>
        <v>7200</v>
      </c>
      <c r="F196" s="18"/>
      <c r="G196" s="18"/>
      <c r="H196" s="18"/>
    </row>
    <row r="197" spans="1:8" x14ac:dyDescent="0.25">
      <c r="A197" s="18">
        <v>7220</v>
      </c>
      <c r="B197" s="18" t="s">
        <v>220</v>
      </c>
      <c r="C197" s="18" t="s">
        <v>160</v>
      </c>
      <c r="D197" s="18" t="s">
        <v>444</v>
      </c>
      <c r="E197" s="18">
        <f>VLOOKUP(D:D,[1]ChartofAccounts!$A:$C,2,0)</f>
        <v>7220</v>
      </c>
      <c r="F197" s="18"/>
      <c r="G197" s="18"/>
      <c r="H197" s="18"/>
    </row>
    <row r="198" spans="1:8" x14ac:dyDescent="0.25">
      <c r="A198" s="18">
        <v>7300</v>
      </c>
      <c r="B198" s="18" t="s">
        <v>221</v>
      </c>
      <c r="C198" s="18" t="s">
        <v>160</v>
      </c>
      <c r="D198" s="18" t="s">
        <v>445</v>
      </c>
      <c r="E198" s="18">
        <f>VLOOKUP(D:D,[1]ChartofAccounts!$A:$C,2,0)</f>
        <v>7300</v>
      </c>
      <c r="F198" s="18"/>
      <c r="G198" s="18"/>
      <c r="H198" s="18"/>
    </row>
    <row r="199" spans="1:8" x14ac:dyDescent="0.25">
      <c r="A199" s="18">
        <v>7320</v>
      </c>
      <c r="B199" s="18" t="s">
        <v>222</v>
      </c>
      <c r="C199" s="18" t="s">
        <v>160</v>
      </c>
      <c r="D199" s="18" t="s">
        <v>447</v>
      </c>
      <c r="E199" s="18">
        <f>VLOOKUP(D:D,[1]ChartofAccounts!$A:$C,2,0)</f>
        <v>7320</v>
      </c>
      <c r="F199" s="18"/>
      <c r="G199" s="18"/>
      <c r="H199" s="18"/>
    </row>
    <row r="200" spans="1:8" x14ac:dyDescent="0.25">
      <c r="A200" s="18">
        <v>7350</v>
      </c>
      <c r="B200" s="18" t="s">
        <v>223</v>
      </c>
      <c r="C200" s="18" t="s">
        <v>160</v>
      </c>
      <c r="D200" s="18" t="s">
        <v>446</v>
      </c>
      <c r="E200" s="18">
        <f>VLOOKUP(D:D,[1]ChartofAccounts!$A:$C,2,0)</f>
        <v>7350</v>
      </c>
      <c r="F200" s="18"/>
      <c r="G200" s="18"/>
      <c r="H200" s="18"/>
    </row>
  </sheetData>
  <autoFilter ref="A2:H2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 sqref="B1"/>
    </sheetView>
  </sheetViews>
  <sheetFormatPr defaultColWidth="11.44140625" defaultRowHeight="14.4" x14ac:dyDescent="0.3"/>
  <cols>
    <col min="1" max="1" width="16.77734375" customWidth="1"/>
    <col min="2" max="2" width="28.88671875" customWidth="1"/>
  </cols>
  <sheetData>
    <row r="1" spans="1:2" x14ac:dyDescent="0.3">
      <c r="A1" t="s">
        <v>224</v>
      </c>
      <c r="B1" s="17"/>
    </row>
    <row r="2" spans="1:2" x14ac:dyDescent="0.3">
      <c r="A2" t="s">
        <v>225</v>
      </c>
    </row>
  </sheetData>
  <pageMargins left="0.75" right="0.75" top="1" bottom="1" header="0.5" footer="0.5"/>
  <pageSetup orientation="portrait" horizontalDpi="0" verticalDpi="0"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74" sqref="C74"/>
    </sheetView>
  </sheetViews>
  <sheetFormatPr defaultRowHeight="14.4" x14ac:dyDescent="0.3"/>
  <cols>
    <col min="2" max="2" width="14.5546875" bestFit="1" customWidth="1"/>
    <col min="3" max="3" width="52.55468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8FAE7F-BC02-4E4D-9BD8-9B1D58330AB3}">
  <ds:schemaRefs>
    <ds:schemaRef ds:uri="http://schemas.microsoft.com/office/2006/documentManagement/types"/>
    <ds:schemaRef ds:uri="c051de78-37e6-4faf-ae05-7f74085637b9"/>
    <ds:schemaRef ds:uri="http://purl.org/dc/dcmitype/"/>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3B2617B2-A424-4A65-B0A8-6E393BFB1F88}">
  <ds:schemaRefs>
    <ds:schemaRef ds:uri="http://schemas.microsoft.com/sharepoint/v3/contenttype/forms"/>
  </ds:schemaRefs>
</ds:datastoreItem>
</file>

<file path=customXml/itemProps3.xml><?xml version="1.0" encoding="utf-8"?>
<ds:datastoreItem xmlns:ds="http://schemas.openxmlformats.org/officeDocument/2006/customXml" ds:itemID="{FDFDD714-7CA7-4D3B-AB26-B2740FF0D2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Discrepancies</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paapri</dc:creator>
  <cp:keywords/>
  <dc:description/>
  <cp:lastModifiedBy>paapr</cp:lastModifiedBy>
  <cp:revision/>
  <dcterms:created xsi:type="dcterms:W3CDTF">2019-07-12T20:03:20Z</dcterms:created>
  <dcterms:modified xsi:type="dcterms:W3CDTF">2023-01-11T09:33:24Z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