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paapr\OneDrive\Desktop\RANITA\SULLIVAN PROCESS CONTROLS\"/>
    </mc:Choice>
  </mc:AlternateContent>
  <xr:revisionPtr revIDLastSave="0" documentId="13_ncr:1_{B383BBD6-AE5E-4CF4-BEBF-29FCA7603548}" xr6:coauthVersionLast="47" xr6:coauthVersionMax="47" xr10:uidLastSave="{00000000-0000-0000-0000-000000000000}"/>
  <bookViews>
    <workbookView xWindow="-110" yWindow="-110" windowWidth="19420" windowHeight="10560" tabRatio="685" firstSheet="1" activeTab="1" xr2:uid="{00000000-000D-0000-FFFF-FFFF00000000}"/>
  </bookViews>
  <sheets>
    <sheet name="Summary" sheetId="8" r:id="rId1"/>
    <sheet name="Manufacturing" sheetId="10" r:id="rId2"/>
    <sheet name="Design to Build" sheetId="3" r:id="rId3"/>
    <sheet name="Record to Report" sheetId="11" r:id="rId4"/>
    <sheet name="Lead to Quote" sheetId="1" r:id="rId5"/>
    <sheet name="Order to Cash_Return to Credit" sheetId="2" r:id="rId6"/>
    <sheet name="Procure to Pay_Return to Debit" sheetId="4" r:id="rId7"/>
    <sheet name="Marketing to ROI" sheetId="5" r:id="rId8"/>
    <sheet name="Call to Resolution" sheetId="6" r:id="rId9"/>
  </sheets>
  <definedNames>
    <definedName name="_C2R_CUS01">'Call to Resolution'!$J$10:$J$10</definedName>
    <definedName name="_C2R01">'Call to Resolution'!$J$4:$J$5</definedName>
    <definedName name="_C2R02">'Call to Resolution'!$J$8:$J$9</definedName>
    <definedName name="_FA01">'Procure to Pay_Return to Debit'!#REF!</definedName>
    <definedName name="_FA02">'Procure to Pay_Return to Debit'!#REF!</definedName>
    <definedName name="_FA03">'Procure to Pay_Return to Debit'!#REF!</definedName>
    <definedName name="_MFG01">Manufacturing!$J$4:$J$5</definedName>
    <definedName name="_MFG02">Manufacturing!$J$8:$J$9</definedName>
    <definedName name="_MFG03">Manufacturing!$J$12:$J$14</definedName>
    <definedName name="_MFG04">Manufacturing!$J$17:$J$18</definedName>
    <definedName name="_MFG05">Manufacturing!#REF!</definedName>
    <definedName name="_MFG06">Manufacturing!#REF!</definedName>
    <definedName name="_R2C01">'Order to Cash_Return to Credit'!$J$21:$J$27</definedName>
    <definedName name="_R2C02">'Order to Cash_Return to Credit'!$J$28:$J$28</definedName>
    <definedName name="_R2R_CUS01">'Record to Report'!#REF!</definedName>
    <definedName name="_R2R01">'Record to Report'!$J$4:$J$6</definedName>
    <definedName name="_R2R02">'Record to Report'!$J$9:$J$14</definedName>
    <definedName name="_R2R03">'Record to Report'!$J$17:$J$21</definedName>
    <definedName name="_R2R04">'Record to Report'!$J$22:$J$22</definedName>
    <definedName name="_R2R05">'Record to Report'!$J$25:$J$28</definedName>
    <definedName name="_R2R06">'Record to Report'!$J$29:$J$29</definedName>
    <definedName name="_R2R07">'Record to Report'!$J$32:$J$36</definedName>
    <definedName name="_R2R08">'Record to Report'!#REF!</definedName>
    <definedName name="_R2R09">'Record to Report'!#REF!</definedName>
    <definedName name="_R2R10">'Record to Report'!#REF!</definedName>
    <definedName name="D2B_CUS01">'Design to Build'!#REF!</definedName>
    <definedName name="D2B01">'Design to Build'!$J$4:$J$5</definedName>
    <definedName name="D2B02">'Design to Build'!$J$8:$J$9</definedName>
    <definedName name="D2B03">'Design to Build'!$J$12:$J$15</definedName>
    <definedName name="D2B04">'Design to Build'!$J$18:$J$19</definedName>
    <definedName name="D2B05">'Design to Build'!$J$22:$J$23</definedName>
    <definedName name="D2B06">'Design to Build'!$J$26:$J$27</definedName>
    <definedName name="D2B07">'Design to Build'!$J$30:$J$31</definedName>
    <definedName name="D2B08">'Design to Build'!$J$34:$J$35</definedName>
    <definedName name="D2B09">'Design to Build'!$J$38:$J$39</definedName>
    <definedName name="D2B10">'Design to Build'!$J$42:$J$43</definedName>
    <definedName name="L2Q_CUS01">'Lead to Quote'!$J$11:$J$12</definedName>
    <definedName name="L2Q01">'Lead to Quote'!$J$4:$J$8</definedName>
    <definedName name="L2Q02">'Lead to Quote'!#REF!</definedName>
    <definedName name="L2Q03">'Lead to Quote'!#REF!</definedName>
    <definedName name="L2Q04">'Lead to Quote'!#REF!</definedName>
    <definedName name="L2Q05">'Lead to Quote'!#REF!</definedName>
    <definedName name="M2R_CUS01">'Marketing to ROI'!$J$9:$J$9</definedName>
    <definedName name="M2R01">'Marketing to ROI'!$J$6:$J$8</definedName>
    <definedName name="MFG_CUS01">Manufacturing!$J$21:$J$25</definedName>
    <definedName name="O2C_CUS01">'Order to Cash_Return to Credit'!#REF!</definedName>
    <definedName name="O2C01">'Order to Cash_Return to Credit'!$J$4:$J$12</definedName>
    <definedName name="O2C02">'Order to Cash_Return to Credit'!$J$15:$J$18</definedName>
    <definedName name="P2P_CUS01">'Procure to Pay_Return to Debit'!$J$51:$J$53</definedName>
    <definedName name="P2P01">'Procure to Pay_Return to Debit'!$J$4:$J$5</definedName>
    <definedName name="P2P02">'Procure to Pay_Return to Debit'!$J$8:$J$15</definedName>
    <definedName name="P2P03">'Procure to Pay_Return to Debit'!$J$18:$J$20</definedName>
    <definedName name="P2P04">'Procure to Pay_Return to Debit'!$J$23:$J$26</definedName>
    <definedName name="P2P05">'Procure to Pay_Return to Debit'!$J$29:$J$33</definedName>
    <definedName name="P2P06">'Procure to Pay_Return to Debit'!$J$36:$J$40</definedName>
    <definedName name="P2P07">'Procure to Pay_Return to Debit'!#REF!</definedName>
    <definedName name="P2P08">'Procure to Pay_Return to Debit'!#REF!</definedName>
    <definedName name="P2P09">'Procure to Pay_Return to Debit'!$J$43:$J$48</definedName>
    <definedName name="_xlnm.Print_Area" localSheetId="8">'Call to Resolution'!$C:$I</definedName>
    <definedName name="_xlnm.Print_Area" localSheetId="2">'Design to Build'!$C:$I</definedName>
    <definedName name="_xlnm.Print_Area" localSheetId="4">'Lead to Quote'!$E:$I</definedName>
    <definedName name="_xlnm.Print_Area" localSheetId="1">Manufacturing!$C:$I</definedName>
    <definedName name="_xlnm.Print_Area" localSheetId="7">'Marketing to ROI'!$C:$I</definedName>
    <definedName name="_xlnm.Print_Area" localSheetId="6">'Procure to Pay_Return to Debit'!$C:$I</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51" i="8" l="1"/>
  <c r="C26" i="8"/>
  <c r="C25" i="8"/>
  <c r="C24" i="8"/>
  <c r="C23" i="8"/>
  <c r="C22" i="8"/>
  <c r="C21" i="8"/>
  <c r="C20" i="8"/>
  <c r="C19" i="8"/>
  <c r="C18" i="8"/>
  <c r="C17" i="8"/>
  <c r="C16" i="8"/>
  <c r="C28" i="8"/>
  <c r="C29" i="8"/>
  <c r="C30" i="8"/>
  <c r="C31" i="8"/>
  <c r="C32" i="8"/>
  <c r="C33" i="8"/>
  <c r="C35" i="8"/>
  <c r="C36" i="8"/>
  <c r="C37" i="8"/>
  <c r="C47" i="8"/>
  <c r="C46" i="8"/>
  <c r="C45" i="8"/>
  <c r="C44" i="8"/>
  <c r="C43" i="8"/>
  <c r="C42" i="8"/>
  <c r="C54" i="8"/>
  <c r="C53" i="8"/>
  <c r="C52" i="8"/>
  <c r="C55" i="8"/>
  <c r="C50" i="8"/>
  <c r="C13" i="8"/>
  <c r="C12" i="8"/>
  <c r="C11" i="8"/>
  <c r="C10" i="8"/>
  <c r="C9" i="8"/>
  <c r="C8" i="8"/>
  <c r="C61" i="8"/>
  <c r="C60" i="8"/>
  <c r="C62" i="8"/>
  <c r="C58" i="8"/>
  <c r="C57" i="8"/>
  <c r="C48" i="8"/>
  <c r="C41" i="8"/>
  <c r="C14" i="8"/>
  <c r="C7" i="8"/>
  <c r="C6" i="8"/>
  <c r="C5" i="8"/>
  <c r="C4" i="8"/>
  <c r="C39" i="8"/>
</calcChain>
</file>

<file path=xl/sharedStrings.xml><?xml version="1.0" encoding="utf-8"?>
<sst xmlns="http://schemas.openxmlformats.org/spreadsheetml/2006/main" count="1603" uniqueCount="591">
  <si>
    <t>Summary of MFG Test Use Cases</t>
  </si>
  <si>
    <t>Case #</t>
  </si>
  <si>
    <t>Scenario</t>
  </si>
  <si>
    <t>Pass/Fail</t>
  </si>
  <si>
    <t>Notes</t>
  </si>
  <si>
    <t>DESIGN TO BUILD</t>
  </si>
  <si>
    <t>D2B01</t>
  </si>
  <si>
    <t>Design to Build: Create New Inventory Item</t>
  </si>
  <si>
    <t>D2B02</t>
  </si>
  <si>
    <t>Design to Build: Inventory Adjustment</t>
  </si>
  <si>
    <t>D2B03</t>
  </si>
  <si>
    <t>Design to Build: Transfer Inventory via Transfer Order</t>
  </si>
  <si>
    <t>D2B04</t>
  </si>
  <si>
    <t>Design to Build: Transfer Inventory</t>
  </si>
  <si>
    <t>D2B05</t>
  </si>
  <si>
    <t>Design to Build: Item Costing</t>
  </si>
  <si>
    <t>D2B06</t>
  </si>
  <si>
    <t>Design to Build: Build Assembly or Sub-Assembly</t>
  </si>
  <si>
    <t>D2B07</t>
  </si>
  <si>
    <t>Design to Build: Define Work Calendars</t>
  </si>
  <si>
    <t>(REMOVE FOR STD INCLUDING TESTS FROM TAB)</t>
  </si>
  <si>
    <t>D2B08</t>
  </si>
  <si>
    <t>Design to Build: Define Work Centers</t>
  </si>
  <si>
    <t>D2B09</t>
  </si>
  <si>
    <t>Design to Build: Create Cost Template</t>
  </si>
  <si>
    <t>D2B10</t>
  </si>
  <si>
    <t>Design to Build: Create Routing</t>
  </si>
  <si>
    <t>D2B_CUS01</t>
  </si>
  <si>
    <t>Design to Build: Custom: &lt;Consultant to complete this section…</t>
  </si>
  <si>
    <t>Pass/Fail formula may need to be corrected or delete this row</t>
  </si>
  <si>
    <t>RECORD TO REPORT</t>
  </si>
  <si>
    <t>R2R01</t>
  </si>
  <si>
    <t>Record to Report:  Validate Subsidiaries &amp; Segments</t>
  </si>
  <si>
    <t>R2R02</t>
  </si>
  <si>
    <t>Record to Report:  Accounting Setup</t>
  </si>
  <si>
    <t>R2R03</t>
  </si>
  <si>
    <t>Record to Report:  Validate Period Close</t>
  </si>
  <si>
    <t>R2R04</t>
  </si>
  <si>
    <t>Record to Report:  Exchange Rates</t>
  </si>
  <si>
    <t>R2R05</t>
  </si>
  <si>
    <t>Record to Report:  Journal Entry</t>
  </si>
  <si>
    <t>R2R06</t>
  </si>
  <si>
    <t>Record to Report:  Budgets</t>
  </si>
  <si>
    <t>R2R07</t>
  </si>
  <si>
    <t>Record to Report:  Reconcile Credit Card &amp; Bank Statements</t>
  </si>
  <si>
    <t>R2R08</t>
  </si>
  <si>
    <t>Record to Report:  Allocation Schedules</t>
  </si>
  <si>
    <t>R2R09</t>
  </si>
  <si>
    <t>Record to Report:  Amortization Templates</t>
  </si>
  <si>
    <t>R2R10</t>
  </si>
  <si>
    <t>Record to Report:  Intercompany Transactions</t>
  </si>
  <si>
    <t>R2R_CUS01</t>
  </si>
  <si>
    <t>Record to Report: Custom: &lt;Consultant to complete this section…</t>
  </si>
  <si>
    <t>LEAD TO QUOTE</t>
  </si>
  <si>
    <t>L2Q01</t>
  </si>
  <si>
    <t>Lead to Quote: Create and Manage Lead, Opportunity, Quote</t>
  </si>
  <si>
    <t>L2Q02</t>
  </si>
  <si>
    <t>Lead to Quote: Create Online Lead</t>
  </si>
  <si>
    <t>L2Q03</t>
  </si>
  <si>
    <t>Lead to Quote: Establish Quota</t>
  </si>
  <si>
    <t>L2Q04</t>
  </si>
  <si>
    <t>Lead to Quote: Manage Forecasts</t>
  </si>
  <si>
    <t>L2Q05</t>
  </si>
  <si>
    <t>Lead to Quote: Analyze Performance</t>
  </si>
  <si>
    <t>L2Q_CUS01</t>
  </si>
  <si>
    <t>Lead to Quote: Custom: &lt;Consultant to complete this section…</t>
  </si>
  <si>
    <t>ORDER TO CASH</t>
  </si>
  <si>
    <t>O2C01</t>
  </si>
  <si>
    <t>Order to Cash: Create Sales Order, Fulfill, Invoice</t>
  </si>
  <si>
    <t>O2C02</t>
  </si>
  <si>
    <t>Order to Cash: Customer Deposit</t>
  </si>
  <si>
    <t>R2C01</t>
  </si>
  <si>
    <t>Order to Cash: Customer Return - Credit</t>
  </si>
  <si>
    <t>R2C02</t>
  </si>
  <si>
    <t>Order to Cash: Customer Reurn - Replace</t>
  </si>
  <si>
    <t>O2C_CUS01</t>
  </si>
  <si>
    <t>Order to Cash: Custom: &lt;Consultant to complete this section…</t>
  </si>
  <si>
    <t>PROCURE TO PAY and FIXED ASSETS</t>
  </si>
  <si>
    <t>P2P01</t>
  </si>
  <si>
    <t>Procure to Pay: Create Vendor</t>
  </si>
  <si>
    <t>P2P02</t>
  </si>
  <si>
    <t>Procure to Pay: RFQ</t>
  </si>
  <si>
    <t>P2P03</t>
  </si>
  <si>
    <t>Procure to Pay: Demand Planning</t>
  </si>
  <si>
    <t>P2P04</t>
  </si>
  <si>
    <t>Procure to Pay: Vendor Prepayment</t>
  </si>
  <si>
    <t>P2P05</t>
  </si>
  <si>
    <t>Procure to Pay: Create Purchase Order</t>
  </si>
  <si>
    <t>P2P06</t>
  </si>
  <si>
    <t>Procure to Pay: Purchase Order from Order Items</t>
  </si>
  <si>
    <t>P2P09</t>
  </si>
  <si>
    <t>Procure to Pay: Vendor Return with Fulfillment</t>
  </si>
  <si>
    <t>P2P_CUS01</t>
  </si>
  <si>
    <t>Procure to Pay: Custom: &lt;Consultant to complete this section…</t>
  </si>
  <si>
    <t>MANUFACTURING</t>
  </si>
  <si>
    <t>MFG01</t>
  </si>
  <si>
    <t>Mfg: Create Work Order</t>
  </si>
  <si>
    <t>MFG02</t>
  </si>
  <si>
    <t>Mfg: Issue Materials</t>
  </si>
  <si>
    <t>MFG03</t>
  </si>
  <si>
    <t>Mfg: Report Production Completion</t>
  </si>
  <si>
    <t>MFG04</t>
  </si>
  <si>
    <t>Mfg: Work Order Close</t>
  </si>
  <si>
    <t>MFG06</t>
  </si>
  <si>
    <t>Mfg: Demand Planning</t>
  </si>
  <si>
    <t>MFG_CUS01</t>
  </si>
  <si>
    <t>Mfg: Custom: &lt;Consultant to complete this section…</t>
  </si>
  <si>
    <t>MARKETING</t>
  </si>
  <si>
    <t>M2R01</t>
  </si>
  <si>
    <t>Marketing to ROI: Manage Campaigns</t>
  </si>
  <si>
    <t>M2R_CUS01</t>
  </si>
  <si>
    <t>Marketing to ROI: Custom: &lt;Consultant to complete this section…</t>
  </si>
  <si>
    <t>CALL TO RESOLUTION</t>
  </si>
  <si>
    <t>C2R01</t>
  </si>
  <si>
    <t>Call to Resolution: Create New Case</t>
  </si>
  <si>
    <t>C2R02</t>
  </si>
  <si>
    <t>Call to Resolution: Update Existing Case</t>
  </si>
  <si>
    <t>C2R_CUS01</t>
  </si>
  <si>
    <t>Call to Resolution: Custom: &lt;Consultant to complete this section…</t>
  </si>
  <si>
    <t xml:space="preserve">Market </t>
  </si>
  <si>
    <t>Region</t>
  </si>
  <si>
    <t>Role</t>
  </si>
  <si>
    <t>Step #</t>
  </si>
  <si>
    <t>Step Name</t>
  </si>
  <si>
    <t>Step Instructions</t>
  </si>
  <si>
    <t>Verification</t>
  </si>
  <si>
    <t>Issue #</t>
  </si>
  <si>
    <t>User</t>
  </si>
  <si>
    <t>Iteration</t>
  </si>
  <si>
    <t>Transaction #</t>
  </si>
  <si>
    <t>Description:</t>
  </si>
  <si>
    <t>Manually create a work order for production</t>
  </si>
  <si>
    <t>MM</t>
  </si>
  <si>
    <t>NA</t>
  </si>
  <si>
    <t>Create Work Order</t>
  </si>
  <si>
    <t>Production Manager</t>
  </si>
  <si>
    <t>Step 1</t>
  </si>
  <si>
    <t>NOTE: prior to creating a work order validate the components have quantity on hand or do an inventory adjustment.
1. Navigate  to Transactions &gt; Manufacturing &gt; Enter Work Orders.
2. Select or enter the following information as it pertains to your business scenario:
   - Select subsidiary
   - Select assembly (or sub-assy if building to stock)
   - Enter quantity to build/assy
   - Set work order to released
3. Click Save.</t>
  </si>
  <si>
    <t xml:space="preserve">1. Work order is successfully Saved, can be found and updated.
2. Open the work order and validate the items on the Items subtab.
3. Print the BOM and validate the quantities required for each component and sub-assy (if any) are valid.
</t>
  </si>
  <si>
    <t>[Enter testing notes]</t>
  </si>
  <si>
    <t>Pass</t>
  </si>
  <si>
    <t>Mfg: Issue Components</t>
  </si>
  <si>
    <t>Issue components to the work order</t>
  </si>
  <si>
    <t>Demand Planning</t>
  </si>
  <si>
    <t>Production Operation</t>
  </si>
  <si>
    <t xml:space="preserve">Issue Components </t>
  </si>
  <si>
    <t>1. Locate the work order (most recent or enter in global search).
2. Click Issue Components button.
3. Click on the Components subtab.
4. Enter quantity if different than defaulted.
5. Click Save.</t>
  </si>
  <si>
    <t>1. Form properly saves transaction.
2. Validate the current quantity for the component items have reduced by the quantity issued.
3. Navigate to More Actions &gt; GL Impact and validate proper accounting including WIP has been recorded.</t>
  </si>
  <si>
    <r>
      <t>[Enter testing notes</t>
    </r>
    <r>
      <rPr>
        <sz val="10"/>
        <color theme="1"/>
        <rFont val="Calibri"/>
        <family val="2"/>
        <scheme val="minor"/>
      </rPr>
      <t>]</t>
    </r>
  </si>
  <si>
    <t>Report quantity completions at the operations</t>
  </si>
  <si>
    <t>Report Quantity Completions</t>
  </si>
  <si>
    <t>Enter Completion from Work Order</t>
  </si>
  <si>
    <t>1. Locate the work order (most recent or enter in global search).
2. Click Enter Completion button.
3. Navigate to the Operation Completion section.
4. Select/Enter:
   - Select Operation from the Starting Operation field
   - Select Operation from the Ending Operation field
   - Enter a partial quantity completed at these operations (more quantity completions to be recorded in Step 2.)
   - press the TAB key
5. Review the operations subtab and note the operations that can be edited and the calculated times.  Update times if applicable to reflect actual.
6. Click Save.</t>
  </si>
  <si>
    <t>1. Work order is found.
2. Completion form opens successfully, entry of data is successful and saved.
3. Validate GL Impact has moved labor, setup and overhead costs into the proper WIP account.</t>
  </si>
  <si>
    <t>Step 2</t>
  </si>
  <si>
    <t>Enter Completion from Operation Tasks</t>
  </si>
  <si>
    <t>1. Navigate to Transactions &gt; Manufacturing &gt; Manufacturing Operation Tasks.
2. Locate the Work Order operation tasks from a list, click View on the operation, and click Enter Completion button.
3. Select/Enter:
   - Select Operation from the Starting Operation field
   - Select Operation from the Ending Operation field
   - Enter a quantity completed at these operations 
   - press the TAB key
5. Review the operations subtab and note the operations that can be edited and the calculated times.  Update times if applicable to reflect actual.
6. Click Save.</t>
  </si>
  <si>
    <t>1. Work order and operations are found.
2. Completion form opens successfully, entry of data is successful and saved.
3. Validate GL Impact has moved labor, setup and overhead costs into the proper WIP account.</t>
  </si>
  <si>
    <t>Close Work Orders to finalize accounting for the order</t>
  </si>
  <si>
    <t>Purchase Order from Order Items</t>
  </si>
  <si>
    <t>Close Work Order</t>
  </si>
  <si>
    <t>1. Locate and view the Work Order.
2. Click the Close button.
3. Click Save.</t>
  </si>
  <si>
    <t>1. Work order is found, viewed, and Close successfully saves.
2. Validate the Components subtab information.
3. Validate the Routing Items subtab information.
4. Validate the GL Impact.  
5. Validate Work Order status is Closed.</t>
  </si>
  <si>
    <t>Supply Chain Manager</t>
  </si>
  <si>
    <t>Step 3</t>
  </si>
  <si>
    <t>Step 4</t>
  </si>
  <si>
    <t>1. The Purchase Order form opens.  
2. Transaction successfully saved and can be found, and updated.
3. Purchase Order status is Pending Approval or Receipt.  Note: if pending approval, have PO approved prior to moving to next step.</t>
  </si>
  <si>
    <t>Warehouse Operations</t>
  </si>
  <si>
    <t>Step 5</t>
  </si>
  <si>
    <t>1. From the home Dashboard, click on 'Orders to Receive' on the Reminders portlet.
2. On the Receive Order page, locate the Purchase Order created in Step 1 and click Receive. 
3. On the Item Receipt page, review the Item, Quantity, and Location. Once confirmed, click Save.</t>
  </si>
  <si>
    <t>1.  Receive Orders page opens.
2. Item Receipt page opens.
3. Transaction successfully saved and can be reviewed.
4.  Verify GL impact.</t>
  </si>
  <si>
    <t>Step 6</t>
  </si>
  <si>
    <t>Step 7</t>
  </si>
  <si>
    <t>Calculate Demand</t>
  </si>
  <si>
    <t>1. From the home Dashboard, click Item Demand Plan on the Navigation Portlet or from Transactions menu. 
2. In the header section of the page select the following values (as an example only - adjust appropriately for your business):
     - Location: [location that stores physical inventory]
     - Projection Method: Moving Average
     - Projection Interval: Monthly
     - Projection Duration: 6
     - Historical Analysis Duration: 12
3. Check the box next to one Item in the list. (NOTE: Only items using Time Phased replenishment method will appear in the list)
4. Click Submit. (If Demand Plans Already Exist window appears, then click Overwrite Current Quantities and Submit)
5. Click the View link for Item/Location to view the Demand Plan.</t>
  </si>
  <si>
    <t>1. Item Demand Plans form opens.
2. The Item selected appears in the list for the Location selected. Last Modified Date is current date.
3. Demand Plan displays. (NOTE: Moving Average calculates demand based on historical sales. If the Item selected does not have any historical sales, then the values may be blank.)</t>
  </si>
  <si>
    <t>Generate Supply Plan</t>
  </si>
  <si>
    <t>1. From the home Dashboard, click Item Supply Plan on the Navigation Portlet or from Transaction menu. 
2. In the header section of the page select the following values:
     - Uncheck Plan Through Distribution Network
     - Location: Select Location used in Step 1
     - Start Date: Use current date
     - End Date: Current Date + 6 months
3. Check the box next to the Item used in Step 1.
4. Click Submit.
5. In the green Confirmation bar, click the Job Status Page link to view the status of the job. If the job is In Progress, then click the Refresh button until is is Complete.
6. To view the Supply Plan, navigate to Demand Planning &gt; Run Demand Planning &gt; Item Supply Plans and locate the Item/Location in the list. Click View next to the Item/Location.</t>
  </si>
  <si>
    <t>1. Generate Item Supply Plan page opens.
2. Item Supply Plans being processed.
3. Supply Plan is caluclated.</t>
  </si>
  <si>
    <t>&lt;Add description&gt;</t>
  </si>
  <si>
    <t>&lt;Enter Role&gt;</t>
  </si>
  <si>
    <t xml:space="preserve">Include: </t>
  </si>
  <si>
    <t>Design to Build: Create new Inventory Item</t>
  </si>
  <si>
    <t>Manually create a new Inventory Item.</t>
  </si>
  <si>
    <t>PRM</t>
  </si>
  <si>
    <t>Create new Inventory Item</t>
  </si>
  <si>
    <t>Create Item</t>
  </si>
  <si>
    <t>1. From the Home Dashboard, click on the Item Management link in the Navigation Portlet. The New Item page opens.
2. Click on Inventory Item to select the type of item.  
3. Enter the following information:
     - Item Name/Number (on page header)
     - Display Name/Code (on page header)
     - Replenishment Method (on Inventory tab)
     - Transfer Ship Price (on Inventory tab)
     - List Price - Qty 0 column (on Pricing tab)
4. Record your entry details.
5. Click Save.</t>
  </si>
  <si>
    <t>1. New item form opens successfully and allows entry.
2. Item successfully Saved, can be viewed and edited.
*Note: all items must be created before attaching to assembly items for BOM.</t>
  </si>
  <si>
    <t>Manually adjust inventory.</t>
  </si>
  <si>
    <t>Create Inventory Adjustment</t>
  </si>
  <si>
    <t>Adjust Inventory</t>
  </si>
  <si>
    <t>1. From the Home Dashboard, click on the Inventory Adjustment link in the Navigation Portlet. The New Item page opens. Inventory Adjustment page opens.
2. Enter required information.
3. In the header section of the page, select an Adjustment Account (this is typically an expense account).
3. On the Adjustments tab select an Item, select a valid location, and enter
     - Adjust Qty. By a number
     - Unit Cost
4. Click the Add button on the line.
5. Click Save.</t>
  </si>
  <si>
    <t xml:space="preserve">1. Inventory adjustment form opens successfully.
2. Entries are entered successfully and transaction is saved.
3. Validate item is adjusted with both cost and quantity.
4. View and validate impact on the GL.  This may require viewing the transaction from the item.
</t>
  </si>
  <si>
    <t>Design to Build: Transfer Inventory - Transfer Order</t>
  </si>
  <si>
    <t>Enter Transfer Order, fulfill from source and receive at destination.</t>
  </si>
  <si>
    <t>Transfer Inventory - Transfer Order</t>
  </si>
  <si>
    <t>Enter Transfer Order</t>
  </si>
  <si>
    <t>1. From the home Dashboard, click the Transfer Order link in the Navigation Portlet. 
2. In the header section of the page, select the Source Location (use Location from D2B02) and Destination Location.
3. On the Items tab select the Item used in D2B02 and enter Quantity to be transfered.
4. Click the Add button.
5. Click Save.</t>
  </si>
  <si>
    <t>1. Transfer order form opens successfully.
2. Transaction successfully Saved and can be viewed.
2. Transfer Order status is Pending Fulfillment.</t>
  </si>
  <si>
    <t>Fulfill Transfer Order</t>
  </si>
  <si>
    <t>1. From the home Dashboard click Orders to Fulfill from the Reminders portlet.
2. On the Fulfill Orders page set Transaction Type to 'Transfer Order' and the Bulk Fulfill from Location to the Source Location from Step 1.
3. Click the Fulfill link for the Transfer Order created from Step 1. 
4. On the Item Fulfillment page, set Status = Shipped. Click Save.</t>
  </si>
  <si>
    <t>1. Item Fulfillment form opens.
2. Able to find the transfer order created earlier.
3. Transaction successfully Saved.</t>
  </si>
  <si>
    <r>
      <t xml:space="preserve">Include: </t>
    </r>
    <r>
      <rPr>
        <b/>
        <sz val="10"/>
        <color rgb="FFFF0000"/>
        <rFont val="Calibri"/>
        <family val="2"/>
        <scheme val="minor"/>
      </rPr>
      <t>Item Fulfillment Number</t>
    </r>
  </si>
  <si>
    <t>Receive Transfer Order</t>
  </si>
  <si>
    <t xml:space="preserve">1. From the home Dashboard click Orders to Receive from the Reminders portlet.
2. On the Receive Orders page click the Receive link for the Transfer Order created from Step 1. 
4. On the Item Receipt page, click Save.
</t>
  </si>
  <si>
    <t>1. Item Receipt page opens.
2. Transaction successfully Saved.
3. Validate quantity and any costs transfer (negative "from location" and positive "to location").</t>
  </si>
  <si>
    <r>
      <t xml:space="preserve">Include: </t>
    </r>
    <r>
      <rPr>
        <b/>
        <sz val="10"/>
        <color rgb="FFFF0000"/>
        <rFont val="Calibri"/>
        <family val="2"/>
        <scheme val="minor"/>
      </rPr>
      <t>Item Receipt Number</t>
    </r>
  </si>
  <si>
    <t>Design to Build: Inventory Transfer</t>
  </si>
  <si>
    <t>Manually enter a single inventory transfer.</t>
  </si>
  <si>
    <t>Inventory Transfer</t>
  </si>
  <si>
    <t>Enter Inventory Transfer</t>
  </si>
  <si>
    <t>1. Navigate to Inventory &gt; Inventory &gt; Transfer Inventory. Inventory Transfer page opens.
2. In the header section of the page select the From Location and To Location.
3. On the Items tab select the item used in D2B02 and enter Qty. To Transfer = 1.
4. Click the Add button on the line.
5. Click Save.</t>
  </si>
  <si>
    <t xml:space="preserve">1. Case successfully Saved.
2. Item Quantity on Hand has been reduced by 1 at the From Location and increased by 1 at the To Location. </t>
  </si>
  <si>
    <t>Update Inventory Item.</t>
  </si>
  <si>
    <t>Set Item Costing</t>
  </si>
  <si>
    <t>Update Item Cost</t>
  </si>
  <si>
    <t xml:space="preserve">1. Utilizing any of the search features, find the items you will be using for Manufacturing testing.  Or add items that will be needed for testing.
2. Select the item to update or verify costing method.  
3. Costing choices are: 
   - Average
   - Standard
   - Specific
   - FIFO
   - LIFO
   - Mixed (combines two or more of above)
4. Click Save.
</t>
  </si>
  <si>
    <t>1. New item form opens successfully and allows entry.
2. Item successfully Saved, item can be viewed and edited with appropriate costing method applied.</t>
  </si>
  <si>
    <t>Manually create a new Assembly or Sub-Assembly.</t>
  </si>
  <si>
    <t>Create Assembly or Sub-Assembly</t>
  </si>
  <si>
    <t>Engineer or Production Manager</t>
  </si>
  <si>
    <t>Create Assembly or Sub-Assy</t>
  </si>
  <si>
    <t xml:space="preserve">1.  Navigate to Inventory &gt; Items &gt; New.
2. Enter fields that pertain to your item (* asterik means required)
   - Item Name/Number
   - Description
   - Is item specific to subsidiary(ies) and/or locations?
3. Select on Purchasing/Inventory sub tab
   - Select costing method
   - Review fields to determine what is applicable to your item
   - If using WIP, check the WIP box for each location in the location chart
4. Select on the Components sub tab
   - select appropriate items for this sub-assy
   - enter the quantity required for each sub-assy 
5. Select the Accounting sub tab 
   - Update the GL accounts as appropriate
   - Select Tax Schedule (required)  
Note: some fields become mandatory when choosing Standard cost.
6. Click Save.
</t>
  </si>
  <si>
    <t>1. New item form opens successfully and allows entry.
2. Sub-assembly is successfully Saved, item can be viewed and edited; components are attached to sub-assy.</t>
  </si>
  <si>
    <t>Design to Build: Define Work Calendar(s)</t>
  </si>
  <si>
    <t>Define Work Calendar(s)</t>
  </si>
  <si>
    <t>Create Work Calendar(s)</t>
  </si>
  <si>
    <t xml:space="preserve">1.  Navigate to Lists &gt; Employees &gt; Work Calendars &gt; New.
2. Enter the following information: 
   - Calendar Name
   - Comments (is helpful to describe the calendar)
3. Navigate to Working Days subtab and enter:
   - Start time
   - Hours per day
   - Check the appropriate days of the week
4. Navigate to Non Working Days subtab and add:
   - Holidays
   - Specific company shutdown dates
5. Click Save
</t>
  </si>
  <si>
    <t>1. Calendar form opens successfully and allows entry.
2. The calendar(s)  can be viewed and edited. Note: non-working days can no longer be updated upon saving the calendar.</t>
  </si>
  <si>
    <t>Define Work Centers</t>
  </si>
  <si>
    <t>Create Work Centers</t>
  </si>
  <si>
    <t xml:space="preserve">1.  Navigate to Lists &gt; Relationships &gt; Groups &gt; New.
2. Select Static and select Employee.
3. Click Continue.
4. Enter the following:
   - Name of the work center
   -  Describe the work center in the comments
   -  Check Manufacturing Work Center checkbox
   -  Select the appropriate Department
5. Navigate to Members &gt; Group Members subtab and add employees to the list.
6.  Navigate to the Manufacturing Work Center Settings subtab:
   - Select appropriate subsidiaries
   - Enter number of Machine Resources (if any)
   - Enter number of Labor Resources (if any)
   - Select appropriate Work Calendar 
7. Click Save.
</t>
  </si>
  <si>
    <t xml:space="preserve">1. The form opens successfully and allows entry.
2. The work centers  can be viewed and edited. </t>
  </si>
  <si>
    <t>Create Cost Template</t>
  </si>
  <si>
    <t>1.  Navigate to Lists &gt; Supply Chain &gt; Manufacturing Cost Templates &gt; New.
2. Select appropriate subsidiary.
3. Enter the following information:
   - Cost template name
   - Details in the Memo field
   - Add appropriate cost categories (for example; Direct Labor, Training, Assy Burden, Service, or Other Charge types)
4. Click Save.</t>
  </si>
  <si>
    <t xml:space="preserve">1. The form opens successfully and allows entry.
2. The cost templates can be viewed and edited. </t>
  </si>
  <si>
    <t>Manually create a new Routing.</t>
  </si>
  <si>
    <t>Create a new Routing</t>
  </si>
  <si>
    <t>Create Routing</t>
  </si>
  <si>
    <t xml:space="preserve">1.  Navigate to Lists &gt; Supply Chain &gt; Manufacturing Routing &gt; New.
2. Select the appropriate information that pertain to your business.  
   - Subsidiary
   - Item 
   - Location
   - Enter an appropriate Name for the routing
   - Enter more details in the Memo field
3. Enter Operations
   - Enter Operation Sequence 
*Note leaving gaps in the numbering allows entry for changes for missed operations
   - Enter appropriate Operation Name
   - Select appropriate Manufacturing Work Center
   - Select appropriate Manufacturing Cost Template
   - Enter Setup Time, Run Rate
6. Click Save
</t>
  </si>
  <si>
    <t>1. New item form opens successfully and allows entry.
2. Using recent records, locate the assembly (or sub-assembly) item, navigate to the Manufacturing &gt; Manufacturing Routings subtab and validate the routing is associated with the item.</t>
  </si>
  <si>
    <t>Validate Subsidiary and Segmentation Setup</t>
  </si>
  <si>
    <t>Validate Subsidiaries &amp; Segments</t>
  </si>
  <si>
    <t>Validate Subsidiary Configuration</t>
  </si>
  <si>
    <t>1.  Validate Subsidiary structure is correct.
2.  Validate elimination subsidaries are configured.</t>
  </si>
  <si>
    <t>N/A</t>
  </si>
  <si>
    <t>Validate Classifications</t>
  </si>
  <si>
    <t>1. Validate Departments configured correctly
2.  Validate Locations configured correctly
3. Validate Classes configured correctly</t>
  </si>
  <si>
    <t>Confirm Accounting Setup</t>
  </si>
  <si>
    <t>General Ledger</t>
  </si>
  <si>
    <t xml:space="preserve">1.  Validate General Ledger Configuration and that it conforms to company requirements
2.  Ensure that there are no duplicate accounts
3. Ensure that bank accounts are limited to a single subsidiary
  </t>
  </si>
  <si>
    <t>Accounting Periods</t>
  </si>
  <si>
    <t>1.  Confirm that accounting periods have been configured</t>
  </si>
  <si>
    <t>Adminstrator</t>
  </si>
  <si>
    <t>1.  If OneWorld Account, validate Automated Intercompany Management features have been configured</t>
  </si>
  <si>
    <t>1.  If OneWorld Account, validate intercompany Accounts have been created</t>
  </si>
  <si>
    <t>1.  If OneWorld Account, validate intercompany customers and vendors have been created</t>
  </si>
  <si>
    <t>Validate Period Close</t>
  </si>
  <si>
    <t>Review &amp; Validate Period Close Checklist</t>
  </si>
  <si>
    <t>Review Period Close Checklist</t>
  </si>
  <si>
    <t>1. Ensure access to Inventory-Related tasks if applicable.</t>
  </si>
  <si>
    <t>Review OW-Related Tasks</t>
  </si>
  <si>
    <t>1. Ensure access to OW-Related tasks if applicable.</t>
  </si>
  <si>
    <t>Create Journal Entries</t>
  </si>
  <si>
    <t>Create &amp; Approve Journal Entries</t>
  </si>
  <si>
    <t>Enter Journal Entry</t>
  </si>
  <si>
    <t>Accouting Manager</t>
  </si>
  <si>
    <t>Approve Journal Entry</t>
  </si>
  <si>
    <t>Accounting Manager</t>
  </si>
  <si>
    <t>Create Intercompany Journal Entry</t>
  </si>
  <si>
    <t>Reconcile Bank and Credit Card statements using OFX, QFX or QIF format.</t>
  </si>
  <si>
    <t>Upload and Reconcile Bank Statements</t>
  </si>
  <si>
    <t>Import Online Banking Data</t>
  </si>
  <si>
    <t>Reconcile Bank Statement</t>
  </si>
  <si>
    <t>1. Bank statement successfully reconciled.</t>
  </si>
  <si>
    <t>Upload and Reconcile Credit Card Statements</t>
  </si>
  <si>
    <t>Reconcile Credit Card Statement</t>
  </si>
  <si>
    <t>1. Credit Card statement successfully reconciled.</t>
  </si>
  <si>
    <t>Enter Purchase Order</t>
  </si>
  <si>
    <t>Manually create a Lead record and then create an Opportunity and Quote.</t>
  </si>
  <si>
    <t>Create and Manage Lead, Opportunity, Quote</t>
  </si>
  <si>
    <t>Create Lead</t>
  </si>
  <si>
    <t>1. On the home dashboard page, click the Leads link under the Customer Relationship section of the Navigation Portlet; click New Lead button. 
Enter the following:
- Customer ID 
- Select Type = Company
- Company Name
- Select Sales Rep
- Email
2. Click Save.</t>
  </si>
  <si>
    <t>1. Lead successfully saved.
2. Able to edit Lead.</t>
  </si>
  <si>
    <r>
      <t xml:space="preserve">Include: </t>
    </r>
    <r>
      <rPr>
        <b/>
        <sz val="10"/>
        <color rgb="FFFF0000"/>
        <rFont val="Calibri"/>
        <family val="2"/>
        <scheme val="minor"/>
      </rPr>
      <t>Lead Id</t>
    </r>
  </si>
  <si>
    <t>Manage Lead</t>
  </si>
  <si>
    <t>1. Using recent records, edit the new Lead.
Enter the following:
- Add contact
- Add information about initial communications
2. Click Save.</t>
  </si>
  <si>
    <t>1. Updates successfully made and saved.</t>
  </si>
  <si>
    <t>Create Opportunity</t>
  </si>
  <si>
    <t>1. On the home dashboard page, click the Opportunities link under the Sales Transactions section of the Navigation Portlet. 
Enter the following:
- Company (select the Lead from Step 1)
- Add a line item to the Items tab either individual line or multiple items by clicking the Add Multiple button (select an item with Available quantity).
2. Click Save.</t>
  </si>
  <si>
    <t>1. Transaction successfully Saved.
2. Lead from Step 1 is converted to Prospect. 
  A) Return to dashboard and click on Leads - Lead is no longer there
  B) Return to dashboard and click on Prospects - Lead now appears as Prospect</t>
  </si>
  <si>
    <r>
      <t xml:space="preserve">Include: </t>
    </r>
    <r>
      <rPr>
        <b/>
        <sz val="10"/>
        <color rgb="FFFF0000"/>
        <rFont val="Calibri"/>
        <family val="2"/>
        <scheme val="minor"/>
      </rPr>
      <t>Opportunity Number</t>
    </r>
  </si>
  <si>
    <t>Create and Manage Quote</t>
  </si>
  <si>
    <t>1. From either the Opportunity list, turn on the In Line Edit or select Opportunity Review from the top menu, hover the mouse alongside the opportunity under the New column; select New Estimate.  
2. Click Save.</t>
  </si>
  <si>
    <t>1. Verify the correct Customer and Item information has been carried over.
2. Verify the opportunity status is changed to Issued Estimate.
3. Verify the estimate is now listed under Estimates.</t>
  </si>
  <si>
    <r>
      <t xml:space="preserve">Include: </t>
    </r>
    <r>
      <rPr>
        <b/>
        <sz val="10"/>
        <color rgb="FFFF0000"/>
        <rFont val="Calibri"/>
        <family val="2"/>
        <scheme val="minor"/>
      </rPr>
      <t>Quote Number</t>
    </r>
  </si>
  <si>
    <t>Sales Manager</t>
  </si>
  <si>
    <t>Manually convert Quote into a Sales Order, ship order, invoice, and accept customer payment.</t>
  </si>
  <si>
    <t>Create Sales Order, Fulfill, Invoice</t>
  </si>
  <si>
    <t>Validate Taxes are setup</t>
  </si>
  <si>
    <t>Verify or setup the following taxes for testing as appropriate for your business:
-Tax Agencies
-Tax Nexus'
-Tax Control Accounts
-Tax Types
-Tax Codes
-Tax Schedules</t>
  </si>
  <si>
    <t>1. Sales taxes are setup properly for testing during Order to Cash.</t>
  </si>
  <si>
    <t>Update Quote</t>
  </si>
  <si>
    <t>1. Navigate to Transactions &gt; Prepare Estimates &gt; List and click Edit next to an open Quote (status = Open).
2. From the Shipping tab, select a Shipping Carrier and Shipping method. Then, click the calculator button next to the Shipping Cost field to calculate the shipping cost.
3. Click Save.
4. Edit the customer to be taxable and have an appropriate address based upon the tax setup above.
NOTE: If possible, selecte a quote from Lead to Quote scenario L2Q01 with line items that have available inventory.</t>
  </si>
  <si>
    <t xml:space="preserve">1. Transaction successfully created, can be viewed and updated.
2. Sales tax is calculated properly and displays in the Summary box.
3. Shipping cost is properly calculated and reflected in the Summary box.
</t>
  </si>
  <si>
    <t>Convert Quote</t>
  </si>
  <si>
    <t>1. From the Quote record in the above step, click on the Sales Order button. Validate that the Quote information has been carried over to the Sales Order record.
2. Click Save.</t>
  </si>
  <si>
    <t>1. Transaction successfully updated.
2. Sales Order status is Pending Fulfillment.</t>
  </si>
  <si>
    <r>
      <t xml:space="preserve">Include: </t>
    </r>
    <r>
      <rPr>
        <b/>
        <sz val="10"/>
        <color rgb="FFFF0000"/>
        <rFont val="Calibri"/>
        <family val="2"/>
        <scheme val="minor"/>
      </rPr>
      <t>Sales Order Number</t>
    </r>
  </si>
  <si>
    <t>Pick Items</t>
  </si>
  <si>
    <t>1. Navigate to the Shipping tab and click on the Orders to Fulfill link in the Reminders portlet.
2. Locate the Sales Order and click Fulfill.
3. From the Item Fulfillment page, click Save.</t>
  </si>
  <si>
    <t>1. Transaction successfully saved.
2. Item Fulfillment status is Picked.</t>
  </si>
  <si>
    <t>Pack Items</t>
  </si>
  <si>
    <t>1. Navigate to the Shipping dashboard and click the Mark Orders Packed link from the Shipping Links portlet.
2. Click on the Date link for the Sales Order fulfillment from Step 3 to open the transaction record.
3. Click Mark Packed.</t>
  </si>
  <si>
    <t>1. Shipment successfully Packed.
2. Item Fulfillment status is Packed.</t>
  </si>
  <si>
    <t>Ship Items</t>
  </si>
  <si>
    <t>1. Navigate to the Shipping dashboard and click the Mark Orders Shipped link from the Shipping Links portlet.
2. Click on the Date link for the Sales Order fulfillment to open the transaction record.
3. Click Mark Shipped.</t>
  </si>
  <si>
    <t>1. Shipment succesfully Marked Shipped.
2. Item Fulfillment status is Shipped.
3. Shippin notification sent to Customer.
4. Sales Order status is Pending Billing.</t>
  </si>
  <si>
    <t>AR Analyst</t>
  </si>
  <si>
    <t>Invoice Order</t>
  </si>
  <si>
    <t>1. From the Home dashboard, click on the Sales Orders to Invoice reminder.
2. Locate the Sales Order from the list on the Bill Sales Order page and click the Invoice link.
3. On the Invoice page, validate the information and click Save &amp; Print.</t>
  </si>
  <si>
    <t>1. Invoice record is created.
2. Able to find, view, and update invoice.
3. Invoice PDF is created.</t>
  </si>
  <si>
    <r>
      <t xml:space="preserve">Include: </t>
    </r>
    <r>
      <rPr>
        <b/>
        <sz val="10"/>
        <color rgb="FFFF0000"/>
        <rFont val="Calibri"/>
        <family val="2"/>
        <scheme val="minor"/>
      </rPr>
      <t>Invoice Number</t>
    </r>
  </si>
  <si>
    <t>Step 8</t>
  </si>
  <si>
    <t>Process Payment</t>
  </si>
  <si>
    <t>1. Locate the Customer Invoice that was created earlier by typing the invoice number into the Global Search at the top of the page.
2. From the Invoice page, click the Accept Payment button.
3. On the Payment page, ensure that the Invoice is selected at the bottom of the page on the Apply subtab and the correct Payment amount is reflected.
4. Click Save.</t>
  </si>
  <si>
    <t>1. Transaction successfully Saved.
2. Payment record is Deposited.</t>
  </si>
  <si>
    <r>
      <t xml:space="preserve">Include: </t>
    </r>
    <r>
      <rPr>
        <b/>
        <sz val="10"/>
        <color rgb="FFFF0000"/>
        <rFont val="Calibri"/>
        <family val="2"/>
        <scheme val="minor"/>
      </rPr>
      <t>Payment Number</t>
    </r>
  </si>
  <si>
    <t>pass</t>
  </si>
  <si>
    <t>Enter Customer Deposit and Apply</t>
  </si>
  <si>
    <t>Enter and Apply Customer Deposit</t>
  </si>
  <si>
    <t>Record Customer Deposit: Customer Deposit Page</t>
  </si>
  <si>
    <t>1. Navigate to Transactions &gt; Customers &gt; Record Customer Deposits.
2. Enter/Select primary information:
   - Customer or Project
   - Payment Amount
   - Bank Account or Undep. Funds
   - Classifications
   - Payment Method
3. Click Save.</t>
  </si>
  <si>
    <t>1. Customer deposit is saved and can be viewed.
2. Validate GL Impact is accurate.</t>
  </si>
  <si>
    <r>
      <t xml:space="preserve">Include: </t>
    </r>
    <r>
      <rPr>
        <b/>
        <sz val="10"/>
        <color rgb="FFFF0000"/>
        <rFont val="Calibri"/>
        <family val="2"/>
        <scheme val="minor"/>
      </rPr>
      <t>Deposit Number</t>
    </r>
  </si>
  <si>
    <t>Alt 
Step 1</t>
  </si>
  <si>
    <t>Record Customer Deposit: Sales Order</t>
  </si>
  <si>
    <t>1. Upon saving the Sales Order, click the Create Deposit button.
2. Enter the appropriate information.
3. Click Save.
NOTE: Deposits created this way can only be applied to this order.  When you invoice this sales order, the reserved deposit is automatically applied.</t>
  </si>
  <si>
    <t>Apply Customer Deposit When Not Automatically Applied</t>
  </si>
  <si>
    <t>1. Navigate to Transactions &gt; Customers &gt; Record Customer Deposits &gt; List.
2. Click view next to the deposit to be applied.
3. Click apply on the customer deposit page.
4. Enter/Select required information and data pertaining to your business requirements.
5. Click the apply box next to the invoices you want to apply the deposit against (up to the total amount of the deposit).
6. Click save.</t>
  </si>
  <si>
    <t>1. Deposit is found.
2. Deposit is applied and invoice amount is reduced by amount applied.
3. Validate GL impact is accurate.</t>
  </si>
  <si>
    <r>
      <t xml:space="preserve">Include: </t>
    </r>
    <r>
      <rPr>
        <b/>
        <sz val="10"/>
        <color rgb="FFFF0000"/>
        <rFont val="Calibri"/>
        <family val="2"/>
        <scheme val="minor"/>
      </rPr>
      <t>Customer, Deposit, and</t>
    </r>
    <r>
      <rPr>
        <sz val="10"/>
        <color rgb="FFFF0000"/>
        <rFont val="Calibri"/>
        <family val="2"/>
        <scheme val="minor"/>
      </rPr>
      <t xml:space="preserve"> </t>
    </r>
    <r>
      <rPr>
        <b/>
        <sz val="10"/>
        <color rgb="FFFF0000"/>
        <rFont val="Calibri"/>
        <family val="2"/>
        <scheme val="minor"/>
      </rPr>
      <t>Invoice Number</t>
    </r>
  </si>
  <si>
    <t>Return to Credit: Customer Return - Credit</t>
  </si>
  <si>
    <t>Customer submits support case to return items. Item is received and credit applied</t>
  </si>
  <si>
    <t>Customer Return - Credit</t>
  </si>
  <si>
    <t>Customer Service</t>
  </si>
  <si>
    <t>Create Case</t>
  </si>
  <si>
    <t>1. From the home Dashboard, click New Case under Case Management on the Navigation Portlet.
2. Enter the following information:
     - Subject: Return for order in previous test  
     - Company (use company from Sales Order scenatio)
     - Item (select item from Sales Order scenario O2C01)
     - Invoice (select Invoice/Cash Sale record from previous test
     - Origin: Phone
     - Message (type a short message about the return for the Sales Rep to view)
3. Click Save.</t>
  </si>
  <si>
    <t>1. Case successfully created and able to be edited and viewed.</t>
  </si>
  <si>
    <r>
      <t xml:space="preserve">Include: </t>
    </r>
    <r>
      <rPr>
        <b/>
        <sz val="10"/>
        <color rgb="FFFF0000"/>
        <rFont val="Calibri"/>
        <family val="2"/>
        <scheme val="minor"/>
      </rPr>
      <t>Case Number</t>
    </r>
  </si>
  <si>
    <t>Create Return</t>
  </si>
  <si>
    <t>1. From the home Dashboard, click on 'Cases to Respond to' from the Reminders portlet.
2. View the case created above. Click on the Invoice/Cash Sale link in the Transaction field.
3. From the Invoice/Cash Sale record, review the record and then click the Aurhorize Return button.
4. On the new Return Authorization page, remove any line items that are not being returned leaving only the items and quantities being returned.
5. Click Save.</t>
  </si>
  <si>
    <t>1. Transaction successfully created.
2. Return Authorization status is Pending Approval.</t>
  </si>
  <si>
    <r>
      <t xml:space="preserve">Include: </t>
    </r>
    <r>
      <rPr>
        <b/>
        <sz val="10"/>
        <color rgb="FFFF0000"/>
        <rFont val="Calibri"/>
        <family val="2"/>
        <scheme val="minor"/>
      </rPr>
      <t>Return Authorization Number</t>
    </r>
  </si>
  <si>
    <t>Approve Return</t>
  </si>
  <si>
    <t>1. From the home Dashboard, click on 'Return Authorizations to Approve' from the Reminders portlet.
2. On the Approve Authorizations list, click the date field/link for the Return Authorization created in Step 2.
3. Review the Return Authorization and click the Approve Return button.</t>
  </si>
  <si>
    <t>1. Return Authorization successfully Approved.
2. Return Authorization status is Pending Receipt.</t>
  </si>
  <si>
    <t>Receive Items</t>
  </si>
  <si>
    <t>1. From the home Dashboard, click on 'Return Authorizations to Receive' from the Reminders portlet.
2. From the Receive Return Authorization list, click the date field/link for the Return Authorization created in Step 2 (Return Authorization page opens).
3. On the Return Authorization page, click the 'Receive' button.
4. On the Item Receipt page, review the record and, if necessary, adjust the Quantity and Location.
5. Click Save.</t>
  </si>
  <si>
    <t>1. Transaction successfully Saved.</t>
  </si>
  <si>
    <t>Credit Return</t>
  </si>
  <si>
    <t>1. On the home Dashboard, click 'Return Authorizations to Refund' from the Reminders portlet.
2. From the Refund Return Authorization list, click the date field/link for the Return Authorization created in Step 2 (Return Authorization page opens).
3. Review the Return Authorization to verify that the line item has been returned (Returned column) and then click the 'Refund' button (Credit Memo page opens).
4. Review the Credit Memo and click Save.</t>
  </si>
  <si>
    <t>1. Transaction successfully Saved.
2. Credit Memo status is Open.</t>
  </si>
  <si>
    <r>
      <t xml:space="preserve">Include: </t>
    </r>
    <r>
      <rPr>
        <b/>
        <sz val="10"/>
        <color rgb="FFFF0000"/>
        <rFont val="Calibri"/>
        <family val="2"/>
        <scheme val="minor"/>
      </rPr>
      <t>Credit Memo Number</t>
    </r>
  </si>
  <si>
    <t>Refund Customer</t>
  </si>
  <si>
    <t>1. On the Credit Memo page from Step 5, click the 'Refund' button (Customer Refund page opens).
2. On the Customer Refund page, click on the Refund Method tab and select Refund Method = Check.
3. Click Save.</t>
  </si>
  <si>
    <r>
      <t xml:space="preserve">Include: </t>
    </r>
    <r>
      <rPr>
        <b/>
        <sz val="10"/>
        <color rgb="FFFF0000"/>
        <rFont val="Calibri"/>
        <family val="2"/>
        <scheme val="minor"/>
      </rPr>
      <t>Customer Refund Number</t>
    </r>
  </si>
  <si>
    <t>Step 9</t>
  </si>
  <si>
    <t>Step 10</t>
  </si>
  <si>
    <t xml:space="preserve">Region </t>
  </si>
  <si>
    <t>Manually create vendor.</t>
  </si>
  <si>
    <t>Create Vendor</t>
  </si>
  <si>
    <t>1. Navigate to the Shortcuts menu and click on Vendors (Vendors page opens). Click the New Vendor button.
2. On the new Vendor page enter the mandatory fields in the header section and fields important to your business and this specific transaction.
3. On the Address tab, click the pencil icon in the Edit column to open the new address window. Complete address fields and click the OK button to close the new Address window. Click the Add button on the line.
4. Click Save.</t>
  </si>
  <si>
    <t>1. Vendor successfully Saved, can be found and updated.</t>
  </si>
  <si>
    <t>Procure to Pay: Request for Quote (RFQ)</t>
  </si>
  <si>
    <t>Manually create a Request for Quote, then Award Purchase Contract and Purchase.</t>
  </si>
  <si>
    <t>Request for Quote (RFQ)</t>
  </si>
  <si>
    <t>Create Request for Quote</t>
  </si>
  <si>
    <t>1. From the home Dashboard, click Request for Quote under the Navigation Portlet. Request for Quotes page opens.
2. Click the New Transaction button. Request for Quote page opens.
3. In the header section of the new Purchase Order page enter the following:
     - Location (where items will be received)
     - Bid Open Date (defaults to current date)
     - Bid Close Date (set to next day)
     - Start Date (set to one day after Bid Close Date)
4. On the Items tab, select an Item and add pricing tiers by clicking the plus sign (+) in the Additional Pricing column. Add tiers for 25 and 100.
5. On the Vendors column, add two Vendors* (vendors must have a  contact to whom the RFQ will be sent).
6. Click Save.
*NOTE: Crate two fictional test Vendors for this scenario.</t>
  </si>
  <si>
    <t>1.  Forms successfully open and allow entry.
2. Transaction successfully Saved, can be viewed and edited.</t>
  </si>
  <si>
    <t>Administrator</t>
  </si>
  <si>
    <t>Enter Vendor Quotes</t>
  </si>
  <si>
    <t>1. Go to test Vendor records in Step 1 and grant Vendor Center access to the Vendor Center using the Access sublist on the System Information tab.
2. Log into the Vendor Center for each Vendor using the fictional email address and password from the Vendor records.
3. On the Vendor Center home page, use the Transaction Search portlet to filter the Type = Vendor Request for Quote. Click Search.
4. On the Request for Quote Response page, click Edit. Then on the Additional Pricing column, click the pencil icon and fill in the Rate for each of the pre-defined quantity breaks. Click Add when all sections for the line are completed.
5. Repeat for each line the Vendor is providing a quote for.
6. Click Save to send the quote back to the buyer.
NOTE: You must wait until Bid Close Date to proceed to Step 3.</t>
  </si>
  <si>
    <t xml:space="preserve">1. Transaction successfully updated, Saved and sent back to buyer.
</t>
  </si>
  <si>
    <t>Award Quote</t>
  </si>
  <si>
    <t>1. From the home Dashboard, click on 'Request for Quotes' on the Navigation Portlet. The Request for Quotes page opens.
2. On the Request for Quotes page, click Edit next to the RFQ created in Step 1. The Request for Quote transaction opens in Edit mode.
3. Use the Awards subtab to analyze the Vendor responses and award Purchase Contracts to Vendors.
4. Click the Compare Vendors link to view a comparison of responses from Vendors. Select a Vendor, then check the Award check box on the line to award the item to a Purchase Contract for that Vendor.
5. Click Save.
* After the RFQ is saved, a Purchase Contract is created for all line items, one contract per Vendor. The Purchase Contract is populated with data from teh Vendor response for the line item.</t>
  </si>
  <si>
    <t>1. Request for Quote is successfully Saved.
2. Request for Quote status is Fully Awarded.</t>
  </si>
  <si>
    <t>1. From the home Dashboard, click Purchase Order on the Navigation Portlet. New Purchase Order page opens.
2. In the header section of the new Purchase Order page enter the following:
     - Vendor Name: Use Vendor awarded from Step 3
     - Location: Select location where items will be received
3. On the Items tab, select an Item from Step 1, enter Quantity = 25, and select Purchase Contract created from Step 3. Click the Add button on the line.
3. Click Save.</t>
  </si>
  <si>
    <t>1. Transaction successfully Saved.
2. Purchase Order status is Pending Receipt.</t>
  </si>
  <si>
    <t>Receive Purchase Order</t>
  </si>
  <si>
    <t>1. From the home Dashboard, click on 'Orders to Receive' on the Reminders portlet. Receive Orders page opens.
2. On the Receive Order page, locate the Purchase Order created in Step 1 and click Receive. Item Receipt page opens.
3. On the Item Receipt page, review the Item, Quantity, and Location. Once confirmed, click Save.</t>
  </si>
  <si>
    <t>1. Transaction successfully Saved.
2. Items are received.
3. Validate GL Impact for accuracy.</t>
  </si>
  <si>
    <t>AP Analyst</t>
  </si>
  <si>
    <t>Bill Purchase Order</t>
  </si>
  <si>
    <t>1. From the home Dashboard, click on 'Purchase Orders to Bill' on the Reminders portlet. Bill Purchase Orders page opens.
2. On the Bill Purchase Orders page, filter the list by selecting the Vendor used in Step 1. Then, click on the Date link for the Purchase Order being billed. The Purchase Order from Step 1 opens in View mode. Click the Bill button.
3. Review the Bill information, including Amount, Date, Posting Period, and Terms. Click Save.</t>
  </si>
  <si>
    <t>1. Purchase order is found for billing.
2. Transaction successfully Saved.
3. Bill status is Open.</t>
  </si>
  <si>
    <t>Pay Bill</t>
  </si>
  <si>
    <t>1. From the home Dashboard, click on 'Bills to Pay' from the Reminders portlet. Bill Payments page opens.
2. On the Bill Payments page, locate the Bill created in Step 3 and click the Bill link to open the Bill in View mode. Click the Make Payment button.
3. On the Bill Payment page, review the information in the header. Then, on the Apply tab verify that the Apply box is checked for the Bill and click Save.</t>
  </si>
  <si>
    <t>1. Transaction successfully Saved.
2. Vendor Bill status is Paid in Full.</t>
  </si>
  <si>
    <t>Calculate estimated demand to drive supply requirements.</t>
  </si>
  <si>
    <t>Enter Vendor Prepayment</t>
  </si>
  <si>
    <t>Vendor Prepayment</t>
  </si>
  <si>
    <t>Create Holding Account</t>
  </si>
  <si>
    <t>1. Navigate to Setup &gt; Accounting &gt; Manage G/L &gt; Chart of Accounts &gt; New.
2. Enter Other Current Asset in the type field.
3. If using account numbers, enter a number in the number field.
4. Enter a name in the name field; for example Temporary Holding.
5. Click Save.</t>
  </si>
  <si>
    <t>1. Chart of Accounts form opens successfully.
2. Entry of the new account is successful.
3. Account is saved to the chart of accounts.</t>
  </si>
  <si>
    <t>Write a Check</t>
  </si>
  <si>
    <t>1. Navigate to Transactions &gt; Bank &gt; Write Checks.
2. Select Vendor in the payee field.
3. Navigate to the Expenses subtab and in the Account column select the new account created above.
4. Enter the amount for the prepayment in the amount field.
5. Include any additional notes in the memo field.
6. Click Add.
7. Click Save.</t>
  </si>
  <si>
    <t>1. Form opens successfully.
2. Entry of the prepayment is successful.
3. Transaction is saved.</t>
  </si>
  <si>
    <t>Enter a Vendor Credit</t>
  </si>
  <si>
    <t>1. Navigate to Transactions &gt; Payables &gt; Enter Vendor Credits.
2. Select the vendor used in the steps above.
3. Navigate to the Expenses subtab and select the account number added in step 1.
4. Enter the prepayment amount in the amount column.
5. Click Add.
6. Click Save.
Note: When you receive the bill from the vendor, you can apply this credit.</t>
  </si>
  <si>
    <t>1. Form opens successfully.
2. Entry of the credit is successful.
3. Transaction is saved.
4. Validate the new account number created in Step 1 is cleared with a balance of zero.
5. Validate credit on the vendors account.
6. Validate Impact on GL is accurate.</t>
  </si>
  <si>
    <t>Manually create stand alone purchase order, receive items, create vendor bill.</t>
  </si>
  <si>
    <t>Create Purchase Order</t>
  </si>
  <si>
    <t>1. From the home Dashboard, click Purchase Order on the Navigation Portlet.
2. In the header section of the new Purchase Order page enter the required fields and information pertaining to your business.
3. On the Items tab, select an Item, Location, and enter Quantity. Click the Add button on the line.
4. Click Save.
NOTE: the Purchase Order status may be Pending Approval or Pending Receipt depending on your configuration.</t>
  </si>
  <si>
    <t>1. Transaction successfully Saved.
2. Bill status is Open.</t>
  </si>
  <si>
    <t>1. From the home Dashboard, click on 'Bills to Pay' from the Reminders portlet. 
2. On the Bill Payments page, locate the Bill created in Step 3 and click the Bill link to open the Bill in View mode. Click the Make Payment button.
3. On the Bill Payment page, review the information in the header. Then, on the Apply tab verify that the Apply box is checked for the Bill and click Save.</t>
  </si>
  <si>
    <t>1. Bill Payments page opens.
2. Transaction successfully Saved.
3. Vendor Bill status is Paid in Full.
4. Verify the GL Impact.</t>
  </si>
  <si>
    <t>Create purchase order from Order Items page.</t>
  </si>
  <si>
    <t>1. From the home Dashboard, click Order Items on the Navigation Portlet. 
2. On the Order Items page, select the Location where the order will be received. In the item list below, check the box for the item you plan to order.
3. Click Submit. 
4. Click Refresh until the Status is Complete.</t>
  </si>
  <si>
    <t>1. Order Items page opens.
2. Processed Purchase Orders page appears.
3. Status is Complete, a Purchase Order Number is generataed, and Approval Status is Pending Approval or Approved (depending on your configuration).
Note: if pending approval - obtain PO approval before moving to next step.</t>
  </si>
  <si>
    <t>1. From the home Dashboard, click on 'Orders to Receive' on the Reminders portlet. 
2. On the Receive Order page, locate the Purchase Order created in Step 1 and click Receive. Item Receipt page opens.
3. On the Item Receipt page, review the Item, Quantity, and Location. Once confirmed, click Save.</t>
  </si>
  <si>
    <t>1. Receive Orders page opens.
2. Transaction successfully Saved.
3. Verify GL impact is accurate.</t>
  </si>
  <si>
    <t>1. From the home Dashboard, click on 'Purchase Orders to Bill' on the Reminders portlet. 
2. On the Bill Purchase Orders page, filter the list by selecting the Vendor used in Step 1. Then, click on the Date link for the Purchase Order being billed. Click the Bill button.
3. Review the Bill information, including Amount, Date, Posting Period, and Terms. Click Save.</t>
  </si>
  <si>
    <t>1. Bill Purchase Orders page opens.
2. Transaction successfully Saved.
3. Bill status is Open.
4. Verify GL impact is accurate.</t>
  </si>
  <si>
    <t>1. Bill Payments page opens.
2. Transaction successfully Saved.
3. Vendor Bill status is Paid in Full.
4. Verify the GL Impact is accurate.</t>
  </si>
  <si>
    <t>Return to Debit: Vendor Return with Fulfillment</t>
  </si>
  <si>
    <t>Manually create a Vendor Return from a Vendor Bill.</t>
  </si>
  <si>
    <t>Vendor Return with Item Fulfillment</t>
  </si>
  <si>
    <t>Create Vendor Return Authorization</t>
  </si>
  <si>
    <t>1. Locate a the Vendor Bill created in scenario P2P03 by entering the bill number into the Global Search and clicking on the transaction. (This number was recorded in Step 3)
2. Click the Aurhoize Return button.
3. On the Vendor Return Authorization page, review the information and click Save.</t>
  </si>
  <si>
    <t>1. Transaction successfully Saved.
2. Screen returns to the Vendor Bill.</t>
  </si>
  <si>
    <t>Ship Vendor Return Authorization</t>
  </si>
  <si>
    <t>1. From the Home Dashboard, click on Vendor Return Authorizations to Return on the Reminders portlet. 
2. Click on the Date link next to the Return created in Step 1. 
3. Click the Return button. Item Fulfillment page opens.
4. Review the Item Fulfillment information and click Save.</t>
  </si>
  <si>
    <t>1. Ship Vendor Return Authorization form opens.
2. Vendor Return Authorization opens in View mode.
3. Transaction successfully Saved.
4. Verify GL impact is accurate.</t>
  </si>
  <si>
    <t>Credit Vendor Return</t>
  </si>
  <si>
    <t>1. From the Home Dashboard, click on Vendor Return Authorizations to Refund on the Reminders portlet. Refund 
2. Click on the Date link next to the Return created in Step 1. 
3. Click the Refund button. Bill Credit page opens.
4. Review the Bill Credit information and click Save.</t>
  </si>
  <si>
    <t>1. Vendor Return Authorization form opens.
2. Vendor Return Authorization opens in View mode.
3. Transaction successfully Saved.
4. Verify GL impact is accurate.</t>
  </si>
  <si>
    <t>Step 4 (Optional)</t>
  </si>
  <si>
    <t>Manage Vendor Refund: Deposit</t>
  </si>
  <si>
    <t>Optional Step - This step should be used if Vendor provides a refund.
1. Navigate to Financial &gt; Banking &gt; Maked Deposits. 
2. In the header section of the page, enter the following:
     - Account: Select a cash account to deposit the refund
     - Memo: Refund for R2C01
3. On the Deposits tab, select the Other Deposits sublist and enter the following onto the first line:
     - Name: Select Vendor used in the Vendor Return
     - Amount: Enter the amount from the Vendor Credit (Step 3)
     - Account: Select the Accounts Payable account from Step 3
     - Payment Method: Check
     - Number: Enter a fictional check number
4. Click Add on the line.
5. Click Save.</t>
  </si>
  <si>
    <t>1. Deposit form opens.
2. Transaction successfully Saved.
3. Verify GL impact is accurate.</t>
  </si>
  <si>
    <t>Step 5 (Optional)</t>
  </si>
  <si>
    <t>Manage Vendor Refund: Associate Credit to Deposit</t>
  </si>
  <si>
    <t>Optional Step - This step should follow Step 4 only if Vendor provides a refund.
1. Navigate to Vendors &gt; Accounts Payable &gt; Pay Single Vendor.
2. On the Bill Payment page, click the Apply check box next to the Bill Credit from Step 3 and Deposit from Step 3.
3. Click Save.</t>
  </si>
  <si>
    <t>1. Transaction successfully Saved
2. Bill Credit from Step 3 is applied.
3. Verify GL impact is accurate.</t>
  </si>
  <si>
    <t>Manually set up and execute an email campaign.</t>
  </si>
  <si>
    <t>Manage Campaigns</t>
  </si>
  <si>
    <t>Marketing Coordinator</t>
  </si>
  <si>
    <t>Set up Template</t>
  </si>
  <si>
    <r>
      <t xml:space="preserve">Include: </t>
    </r>
    <r>
      <rPr>
        <b/>
        <sz val="10"/>
        <color rgb="FFFF0000"/>
        <rFont val="Calibri"/>
        <family val="2"/>
        <scheme val="minor"/>
      </rPr>
      <t>Campaign Template Name</t>
    </r>
  </si>
  <si>
    <t>1. Group successfully Saved.
2. Group members are displayed in the list.</t>
  </si>
  <si>
    <r>
      <t xml:space="preserve">Include: </t>
    </r>
    <r>
      <rPr>
        <b/>
        <sz val="10"/>
        <color rgb="FFFF0000"/>
        <rFont val="Calibri"/>
        <family val="2"/>
        <scheme val="minor"/>
      </rPr>
      <t>Dynamic Customer Group Name</t>
    </r>
  </si>
  <si>
    <t>Set Up Campaign</t>
  </si>
  <si>
    <t>1. Campaign successfully saved and can be used.</t>
  </si>
  <si>
    <r>
      <t xml:space="preserve">Include: </t>
    </r>
    <r>
      <rPr>
        <b/>
        <sz val="10"/>
        <color rgb="FFFF0000"/>
        <rFont val="Calibri"/>
        <family val="2"/>
        <scheme val="minor"/>
      </rPr>
      <t>Marketing Campaign Name</t>
    </r>
  </si>
  <si>
    <t>Execute Campaign</t>
  </si>
  <si>
    <t>1. Statistics displays metrics for the Campaign.</t>
  </si>
  <si>
    <t>Manually enter a new support case.</t>
  </si>
  <si>
    <t>Create New Case</t>
  </si>
  <si>
    <t>1. Case successfully saved, can be viewed, and updated.</t>
  </si>
  <si>
    <t>Manually update existing support case.</t>
  </si>
  <si>
    <t>Update Case</t>
  </si>
  <si>
    <t>Create Quote</t>
  </si>
  <si>
    <t xml:space="preserve">1.Navigation --&gt; Transaction --&gt; Sales --&gt; Prepare Quote
2. Enter Customer,Location &amp; Item details
</t>
  </si>
  <si>
    <t>1. Verify the correct Customer and Item information has been carried over.
2. Verify the estimate is now listed under Estimates.</t>
  </si>
  <si>
    <t>Create Sales Order/Convert Quote</t>
  </si>
  <si>
    <t>Create Work Order from Sales Order</t>
  </si>
  <si>
    <t>Create Purchase Order from Work Order</t>
  </si>
  <si>
    <t xml:space="preserve">1.If any component which has been added at the Work Order level is not in stock,Item Source should be selected as Purchase Order
2.On Saving the Work Order,a Purchase Order will be auto created
3. Criteria for Purchase Order : preferred vendor and the purchase price should be provided at the item the record                                                                            </t>
  </si>
  <si>
    <t>Create Item reciept/Receive Purchase order</t>
  </si>
  <si>
    <t>Issue Components from Work Order</t>
  </si>
  <si>
    <t xml:space="preserve">1.Work Order will be created based on the Sales Order since in the sales order at the line level, the create WO check box was checked in
2. Validate the following information as it pertains to your business scenario:
   - Select subsidiary
   - Select assembly (or sub-assy if building to stock)
   - Enter quantity to build/assy
   - Set work order to released
3. Click Save.
</t>
  </si>
  <si>
    <t>Back to Work Order</t>
  </si>
  <si>
    <t>1. Locate the Sales Order and click Fulfill.
2. From the Item Fulfillment page, click Save.</t>
  </si>
  <si>
    <t>1. Again open the Item Fulfillment record
2. Click Mark Packed.</t>
  </si>
  <si>
    <t>1. Again open the Item Fulfillment record
2. Click Mark Shipped</t>
  </si>
  <si>
    <t>1.Change the status to Built</t>
  </si>
  <si>
    <t>Item Fulfillment/Fulfill Sale Order :  Pick Items</t>
  </si>
  <si>
    <t>Edit Quote</t>
  </si>
  <si>
    <t>Edit Sales Order</t>
  </si>
  <si>
    <t>&lt;Incoming MTR Capture&gt;</t>
  </si>
  <si>
    <t>&lt;Create Purchase Order&gt;</t>
  </si>
  <si>
    <t>&lt;Receive Purchase Order&gt;</t>
  </si>
  <si>
    <t>1.After saving the Item Receipt form,there will be a tab "Incoming MTR Capture"
2. Click on the Incoming MTR Capture button to attach the document with Item.
3. Incoming MTR Capture page will be open.To attach a document with an Item, click on Choose File button. Select the file and click on open. To save the document click on upload MTR.</t>
  </si>
  <si>
    <t>1. Under the MTR Capture tab, Incoming Capture Document history will be shown
2. To see the Incoming MTR Capture Report.Navigation:List -&gt;Custom -&gt;Incoming MTR Capture_</t>
  </si>
  <si>
    <t>&lt;PCT Configure&gt;</t>
  </si>
  <si>
    <t>1.Transaction -&gt; Custom -&gt; PCT Configure -&gt; New
2. In the PCT Configure record, select the Item Name, Customer Name, Order Qty, Mark Up percentage and Location.
Under Items subtab, select the Item and enter Quantity (Per Unit). Here Item means the components required to create the BOM. Item name should be unique.
3. Under Process Steps, subtab, enter the Processes, Time Per Unit (In Min).Under the Labour Costs subtab, enter the labour rate per min</t>
  </si>
  <si>
    <t>1. When record is saved, the Total Time to Process in Hours (Labor Cost) will get populated, which is basically the summation of time taken to complete each process steps
2. When the record is saved, the Final Selling Price will get calculated which is basically the total of Item Cost and labour Cost</t>
  </si>
  <si>
    <t>&lt;Create Quote&gt;</t>
  </si>
  <si>
    <r>
      <t>1. When Create Quote button is clicked, the new assembly item, BOM &amp; BOM revision will be created which can be found under the sub tab “Item details”
2.</t>
    </r>
    <r>
      <rPr>
        <b/>
        <sz val="10"/>
        <color theme="1"/>
        <rFont val="Calibri"/>
        <family val="2"/>
        <scheme val="minor"/>
      </rPr>
      <t>BOM</t>
    </r>
    <r>
      <rPr>
        <sz val="10"/>
        <color theme="1"/>
        <rFont val="Calibri"/>
        <family val="2"/>
        <scheme val="minor"/>
      </rPr>
      <t xml:space="preserve"> will be created with the same name as the PCT Configure record. 
For example, if the PCT Configure Record name is SPC PCT Configure Item, then the BOM name will be SPC PCT Configure Item -BOM.</t>
    </r>
    <r>
      <rPr>
        <b/>
        <sz val="10"/>
        <color theme="1"/>
        <rFont val="Calibri"/>
        <family val="2"/>
        <scheme val="minor"/>
      </rPr>
      <t>BOM Revision</t>
    </r>
    <r>
      <rPr>
        <sz val="10"/>
        <color theme="1"/>
        <rFont val="Calibri"/>
        <family val="2"/>
        <scheme val="minor"/>
      </rPr>
      <t xml:space="preserve"> will be created with the same name as the PCT Configure record. 
For example, if the PCT Configure Record name is SPC PCT Configure Item, then the BOM Revision name will be SPC PCT Configure Item -REV.</t>
    </r>
    <r>
      <rPr>
        <b/>
        <sz val="10"/>
        <color theme="1"/>
        <rFont val="Calibri"/>
        <family val="2"/>
        <scheme val="minor"/>
      </rPr>
      <t xml:space="preserve">Manufacturing Routing </t>
    </r>
    <r>
      <rPr>
        <sz val="10"/>
        <color theme="1"/>
        <rFont val="Calibri"/>
        <family val="2"/>
        <scheme val="minor"/>
      </rPr>
      <t>will be created with the same name as PCT Configure record. 
For example, if PCT Configure Record name is SPC PCT Configure Item, then the Manufacturing Routing name will be SPC PCT Configure Item -Routing.</t>
    </r>
  </si>
  <si>
    <r>
      <t xml:space="preserve">1.From the view mode of PCT Configure,click on CREATE QUOTE to create the BOM, BOM Revision, Assembly Item, and Quote.
2. From Linked Quote No.,Go to the Created Quote and provide necessary details
</t>
    </r>
    <r>
      <rPr>
        <b/>
        <sz val="10"/>
        <color theme="1"/>
        <rFont val="Calibri"/>
        <family val="2"/>
        <scheme val="minor"/>
      </rPr>
      <t>Note</t>
    </r>
    <r>
      <rPr>
        <sz val="10"/>
        <color theme="1"/>
        <rFont val="Calibri"/>
        <family val="2"/>
        <scheme val="minor"/>
      </rPr>
      <t xml:space="preserve"> : After creating the PCT Configure record it will be locked, if you want to change the configuration you have to create a new PCT Configure record.
The Subsidiary must be same for all the records.</t>
    </r>
  </si>
  <si>
    <t xml:space="preserve"> Remanfacturing Process</t>
  </si>
  <si>
    <t>Made to Order</t>
  </si>
  <si>
    <t>Lead to Quote: Quoting Main Products with Alternates</t>
  </si>
  <si>
    <t>&lt;Create Sales Order&gt;</t>
  </si>
  <si>
    <t>1. Transaction successfully updated.
2. Item can be added or removed from the Sales order record.                                                                         3. After creating the Sales order, the value of the Win/Loss Reason will change to WIN for the related quote.</t>
  </si>
  <si>
    <t>Repair Process</t>
  </si>
  <si>
    <t>1. From the home Dashboard, click on 'Orders to Receive' on the Reminders portlet. 
2. On the Receive Order page, locate the Purchase Order created in Step 4 and click Receive. Item Receipt page opens.
3. On the Item Receipt page, review the Item, Quantity, and Location. Once confirmed, click Save.</t>
  </si>
  <si>
    <t>1. Locate the Quote
2. Edit the Sales Price                                                                                                                                      3. Add a line item to add the repair charge item (If needed) 
4. Click Save.</t>
  </si>
  <si>
    <t>1. Locate the Sales Order
2. Edit the Sales Price                                                                                         3. Add a line item to add the other charge item  (If needed)   
4. Click Save.</t>
  </si>
  <si>
    <t>1. Shipment succesfully Marked Shipped.
2. Item Fulfillment status is Shipped.
3. Shipping notification sent to Customer.
4. Sales Order status is Pending Billing.</t>
  </si>
  <si>
    <t>Sales Person</t>
  </si>
  <si>
    <t>Purchasing Manager</t>
  </si>
  <si>
    <t>Purchase Manager</t>
  </si>
  <si>
    <t>Lead to Quote: PCT Configure</t>
  </si>
  <si>
    <t>&lt;Quoting Main products with Alternates&gt;</t>
  </si>
  <si>
    <r>
      <t xml:space="preserve">1. From the view mode of PCT Configure, click on CREATE QUOTE to create the BOM, BOM Revision, Assembly Item, and Quote.
2. From Linked Quote No., Go to the Created Quote and provide the necessary details
</t>
    </r>
    <r>
      <rPr>
        <b/>
        <sz val="10"/>
        <color theme="1"/>
        <rFont val="Calibri"/>
        <family val="2"/>
        <scheme val="minor"/>
      </rPr>
      <t>Note</t>
    </r>
    <r>
      <rPr>
        <sz val="10"/>
        <color theme="1"/>
        <rFont val="Calibri"/>
        <family val="2"/>
        <scheme val="minor"/>
      </rPr>
      <t xml:space="preserve">: After creating the PCT Configure record it will be locked, if you want to change the configuration you have to create a new PCT Configure record.
The Subsidiary must be the same for all the records.                             3. Under the Items subtab, add an </t>
    </r>
    <r>
      <rPr>
        <b/>
        <sz val="10"/>
        <color theme="1"/>
        <rFont val="Calibri"/>
        <family val="2"/>
        <scheme val="minor"/>
      </rPr>
      <t>Alternate Item</t>
    </r>
    <r>
      <rPr>
        <sz val="10"/>
        <color theme="1"/>
        <rFont val="Calibri"/>
        <family val="2"/>
        <scheme val="minor"/>
      </rPr>
      <t xml:space="preserve"> and select the Quantity and Price Level as Custom and put the price into </t>
    </r>
    <r>
      <rPr>
        <b/>
        <sz val="10"/>
        <color theme="1"/>
        <rFont val="Calibri"/>
        <family val="2"/>
        <scheme val="minor"/>
      </rPr>
      <t>Alternate Price</t>
    </r>
    <r>
      <rPr>
        <sz val="10"/>
        <color theme="1"/>
        <rFont val="Calibri"/>
        <family val="2"/>
        <scheme val="minor"/>
      </rPr>
      <t>, and</t>
    </r>
    <r>
      <rPr>
        <b/>
        <sz val="10"/>
        <color theme="1"/>
        <rFont val="Calibri"/>
        <family val="2"/>
        <scheme val="minor"/>
      </rPr>
      <t xml:space="preserve"> put 0 into Line Total</t>
    </r>
    <r>
      <rPr>
        <sz val="10"/>
        <color theme="1"/>
        <rFont val="Calibri"/>
        <family val="2"/>
        <scheme val="minor"/>
      </rPr>
      <t xml:space="preserve"> and the value of Alternate Total will get auto-populated.</t>
    </r>
  </si>
  <si>
    <r>
      <t>1. When Create Quote button is clicked, the new assembly item, BOM &amp; BOM revision will be created which can be found under the sub tab “Item details”
2.</t>
    </r>
    <r>
      <rPr>
        <b/>
        <sz val="10"/>
        <color theme="1"/>
        <rFont val="Calibri"/>
        <family val="2"/>
        <scheme val="minor"/>
      </rPr>
      <t>BOM</t>
    </r>
    <r>
      <rPr>
        <sz val="10"/>
        <color theme="1"/>
        <rFont val="Calibri"/>
        <family val="2"/>
        <scheme val="minor"/>
      </rPr>
      <t xml:space="preserve"> will be created with the same name as the PCT Configure record. 
For example, if the PCT Configure Record name is SPC PCT Configure Item, then the BOM name will be SPC PCT Configure Item -BOM.</t>
    </r>
    <r>
      <rPr>
        <b/>
        <sz val="10"/>
        <color theme="1"/>
        <rFont val="Calibri"/>
        <family val="2"/>
        <scheme val="minor"/>
      </rPr>
      <t>BOM Revision</t>
    </r>
    <r>
      <rPr>
        <sz val="10"/>
        <color theme="1"/>
        <rFont val="Calibri"/>
        <family val="2"/>
        <scheme val="minor"/>
      </rPr>
      <t xml:space="preserve"> will be created with the same name as the PCT Configure record. 
For example, if the PCT Configure Record name is SPC PCT Configure Item, then the BOM Revision name will be SPC PCT Configure Item -REV.</t>
    </r>
    <r>
      <rPr>
        <b/>
        <sz val="10"/>
        <color theme="1"/>
        <rFont val="Calibri"/>
        <family val="2"/>
        <scheme val="minor"/>
      </rPr>
      <t xml:space="preserve">Manufacturing Routing </t>
    </r>
    <r>
      <rPr>
        <sz val="10"/>
        <color theme="1"/>
        <rFont val="Calibri"/>
        <family val="2"/>
        <scheme val="minor"/>
      </rPr>
      <t>will be created with the same name as PCT Configure record. 
For example, if PCT Configure Record name is SPC PCT Configure Item, then the Manufacturing Routing name will be SPC PCT Configure Item -Routing.                                                                         3. After saving the quote record the quote total will be the total of the main product .                                                4. After saving the record, by default, the value of Win/Loss Reason will be LOSS.</t>
    </r>
  </si>
  <si>
    <t>Remanufacturing Process</t>
  </si>
  <si>
    <t>New Manufacturing Process</t>
  </si>
  <si>
    <t>Not Tested</t>
  </si>
  <si>
    <t>1. From the home Dashboard, click New Case under Case Management on the Navigation Portlet. Navigation -&gt; List-&gt; Support -&gt; Cases
2. Enter the following information:
     - Company (Put the name of the customer for whom the case is getting generated)
     - Subject: Call to Resolution scenario C2R01
     - Status 
     - Under Incident Information,provide Incident date,incident time,type and other required details
     - Assigned To: ( Select the employee to whom the case has been assigned to)
     - Under Communication tab,provide incoming message from customer ( if any),outgoing from Sales Rep (If any)
     - If Escalated,under escalated subtab,provided escalation message and escalatee's name
                                                                                                                                                                                                                                                                                                                                                                                                                                                                                3.Click Save.</t>
  </si>
  <si>
    <t>1. From the home Dashboard, click Cases to Respond to from the Reminders portlet.
2. On the Case Search page, click Edit next to the Case from scenario C2R01.
3. Enter the following information:
     - Status: Closed
     - Close Reason: 100% Answered
     - Reply: Bill due at end of month.
     - Send to Customer: Checked
4. Click Save.</t>
  </si>
  <si>
    <t xml:space="preserve">
1. To Return/Replace an Item
     - From view mode of Case,click on Search Transaction
     - Select the transaction to be Returned/Replaced
     - User will be directed to Sales Order/Return Authorization Page
                                                                                                                                                                                                                                                                                                                                                                                                                                                                                                                                                                                                                                                                                                                                                                                                                                                                                                                                                                                                                                                                                                                                                                                                                          </t>
  </si>
  <si>
    <t>Return/Replace an Item</t>
  </si>
  <si>
    <t>1. Navigate to Lists &gt; Marketing &gt; Marketing Templates &gt; New. 
2. Click on Campaign.
3. Select a Blank template layout.
4. Enter a Name and Description in the header section of the template.Put the Email Id from which the Mail will originate
5. On the Template subtab, enter the following:
     - Subject: &lt;subject line of the email message&gt;
     - In the Message area, type a short fictional marketing message. 
     **To insert a field in the template, select the record type in the Field Type dropdown, and select a field in the Insert Field dropdown.
6. Click Save.</t>
  </si>
  <si>
    <t>1. Select Type page appears.
2. Campaign Email Template (Scriptable) successfully saved and able to find.
3. Campaign Template appears in list.</t>
  </si>
  <si>
    <t>1. Navigate to List &gt; Relationship &gt; Groups &gt; New.
2. On the Create Group page, select Static and Customer. Click Continue.
3. On Create Static Customer Group, enter Group Name in the Name field. In the Members tab,Select Add Multiple to add Customers
4. Click Save.</t>
  </si>
  <si>
    <t>1. Navigate to List &gt; Marketing &gt; Marketing Campaigns &gt; New. New Marketing Campaign screen opens.
2. Enter the following values:
     - Title: Campaign Name
     - Category: Email
     - Set a Base Cost
     - Set an Expected Revenue
     - Select the Manager
3. From the Events subtab, enter an Email campaign with the following values:
     - Target Group: Put the group that has been created
     - Template: Put the template category and the template  created
     - Subscription: Marketing
     - Channel: Email
     - Status:Execute
     - Date: Current date (default)
4. Click Add.
5. Click Save.</t>
  </si>
  <si>
    <t>1. With the Status set to Execute, the Campaign will automatically run.
2. After the Campaign has been executed, navigate to the Marketing Campaign record and view the Statistics tab to see the results.</t>
  </si>
  <si>
    <t>1. Case successfully Saved</t>
  </si>
  <si>
    <t xml:space="preserve">Set Up Groups </t>
  </si>
  <si>
    <r>
      <t xml:space="preserve">Include: </t>
    </r>
    <r>
      <rPr>
        <b/>
        <sz val="18"/>
        <color rgb="FFFF0000"/>
        <rFont val="Calibri"/>
        <family val="2"/>
        <scheme val="minor"/>
      </rPr>
      <t>Vendor Name</t>
    </r>
  </si>
  <si>
    <r>
      <t xml:space="preserve">Include: </t>
    </r>
    <r>
      <rPr>
        <b/>
        <sz val="18"/>
        <color rgb="FFFF0000"/>
        <rFont val="Calibri"/>
        <family val="2"/>
        <scheme val="minor"/>
      </rPr>
      <t>Request for Quote Number</t>
    </r>
  </si>
  <si>
    <r>
      <t xml:space="preserve">Include: </t>
    </r>
    <r>
      <rPr>
        <b/>
        <sz val="18"/>
        <color rgb="FFFF0000"/>
        <rFont val="Calibri"/>
        <family val="2"/>
        <scheme val="minor"/>
      </rPr>
      <t>Rquest for Quote Response Numbers</t>
    </r>
  </si>
  <si>
    <r>
      <t xml:space="preserve">Include: </t>
    </r>
    <r>
      <rPr>
        <b/>
        <sz val="18"/>
        <color rgb="FFFF0000"/>
        <rFont val="Calibri"/>
        <family val="2"/>
        <scheme val="minor"/>
      </rPr>
      <t>Purchase Contract Number</t>
    </r>
  </si>
  <si>
    <r>
      <t xml:space="preserve">Include: </t>
    </r>
    <r>
      <rPr>
        <b/>
        <sz val="18"/>
        <color rgb="FFFF0000"/>
        <rFont val="Calibri"/>
        <family val="2"/>
        <scheme val="minor"/>
      </rPr>
      <t>Purchase Order Number, Vendor, Item</t>
    </r>
  </si>
  <si>
    <r>
      <t xml:space="preserve">Include: </t>
    </r>
    <r>
      <rPr>
        <b/>
        <sz val="18"/>
        <color rgb="FFFF0000"/>
        <rFont val="Calibri"/>
        <family val="2"/>
        <scheme val="minor"/>
      </rPr>
      <t>Item Receipt Number</t>
    </r>
  </si>
  <si>
    <r>
      <t xml:space="preserve">Include: </t>
    </r>
    <r>
      <rPr>
        <b/>
        <sz val="18"/>
        <color rgb="FFFF0000"/>
        <rFont val="Calibri"/>
        <family val="2"/>
        <scheme val="minor"/>
      </rPr>
      <t>Vendor Bill Number</t>
    </r>
  </si>
  <si>
    <r>
      <t xml:space="preserve">Include: </t>
    </r>
    <r>
      <rPr>
        <b/>
        <sz val="18"/>
        <color rgb="FFFF0000"/>
        <rFont val="Calibri"/>
        <family val="2"/>
        <scheme val="minor"/>
      </rPr>
      <t>Bill Payment Number</t>
    </r>
  </si>
  <si>
    <r>
      <t xml:space="preserve">Include: </t>
    </r>
    <r>
      <rPr>
        <b/>
        <sz val="18"/>
        <color rgb="FFFF0000"/>
        <rFont val="Calibri"/>
        <family val="2"/>
        <scheme val="minor"/>
      </rPr>
      <t>Item and Location</t>
    </r>
  </si>
  <si>
    <r>
      <t xml:space="preserve">Include: </t>
    </r>
    <r>
      <rPr>
        <b/>
        <sz val="18"/>
        <color rgb="FFFF0000"/>
        <rFont val="Calibri"/>
        <family val="2"/>
        <scheme val="minor"/>
      </rPr>
      <t>Vendor number</t>
    </r>
  </si>
  <si>
    <r>
      <t xml:space="preserve">Include: </t>
    </r>
    <r>
      <rPr>
        <b/>
        <sz val="18"/>
        <color rgb="FFFF0000"/>
        <rFont val="Calibri"/>
        <family val="2"/>
        <scheme val="minor"/>
      </rPr>
      <t>Check number</t>
    </r>
  </si>
  <si>
    <r>
      <t xml:space="preserve">Include: </t>
    </r>
    <r>
      <rPr>
        <b/>
        <sz val="18"/>
        <color rgb="FFFF0000"/>
        <rFont val="Calibri"/>
        <family val="2"/>
        <scheme val="minor"/>
      </rPr>
      <t>Purchase Order Number</t>
    </r>
  </si>
  <si>
    <r>
      <t xml:space="preserve">Include: </t>
    </r>
    <r>
      <rPr>
        <b/>
        <sz val="18"/>
        <color rgb="FFFF0000"/>
        <rFont val="Calibri"/>
        <family val="2"/>
        <scheme val="minor"/>
      </rPr>
      <t>Return Authorization Number</t>
    </r>
  </si>
  <si>
    <r>
      <t xml:space="preserve">Include: </t>
    </r>
    <r>
      <rPr>
        <b/>
        <sz val="18"/>
        <color rgb="FFFF0000"/>
        <rFont val="Calibri"/>
        <family val="2"/>
        <scheme val="minor"/>
      </rPr>
      <t>Item Fulfillment Number</t>
    </r>
  </si>
  <si>
    <r>
      <t xml:space="preserve">Include: </t>
    </r>
    <r>
      <rPr>
        <b/>
        <sz val="18"/>
        <color rgb="FFFF0000"/>
        <rFont val="Calibri"/>
        <family val="2"/>
        <scheme val="minor"/>
      </rPr>
      <t>Bill Credit Number</t>
    </r>
  </si>
  <si>
    <r>
      <t xml:space="preserve">Include: </t>
    </r>
    <r>
      <rPr>
        <b/>
        <sz val="18"/>
        <color rgb="FFFF0000"/>
        <rFont val="Calibri"/>
        <family val="2"/>
        <scheme val="minor"/>
      </rPr>
      <t>Deposit Number</t>
    </r>
  </si>
  <si>
    <t>Procure to Pay : Incoming MTR Capture</t>
  </si>
  <si>
    <r>
      <t xml:space="preserve">1.  Setup &gt; Other Setup &gt; </t>
    </r>
    <r>
      <rPr>
        <b/>
        <sz val="18"/>
        <color theme="1"/>
        <rFont val="Calibri"/>
        <family val="2"/>
        <scheme val="minor"/>
      </rPr>
      <t>Subsidiaries</t>
    </r>
  </si>
  <si>
    <r>
      <t xml:space="preserve">1. Financial &gt; Lists &gt; </t>
    </r>
    <r>
      <rPr>
        <b/>
        <sz val="18"/>
        <color theme="1"/>
        <rFont val="Calibri"/>
        <family val="2"/>
        <scheme val="minor"/>
      </rPr>
      <t xml:space="preserve">Departments
</t>
    </r>
    <r>
      <rPr>
        <sz val="18"/>
        <color theme="1"/>
        <rFont val="Calibri"/>
        <family val="2"/>
        <scheme val="minor"/>
      </rPr>
      <t xml:space="preserve">
2. Financial &gt; Lists &gt; </t>
    </r>
    <r>
      <rPr>
        <b/>
        <sz val="18"/>
        <color theme="1"/>
        <rFont val="Calibri"/>
        <family val="2"/>
        <scheme val="minor"/>
      </rPr>
      <t xml:space="preserve">Locations
</t>
    </r>
    <r>
      <rPr>
        <sz val="18"/>
        <color theme="1"/>
        <rFont val="Calibri"/>
        <family val="2"/>
        <scheme val="minor"/>
      </rPr>
      <t xml:space="preserve">
3. Financial &gt; Lists &gt; </t>
    </r>
    <r>
      <rPr>
        <b/>
        <sz val="18"/>
        <color theme="1"/>
        <rFont val="Calibri"/>
        <family val="2"/>
        <scheme val="minor"/>
      </rPr>
      <t>Classes</t>
    </r>
  </si>
  <si>
    <r>
      <t xml:space="preserve">1. Financial &gt; Lists &gt; </t>
    </r>
    <r>
      <rPr>
        <b/>
        <sz val="18"/>
        <color theme="1"/>
        <rFont val="Calibri"/>
        <family val="2"/>
        <scheme val="minor"/>
      </rPr>
      <t>Accounts</t>
    </r>
    <r>
      <rPr>
        <sz val="18"/>
        <color theme="1"/>
        <rFont val="Calibri"/>
        <family val="2"/>
        <scheme val="minor"/>
      </rPr>
      <t xml:space="preserve">
  </t>
    </r>
  </si>
  <si>
    <r>
      <t xml:space="preserve">1. Setup &gt; Accounting &gt; </t>
    </r>
    <r>
      <rPr>
        <b/>
        <sz val="18"/>
        <color theme="1"/>
        <rFont val="Calibri"/>
        <family val="2"/>
        <scheme val="minor"/>
      </rPr>
      <t>Manage Accounting Periods</t>
    </r>
  </si>
  <si>
    <r>
      <t xml:space="preserve">Intercompany Management </t>
    </r>
    <r>
      <rPr>
        <b/>
        <sz val="18"/>
        <color theme="1"/>
        <rFont val="Calibri"/>
        <family val="2"/>
        <scheme val="minor"/>
      </rPr>
      <t>[OW ONLY]</t>
    </r>
  </si>
  <si>
    <r>
      <t xml:space="preserve">1. Setup &gt; Company &gt; Enable Features &gt; Accounting Tab &gt; </t>
    </r>
    <r>
      <rPr>
        <b/>
        <sz val="18"/>
        <color theme="1"/>
        <rFont val="Calibri"/>
        <family val="2"/>
        <scheme val="minor"/>
      </rPr>
      <t>Automated Intercompany Management</t>
    </r>
  </si>
  <si>
    <r>
      <t xml:space="preserve">Intercompany Accounts </t>
    </r>
    <r>
      <rPr>
        <b/>
        <sz val="18"/>
        <color theme="1"/>
        <rFont val="Calibri"/>
        <family val="2"/>
        <scheme val="minor"/>
      </rPr>
      <t>[OW ONLY]</t>
    </r>
  </si>
  <si>
    <r>
      <t xml:space="preserve">Intercompany Customers &amp; Vendors </t>
    </r>
    <r>
      <rPr>
        <b/>
        <sz val="18"/>
        <color theme="1"/>
        <rFont val="Calibri"/>
        <family val="2"/>
        <scheme val="minor"/>
      </rPr>
      <t>[OW ONLY]</t>
    </r>
  </si>
  <si>
    <r>
      <t xml:space="preserve">1. Customers &gt; Lists &gt; </t>
    </r>
    <r>
      <rPr>
        <b/>
        <sz val="18"/>
        <color theme="1"/>
        <rFont val="Calibri"/>
        <family val="2"/>
        <scheme val="minor"/>
      </rPr>
      <t xml:space="preserve">Customers
</t>
    </r>
    <r>
      <rPr>
        <sz val="18"/>
        <color theme="1"/>
        <rFont val="Calibri"/>
        <family val="2"/>
        <scheme val="minor"/>
      </rPr>
      <t xml:space="preserve">2. Vendors &gt; Lists &gt; </t>
    </r>
    <r>
      <rPr>
        <b/>
        <sz val="18"/>
        <color theme="1"/>
        <rFont val="Calibri"/>
        <family val="2"/>
        <scheme val="minor"/>
      </rPr>
      <t>Vendors</t>
    </r>
  </si>
  <si>
    <r>
      <t xml:space="preserve">1.  Go to Setup &gt; Accounting &gt;  </t>
    </r>
    <r>
      <rPr>
        <b/>
        <sz val="18"/>
        <color theme="1"/>
        <rFont val="Calibri"/>
        <family val="2"/>
        <scheme val="minor"/>
      </rPr>
      <t xml:space="preserve">Manage Accounting Periods
</t>
    </r>
    <r>
      <rPr>
        <sz val="18"/>
        <color theme="1"/>
        <rFont val="Calibri"/>
        <family val="2"/>
        <scheme val="minor"/>
      </rPr>
      <t xml:space="preserve">
2.  Click the </t>
    </r>
    <r>
      <rPr>
        <b/>
        <sz val="18"/>
        <color theme="1"/>
        <rFont val="Calibri"/>
        <family val="2"/>
        <scheme val="minor"/>
      </rPr>
      <t>Checklist Icon</t>
    </r>
    <r>
      <rPr>
        <sz val="18"/>
        <color theme="1"/>
        <rFont val="Calibri"/>
        <family val="2"/>
        <scheme val="minor"/>
      </rPr>
      <t xml:space="preserve"> for a period
3.  Review the tasks in the checklist.  Tasks are listed in the order in which they should be completed. 
4.  To complete a task, click the </t>
    </r>
    <r>
      <rPr>
        <b/>
        <sz val="18"/>
        <color theme="1"/>
        <rFont val="Calibri"/>
        <family val="2"/>
        <scheme val="minor"/>
      </rPr>
      <t xml:space="preserve">Go to Task </t>
    </r>
    <r>
      <rPr>
        <sz val="18"/>
        <color theme="1"/>
        <rFont val="Calibri"/>
        <family val="2"/>
        <scheme val="minor"/>
      </rPr>
      <t xml:space="preserve">icon for the task.
</t>
    </r>
  </si>
  <si>
    <r>
      <t xml:space="preserve">1. Ensure access to </t>
    </r>
    <r>
      <rPr>
        <b/>
        <sz val="18"/>
        <color theme="1"/>
        <rFont val="Calibri"/>
        <family val="2"/>
        <scheme val="minor"/>
      </rPr>
      <t>Period Close Checklist</t>
    </r>
    <r>
      <rPr>
        <sz val="18"/>
        <color theme="1"/>
        <rFont val="Calibri"/>
        <family val="2"/>
        <scheme val="minor"/>
      </rPr>
      <t>.
2. Close prior periods as necessary after historical uploads have been completed.</t>
    </r>
  </si>
  <si>
    <r>
      <t xml:space="preserve">Include: </t>
    </r>
    <r>
      <rPr>
        <b/>
        <sz val="18"/>
        <color rgb="FFFF0000"/>
        <rFont val="Calibri"/>
        <family val="2"/>
        <scheme val="minor"/>
      </rPr>
      <t>Periods Closed [If Applicable]</t>
    </r>
  </si>
  <si>
    <r>
      <t xml:space="preserve">Review Inventory-Related Tasks </t>
    </r>
    <r>
      <rPr>
        <b/>
        <sz val="18"/>
        <color theme="1"/>
        <rFont val="Calibri"/>
        <family val="2"/>
        <scheme val="minor"/>
      </rPr>
      <t>[If Applicable]</t>
    </r>
  </si>
  <si>
    <r>
      <t xml:space="preserve">1.  Go to Setup &gt; Accounting &gt; </t>
    </r>
    <r>
      <rPr>
        <b/>
        <sz val="18"/>
        <color theme="1"/>
        <rFont val="Calibri"/>
        <family val="2"/>
        <scheme val="minor"/>
      </rPr>
      <t>Manage Accounting Periods</t>
    </r>
    <r>
      <rPr>
        <sz val="18"/>
        <color theme="1"/>
        <rFont val="Calibri"/>
        <family val="2"/>
        <scheme val="minor"/>
      </rPr>
      <t xml:space="preserve">
2. If you use the Inventory feature, the checklist may include these inventory tasks:
■ Resolve Date/Period Mismatches
■ Review Negative Inventory
■ Review Inventory Cost Accounting
■ Review Inventory Activity</t>
    </r>
  </si>
  <si>
    <r>
      <t xml:space="preserve">Review Multi-Currency -Related Tasks </t>
    </r>
    <r>
      <rPr>
        <b/>
        <sz val="18"/>
        <color theme="1"/>
        <rFont val="Calibri"/>
        <family val="2"/>
        <scheme val="minor"/>
      </rPr>
      <t>[If Applicable]</t>
    </r>
  </si>
  <si>
    <r>
      <t xml:space="preserve">1.  Go to Setup &gt; Accounting &gt;  </t>
    </r>
    <r>
      <rPr>
        <b/>
        <sz val="18"/>
        <color theme="1"/>
        <rFont val="Calibri"/>
        <family val="2"/>
        <scheme val="minor"/>
      </rPr>
      <t>Manage Accounting Periods</t>
    </r>
    <r>
      <rPr>
        <sz val="18"/>
        <color theme="1"/>
        <rFont val="Calibri"/>
        <family val="2"/>
        <scheme val="minor"/>
      </rPr>
      <t xml:space="preserve">
2.  If the account has multiple currencies enabled, click the icon for </t>
    </r>
    <r>
      <rPr>
        <b/>
        <sz val="18"/>
        <color theme="1"/>
        <rFont val="Calibri"/>
        <family val="2"/>
        <scheme val="minor"/>
      </rPr>
      <t>Calculate Consolidated Exchange Rate</t>
    </r>
    <r>
      <rPr>
        <sz val="18"/>
        <color theme="1"/>
        <rFont val="Calibri"/>
        <family val="2"/>
        <scheme val="minor"/>
      </rPr>
      <t xml:space="preserve">s and </t>
    </r>
    <r>
      <rPr>
        <b/>
        <sz val="18"/>
        <color theme="1"/>
        <rFont val="Calibri"/>
        <family val="2"/>
        <scheme val="minor"/>
      </rPr>
      <t>Revalue Open Foreign Currency Balances</t>
    </r>
    <r>
      <rPr>
        <sz val="18"/>
        <color theme="1"/>
        <rFont val="Calibri"/>
        <family val="2"/>
        <scheme val="minor"/>
      </rPr>
      <t>.
3. Click</t>
    </r>
    <r>
      <rPr>
        <b/>
        <sz val="18"/>
        <color theme="1"/>
        <rFont val="Calibri"/>
        <family val="2"/>
        <scheme val="minor"/>
      </rPr>
      <t xml:space="preserve"> Currency Revaluation</t>
    </r>
    <r>
      <rPr>
        <sz val="18"/>
        <color theme="1"/>
        <rFont val="Calibri"/>
        <family val="2"/>
        <scheme val="minor"/>
      </rPr>
      <t xml:space="preserve"> to go to the </t>
    </r>
    <r>
      <rPr>
        <b/>
        <sz val="18"/>
        <color theme="1"/>
        <rFont val="Calibri"/>
        <family val="2"/>
        <scheme val="minor"/>
      </rPr>
      <t>Select Accounts to Revalue</t>
    </r>
    <r>
      <rPr>
        <sz val="18"/>
        <color theme="1"/>
        <rFont val="Calibri"/>
        <family val="2"/>
        <scheme val="minor"/>
      </rPr>
      <t xml:space="preserve"> page and complete this process. 
4. In a NetSuite OneWorld account, you must complete revaluation for each subsidiary. Go to the </t>
    </r>
    <r>
      <rPr>
        <b/>
        <sz val="18"/>
        <color theme="1"/>
        <rFont val="Calibri"/>
        <family val="2"/>
        <scheme val="minor"/>
      </rPr>
      <t>Select Accounts to Revalue</t>
    </r>
    <r>
      <rPr>
        <sz val="18"/>
        <color theme="1"/>
        <rFont val="Calibri"/>
        <family val="2"/>
        <scheme val="minor"/>
      </rPr>
      <t xml:space="preserve"> page to select each subsidiary and complete the task. Depending upon your account, you may revisit this page multiple times. Complete revaluation before closing the period.
5.  If your revaluation is finished, click </t>
    </r>
    <r>
      <rPr>
        <b/>
        <sz val="18"/>
        <color theme="1"/>
        <rFont val="Calibri"/>
        <family val="2"/>
        <scheme val="minor"/>
      </rPr>
      <t xml:space="preserve">Mark Task Complete. </t>
    </r>
    <r>
      <rPr>
        <sz val="18"/>
        <color theme="1"/>
        <rFont val="Calibri"/>
        <family val="2"/>
        <scheme val="minor"/>
      </rPr>
      <t>If you have previously marked this task complete but must do more work, click</t>
    </r>
    <r>
      <rPr>
        <b/>
        <sz val="18"/>
        <color theme="1"/>
        <rFont val="Calibri"/>
        <family val="2"/>
        <scheme val="minor"/>
      </rPr>
      <t xml:space="preserve"> Mark Task In Progress. </t>
    </r>
    <r>
      <rPr>
        <sz val="18"/>
        <color theme="1"/>
        <rFont val="Calibri"/>
        <family val="2"/>
        <scheme val="minor"/>
      </rPr>
      <t>To go back to the checklist page, click</t>
    </r>
    <r>
      <rPr>
        <b/>
        <sz val="18"/>
        <color theme="1"/>
        <rFont val="Calibri"/>
        <family val="2"/>
        <scheme val="minor"/>
      </rPr>
      <t xml:space="preserve"> Cancel.</t>
    </r>
  </si>
  <si>
    <r>
      <t xml:space="preserve">1.  Ensure Access to Multi-Currency Related tasks if applicable.
</t>
    </r>
    <r>
      <rPr>
        <b/>
        <sz val="18"/>
        <color rgb="FFFF0000"/>
        <rFont val="Calibri"/>
        <family val="2"/>
        <scheme val="minor"/>
      </rPr>
      <t>NOTE: You must have the Currency Revaluation permission as well as the Override Period
Restrictions permission to complete this task for the subsidiaries you can access.</t>
    </r>
    <r>
      <rPr>
        <sz val="18"/>
        <color theme="1"/>
        <rFont val="Calibri"/>
        <family val="2"/>
        <scheme val="minor"/>
      </rPr>
      <t xml:space="preserve">
</t>
    </r>
  </si>
  <si>
    <r>
      <t xml:space="preserve">1.  Go to Setup &gt; Accounting &gt; </t>
    </r>
    <r>
      <rPr>
        <b/>
        <sz val="18"/>
        <color theme="1"/>
        <rFont val="Calibri"/>
        <family val="2"/>
        <scheme val="minor"/>
      </rPr>
      <t>Manage Accounting Periods</t>
    </r>
    <r>
      <rPr>
        <sz val="18"/>
        <color theme="1"/>
        <rFont val="Calibri"/>
        <family val="2"/>
        <scheme val="minor"/>
      </rPr>
      <t xml:space="preserve">
2.  Click the icon for </t>
    </r>
    <r>
      <rPr>
        <b/>
        <sz val="18"/>
        <color theme="1"/>
        <rFont val="Calibri"/>
        <family val="2"/>
        <scheme val="minor"/>
      </rPr>
      <t xml:space="preserve">Eliminate Intercompany Transactions. </t>
    </r>
    <r>
      <rPr>
        <sz val="18"/>
        <color theme="1"/>
        <rFont val="Calibri"/>
        <family val="2"/>
        <scheme val="minor"/>
      </rPr>
      <t>If no intercompany transactions are performed there shouldn't be any transactions to eliminate.</t>
    </r>
    <r>
      <rPr>
        <b/>
        <sz val="18"/>
        <color theme="1"/>
        <rFont val="Calibri"/>
        <family val="2"/>
        <scheme val="minor"/>
      </rPr>
      <t xml:space="preserve">
3.  </t>
    </r>
    <r>
      <rPr>
        <sz val="18"/>
        <color theme="1"/>
        <rFont val="Calibri"/>
        <family val="2"/>
        <scheme val="minor"/>
      </rPr>
      <t xml:space="preserve">If the account has automated adjustments for intercompany expenses enabled, click the icon for </t>
    </r>
    <r>
      <rPr>
        <b/>
        <sz val="18"/>
        <color theme="1"/>
        <rFont val="Calibri"/>
        <family val="2"/>
        <scheme val="minor"/>
      </rPr>
      <t>Create Intercompany Adjustments.</t>
    </r>
  </si>
  <si>
    <r>
      <t xml:space="preserve">1.  Financial &gt; Other &gt; </t>
    </r>
    <r>
      <rPr>
        <b/>
        <sz val="18"/>
        <color theme="1"/>
        <rFont val="Calibri"/>
        <family val="2"/>
        <scheme val="minor"/>
      </rPr>
      <t xml:space="preserve">Make Journal Entries
</t>
    </r>
    <r>
      <rPr>
        <sz val="18"/>
        <color theme="1"/>
        <rFont val="Calibri"/>
        <family val="2"/>
        <scheme val="minor"/>
      </rPr>
      <t>2</t>
    </r>
    <r>
      <rPr>
        <b/>
        <sz val="18"/>
        <color theme="1"/>
        <rFont val="Calibri"/>
        <family val="2"/>
        <scheme val="minor"/>
      </rPr>
      <t xml:space="preserve">. </t>
    </r>
    <r>
      <rPr>
        <sz val="18"/>
        <color theme="1"/>
        <rFont val="Calibri"/>
        <family val="2"/>
        <scheme val="minor"/>
      </rPr>
      <t>On the new</t>
    </r>
    <r>
      <rPr>
        <b/>
        <sz val="18"/>
        <color theme="1"/>
        <rFont val="Calibri"/>
        <family val="2"/>
        <scheme val="minor"/>
      </rPr>
      <t xml:space="preserve"> Journal Entry </t>
    </r>
    <r>
      <rPr>
        <sz val="18"/>
        <color theme="1"/>
        <rFont val="Calibri"/>
        <family val="2"/>
        <scheme val="minor"/>
      </rPr>
      <t>page enter the following in the header section of the page:</t>
    </r>
    <r>
      <rPr>
        <b/>
        <sz val="18"/>
        <color theme="1"/>
        <rFont val="Calibri"/>
        <family val="2"/>
        <scheme val="minor"/>
      </rPr>
      <t xml:space="preserve">
     - Subsidiary
     - Memo: </t>
    </r>
    <r>
      <rPr>
        <sz val="18"/>
        <color theme="1"/>
        <rFont val="Calibri"/>
        <family val="2"/>
        <scheme val="minor"/>
      </rPr>
      <t xml:space="preserve">UAT Case R2R06 
3. Enter balancing Journal Entry lines. Enter the following info for each line.
     - </t>
    </r>
    <r>
      <rPr>
        <b/>
        <sz val="18"/>
        <color theme="1"/>
        <rFont val="Calibri"/>
        <family val="2"/>
        <scheme val="minor"/>
      </rPr>
      <t>Account</t>
    </r>
    <r>
      <rPr>
        <sz val="18"/>
        <color theme="1"/>
        <rFont val="Calibri"/>
        <family val="2"/>
        <scheme val="minor"/>
      </rPr>
      <t xml:space="preserve">
     - </t>
    </r>
    <r>
      <rPr>
        <b/>
        <sz val="18"/>
        <color theme="1"/>
        <rFont val="Calibri"/>
        <family val="2"/>
        <scheme val="minor"/>
      </rPr>
      <t>Debit or Credit Amount
     - Department, Class and/or Location</t>
    </r>
    <r>
      <rPr>
        <sz val="18"/>
        <color theme="1"/>
        <rFont val="Calibri"/>
        <family val="2"/>
        <scheme val="minor"/>
      </rPr>
      <t xml:space="preserve">
4.  Click </t>
    </r>
    <r>
      <rPr>
        <b/>
        <sz val="18"/>
        <color theme="1"/>
        <rFont val="Calibri"/>
        <family val="2"/>
        <scheme val="minor"/>
      </rPr>
      <t>Save.</t>
    </r>
  </si>
  <si>
    <r>
      <t>1.  Review the Out of Balance By fields as you enter journal lines. 
2. Journal successfully Saved.
3. Journal Entry status is</t>
    </r>
    <r>
      <rPr>
        <b/>
        <sz val="18"/>
        <color theme="1"/>
        <rFont val="Calibri"/>
        <family val="2"/>
        <scheme val="minor"/>
      </rPr>
      <t xml:space="preserve"> 'Pending Approval'</t>
    </r>
  </si>
  <si>
    <r>
      <t xml:space="preserve">Include: </t>
    </r>
    <r>
      <rPr>
        <b/>
        <sz val="18"/>
        <color rgb="FFFF0000"/>
        <rFont val="Calibri"/>
        <family val="2"/>
        <scheme val="minor"/>
      </rPr>
      <t>Journal Entry Number</t>
    </r>
  </si>
  <si>
    <r>
      <t xml:space="preserve">1. Home Dashboard &gt; Reminders &gt; </t>
    </r>
    <r>
      <rPr>
        <b/>
        <sz val="18"/>
        <color theme="1"/>
        <rFont val="Calibri"/>
        <family val="2"/>
        <scheme val="minor"/>
      </rPr>
      <t>Journal Entries to Approve</t>
    </r>
    <r>
      <rPr>
        <sz val="18"/>
        <color theme="1"/>
        <rFont val="Calibri"/>
        <family val="2"/>
        <scheme val="minor"/>
      </rPr>
      <t xml:space="preserve">
2. Click on</t>
    </r>
    <r>
      <rPr>
        <b/>
        <sz val="18"/>
        <color theme="1"/>
        <rFont val="Calibri"/>
        <family val="2"/>
        <scheme val="minor"/>
      </rPr>
      <t xml:space="preserve"> JE Number</t>
    </r>
    <r>
      <rPr>
        <sz val="18"/>
        <color theme="1"/>
        <rFont val="Calibri"/>
        <family val="2"/>
        <scheme val="minor"/>
      </rPr>
      <t xml:space="preserve"> created in Step 1
3. Review and click </t>
    </r>
    <r>
      <rPr>
        <b/>
        <sz val="18"/>
        <color theme="1"/>
        <rFont val="Calibri"/>
        <family val="2"/>
        <scheme val="minor"/>
      </rPr>
      <t>Approve</t>
    </r>
  </si>
  <si>
    <r>
      <t xml:space="preserve">1. Journal status updated to 'Approved for Posting'
2. Click on Actions &gt; </t>
    </r>
    <r>
      <rPr>
        <b/>
        <sz val="18"/>
        <color theme="1"/>
        <rFont val="Calibri"/>
        <family val="2"/>
        <scheme val="minor"/>
      </rPr>
      <t>GL Impact</t>
    </r>
    <r>
      <rPr>
        <sz val="18"/>
        <color theme="1"/>
        <rFont val="Calibri"/>
        <family val="2"/>
        <scheme val="minor"/>
      </rPr>
      <t xml:space="preserve"> and ensure correct GL impact</t>
    </r>
  </si>
  <si>
    <r>
      <t>Create Intercompany Journal Entry</t>
    </r>
    <r>
      <rPr>
        <b/>
        <sz val="18"/>
        <color rgb="FFFF0000"/>
        <rFont val="Calibri"/>
        <family val="2"/>
        <scheme val="minor"/>
      </rPr>
      <t xml:space="preserve"> [If Applicable]</t>
    </r>
  </si>
  <si>
    <r>
      <t xml:space="preserve">1.  Financial &gt; Other &gt; </t>
    </r>
    <r>
      <rPr>
        <b/>
        <sz val="18"/>
        <color theme="1"/>
        <rFont val="Calibri"/>
        <family val="2"/>
        <scheme val="minor"/>
      </rPr>
      <t>Make Intercompany</t>
    </r>
    <r>
      <rPr>
        <sz val="18"/>
        <color theme="1"/>
        <rFont val="Calibri"/>
        <family val="2"/>
        <scheme val="minor"/>
      </rPr>
      <t xml:space="preserve"> </t>
    </r>
    <r>
      <rPr>
        <b/>
        <sz val="18"/>
        <color theme="1"/>
        <rFont val="Calibri"/>
        <family val="2"/>
        <scheme val="minor"/>
      </rPr>
      <t>Journal Entries</t>
    </r>
    <r>
      <rPr>
        <sz val="18"/>
        <color theme="1"/>
        <rFont val="Calibri"/>
        <family val="2"/>
        <scheme val="minor"/>
      </rPr>
      <t xml:space="preserve">
2. On the new Journal Entry page enter the following in the header section of the page:
     - </t>
    </r>
    <r>
      <rPr>
        <b/>
        <sz val="18"/>
        <color theme="1"/>
        <rFont val="Calibri"/>
        <family val="2"/>
        <scheme val="minor"/>
      </rPr>
      <t>Subsidiary</t>
    </r>
    <r>
      <rPr>
        <sz val="18"/>
        <color theme="1"/>
        <rFont val="Calibri"/>
        <family val="2"/>
        <scheme val="minor"/>
      </rPr>
      <t>: select the subsidiary initiating the ledger transaction
     -</t>
    </r>
    <r>
      <rPr>
        <b/>
        <sz val="18"/>
        <color theme="1"/>
        <rFont val="Calibri"/>
        <family val="2"/>
        <scheme val="minor"/>
      </rPr>
      <t>To Subsidiary</t>
    </r>
    <r>
      <rPr>
        <sz val="18"/>
        <color theme="1"/>
        <rFont val="Calibri"/>
        <family val="2"/>
        <scheme val="minor"/>
      </rPr>
      <t xml:space="preserve">: choose the second subsidiary for this ledger transaction
     - </t>
    </r>
    <r>
      <rPr>
        <b/>
        <sz val="18"/>
        <color theme="1"/>
        <rFont val="Calibri"/>
        <family val="2"/>
        <scheme val="minor"/>
      </rPr>
      <t>Memo</t>
    </r>
    <r>
      <rPr>
        <sz val="18"/>
        <color theme="1"/>
        <rFont val="Calibri"/>
        <family val="2"/>
        <scheme val="minor"/>
      </rPr>
      <t xml:space="preserve">: UAT Case R2R07 
3. Enter balancing Journal Entry lines. Enter the following info for each line.
     - </t>
    </r>
    <r>
      <rPr>
        <b/>
        <sz val="18"/>
        <color theme="1"/>
        <rFont val="Calibri"/>
        <family val="2"/>
        <scheme val="minor"/>
      </rPr>
      <t>Account</t>
    </r>
    <r>
      <rPr>
        <sz val="18"/>
        <color theme="1"/>
        <rFont val="Calibri"/>
        <family val="2"/>
        <scheme val="minor"/>
      </rPr>
      <t xml:space="preserve">
     - </t>
    </r>
    <r>
      <rPr>
        <b/>
        <sz val="18"/>
        <color theme="1"/>
        <rFont val="Calibri"/>
        <family val="2"/>
        <scheme val="minor"/>
      </rPr>
      <t>Debit or Credit Amount</t>
    </r>
    <r>
      <rPr>
        <sz val="18"/>
        <color theme="1"/>
        <rFont val="Calibri"/>
        <family val="2"/>
        <scheme val="minor"/>
      </rPr>
      <t xml:space="preserve">
     - </t>
    </r>
    <r>
      <rPr>
        <b/>
        <sz val="18"/>
        <color theme="1"/>
        <rFont val="Calibri"/>
        <family val="2"/>
        <scheme val="minor"/>
      </rPr>
      <t>Department, Class and/or Location</t>
    </r>
    <r>
      <rPr>
        <sz val="18"/>
        <color theme="1"/>
        <rFont val="Calibri"/>
        <family val="2"/>
        <scheme val="minor"/>
      </rPr>
      <t xml:space="preserve">
4.  Click </t>
    </r>
    <r>
      <rPr>
        <b/>
        <sz val="18"/>
        <color theme="1"/>
        <rFont val="Calibri"/>
        <family val="2"/>
        <scheme val="minor"/>
      </rPr>
      <t>Save.</t>
    </r>
  </si>
  <si>
    <r>
      <t>1.  Review the Out of Balance By fields as you enter journal lines. 
2. Ensure Exchange Rate field &amp; Currency fields are being set properly based on Subsidiary selected.
3. Journal successfully Saved.
4. Journal Entry status is</t>
    </r>
    <r>
      <rPr>
        <b/>
        <sz val="18"/>
        <color theme="1"/>
        <rFont val="Calibri"/>
        <family val="2"/>
        <scheme val="minor"/>
      </rPr>
      <t xml:space="preserve"> 'Approved for Posting'
</t>
    </r>
    <r>
      <rPr>
        <sz val="18"/>
        <color theme="1"/>
        <rFont val="Calibri"/>
        <family val="2"/>
        <scheme val="minor"/>
      </rPr>
      <t>5. Click on Actions &gt; GL Impact and ensure correct GL impact</t>
    </r>
  </si>
  <si>
    <r>
      <t>1.  Financial &gt; Banking &gt;</t>
    </r>
    <r>
      <rPr>
        <b/>
        <sz val="18"/>
        <color theme="1"/>
        <rFont val="Calibri"/>
        <family val="2"/>
        <scheme val="minor"/>
      </rPr>
      <t xml:space="preserve"> Import Online Banking Data
2. </t>
    </r>
    <r>
      <rPr>
        <sz val="18"/>
        <color theme="1"/>
        <rFont val="Calibri"/>
        <family val="2"/>
        <scheme val="minor"/>
      </rPr>
      <t>On the</t>
    </r>
    <r>
      <rPr>
        <b/>
        <sz val="18"/>
        <color theme="1"/>
        <rFont val="Calibri"/>
        <family val="2"/>
        <scheme val="minor"/>
      </rPr>
      <t xml:space="preserve"> Online Banking Data Upload </t>
    </r>
    <r>
      <rPr>
        <sz val="18"/>
        <color theme="1"/>
        <rFont val="Calibri"/>
        <family val="2"/>
        <scheme val="minor"/>
      </rPr>
      <t>page select the following information:</t>
    </r>
    <r>
      <rPr>
        <b/>
        <sz val="18"/>
        <color theme="1"/>
        <rFont val="Calibri"/>
        <family val="2"/>
        <scheme val="minor"/>
      </rPr>
      <t xml:space="preserve">
     - Choose File:</t>
    </r>
    <r>
      <rPr>
        <sz val="18"/>
        <color theme="1"/>
        <rFont val="Calibri"/>
        <family val="2"/>
        <scheme val="minor"/>
      </rPr>
      <t xml:space="preserve"> upload the bank statement in OFX, QFX, or QIF file format</t>
    </r>
    <r>
      <rPr>
        <b/>
        <sz val="18"/>
        <color theme="1"/>
        <rFont val="Calibri"/>
        <family val="2"/>
        <scheme val="minor"/>
      </rPr>
      <t xml:space="preserve">
     - Account: </t>
    </r>
    <r>
      <rPr>
        <sz val="18"/>
        <color theme="1"/>
        <rFont val="Calibri"/>
        <family val="2"/>
        <scheme val="minor"/>
      </rPr>
      <t>select the bank account the statement is for</t>
    </r>
    <r>
      <rPr>
        <b/>
        <sz val="18"/>
        <color theme="1"/>
        <rFont val="Calibri"/>
        <family val="2"/>
        <scheme val="minor"/>
      </rPr>
      <t xml:space="preserve">
     - Character Encoding:</t>
    </r>
    <r>
      <rPr>
        <sz val="18"/>
        <color theme="1"/>
        <rFont val="Calibri"/>
        <family val="2"/>
        <scheme val="minor"/>
      </rPr>
      <t xml:space="preserve"> select correct character encoding of file
     - </t>
    </r>
    <r>
      <rPr>
        <b/>
        <sz val="18"/>
        <color theme="1"/>
        <rFont val="Calibri"/>
        <family val="2"/>
        <scheme val="minor"/>
      </rPr>
      <t>Date Format</t>
    </r>
    <r>
      <rPr>
        <sz val="18"/>
        <color theme="1"/>
        <rFont val="Calibri"/>
        <family val="2"/>
        <scheme val="minor"/>
      </rPr>
      <t xml:space="preserve">: select date format used within file
3. Click </t>
    </r>
    <r>
      <rPr>
        <b/>
        <sz val="18"/>
        <color theme="1"/>
        <rFont val="Calibri"/>
        <family val="2"/>
        <scheme val="minor"/>
      </rPr>
      <t>Submit.</t>
    </r>
  </si>
  <si>
    <r>
      <t xml:space="preserve">1. On the Online Banking Statement page, matched transactions will show the date or transaction number as a link in the Matched Transaction column.
</t>
    </r>
    <r>
      <rPr>
        <b/>
        <sz val="18"/>
        <color rgb="FFFF0000"/>
        <rFont val="Calibri"/>
        <family val="2"/>
        <scheme val="minor"/>
      </rPr>
      <t>NOTE: Auto Match identifies a match for a bank transaction if an existing transaction meets all of the following basic criteria: has a date that is the same or earlier, has a matching dollar amount, has a matching bank account number
If Auto Match cannot match a bank transaction, the Matched Transaction column is blank, and the Type column displays a link to the Find Transactions page where you can manually match the transaction.</t>
    </r>
  </si>
  <si>
    <r>
      <t xml:space="preserve">Include: </t>
    </r>
    <r>
      <rPr>
        <b/>
        <sz val="18"/>
        <color rgb="FFFF0000"/>
        <rFont val="Calibri"/>
        <family val="2"/>
        <scheme val="minor"/>
      </rPr>
      <t>Bank Statement File &amp; Date</t>
    </r>
  </si>
  <si>
    <r>
      <t>1.  Financial &gt; Banking &gt;</t>
    </r>
    <r>
      <rPr>
        <b/>
        <sz val="18"/>
        <color theme="1"/>
        <rFont val="Calibri"/>
        <family val="2"/>
        <scheme val="minor"/>
      </rPr>
      <t xml:space="preserve"> Reconcile Bank Statement
2. </t>
    </r>
    <r>
      <rPr>
        <sz val="18"/>
        <color theme="1"/>
        <rFont val="Calibri"/>
        <family val="2"/>
        <scheme val="minor"/>
      </rPr>
      <t>On the</t>
    </r>
    <r>
      <rPr>
        <b/>
        <sz val="18"/>
        <color theme="1"/>
        <rFont val="Calibri"/>
        <family val="2"/>
        <scheme val="minor"/>
      </rPr>
      <t xml:space="preserve"> Reconcile Bank Statement </t>
    </r>
    <r>
      <rPr>
        <sz val="18"/>
        <color theme="1"/>
        <rFont val="Calibri"/>
        <family val="2"/>
        <scheme val="minor"/>
      </rPr>
      <t>page enter the following in the header section of the page:</t>
    </r>
    <r>
      <rPr>
        <b/>
        <sz val="18"/>
        <color theme="1"/>
        <rFont val="Calibri"/>
        <family val="2"/>
        <scheme val="minor"/>
      </rPr>
      <t xml:space="preserve">
     - Account:</t>
    </r>
    <r>
      <rPr>
        <sz val="18"/>
        <color theme="1"/>
        <rFont val="Calibri"/>
        <family val="2"/>
        <scheme val="minor"/>
      </rPr>
      <t xml:space="preserve"> select bank account to reconcile</t>
    </r>
    <r>
      <rPr>
        <b/>
        <sz val="18"/>
        <color theme="1"/>
        <rFont val="Calibri"/>
        <family val="2"/>
        <scheme val="minor"/>
      </rPr>
      <t xml:space="preserve">
     - Statement Date: </t>
    </r>
    <r>
      <rPr>
        <sz val="18"/>
        <color theme="1"/>
        <rFont val="Calibri"/>
        <family val="2"/>
        <scheme val="minor"/>
      </rPr>
      <t>enter date of statement</t>
    </r>
    <r>
      <rPr>
        <b/>
        <sz val="18"/>
        <color theme="1"/>
        <rFont val="Calibri"/>
        <family val="2"/>
        <scheme val="minor"/>
      </rPr>
      <t xml:space="preserve">
     - Ending Statement Balance:</t>
    </r>
    <r>
      <rPr>
        <sz val="18"/>
        <color theme="1"/>
        <rFont val="Calibri"/>
        <family val="2"/>
        <scheme val="minor"/>
      </rPr>
      <t xml:space="preserve"> enter closing balance on statement
3. Click the </t>
    </r>
    <r>
      <rPr>
        <b/>
        <sz val="18"/>
        <color theme="1"/>
        <rFont val="Calibri"/>
        <family val="2"/>
        <scheme val="minor"/>
      </rPr>
      <t>Deposits and Credits</t>
    </r>
    <r>
      <rPr>
        <sz val="18"/>
        <color theme="1"/>
        <rFont val="Calibri"/>
        <family val="2"/>
        <scheme val="minor"/>
      </rPr>
      <t xml:space="preserve"> subtab. Check the boxes next to the transactions you want to reconcile.
4. Click the </t>
    </r>
    <r>
      <rPr>
        <b/>
        <sz val="18"/>
        <color theme="1"/>
        <rFont val="Calibri"/>
        <family val="2"/>
        <scheme val="minor"/>
      </rPr>
      <t>Checks and Payments</t>
    </r>
    <r>
      <rPr>
        <sz val="18"/>
        <color theme="1"/>
        <rFont val="Calibri"/>
        <family val="2"/>
        <scheme val="minor"/>
      </rPr>
      <t xml:space="preserve"> subtab. Check the boxes next to the transactions you want to reconcile.
5. Enter </t>
    </r>
    <r>
      <rPr>
        <b/>
        <sz val="18"/>
        <color theme="1"/>
        <rFont val="Calibri"/>
        <family val="2"/>
        <scheme val="minor"/>
      </rPr>
      <t>New Charges &amp; New Deposits</t>
    </r>
    <r>
      <rPr>
        <sz val="18"/>
        <color theme="1"/>
        <rFont val="Calibri"/>
        <family val="2"/>
        <scheme val="minor"/>
      </rPr>
      <t xml:space="preserve"> as applicable.
4.  Click </t>
    </r>
    <r>
      <rPr>
        <b/>
        <sz val="18"/>
        <color theme="1"/>
        <rFont val="Calibri"/>
        <family val="2"/>
        <scheme val="minor"/>
      </rPr>
      <t>Save.</t>
    </r>
  </si>
  <si>
    <r>
      <t>1.  Financial &gt; Banking &gt;</t>
    </r>
    <r>
      <rPr>
        <b/>
        <sz val="18"/>
        <color theme="1"/>
        <rFont val="Calibri"/>
        <family val="2"/>
        <scheme val="minor"/>
      </rPr>
      <t xml:space="preserve"> Import Online Banking Data
2. </t>
    </r>
    <r>
      <rPr>
        <sz val="18"/>
        <color theme="1"/>
        <rFont val="Calibri"/>
        <family val="2"/>
        <scheme val="minor"/>
      </rPr>
      <t>On the</t>
    </r>
    <r>
      <rPr>
        <b/>
        <sz val="18"/>
        <color theme="1"/>
        <rFont val="Calibri"/>
        <family val="2"/>
        <scheme val="minor"/>
      </rPr>
      <t xml:space="preserve"> Online Banking Data Upload </t>
    </r>
    <r>
      <rPr>
        <sz val="18"/>
        <color theme="1"/>
        <rFont val="Calibri"/>
        <family val="2"/>
        <scheme val="minor"/>
      </rPr>
      <t>page select the following information:</t>
    </r>
    <r>
      <rPr>
        <b/>
        <sz val="18"/>
        <color theme="1"/>
        <rFont val="Calibri"/>
        <family val="2"/>
        <scheme val="minor"/>
      </rPr>
      <t xml:space="preserve">
     - Choose File:</t>
    </r>
    <r>
      <rPr>
        <sz val="18"/>
        <color theme="1"/>
        <rFont val="Calibri"/>
        <family val="2"/>
        <scheme val="minor"/>
      </rPr>
      <t xml:space="preserve"> upload the credit card statement in OFX, QFX, or QIF file format</t>
    </r>
    <r>
      <rPr>
        <b/>
        <sz val="18"/>
        <color theme="1"/>
        <rFont val="Calibri"/>
        <family val="2"/>
        <scheme val="minor"/>
      </rPr>
      <t xml:space="preserve">
     - Account: </t>
    </r>
    <r>
      <rPr>
        <sz val="18"/>
        <color theme="1"/>
        <rFont val="Calibri"/>
        <family val="2"/>
        <scheme val="minor"/>
      </rPr>
      <t>select the credit card account the statement is for</t>
    </r>
    <r>
      <rPr>
        <b/>
        <sz val="18"/>
        <color theme="1"/>
        <rFont val="Calibri"/>
        <family val="2"/>
        <scheme val="minor"/>
      </rPr>
      <t xml:space="preserve">
     - Character Encoding:</t>
    </r>
    <r>
      <rPr>
        <sz val="18"/>
        <color theme="1"/>
        <rFont val="Calibri"/>
        <family val="2"/>
        <scheme val="minor"/>
      </rPr>
      <t xml:space="preserve"> select correct character encoding of file
     - </t>
    </r>
    <r>
      <rPr>
        <b/>
        <sz val="18"/>
        <color theme="1"/>
        <rFont val="Calibri"/>
        <family val="2"/>
        <scheme val="minor"/>
      </rPr>
      <t>Date Format</t>
    </r>
    <r>
      <rPr>
        <sz val="18"/>
        <color theme="1"/>
        <rFont val="Calibri"/>
        <family val="2"/>
        <scheme val="minor"/>
      </rPr>
      <t xml:space="preserve">: select date format used within file
3. Click </t>
    </r>
    <r>
      <rPr>
        <b/>
        <sz val="18"/>
        <color theme="1"/>
        <rFont val="Calibri"/>
        <family val="2"/>
        <scheme val="minor"/>
      </rPr>
      <t>Submit.</t>
    </r>
  </si>
  <si>
    <r>
      <t xml:space="preserve">Include: </t>
    </r>
    <r>
      <rPr>
        <b/>
        <sz val="18"/>
        <color rgb="FFFF0000"/>
        <rFont val="Calibri"/>
        <family val="2"/>
        <scheme val="minor"/>
      </rPr>
      <t>Credit Card Statement File &amp; Date</t>
    </r>
  </si>
  <si>
    <r>
      <t>1.  Financial &gt; Banking &gt;</t>
    </r>
    <r>
      <rPr>
        <b/>
        <sz val="18"/>
        <color theme="1"/>
        <rFont val="Calibri"/>
        <family val="2"/>
        <scheme val="minor"/>
      </rPr>
      <t xml:space="preserve"> Reconcile Credit Card Statement
2. </t>
    </r>
    <r>
      <rPr>
        <sz val="18"/>
        <color theme="1"/>
        <rFont val="Calibri"/>
        <family val="2"/>
        <scheme val="minor"/>
      </rPr>
      <t>On the</t>
    </r>
    <r>
      <rPr>
        <b/>
        <sz val="18"/>
        <color theme="1"/>
        <rFont val="Calibri"/>
        <family val="2"/>
        <scheme val="minor"/>
      </rPr>
      <t xml:space="preserve"> Reconcile Credit Card Statement </t>
    </r>
    <r>
      <rPr>
        <sz val="18"/>
        <color theme="1"/>
        <rFont val="Calibri"/>
        <family val="2"/>
        <scheme val="minor"/>
      </rPr>
      <t>page enter the following in the header section of the page:</t>
    </r>
    <r>
      <rPr>
        <b/>
        <sz val="18"/>
        <color theme="1"/>
        <rFont val="Calibri"/>
        <family val="2"/>
        <scheme val="minor"/>
      </rPr>
      <t xml:space="preserve">
     - Account:</t>
    </r>
    <r>
      <rPr>
        <sz val="18"/>
        <color theme="1"/>
        <rFont val="Calibri"/>
        <family val="2"/>
        <scheme val="minor"/>
      </rPr>
      <t xml:space="preserve"> select credit card account to reconcile</t>
    </r>
    <r>
      <rPr>
        <b/>
        <sz val="18"/>
        <color theme="1"/>
        <rFont val="Calibri"/>
        <family val="2"/>
        <scheme val="minor"/>
      </rPr>
      <t xml:space="preserve">
     - Statement Date: </t>
    </r>
    <r>
      <rPr>
        <sz val="18"/>
        <color theme="1"/>
        <rFont val="Calibri"/>
        <family val="2"/>
        <scheme val="minor"/>
      </rPr>
      <t>enter date of statement</t>
    </r>
    <r>
      <rPr>
        <b/>
        <sz val="18"/>
        <color theme="1"/>
        <rFont val="Calibri"/>
        <family val="2"/>
        <scheme val="minor"/>
      </rPr>
      <t xml:space="preserve">
     - Ending Statement Balance:</t>
    </r>
    <r>
      <rPr>
        <sz val="18"/>
        <color theme="1"/>
        <rFont val="Calibri"/>
        <family val="2"/>
        <scheme val="minor"/>
      </rPr>
      <t xml:space="preserve"> enter closing balance on statement
3. Click the </t>
    </r>
    <r>
      <rPr>
        <b/>
        <sz val="18"/>
        <color theme="1"/>
        <rFont val="Calibri"/>
        <family val="2"/>
        <scheme val="minor"/>
      </rPr>
      <t>Payments and Credits</t>
    </r>
    <r>
      <rPr>
        <sz val="18"/>
        <color theme="1"/>
        <rFont val="Calibri"/>
        <family val="2"/>
        <scheme val="minor"/>
      </rPr>
      <t xml:space="preserve"> subtab. Check the boxes next to the transactions you want to reconcile.
4. Click the </t>
    </r>
    <r>
      <rPr>
        <b/>
        <sz val="18"/>
        <color theme="1"/>
        <rFont val="Calibri"/>
        <family val="2"/>
        <scheme val="minor"/>
      </rPr>
      <t>Charges and Cash Advances</t>
    </r>
    <r>
      <rPr>
        <sz val="18"/>
        <color theme="1"/>
        <rFont val="Calibri"/>
        <family val="2"/>
        <scheme val="minor"/>
      </rPr>
      <t xml:space="preserve"> subtab. Check the boxes next to the transactions you want to reconcile.
5. Enter </t>
    </r>
    <r>
      <rPr>
        <b/>
        <sz val="18"/>
        <color theme="1"/>
        <rFont val="Calibri"/>
        <family val="2"/>
        <scheme val="minor"/>
      </rPr>
      <t>New Charges &amp; New Credits</t>
    </r>
    <r>
      <rPr>
        <sz val="18"/>
        <color theme="1"/>
        <rFont val="Calibri"/>
        <family val="2"/>
        <scheme val="minor"/>
      </rPr>
      <t xml:space="preserve"> as applicable.
4.  Click </t>
    </r>
    <r>
      <rPr>
        <b/>
        <sz val="18"/>
        <color theme="1"/>
        <rFont val="Calibri"/>
        <family val="2"/>
        <scheme val="minor"/>
      </rPr>
      <t>Save.</t>
    </r>
  </si>
  <si>
    <t>Include: Cost Template Name</t>
  </si>
  <si>
    <r>
      <t xml:space="preserve">Include: </t>
    </r>
    <r>
      <rPr>
        <b/>
        <sz val="18"/>
        <color theme="1"/>
        <rFont val="Calibri"/>
        <family val="2"/>
        <scheme val="minor"/>
      </rPr>
      <t>Item Name/Number</t>
    </r>
  </si>
  <si>
    <r>
      <t xml:space="preserve">Include: </t>
    </r>
    <r>
      <rPr>
        <b/>
        <sz val="18"/>
        <color theme="1"/>
        <rFont val="Calibri"/>
        <family val="2"/>
        <scheme val="minor"/>
      </rPr>
      <t>Inventory Adjustment Number</t>
    </r>
  </si>
  <si>
    <r>
      <t xml:space="preserve">Include: </t>
    </r>
    <r>
      <rPr>
        <b/>
        <sz val="18"/>
        <color theme="1"/>
        <rFont val="Calibri"/>
        <family val="2"/>
        <scheme val="minor"/>
      </rPr>
      <t>Transfer Order Number</t>
    </r>
  </si>
  <si>
    <r>
      <t xml:space="preserve">Include: </t>
    </r>
    <r>
      <rPr>
        <b/>
        <sz val="18"/>
        <color theme="1"/>
        <rFont val="Calibri"/>
        <family val="2"/>
        <scheme val="minor"/>
      </rPr>
      <t>Item Fulfillment Number</t>
    </r>
  </si>
  <si>
    <r>
      <t xml:space="preserve">Include: </t>
    </r>
    <r>
      <rPr>
        <b/>
        <sz val="18"/>
        <color theme="1"/>
        <rFont val="Calibri"/>
        <family val="2"/>
        <scheme val="minor"/>
      </rPr>
      <t>Item Receipt Number</t>
    </r>
  </si>
  <si>
    <r>
      <t xml:space="preserve">Include: </t>
    </r>
    <r>
      <rPr>
        <b/>
        <sz val="18"/>
        <color theme="1"/>
        <rFont val="Calibri"/>
        <family val="2"/>
        <scheme val="minor"/>
      </rPr>
      <t>Inventory Transfer Number</t>
    </r>
  </si>
  <si>
    <r>
      <t xml:space="preserve">Include: </t>
    </r>
    <r>
      <rPr>
        <b/>
        <sz val="18"/>
        <color theme="1"/>
        <rFont val="Calibri"/>
        <family val="2"/>
        <scheme val="minor"/>
      </rPr>
      <t>Calendar name</t>
    </r>
  </si>
  <si>
    <r>
      <t xml:space="preserve">Include: </t>
    </r>
    <r>
      <rPr>
        <b/>
        <sz val="18"/>
        <color theme="1"/>
        <rFont val="Calibri"/>
        <family val="2"/>
        <scheme val="minor"/>
      </rPr>
      <t>Group Name</t>
    </r>
  </si>
  <si>
    <r>
      <t xml:space="preserve">Include: </t>
    </r>
    <r>
      <rPr>
        <b/>
        <sz val="18"/>
        <color theme="1"/>
        <rFont val="Calibri"/>
        <family val="2"/>
        <scheme val="minor"/>
      </rPr>
      <t>Item Name/Number and Routing Name</t>
    </r>
  </si>
  <si>
    <r>
      <t xml:space="preserve">Include: </t>
    </r>
    <r>
      <rPr>
        <b/>
        <sz val="16"/>
        <color rgb="FFFF0000"/>
        <rFont val="Calibri"/>
        <family val="2"/>
        <scheme val="minor"/>
      </rPr>
      <t>Work Order #</t>
    </r>
  </si>
  <si>
    <r>
      <t xml:space="preserve">Include: </t>
    </r>
    <r>
      <rPr>
        <b/>
        <sz val="16"/>
        <color rgb="FFFF0000"/>
        <rFont val="Calibri"/>
        <family val="2"/>
        <scheme val="minor"/>
      </rPr>
      <t>Item, Location, and Cost</t>
    </r>
  </si>
  <si>
    <r>
      <t>Include:</t>
    </r>
    <r>
      <rPr>
        <sz val="16"/>
        <color rgb="FFFF0000"/>
        <rFont val="Calibri"/>
        <family val="2"/>
        <scheme val="minor"/>
      </rPr>
      <t xml:space="preserve"> </t>
    </r>
    <r>
      <rPr>
        <b/>
        <sz val="16"/>
        <color rgb="FFFF0000"/>
        <rFont val="Calibri"/>
        <family val="2"/>
        <scheme val="minor"/>
      </rPr>
      <t>Work Order # and Quantity Completed</t>
    </r>
  </si>
  <si>
    <r>
      <t xml:space="preserve">Include: </t>
    </r>
    <r>
      <rPr>
        <b/>
        <sz val="16"/>
        <color rgb="FFFF0000"/>
        <rFont val="Calibri"/>
        <family val="2"/>
        <scheme val="minor"/>
      </rPr>
      <t>Work Order # and Quantity Completed</t>
    </r>
  </si>
  <si>
    <r>
      <t xml:space="preserve">1.Navigation --&gt; Transaction --&gt; Sales --&gt; Prepare Quote
2. Enter Customer, Location &amp; Item details
( Item Name - </t>
    </r>
    <r>
      <rPr>
        <b/>
        <sz val="16"/>
        <color theme="1"/>
        <rFont val="Calibri"/>
        <family val="2"/>
        <scheme val="minor"/>
      </rPr>
      <t>Repair Item</t>
    </r>
    <r>
      <rPr>
        <sz val="16"/>
        <color theme="1"/>
        <rFont val="Calibri"/>
        <family val="2"/>
        <scheme val="minor"/>
      </rPr>
      <t xml:space="preserve"> , Item Description - In the Item description field put the item details which is to be repaired.)                          </t>
    </r>
  </si>
  <si>
    <r>
      <t xml:space="preserve">1.Work Order will be created based on the Sales Order since in the sales order at the line level, the create WO check box was checked in
2. Validate the following information as it pertains to your business scenario:
   - Select subsidiary
   - Select assembly   (Item Name - </t>
    </r>
    <r>
      <rPr>
        <b/>
        <sz val="16"/>
        <color theme="1"/>
        <rFont val="Calibri"/>
        <family val="2"/>
        <scheme val="minor"/>
      </rPr>
      <t>Repair Item</t>
    </r>
    <r>
      <rPr>
        <sz val="16"/>
        <color theme="1"/>
        <rFont val="Calibri"/>
        <family val="2"/>
        <scheme val="minor"/>
      </rPr>
      <t xml:space="preserve">, Manufacturing Routing -  </t>
    </r>
    <r>
      <rPr>
        <b/>
        <sz val="16"/>
        <color theme="1"/>
        <rFont val="Calibri"/>
        <family val="2"/>
        <scheme val="minor"/>
      </rPr>
      <t>Evaluate Repair- Routing)</t>
    </r>
    <r>
      <rPr>
        <sz val="16"/>
        <color theme="1"/>
        <rFont val="Calibri"/>
        <family val="2"/>
        <scheme val="minor"/>
      </rPr>
      <t xml:space="preserve">
   - Enter quantity to build/assy
   - Set work order to released
3. Click Save.
</t>
    </r>
  </si>
  <si>
    <r>
      <t xml:space="preserve">1.Navigation --&gt; Transaction --&gt; Sales --&gt; Prepare Quote
2. Enter Customer, Location &amp; Item details
(Item Name - </t>
    </r>
    <r>
      <rPr>
        <b/>
        <sz val="16"/>
        <color theme="1"/>
        <rFont val="Calibri"/>
        <family val="2"/>
        <scheme val="minor"/>
      </rPr>
      <t>Remanufactured Item</t>
    </r>
    <r>
      <rPr>
        <sz val="16"/>
        <color theme="1"/>
        <rFont val="Calibri"/>
        <family val="2"/>
        <scheme val="minor"/>
      </rPr>
      <t xml:space="preserve">
Item Description - In the Item description field put the details of the remanufactured item.)             </t>
    </r>
  </si>
  <si>
    <r>
      <t xml:space="preserve">1.Work Order will be created based on the Sales Order since in the sales order at the line level, the create WO check box was checked in
2. Validate the following information as it pertains to your business scenario:
   - Select subsidiary
   - Select assembly  (Item Name - </t>
    </r>
    <r>
      <rPr>
        <b/>
        <sz val="16"/>
        <color theme="1"/>
        <rFont val="Calibri"/>
        <family val="2"/>
        <scheme val="minor"/>
      </rPr>
      <t>Remanufactured Item</t>
    </r>
    <r>
      <rPr>
        <sz val="16"/>
        <color theme="1"/>
        <rFont val="Calibri"/>
        <family val="2"/>
        <scheme val="minor"/>
      </rPr>
      <t xml:space="preserve">, Manufacturing Routing - </t>
    </r>
    <r>
      <rPr>
        <b/>
        <sz val="16"/>
        <color theme="1"/>
        <rFont val="Calibri"/>
        <family val="2"/>
        <scheme val="minor"/>
      </rPr>
      <t xml:space="preserve">	Reman Evaluation - Routing</t>
    </r>
    <r>
      <rPr>
        <sz val="16"/>
        <color theme="1"/>
        <rFont val="Calibri"/>
        <family val="2"/>
        <scheme val="minor"/>
      </rPr>
      <t xml:space="preserve">)
   - Enter quantity to build/assy
   - Set work order to released
3. Click Save.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</si>
</sst>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b/>
      <sz val="14"/>
      <color theme="0"/>
      <name val="Calibri"/>
      <family val="2"/>
      <scheme val="minor"/>
    </font>
    <font>
      <sz val="10"/>
      <color theme="1"/>
      <name val="Calibri"/>
      <family val="2"/>
      <scheme val="minor"/>
    </font>
    <font>
      <b/>
      <sz val="10"/>
      <color rgb="FFFF0000"/>
      <name val="Calibri"/>
      <family val="2"/>
      <scheme val="minor"/>
    </font>
    <font>
      <sz val="10"/>
      <color rgb="FFFF0000"/>
      <name val="Calibri"/>
      <family val="2"/>
      <scheme val="minor"/>
    </font>
    <font>
      <sz val="10"/>
      <name val="Calibri"/>
      <family val="2"/>
      <scheme val="minor"/>
    </font>
    <font>
      <b/>
      <sz val="12"/>
      <color theme="1"/>
      <name val="Calibri"/>
      <family val="2"/>
      <scheme val="minor"/>
    </font>
    <font>
      <i/>
      <sz val="11"/>
      <color theme="1"/>
      <name val="Calibri"/>
      <family val="2"/>
      <scheme val="minor"/>
    </font>
    <font>
      <b/>
      <sz val="10"/>
      <color theme="1"/>
      <name val="Calibri"/>
      <family val="2"/>
      <scheme val="minor"/>
    </font>
    <font>
      <b/>
      <sz val="14"/>
      <color rgb="FFFF0000"/>
      <name val="Calibri"/>
      <family val="2"/>
      <scheme val="minor"/>
    </font>
    <font>
      <sz val="11"/>
      <color rgb="FFFF0000"/>
      <name val="Calibri"/>
      <family val="2"/>
      <scheme val="minor"/>
    </font>
    <font>
      <sz val="11"/>
      <color rgb="FF0070C0"/>
      <name val="Calibri"/>
      <family val="2"/>
      <scheme val="minor"/>
    </font>
    <font>
      <sz val="10"/>
      <color rgb="FF0070C0"/>
      <name val="Calibri"/>
      <family val="2"/>
      <scheme val="minor"/>
    </font>
    <font>
      <sz val="18"/>
      <color theme="1"/>
      <name val="Calibri"/>
      <family val="2"/>
      <scheme val="minor"/>
    </font>
    <font>
      <b/>
      <sz val="18"/>
      <color theme="1"/>
      <name val="Calibri"/>
      <family val="2"/>
      <scheme val="minor"/>
    </font>
    <font>
      <b/>
      <sz val="18"/>
      <color theme="0"/>
      <name val="Calibri"/>
      <family val="2"/>
      <scheme val="minor"/>
    </font>
    <font>
      <b/>
      <sz val="18"/>
      <color rgb="FFFF0000"/>
      <name val="Calibri"/>
      <family val="2"/>
      <scheme val="minor"/>
    </font>
    <font>
      <sz val="18"/>
      <name val="Calibri"/>
      <family val="2"/>
      <scheme val="minor"/>
    </font>
    <font>
      <sz val="18"/>
      <color rgb="FFFF0000"/>
      <name val="Calibri"/>
      <family val="2"/>
      <scheme val="minor"/>
    </font>
    <font>
      <b/>
      <sz val="16"/>
      <color theme="1"/>
      <name val="Calibri"/>
      <family val="2"/>
      <scheme val="minor"/>
    </font>
    <font>
      <sz val="16"/>
      <color theme="1"/>
      <name val="Calibri"/>
      <family val="2"/>
      <scheme val="minor"/>
    </font>
    <font>
      <b/>
      <sz val="16"/>
      <color rgb="FFFF0000"/>
      <name val="Calibri"/>
      <family val="2"/>
      <scheme val="minor"/>
    </font>
    <font>
      <b/>
      <sz val="16"/>
      <color theme="0"/>
      <name val="Calibri"/>
      <family val="2"/>
      <scheme val="minor"/>
    </font>
    <font>
      <sz val="16"/>
      <color rgb="FFFF0000"/>
      <name val="Calibri"/>
      <family val="2"/>
      <scheme val="minor"/>
    </font>
  </fonts>
  <fills count="5">
    <fill>
      <patternFill patternType="none"/>
    </fill>
    <fill>
      <patternFill patternType="gray125"/>
    </fill>
    <fill>
      <patternFill patternType="solid">
        <fgColor theme="8"/>
        <bgColor indexed="64"/>
      </patternFill>
    </fill>
    <fill>
      <patternFill patternType="solid">
        <fgColor theme="0" tint="-0.249977111117893"/>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s>
  <cellStyleXfs count="1">
    <xf numFmtId="0" fontId="0" fillId="0" borderId="0"/>
  </cellStyleXfs>
  <cellXfs count="142">
    <xf numFmtId="0" fontId="0" fillId="0" borderId="0" xfId="0"/>
    <xf numFmtId="0" fontId="0" fillId="0" borderId="0" xfId="0" applyAlignment="1">
      <alignment horizontal="center"/>
    </xf>
    <xf numFmtId="0" fontId="0" fillId="0" borderId="0" xfId="0" applyAlignment="1">
      <alignment wrapText="1"/>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xf numFmtId="0" fontId="3" fillId="0" borderId="1" xfId="0" applyFont="1" applyBorder="1" applyAlignment="1">
      <alignment vertical="center" wrapText="1"/>
    </xf>
    <xf numFmtId="0" fontId="3" fillId="0" borderId="1" xfId="0" applyFont="1" applyBorder="1" applyAlignment="1">
      <alignment vertical="top" wrapText="1"/>
    </xf>
    <xf numFmtId="0" fontId="3" fillId="0" borderId="1" xfId="0" applyFont="1" applyBorder="1" applyAlignment="1">
      <alignment vertical="top"/>
    </xf>
    <xf numFmtId="0" fontId="6" fillId="0" borderId="1" xfId="0" applyFont="1" applyBorder="1" applyAlignment="1">
      <alignment vertical="top" wrapText="1"/>
    </xf>
    <xf numFmtId="0" fontId="6" fillId="0" borderId="1" xfId="0" applyFont="1" applyBorder="1" applyAlignment="1">
      <alignment vertical="top"/>
    </xf>
    <xf numFmtId="0" fontId="6" fillId="0" borderId="1" xfId="0" applyFont="1" applyBorder="1" applyAlignment="1">
      <alignment vertical="center" wrapText="1"/>
    </xf>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0" borderId="7" xfId="0" applyBorder="1"/>
    <xf numFmtId="0" fontId="3" fillId="0" borderId="0" xfId="0" applyFont="1" applyAlignment="1">
      <alignment vertical="top"/>
    </xf>
    <xf numFmtId="0" fontId="7" fillId="0" borderId="0" xfId="0" applyFont="1" applyAlignment="1">
      <alignment horizontal="left" vertical="center"/>
    </xf>
    <xf numFmtId="0" fontId="1" fillId="0" borderId="7" xfId="0" applyFont="1" applyBorder="1" applyAlignment="1">
      <alignment horizontal="center"/>
    </xf>
    <xf numFmtId="0" fontId="8" fillId="4" borderId="0" xfId="0" applyFont="1" applyFill="1" applyAlignment="1">
      <alignment horizontal="center"/>
    </xf>
    <xf numFmtId="0" fontId="8" fillId="4" borderId="0" xfId="0" applyFont="1" applyFill="1"/>
    <xf numFmtId="0" fontId="3" fillId="0" borderId="4" xfId="0" applyFont="1" applyBorder="1" applyAlignment="1">
      <alignment horizontal="center" vertical="center"/>
    </xf>
    <xf numFmtId="0" fontId="10" fillId="0" borderId="0" xfId="0" applyFont="1" applyAlignment="1">
      <alignment horizontal="left"/>
    </xf>
    <xf numFmtId="0" fontId="12" fillId="0" borderId="0" xfId="0" applyFont="1" applyAlignment="1">
      <alignment horizontal="center"/>
    </xf>
    <xf numFmtId="0" fontId="12" fillId="0" borderId="0" xfId="0" applyFont="1"/>
    <xf numFmtId="0" fontId="12" fillId="0" borderId="0" xfId="0" applyFont="1" applyAlignment="1">
      <alignment wrapText="1"/>
    </xf>
    <xf numFmtId="0" fontId="13" fillId="0" borderId="6" xfId="0" applyFont="1" applyBorder="1" applyAlignment="1">
      <alignment vertical="top" wrapText="1"/>
    </xf>
    <xf numFmtId="0" fontId="11" fillId="0" borderId="0" xfId="0" applyFont="1" applyAlignment="1">
      <alignment horizontal="center"/>
    </xf>
    <xf numFmtId="0" fontId="11" fillId="0" borderId="0" xfId="0" applyFont="1"/>
    <xf numFmtId="0" fontId="0" fillId="0" borderId="4" xfId="0" applyBorder="1"/>
    <xf numFmtId="0" fontId="0" fillId="0" borderId="5" xfId="0" applyBorder="1"/>
    <xf numFmtId="0" fontId="6" fillId="0" borderId="4" xfId="0" applyFont="1" applyBorder="1" applyAlignment="1">
      <alignment horizontal="center" vertical="center"/>
    </xf>
    <xf numFmtId="0" fontId="0" fillId="0" borderId="0" xfId="0" applyAlignment="1">
      <alignment vertical="top"/>
    </xf>
    <xf numFmtId="0" fontId="2" fillId="2" borderId="1" xfId="0" applyFont="1" applyFill="1" applyBorder="1" applyAlignment="1">
      <alignment horizontal="center"/>
    </xf>
    <xf numFmtId="0" fontId="2" fillId="2" borderId="0" xfId="0" applyFont="1" applyFill="1" applyAlignment="1">
      <alignment horizontal="center"/>
    </xf>
    <xf numFmtId="0" fontId="2" fillId="2" borderId="9" xfId="0" applyFont="1" applyFill="1" applyBorder="1" applyAlignment="1">
      <alignment horizontal="center"/>
    </xf>
    <xf numFmtId="0" fontId="1" fillId="3" borderId="0" xfId="0" applyFont="1" applyFill="1" applyAlignment="1">
      <alignment horizontal="center"/>
    </xf>
    <xf numFmtId="0" fontId="1" fillId="3" borderId="9" xfId="0" applyFont="1" applyFill="1" applyBorder="1" applyAlignment="1">
      <alignment horizontal="center"/>
    </xf>
    <xf numFmtId="0" fontId="0" fillId="3" borderId="1" xfId="0" applyFill="1" applyBorder="1" applyAlignment="1">
      <alignment horizontal="left"/>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2" fillId="2" borderId="11" xfId="0" applyFont="1" applyFill="1" applyBorder="1" applyAlignment="1">
      <alignment horizontal="center"/>
    </xf>
    <xf numFmtId="0" fontId="2" fillId="2" borderId="8" xfId="0" applyFont="1" applyFill="1" applyBorder="1" applyAlignment="1">
      <alignment horizontal="center"/>
    </xf>
    <xf numFmtId="0" fontId="0" fillId="3" borderId="2" xfId="0" applyFill="1" applyBorder="1" applyAlignment="1">
      <alignment horizontal="left"/>
    </xf>
    <xf numFmtId="0" fontId="0" fillId="3" borderId="3" xfId="0" applyFill="1" applyBorder="1" applyAlignment="1">
      <alignment horizontal="left"/>
    </xf>
    <xf numFmtId="0" fontId="0" fillId="3" borderId="4" xfId="0" applyFill="1" applyBorder="1" applyAlignment="1">
      <alignment horizontal="left"/>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7" xfId="0" applyFont="1" applyBorder="1" applyAlignment="1">
      <alignment horizontal="center" vertical="center" wrapText="1"/>
    </xf>
    <xf numFmtId="0" fontId="14" fillId="0" borderId="1" xfId="0" applyFont="1" applyBorder="1"/>
    <xf numFmtId="0" fontId="14" fillId="0" borderId="4" xfId="0" applyFont="1" applyBorder="1" applyAlignment="1">
      <alignment horizontal="center" vertical="center"/>
    </xf>
    <xf numFmtId="0" fontId="14" fillId="0" borderId="1" xfId="0" applyFont="1" applyBorder="1" applyAlignment="1">
      <alignment vertical="center" wrapText="1"/>
    </xf>
    <xf numFmtId="0" fontId="14" fillId="0" borderId="1" xfId="0" applyFont="1" applyBorder="1" applyAlignment="1">
      <alignment vertical="top" wrapText="1"/>
    </xf>
    <xf numFmtId="0" fontId="14" fillId="0" borderId="1" xfId="0" applyFont="1" applyBorder="1" applyAlignment="1">
      <alignment vertical="top"/>
    </xf>
    <xf numFmtId="0" fontId="15" fillId="3" borderId="1" xfId="0" applyFont="1" applyFill="1" applyBorder="1" applyAlignment="1">
      <alignment horizontal="center"/>
    </xf>
    <xf numFmtId="0" fontId="15" fillId="3" borderId="1" xfId="0" applyFont="1" applyFill="1" applyBorder="1" applyAlignment="1">
      <alignment horizontal="center" wrapText="1"/>
    </xf>
    <xf numFmtId="0" fontId="16" fillId="2" borderId="11" xfId="0" applyFont="1" applyFill="1" applyBorder="1" applyAlignment="1">
      <alignment horizontal="center"/>
    </xf>
    <xf numFmtId="0" fontId="16" fillId="2" borderId="8" xfId="0" applyFont="1" applyFill="1" applyBorder="1" applyAlignment="1">
      <alignment horizontal="center"/>
    </xf>
    <xf numFmtId="0" fontId="15" fillId="3" borderId="0" xfId="0" applyFont="1" applyFill="1" applyAlignment="1">
      <alignment horizontal="center"/>
    </xf>
    <xf numFmtId="0" fontId="15" fillId="3" borderId="9" xfId="0" applyFont="1" applyFill="1" applyBorder="1" applyAlignment="1">
      <alignment horizontal="center"/>
    </xf>
    <xf numFmtId="0" fontId="14" fillId="3" borderId="1" xfId="0" applyFont="1" applyFill="1" applyBorder="1" applyAlignment="1">
      <alignment horizontal="left"/>
    </xf>
    <xf numFmtId="0" fontId="14" fillId="0" borderId="0" xfId="0" applyFont="1"/>
    <xf numFmtId="0" fontId="14" fillId="0" borderId="0" xfId="0" applyFont="1" applyAlignment="1">
      <alignment horizontal="center"/>
    </xf>
    <xf numFmtId="0" fontId="14" fillId="0" borderId="0" xfId="0" applyFont="1" applyAlignment="1">
      <alignment wrapText="1"/>
    </xf>
    <xf numFmtId="0" fontId="16" fillId="2" borderId="0" xfId="0" applyFont="1" applyFill="1" applyAlignment="1">
      <alignment horizontal="center"/>
    </xf>
    <xf numFmtId="0" fontId="16" fillId="2" borderId="9" xfId="0" applyFont="1" applyFill="1" applyBorder="1" applyAlignment="1">
      <alignment horizontal="center"/>
    </xf>
    <xf numFmtId="0" fontId="15" fillId="3" borderId="12" xfId="0" applyFont="1" applyFill="1" applyBorder="1" applyAlignment="1">
      <alignment horizontal="center"/>
    </xf>
    <xf numFmtId="0" fontId="15" fillId="3" borderId="10" xfId="0" applyFont="1" applyFill="1" applyBorder="1" applyAlignment="1">
      <alignment horizontal="center"/>
    </xf>
    <xf numFmtId="0" fontId="14" fillId="3" borderId="2" xfId="0" applyFont="1" applyFill="1" applyBorder="1" applyAlignment="1">
      <alignment horizontal="left"/>
    </xf>
    <xf numFmtId="0" fontId="14" fillId="3" borderId="3" xfId="0" applyFont="1" applyFill="1" applyBorder="1" applyAlignment="1">
      <alignment horizontal="left"/>
    </xf>
    <xf numFmtId="0" fontId="14" fillId="3" borderId="4" xfId="0" applyFont="1" applyFill="1" applyBorder="1" applyAlignment="1">
      <alignment horizontal="left"/>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4" fillId="0" borderId="6" xfId="0" applyFont="1" applyBorder="1" applyAlignment="1">
      <alignment horizontal="center" vertical="center"/>
    </xf>
    <xf numFmtId="0" fontId="14" fillId="0" borderId="6" xfId="0" applyFont="1" applyBorder="1" applyAlignment="1">
      <alignment horizontal="center" vertical="center" wrapText="1"/>
    </xf>
    <xf numFmtId="0" fontId="18" fillId="0" borderId="1" xfId="0" applyFont="1" applyBorder="1" applyAlignment="1">
      <alignment vertical="top" wrapText="1"/>
    </xf>
    <xf numFmtId="0" fontId="18" fillId="0" borderId="1" xfId="0" applyFont="1" applyBorder="1" applyAlignment="1">
      <alignment vertical="top"/>
    </xf>
    <xf numFmtId="0" fontId="19" fillId="0" borderId="1" xfId="0" applyFont="1" applyBorder="1" applyAlignment="1">
      <alignment vertical="top"/>
    </xf>
    <xf numFmtId="0" fontId="14" fillId="0" borderId="7" xfId="0" applyFont="1" applyBorder="1"/>
    <xf numFmtId="0" fontId="14" fillId="0" borderId="7" xfId="0" applyFont="1" applyBorder="1" applyAlignment="1">
      <alignment horizontal="center" vertical="center"/>
    </xf>
    <xf numFmtId="0" fontId="14" fillId="0" borderId="7" xfId="0" applyFont="1" applyBorder="1" applyAlignment="1">
      <alignment horizontal="center" vertical="center" wrapText="1"/>
    </xf>
    <xf numFmtId="0" fontId="14" fillId="0" borderId="7" xfId="0" applyFont="1" applyBorder="1" applyAlignment="1">
      <alignment horizontal="center" vertic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0" fillId="0" borderId="1" xfId="0" applyBorder="1" applyAlignment="1">
      <alignment horizontal="center"/>
    </xf>
    <xf numFmtId="0" fontId="0" fillId="3" borderId="13" xfId="0" applyFill="1" applyBorder="1" applyAlignment="1">
      <alignment horizontal="left"/>
    </xf>
    <xf numFmtId="0" fontId="14" fillId="0" borderId="1" xfId="0" applyFont="1" applyBorder="1" applyAlignment="1">
      <alignment horizontal="center" vertical="center"/>
    </xf>
    <xf numFmtId="0" fontId="14" fillId="0" borderId="4" xfId="0" applyFont="1" applyBorder="1"/>
    <xf numFmtId="0" fontId="14" fillId="0" borderId="1" xfId="0" applyFont="1" applyBorder="1" applyAlignment="1">
      <alignment horizontal="center" vertical="center" wrapText="1"/>
    </xf>
    <xf numFmtId="0" fontId="16" fillId="2" borderId="0" xfId="0" applyFont="1" applyFill="1" applyAlignment="1">
      <alignment horizontal="center" wrapText="1"/>
    </xf>
    <xf numFmtId="0" fontId="16" fillId="2" borderId="9" xfId="0" applyFont="1" applyFill="1" applyBorder="1" applyAlignment="1">
      <alignment horizontal="center" wrapText="1"/>
    </xf>
    <xf numFmtId="0" fontId="15" fillId="3" borderId="0" xfId="0" applyFont="1" applyFill="1" applyAlignment="1">
      <alignment horizontal="center" wrapText="1"/>
    </xf>
    <xf numFmtId="0" fontId="15" fillId="3" borderId="9" xfId="0" applyFont="1" applyFill="1" applyBorder="1" applyAlignment="1">
      <alignment horizontal="center" wrapText="1"/>
    </xf>
    <xf numFmtId="0" fontId="14" fillId="3" borderId="1" xfId="0" applyFont="1" applyFill="1" applyBorder="1" applyAlignment="1">
      <alignment horizontal="left" wrapText="1"/>
    </xf>
    <xf numFmtId="0" fontId="14" fillId="0" borderId="1" xfId="0" applyFont="1" applyBorder="1" applyAlignment="1">
      <alignment wrapText="1"/>
    </xf>
    <xf numFmtId="0" fontId="14" fillId="0" borderId="10" xfId="0" applyFont="1" applyBorder="1" applyAlignment="1">
      <alignment horizontal="center" vertical="center"/>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left" wrapText="1"/>
    </xf>
    <xf numFmtId="0" fontId="14" fillId="0" borderId="0" xfId="0" applyFont="1" applyAlignment="1">
      <alignment horizontal="left" vertical="top" wrapText="1"/>
    </xf>
    <xf numFmtId="0" fontId="14" fillId="0" borderId="0" xfId="0" applyFont="1" applyAlignment="1">
      <alignment horizontal="left"/>
    </xf>
    <xf numFmtId="0" fontId="14" fillId="0" borderId="0" xfId="0" applyFont="1" applyAlignment="1">
      <alignment horizontal="left" vertical="top"/>
    </xf>
    <xf numFmtId="0" fontId="15" fillId="2" borderId="0" xfId="0" applyFont="1" applyFill="1" applyAlignment="1">
      <alignment horizontal="center"/>
    </xf>
    <xf numFmtId="0" fontId="15" fillId="2" borderId="9" xfId="0" applyFont="1" applyFill="1" applyBorder="1" applyAlignment="1">
      <alignment horizontal="center"/>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6" xfId="0" applyFont="1" applyBorder="1" applyAlignment="1">
      <alignment vertical="top" wrapText="1"/>
    </xf>
    <xf numFmtId="0" fontId="20" fillId="3" borderId="0" xfId="0" applyFont="1" applyFill="1" applyAlignment="1">
      <alignment horizontal="center"/>
    </xf>
    <xf numFmtId="0" fontId="20" fillId="3" borderId="9" xfId="0" applyFont="1" applyFill="1" applyBorder="1" applyAlignment="1">
      <alignment horizontal="center"/>
    </xf>
    <xf numFmtId="0" fontId="21" fillId="3" borderId="1" xfId="0" applyFont="1" applyFill="1" applyBorder="1" applyAlignment="1">
      <alignment horizontal="left"/>
    </xf>
    <xf numFmtId="0" fontId="21" fillId="0" borderId="1" xfId="0" applyFont="1" applyBorder="1"/>
    <xf numFmtId="0" fontId="21" fillId="0" borderId="4" xfId="0" applyFont="1" applyBorder="1" applyAlignment="1">
      <alignment horizontal="center" vertical="center"/>
    </xf>
    <xf numFmtId="0" fontId="21" fillId="0" borderId="1" xfId="0" applyFont="1" applyBorder="1" applyAlignment="1">
      <alignment vertical="center" wrapText="1"/>
    </xf>
    <xf numFmtId="0" fontId="21" fillId="0" borderId="1" xfId="0" applyFont="1" applyBorder="1" applyAlignment="1">
      <alignment vertical="top" wrapText="1"/>
    </xf>
    <xf numFmtId="0" fontId="21" fillId="0" borderId="1" xfId="0" applyFont="1" applyBorder="1" applyAlignment="1">
      <alignment vertical="top"/>
    </xf>
    <xf numFmtId="0" fontId="21" fillId="0" borderId="0" xfId="0" applyFont="1"/>
    <xf numFmtId="0" fontId="21" fillId="0" borderId="0" xfId="0" applyFont="1" applyAlignment="1">
      <alignment horizontal="center"/>
    </xf>
    <xf numFmtId="0" fontId="21" fillId="0" borderId="0" xfId="0" applyFont="1" applyAlignment="1">
      <alignment wrapText="1"/>
    </xf>
    <xf numFmtId="0" fontId="23" fillId="2" borderId="0" xfId="0" applyFont="1" applyFill="1" applyAlignment="1">
      <alignment horizontal="center"/>
    </xf>
    <xf numFmtId="0" fontId="23" fillId="2" borderId="9" xfId="0" applyFont="1" applyFill="1" applyBorder="1" applyAlignment="1">
      <alignment horizontal="center"/>
    </xf>
    <xf numFmtId="0" fontId="20" fillId="3" borderId="12" xfId="0" applyFont="1" applyFill="1" applyBorder="1" applyAlignment="1">
      <alignment horizontal="center"/>
    </xf>
    <xf numFmtId="0" fontId="20" fillId="3" borderId="10" xfId="0" applyFont="1" applyFill="1" applyBorder="1" applyAlignment="1">
      <alignment horizontal="center"/>
    </xf>
    <xf numFmtId="0" fontId="21" fillId="3" borderId="2" xfId="0" applyFont="1" applyFill="1" applyBorder="1" applyAlignment="1">
      <alignment horizontal="left"/>
    </xf>
    <xf numFmtId="0" fontId="21" fillId="3" borderId="3" xfId="0" applyFont="1" applyFill="1" applyBorder="1" applyAlignment="1">
      <alignment horizontal="left"/>
    </xf>
    <xf numFmtId="0" fontId="21" fillId="3" borderId="4" xfId="0" applyFont="1" applyFill="1" applyBorder="1" applyAlignment="1">
      <alignment horizontal="left"/>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21" fillId="0" borderId="5" xfId="0" applyFont="1" applyBorder="1" applyAlignment="1">
      <alignment horizontal="center" vertical="center"/>
    </xf>
    <xf numFmtId="0" fontId="21" fillId="0" borderId="5" xfId="0" applyFont="1" applyBorder="1" applyAlignment="1">
      <alignment horizontal="center" vertical="center" wrapText="1"/>
    </xf>
    <xf numFmtId="0" fontId="21" fillId="0" borderId="6" xfId="0" applyFont="1" applyBorder="1" applyAlignment="1">
      <alignment horizontal="center" vertical="center"/>
    </xf>
    <xf numFmtId="0" fontId="21" fillId="0" borderId="6" xfId="0" applyFont="1" applyBorder="1" applyAlignment="1">
      <alignment horizontal="center" vertical="center" wrapText="1"/>
    </xf>
    <xf numFmtId="0" fontId="21" fillId="0" borderId="8" xfId="0" applyFont="1" applyBorder="1" applyAlignment="1">
      <alignment horizontal="center" vertical="center"/>
    </xf>
    <xf numFmtId="0" fontId="21" fillId="0" borderId="5" xfId="0" applyFont="1" applyBorder="1" applyAlignment="1">
      <alignment horizontal="center" vertical="center" wrapText="1"/>
    </xf>
    <xf numFmtId="0" fontId="21" fillId="0" borderId="0" xfId="0" applyFont="1" applyAlignment="1">
      <alignment horizontal="left" vertical="top"/>
    </xf>
    <xf numFmtId="0" fontId="21" fillId="0" borderId="6" xfId="0" applyFont="1" applyFill="1" applyBorder="1" applyAlignment="1">
      <alignment vertical="top" wrapText="1"/>
    </xf>
    <xf numFmtId="0" fontId="21" fillId="0" borderId="0" xfId="0" applyFont="1" applyAlignment="1">
      <alignment vertical="top" wrapText="1"/>
    </xf>
    <xf numFmtId="0" fontId="21" fillId="0" borderId="1" xfId="0" applyFont="1" applyBorder="1" applyAlignment="1">
      <alignment wrapText="1"/>
    </xf>
    <xf numFmtId="0" fontId="21" fillId="0" borderId="2" xfId="0" applyFont="1" applyBorder="1" applyAlignment="1">
      <alignment vertical="top" wrapText="1"/>
    </xf>
  </cellXfs>
  <cellStyles count="1">
    <cellStyle name="Normal" xfId="0" builtinId="0"/>
  </cellStyles>
  <dxfs count="10">
    <dxf>
      <font>
        <b val="0"/>
        <i/>
        <color rgb="FFFF0000"/>
      </font>
    </dxf>
    <dxf>
      <font>
        <b val="0"/>
        <i/>
        <color rgb="FFFF0000"/>
      </font>
    </dxf>
    <dxf>
      <font>
        <b val="0"/>
        <i/>
        <color rgb="FFFF0000"/>
      </font>
    </dxf>
    <dxf>
      <font>
        <b val="0"/>
        <i/>
        <color rgb="FFFF0000"/>
      </font>
    </dxf>
    <dxf>
      <font>
        <b val="0"/>
        <i/>
        <color rgb="FFFF0000"/>
      </font>
    </dxf>
    <dxf>
      <font>
        <b val="0"/>
        <i/>
        <color rgb="FFFF0000"/>
      </font>
    </dxf>
    <dxf>
      <alignment horizontal="center"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2:D62" totalsRowShown="0" headerRowDxfId="9" headerRowBorderDxfId="8" tableBorderDxfId="7">
  <autoFilter ref="A2:D62" xr:uid="{00000000-0009-0000-0100-000003000000}"/>
  <tableColumns count="4">
    <tableColumn id="1" xr3:uid="{00000000-0010-0000-0000-000001000000}" name="Case #" dataDxfId="6"/>
    <tableColumn id="2" xr3:uid="{00000000-0010-0000-0000-000002000000}" name="Scenario"/>
    <tableColumn id="3" xr3:uid="{00000000-0010-0000-0000-000003000000}" name="Pass/Fail"/>
    <tableColumn id="4" xr3:uid="{00000000-0010-0000-0000-000004000000}" name="Notes"/>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
  <sheetViews>
    <sheetView workbookViewId="0">
      <pane ySplit="2" topLeftCell="A51" activePane="bottomLeft" state="frozen"/>
      <selection pane="bottomLeft" activeCell="D65" sqref="D65"/>
    </sheetView>
  </sheetViews>
  <sheetFormatPr defaultColWidth="8.81640625" defaultRowHeight="14.5" x14ac:dyDescent="0.35"/>
  <cols>
    <col min="1" max="1" width="12.81640625" style="1" customWidth="1"/>
    <col min="2" max="2" width="51.81640625" bestFit="1" customWidth="1"/>
    <col min="3" max="3" width="11" customWidth="1"/>
    <col min="4" max="4" width="57" customWidth="1"/>
  </cols>
  <sheetData>
    <row r="1" spans="1:4" ht="18.5" x14ac:dyDescent="0.45">
      <c r="A1" s="34" t="s">
        <v>0</v>
      </c>
      <c r="B1" s="34"/>
      <c r="C1" s="34"/>
      <c r="D1" s="34"/>
    </row>
    <row r="2" spans="1:4" x14ac:dyDescent="0.35">
      <c r="A2" s="19" t="s">
        <v>1</v>
      </c>
      <c r="B2" s="19" t="s">
        <v>2</v>
      </c>
      <c r="C2" s="19" t="s">
        <v>3</v>
      </c>
      <c r="D2" s="19" t="s">
        <v>4</v>
      </c>
    </row>
    <row r="3" spans="1:4" ht="15.5" x14ac:dyDescent="0.35">
      <c r="B3" s="18" t="s">
        <v>5</v>
      </c>
    </row>
    <row r="4" spans="1:4" x14ac:dyDescent="0.35">
      <c r="A4" s="1" t="s">
        <v>6</v>
      </c>
      <c r="B4" t="s">
        <v>7</v>
      </c>
      <c r="C4" t="str">
        <f>+IF(COUNTIF(D2B01,"Fail")&gt;0,"Fail",IF(COUNTIF(D2B01,"")&gt;0,"Not Tested","Pass"))</f>
        <v>Not Tested</v>
      </c>
    </row>
    <row r="5" spans="1:4" x14ac:dyDescent="0.35">
      <c r="A5" s="1" t="s">
        <v>8</v>
      </c>
      <c r="B5" t="s">
        <v>9</v>
      </c>
      <c r="C5" t="str">
        <f>+IF(COUNTIF(D2B02,"Fail")&gt;0,"Fail",IF(COUNTIF(D2B02,"")&gt;0,"Not Tested","Pass"))</f>
        <v>Not Tested</v>
      </c>
    </row>
    <row r="6" spans="1:4" x14ac:dyDescent="0.35">
      <c r="A6" s="1" t="s">
        <v>10</v>
      </c>
      <c r="B6" t="s">
        <v>11</v>
      </c>
      <c r="C6" t="str">
        <f>+IF(COUNTIF(D2B03,"Fail")&gt;0,"Fail",IF(COUNTIF(D2B03,"")&gt;0,"Not Tested","Pass"))</f>
        <v>Not Tested</v>
      </c>
    </row>
    <row r="7" spans="1:4" x14ac:dyDescent="0.35">
      <c r="A7" s="1" t="s">
        <v>12</v>
      </c>
      <c r="B7" t="s">
        <v>13</v>
      </c>
      <c r="C7" t="str">
        <f>+IF(COUNTIF(D2B04,"Fail")&gt;0,"Fail",IF(COUNTIF(D2B04,"")&gt;0,"Not Tested","Pass"))</f>
        <v>Not Tested</v>
      </c>
    </row>
    <row r="8" spans="1:4" x14ac:dyDescent="0.35">
      <c r="A8" s="1" t="s">
        <v>14</v>
      </c>
      <c r="B8" t="s">
        <v>15</v>
      </c>
      <c r="C8" t="str">
        <f>+IF(COUNTIF(D2B05,"Fail")&gt;0,"Fail",IF(COUNTIF(D2B05,"")&gt;0,"Not Tested","Pass"))</f>
        <v>Not Tested</v>
      </c>
    </row>
    <row r="9" spans="1:4" x14ac:dyDescent="0.35">
      <c r="A9" s="1" t="s">
        <v>16</v>
      </c>
      <c r="B9" t="s">
        <v>17</v>
      </c>
      <c r="C9" t="str">
        <f>+IF(COUNTIF(D2B06,"Fail")&gt;0,"Fail",IF(COUNTIF(D2B06,"")&gt;0,"Not Tested","Pass"))</f>
        <v>Not Tested</v>
      </c>
    </row>
    <row r="10" spans="1:4" x14ac:dyDescent="0.35">
      <c r="A10" s="28" t="s">
        <v>18</v>
      </c>
      <c r="B10" s="29" t="s">
        <v>19</v>
      </c>
      <c r="C10" s="29" t="str">
        <f>+IF(COUNTIF(D2B07,"Fail")&gt;0,"Fail",IF(COUNTIF(D2B07,"")&gt;0,"Not Tested","Pass"))</f>
        <v>Not Tested</v>
      </c>
      <c r="D10" s="29"/>
    </row>
    <row r="11" spans="1:4" x14ac:dyDescent="0.35">
      <c r="A11" s="28" t="s">
        <v>21</v>
      </c>
      <c r="B11" s="29" t="s">
        <v>22</v>
      </c>
      <c r="C11" s="29" t="str">
        <f>+IF(COUNTIF(D2B08,"Fail")&gt;0,"Fail",IF(COUNTIF(D2B08,"")&gt;0,"Not Tested","Pass"))</f>
        <v>Not Tested</v>
      </c>
      <c r="D11" s="29"/>
    </row>
    <row r="12" spans="1:4" x14ac:dyDescent="0.35">
      <c r="A12" s="28" t="s">
        <v>23</v>
      </c>
      <c r="B12" s="29" t="s">
        <v>24</v>
      </c>
      <c r="C12" s="29" t="str">
        <f>+IF(COUNTIF(D2B09,"Fail")&gt;0,"Fail",IF(COUNTIF(D2B09,"")&gt;0,"Not Tested","Pass"))</f>
        <v>Not Tested</v>
      </c>
      <c r="D12" s="29"/>
    </row>
    <row r="13" spans="1:4" x14ac:dyDescent="0.35">
      <c r="A13" s="28" t="s">
        <v>25</v>
      </c>
      <c r="B13" s="29" t="s">
        <v>26</v>
      </c>
      <c r="C13" s="29" t="str">
        <f>+IF(COUNTIF(D2B10,"Fail")&gt;0,"Fail",IF(COUNTIF(D2B10,"")&gt;0,"Not Tested","Pass"))</f>
        <v>Not Tested</v>
      </c>
      <c r="D13" s="29"/>
    </row>
    <row r="14" spans="1:4" x14ac:dyDescent="0.35">
      <c r="A14" s="20" t="s">
        <v>27</v>
      </c>
      <c r="B14" s="21" t="s">
        <v>28</v>
      </c>
      <c r="C14" s="21" t="e">
        <f>+IF(COUNTIF(D2B_CUS01,"Fail")&gt;0,"Fail",IF(COUNTIF(D2B_CUS01,"")&gt;0,"Not Tested","Pass"))</f>
        <v>#REF!</v>
      </c>
      <c r="D14" s="21" t="s">
        <v>29</v>
      </c>
    </row>
    <row r="15" spans="1:4" ht="15.5" x14ac:dyDescent="0.35">
      <c r="B15" s="18" t="s">
        <v>30</v>
      </c>
    </row>
    <row r="16" spans="1:4" x14ac:dyDescent="0.35">
      <c r="A16" s="1" t="s">
        <v>31</v>
      </c>
      <c r="B16" t="s">
        <v>32</v>
      </c>
      <c r="C16" t="str">
        <f>+IF(COUNTIF(_R2R01,"Fail")&gt;0,"Fail",IF(COUNTIF(_R2R01,"")&gt;0,"Not Tested","Pass"))</f>
        <v>Not Tested</v>
      </c>
    </row>
    <row r="17" spans="1:4" x14ac:dyDescent="0.35">
      <c r="A17" s="1" t="s">
        <v>33</v>
      </c>
      <c r="B17" t="s">
        <v>34</v>
      </c>
      <c r="C17" t="str">
        <f>+IF(COUNTIF(_R2R02,"Fail")&gt;0,"Fail",IF(COUNTIF(_R2R02,"")&gt;0,"Not Tested","Pass"))</f>
        <v>Not Tested</v>
      </c>
    </row>
    <row r="18" spans="1:4" x14ac:dyDescent="0.35">
      <c r="A18" s="1" t="s">
        <v>35</v>
      </c>
      <c r="B18" t="s">
        <v>36</v>
      </c>
      <c r="C18" t="str">
        <f>+IF(COUNTIF(_R2R03,"Fail")&gt;0,"Fail",IF(COUNTIF(_R2R03,"")&gt;0,"Not Tested","Pass"))</f>
        <v>Not Tested</v>
      </c>
    </row>
    <row r="19" spans="1:4" x14ac:dyDescent="0.35">
      <c r="A19" s="1" t="s">
        <v>37</v>
      </c>
      <c r="B19" t="s">
        <v>38</v>
      </c>
      <c r="C19" t="str">
        <f>+IF(COUNTIF(_R2R04,"Fail")&gt;0,"Fail",IF(COUNTIF(_R2R04,"")&gt;0,"Not Tested","Pass"))</f>
        <v>Pass</v>
      </c>
    </row>
    <row r="20" spans="1:4" x14ac:dyDescent="0.35">
      <c r="A20" s="1" t="s">
        <v>39</v>
      </c>
      <c r="B20" t="s">
        <v>40</v>
      </c>
      <c r="C20" t="str">
        <f>+IF(COUNTIF(_R2R05,"Fail")&gt;0,"Fail",IF(COUNTIF(_R2R05,"")&gt;0,"Not Tested","Pass"))</f>
        <v>Not Tested</v>
      </c>
    </row>
    <row r="21" spans="1:4" x14ac:dyDescent="0.35">
      <c r="A21" s="1" t="s">
        <v>41</v>
      </c>
      <c r="B21" t="s">
        <v>42</v>
      </c>
      <c r="C21" t="str">
        <f>+IF(COUNTIF(_R2R06,"Fail")&gt;0,"Fail",IF(COUNTIF(_R2R06,"")&gt;0,"Not Tested","Pass"))</f>
        <v>Pass</v>
      </c>
    </row>
    <row r="22" spans="1:4" x14ac:dyDescent="0.35">
      <c r="A22" s="1" t="s">
        <v>43</v>
      </c>
      <c r="B22" t="s">
        <v>44</v>
      </c>
      <c r="C22" t="str">
        <f>+IF(COUNTIF(_R2R07,"Fail")&gt;0,"Fail",IF(COUNTIF(_R2R07,"")&gt;0,"Not Tested","Pass"))</f>
        <v>Not Tested</v>
      </c>
    </row>
    <row r="23" spans="1:4" x14ac:dyDescent="0.35">
      <c r="A23" s="28" t="s">
        <v>45</v>
      </c>
      <c r="B23" s="29" t="s">
        <v>46</v>
      </c>
      <c r="C23" s="29" t="e">
        <f>+IF(COUNTIF(_R2R08,"Fail")&gt;0,"Fail",IF(COUNTIF(_R2R08,"")&gt;0,"Not Tested","Pass"))</f>
        <v>#REF!</v>
      </c>
      <c r="D23" s="29" t="s">
        <v>20</v>
      </c>
    </row>
    <row r="24" spans="1:4" x14ac:dyDescent="0.35">
      <c r="A24" s="28" t="s">
        <v>47</v>
      </c>
      <c r="B24" s="29" t="s">
        <v>48</v>
      </c>
      <c r="C24" s="29" t="e">
        <f>+IF(COUNTIF(_R2R09,"Fail")&gt;0,"Fail",IF(COUNTIF(_R2R09,"")&gt;0,"Not Tested","Pass"))</f>
        <v>#REF!</v>
      </c>
      <c r="D24" s="29" t="s">
        <v>20</v>
      </c>
    </row>
    <row r="25" spans="1:4" x14ac:dyDescent="0.35">
      <c r="A25" s="28" t="s">
        <v>49</v>
      </c>
      <c r="B25" s="29" t="s">
        <v>50</v>
      </c>
      <c r="C25" s="29" t="e">
        <f>+IF(COUNTIF(_R2R10,"Fail")&gt;0,"Fail",IF(COUNTIF(_R2R10,"")&gt;0,"Not Tested","Pass"))</f>
        <v>#REF!</v>
      </c>
      <c r="D25" s="29" t="s">
        <v>20</v>
      </c>
    </row>
    <row r="26" spans="1:4" x14ac:dyDescent="0.35">
      <c r="A26" s="20" t="s">
        <v>51</v>
      </c>
      <c r="B26" s="21" t="s">
        <v>52</v>
      </c>
      <c r="C26" s="21" t="e">
        <f>+IF(COUNTIF(_R2R_CUS01,"Fail")&gt;0,"Fail",IF(COUNTIF(_R2R_CUS01,"")&gt;0,"Not Tested","Pass"))</f>
        <v>#REF!</v>
      </c>
      <c r="D26" s="21" t="s">
        <v>29</v>
      </c>
    </row>
    <row r="27" spans="1:4" ht="15.5" x14ac:dyDescent="0.35">
      <c r="B27" s="18" t="s">
        <v>53</v>
      </c>
      <c r="C27" s="1"/>
      <c r="D27" s="1"/>
    </row>
    <row r="28" spans="1:4" x14ac:dyDescent="0.35">
      <c r="A28" s="1" t="s">
        <v>54</v>
      </c>
      <c r="B28" t="s">
        <v>55</v>
      </c>
      <c r="C28" t="str">
        <f>+IF(COUNTIF(L2Q01,"Fail")&gt;0,"Fail",IF(COUNTIF(L2Q01,"")&gt;0,"Not Tested","Pass"))</f>
        <v>Not Tested</v>
      </c>
    </row>
    <row r="29" spans="1:4" x14ac:dyDescent="0.35">
      <c r="A29" s="1" t="s">
        <v>56</v>
      </c>
      <c r="B29" t="s">
        <v>57</v>
      </c>
      <c r="C29" t="e">
        <f>+IF(COUNTIF(L2Q02,"Fail")&gt;0,"Fail",IF(COUNTIF(L2Q02,"")&gt;0,"Not Tested","Pass"))</f>
        <v>#REF!</v>
      </c>
    </row>
    <row r="30" spans="1:4" x14ac:dyDescent="0.35">
      <c r="A30" s="1" t="s">
        <v>58</v>
      </c>
      <c r="B30" t="s">
        <v>59</v>
      </c>
      <c r="C30" t="e">
        <f>+IF(COUNTIF(L2Q03,"Fail")&gt;0,"Fail",IF(COUNTIF(L2Q03,"")&gt;0,"Not Tested","Pass"))</f>
        <v>#REF!</v>
      </c>
    </row>
    <row r="31" spans="1:4" x14ac:dyDescent="0.35">
      <c r="A31" s="1" t="s">
        <v>60</v>
      </c>
      <c r="B31" t="s">
        <v>61</v>
      </c>
      <c r="C31" t="e">
        <f>+IF(COUNTIF(L2Q04,"Fail")&gt;0,"Fail",IF(COUNTIF(L2Q04,"")&gt;0,"Not Tested","Pass"))</f>
        <v>#REF!</v>
      </c>
    </row>
    <row r="32" spans="1:4" x14ac:dyDescent="0.35">
      <c r="A32" s="1" t="s">
        <v>62</v>
      </c>
      <c r="B32" t="s">
        <v>63</v>
      </c>
      <c r="C32" t="e">
        <f>+IF(COUNTIF(L2Q05,"Fail")&gt;0,"Fail",IF(COUNTIF(L2Q05,"")&gt;0,"Not Tested","Pass"))</f>
        <v>#REF!</v>
      </c>
    </row>
    <row r="33" spans="1:4" x14ac:dyDescent="0.35">
      <c r="A33" s="20" t="s">
        <v>64</v>
      </c>
      <c r="B33" s="21" t="s">
        <v>65</v>
      </c>
      <c r="C33" s="21" t="str">
        <f>+IF(COUNTIF(L2Q_CUS01,"Fail")&gt;0,"Fail",IF(COUNTIF(L2Q_CUS01,"")&gt;0,"Not Tested","Pass"))</f>
        <v>Not Tested</v>
      </c>
      <c r="D33" s="21" t="s">
        <v>29</v>
      </c>
    </row>
    <row r="34" spans="1:4" ht="15.5" x14ac:dyDescent="0.35">
      <c r="B34" s="18" t="s">
        <v>66</v>
      </c>
    </row>
    <row r="35" spans="1:4" x14ac:dyDescent="0.35">
      <c r="A35" s="1" t="s">
        <v>67</v>
      </c>
      <c r="B35" t="s">
        <v>68</v>
      </c>
      <c r="C35" t="str">
        <f>+IF(COUNTIF(O2C01,"Fail")&gt;0,"Fail",IF(COUNTIF(O2C01,"")&gt;0,"Not Tested","Pass"))</f>
        <v>Not Tested</v>
      </c>
    </row>
    <row r="36" spans="1:4" x14ac:dyDescent="0.35">
      <c r="A36" s="1" t="s">
        <v>69</v>
      </c>
      <c r="B36" t="s">
        <v>70</v>
      </c>
      <c r="C36" t="str">
        <f>+IF(COUNTIF(O2C02,"Fail")&gt;0,"Fail",IF(COUNTIF(O2C02,"")&gt;0,"Not Tested","Pass"))</f>
        <v>Not Tested</v>
      </c>
    </row>
    <row r="37" spans="1:4" x14ac:dyDescent="0.35">
      <c r="A37" s="1" t="s">
        <v>71</v>
      </c>
      <c r="B37" t="s">
        <v>72</v>
      </c>
      <c r="C37" t="str">
        <f>+IF(COUNTIF(_R2C01,"Fail")&gt;0,"Fail",IF(COUNTIF(_R2C01,"")&gt;0,"Not Tested","Pass"))</f>
        <v>Not Tested</v>
      </c>
    </row>
    <row r="38" spans="1:4" x14ac:dyDescent="0.35">
      <c r="A38" s="1" t="s">
        <v>73</v>
      </c>
      <c r="B38" t="s">
        <v>74</v>
      </c>
      <c r="C38" t="s">
        <v>511</v>
      </c>
    </row>
    <row r="39" spans="1:4" x14ac:dyDescent="0.35">
      <c r="A39" s="20" t="s">
        <v>75</v>
      </c>
      <c r="B39" s="21" t="s">
        <v>76</v>
      </c>
      <c r="C39" s="21" t="e">
        <f>+IF(COUNTIF(O2C_CUS01,"Fail")&gt;0,"Fail",IF(COUNTIF(O2C_CUS01,"")&gt;0,"Not Tested","Pass"))</f>
        <v>#REF!</v>
      </c>
      <c r="D39" s="21" t="s">
        <v>29</v>
      </c>
    </row>
    <row r="40" spans="1:4" ht="15.5" x14ac:dyDescent="0.35">
      <c r="B40" s="18" t="s">
        <v>77</v>
      </c>
    </row>
    <row r="41" spans="1:4" x14ac:dyDescent="0.35">
      <c r="A41" s="1" t="s">
        <v>78</v>
      </c>
      <c r="B41" t="s">
        <v>79</v>
      </c>
      <c r="C41" t="str">
        <f>+IF(COUNTIF(P2P01,"Fail")&gt;0,"Fail",IF(COUNTIF(P2P01,"")&gt;0,"Not Tested","Pass"))</f>
        <v>Not Tested</v>
      </c>
    </row>
    <row r="42" spans="1:4" x14ac:dyDescent="0.35">
      <c r="A42" s="28" t="s">
        <v>80</v>
      </c>
      <c r="B42" s="29" t="s">
        <v>81</v>
      </c>
      <c r="C42" s="29" t="str">
        <f>+IF(COUNTIF(P2P02,"Fail")&gt;0,"Fail",IF(COUNTIF(P2P02,"")&gt;0,"Not Tested","Pass"))</f>
        <v>Not Tested</v>
      </c>
      <c r="D42" s="29"/>
    </row>
    <row r="43" spans="1:4" x14ac:dyDescent="0.35">
      <c r="A43" s="1" t="s">
        <v>82</v>
      </c>
      <c r="B43" t="s">
        <v>83</v>
      </c>
      <c r="C43" t="str">
        <f>+IF(COUNTIF(P2P03,"Fail")&gt;0,"Fail",IF(COUNTIF(P2P03,"")&gt;0,"Not Tested","Pass"))</f>
        <v>Not Tested</v>
      </c>
    </row>
    <row r="44" spans="1:4" x14ac:dyDescent="0.35">
      <c r="A44" s="1" t="s">
        <v>84</v>
      </c>
      <c r="B44" t="s">
        <v>85</v>
      </c>
      <c r="C44" t="str">
        <f>+IF(COUNTIF(P2P04,"Fail")&gt;0,"Fail",IF(COUNTIF(P2P04,"")&gt;0,"Not Tested","Pass"))</f>
        <v>Not Tested</v>
      </c>
    </row>
    <row r="45" spans="1:4" x14ac:dyDescent="0.35">
      <c r="A45" s="1" t="s">
        <v>86</v>
      </c>
      <c r="B45" t="s">
        <v>87</v>
      </c>
      <c r="C45" t="str">
        <f>+IF(COUNTIF(P2P05,"Fail")&gt;0,"Fail",IF(COUNTIF(P2P05,"")&gt;0,"Not Tested","Pass"))</f>
        <v>Not Tested</v>
      </c>
    </row>
    <row r="46" spans="1:4" x14ac:dyDescent="0.35">
      <c r="A46" s="1" t="s">
        <v>88</v>
      </c>
      <c r="B46" t="s">
        <v>89</v>
      </c>
      <c r="C46" t="str">
        <f>+IF(COUNTIF(P2P06,"Fail")&gt;0,"Fail",IF(COUNTIF(P2P06,"")&gt;0,"Not Tested","Pass"))</f>
        <v>Not Tested</v>
      </c>
    </row>
    <row r="47" spans="1:4" x14ac:dyDescent="0.35">
      <c r="A47" s="1" t="s">
        <v>90</v>
      </c>
      <c r="B47" t="s">
        <v>91</v>
      </c>
      <c r="C47" t="str">
        <f>+IF(COUNTIF(P2P09,"Fail")&gt;0,"Fail",IF(COUNTIF(P2P09,"")&gt;0,"Not Tested","Pass"))</f>
        <v>Not Tested</v>
      </c>
    </row>
    <row r="48" spans="1:4" x14ac:dyDescent="0.35">
      <c r="A48" s="20" t="s">
        <v>92</v>
      </c>
      <c r="B48" s="21" t="s">
        <v>93</v>
      </c>
      <c r="C48" s="21" t="str">
        <f>+IF(COUNTIF(P2P_CUS01,"Fail")&gt;0,"Fail",IF(COUNTIF(P2P_CUS01,"")&gt;0,"Not Tested","Pass"))</f>
        <v>Not Tested</v>
      </c>
      <c r="D48" s="21" t="s">
        <v>29</v>
      </c>
    </row>
    <row r="49" spans="1:4" ht="15.5" x14ac:dyDescent="0.35">
      <c r="B49" s="18" t="s">
        <v>94</v>
      </c>
    </row>
    <row r="50" spans="1:4" x14ac:dyDescent="0.35">
      <c r="A50" s="1" t="s">
        <v>95</v>
      </c>
      <c r="B50" t="s">
        <v>96</v>
      </c>
      <c r="C50" t="str">
        <f>+IF(COUNTIF(_MFG01,"Fail")&gt;0,"Fail",IF(COUNTIF(_MFG01,"")&gt;0,"Not Tested","Pass"))</f>
        <v>Not Tested</v>
      </c>
    </row>
    <row r="51" spans="1:4" x14ac:dyDescent="0.35">
      <c r="A51" s="28" t="s">
        <v>97</v>
      </c>
      <c r="B51" s="29" t="s">
        <v>98</v>
      </c>
      <c r="C51" s="29" t="str">
        <f>+IF(COUNTIF(_MFG02,"Fail")&gt;0,"Fail",IF(COUNTIF(_MFG02,"")&gt;0,"Not Tested","Pass"))</f>
        <v>Not Tested</v>
      </c>
      <c r="D51" s="29"/>
    </row>
    <row r="52" spans="1:4" x14ac:dyDescent="0.35">
      <c r="A52" s="1" t="s">
        <v>99</v>
      </c>
      <c r="B52" t="s">
        <v>100</v>
      </c>
      <c r="C52" t="str">
        <f>+IF(COUNTIF(_MFG03,"Fail")&gt;0,"Fail",IF(COUNTIF(_MFG03,"")&gt;0,"Not Tested","Pass"))</f>
        <v>Not Tested</v>
      </c>
    </row>
    <row r="53" spans="1:4" x14ac:dyDescent="0.35">
      <c r="A53" s="1" t="s">
        <v>101</v>
      </c>
      <c r="B53" t="s">
        <v>102</v>
      </c>
      <c r="C53" t="str">
        <f>+IF(COUNTIF(_MFG04,"Fail")&gt;0,"Fail",IF(COUNTIF(_MFG04,"")&gt;0,"Not Tested","Pass"))</f>
        <v>Not Tested</v>
      </c>
    </row>
    <row r="54" spans="1:4" x14ac:dyDescent="0.35">
      <c r="A54" s="24" t="s">
        <v>103</v>
      </c>
      <c r="B54" s="25" t="s">
        <v>104</v>
      </c>
      <c r="C54" s="25" t="e">
        <f>+IF(COUNTIF(_MFG06,"Fail")&gt;0,"Fail",IF(COUNTIF(_MFG06,"")&gt;0,"Not Tested","Pass"))</f>
        <v>#REF!</v>
      </c>
      <c r="D54" s="25"/>
    </row>
    <row r="55" spans="1:4" x14ac:dyDescent="0.35">
      <c r="A55" s="20" t="s">
        <v>105</v>
      </c>
      <c r="B55" s="21" t="s">
        <v>106</v>
      </c>
      <c r="C55" s="21" t="str">
        <f>+IF(COUNTIF(MFG_CUS01,"Fail")&gt;0,"Fail",IF(COUNTIF(MFG_CUS01,"")&gt;0,"Not Tested","Pass"))</f>
        <v>Not Tested</v>
      </c>
      <c r="D55" s="21" t="s">
        <v>29</v>
      </c>
    </row>
    <row r="56" spans="1:4" ht="15.5" x14ac:dyDescent="0.35">
      <c r="B56" s="18" t="s">
        <v>107</v>
      </c>
    </row>
    <row r="57" spans="1:4" x14ac:dyDescent="0.35">
      <c r="A57" s="1" t="s">
        <v>108</v>
      </c>
      <c r="B57" t="s">
        <v>109</v>
      </c>
      <c r="C57" t="str">
        <f>+IF(COUNTIF(M2R01,"Fail")&gt;0,"Fail",IF(COUNTIF(M2R01,"")&gt;0,"Not Tested","Pass"))</f>
        <v>Not Tested</v>
      </c>
    </row>
    <row r="58" spans="1:4" x14ac:dyDescent="0.35">
      <c r="A58" s="20" t="s">
        <v>110</v>
      </c>
      <c r="B58" s="21" t="s">
        <v>111</v>
      </c>
      <c r="C58" s="21" t="str">
        <f>+IF(COUNTIF(M2R_CUS01,"Fail")&gt;0,"Fail",IF(COUNTIF(M2R_CUS01,"")&gt;0,"Not Tested","Pass"))</f>
        <v>Pass</v>
      </c>
      <c r="D58" s="21" t="s">
        <v>29</v>
      </c>
    </row>
    <row r="59" spans="1:4" ht="15.5" x14ac:dyDescent="0.35">
      <c r="B59" s="18" t="s">
        <v>112</v>
      </c>
    </row>
    <row r="60" spans="1:4" x14ac:dyDescent="0.35">
      <c r="A60" s="1" t="s">
        <v>113</v>
      </c>
      <c r="B60" t="s">
        <v>114</v>
      </c>
      <c r="C60" t="str">
        <f>+IF(COUNTIF(_C2R01,"Fail")&gt;0,"Fail",IF(COUNTIF(_C2R01,"")&gt;0,"Not Tested","Pass"))</f>
        <v>Not Tested</v>
      </c>
    </row>
    <row r="61" spans="1:4" x14ac:dyDescent="0.35">
      <c r="A61" s="1" t="s">
        <v>115</v>
      </c>
      <c r="B61" t="s">
        <v>116</v>
      </c>
      <c r="C61" t="str">
        <f>+IF(COUNTIF(_C2R02,"Fail")&gt;0,"Fail",IF(COUNTIF(_C2R02,"")&gt;0,"Not Tested","Pass"))</f>
        <v>Not Tested</v>
      </c>
    </row>
    <row r="62" spans="1:4" x14ac:dyDescent="0.35">
      <c r="A62" s="20" t="s">
        <v>117</v>
      </c>
      <c r="B62" s="21" t="s">
        <v>118</v>
      </c>
      <c r="C62" s="21" t="str">
        <f>+IF(COUNTIF(_C2R_CUS01,"Fail")&gt;0,"Fail",IF(COUNTIF(_C2R_CUS01,"")&gt;0,"Not Tested","Pass"))</f>
        <v>Pass</v>
      </c>
      <c r="D62" s="21" t="s">
        <v>29</v>
      </c>
    </row>
  </sheetData>
  <dataConsolidate/>
  <mergeCells count="1">
    <mergeCell ref="A1:D1"/>
  </mergeCells>
  <conditionalFormatting sqref="C63:C64 C60:C61 C56:C57 C3:C14 C28:C54">
    <cfRule type="cellIs" dxfId="5" priority="8" operator="equal">
      <formula>"Fail"</formula>
    </cfRule>
  </conditionalFormatting>
  <conditionalFormatting sqref="C58:C59">
    <cfRule type="cellIs" dxfId="4" priority="5" operator="equal">
      <formula>"Fail"</formula>
    </cfRule>
  </conditionalFormatting>
  <conditionalFormatting sqref="C62">
    <cfRule type="cellIs" dxfId="3" priority="4" operator="equal">
      <formula>"Fail"</formula>
    </cfRule>
  </conditionalFormatting>
  <conditionalFormatting sqref="C55">
    <cfRule type="cellIs" dxfId="2" priority="3" operator="equal">
      <formula>"Fail"</formula>
    </cfRule>
  </conditionalFormatting>
  <conditionalFormatting sqref="C15:C25">
    <cfRule type="cellIs" dxfId="1" priority="2" operator="equal">
      <formula>"Fail"</formula>
    </cfRule>
  </conditionalFormatting>
  <conditionalFormatting sqref="C26">
    <cfRule type="cellIs" dxfId="0" priority="1" operator="equal">
      <formula>"Fail"</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56"/>
  <sheetViews>
    <sheetView tabSelected="1" zoomScale="70" zoomScaleNormal="70" workbookViewId="0">
      <pane ySplit="1" topLeftCell="A41" activePane="bottomLeft" state="frozen"/>
      <selection pane="bottomLeft" activeCell="H42" sqref="H42"/>
    </sheetView>
  </sheetViews>
  <sheetFormatPr defaultColWidth="8.81640625" defaultRowHeight="14.5" x14ac:dyDescent="0.35"/>
  <cols>
    <col min="3" max="3" width="12.81640625" style="1" customWidth="1"/>
    <col min="4" max="4" width="27" customWidth="1"/>
    <col min="5" max="5" width="18.6328125" style="2" customWidth="1"/>
    <col min="7" max="7" width="26.81640625" customWidth="1"/>
    <col min="8" max="8" width="51.81640625" style="2" customWidth="1"/>
    <col min="9" max="9" width="30.81640625" style="2" customWidth="1"/>
    <col min="12" max="12" width="16.81640625" customWidth="1"/>
    <col min="13" max="13" width="10.1796875" customWidth="1"/>
    <col min="14" max="14" width="13.1796875" customWidth="1"/>
    <col min="15" max="15" width="42.1796875" style="2" customWidth="1"/>
  </cols>
  <sheetData>
    <row r="1" spans="1:15" x14ac:dyDescent="0.35">
      <c r="A1" s="3" t="s">
        <v>119</v>
      </c>
      <c r="B1" s="3" t="s">
        <v>120</v>
      </c>
      <c r="C1" s="3" t="s">
        <v>1</v>
      </c>
      <c r="D1" s="3" t="s">
        <v>2</v>
      </c>
      <c r="E1" s="4" t="s">
        <v>121</v>
      </c>
      <c r="F1" s="3" t="s">
        <v>122</v>
      </c>
      <c r="G1" s="3" t="s">
        <v>123</v>
      </c>
      <c r="H1" s="4" t="s">
        <v>124</v>
      </c>
      <c r="I1" s="4" t="s">
        <v>125</v>
      </c>
      <c r="J1" s="3" t="s">
        <v>3</v>
      </c>
      <c r="K1" s="3" t="s">
        <v>126</v>
      </c>
      <c r="L1" s="3" t="s">
        <v>127</v>
      </c>
      <c r="M1" s="3" t="s">
        <v>128</v>
      </c>
      <c r="N1" s="3" t="s">
        <v>129</v>
      </c>
      <c r="O1" s="4" t="s">
        <v>4</v>
      </c>
    </row>
    <row r="2" spans="1:15" ht="18.5" x14ac:dyDescent="0.45">
      <c r="A2" s="42" t="s">
        <v>96</v>
      </c>
      <c r="B2" s="42"/>
      <c r="C2" s="42"/>
      <c r="D2" s="42"/>
      <c r="E2" s="42"/>
      <c r="F2" s="42"/>
      <c r="G2" s="42"/>
      <c r="H2" s="42"/>
      <c r="I2" s="42"/>
      <c r="J2" s="42"/>
      <c r="K2" s="42"/>
      <c r="L2" s="42"/>
      <c r="M2" s="42"/>
      <c r="N2" s="42"/>
      <c r="O2" s="43"/>
    </row>
    <row r="3" spans="1:15" ht="21" x14ac:dyDescent="0.5">
      <c r="A3" s="111" t="s">
        <v>130</v>
      </c>
      <c r="B3" s="111"/>
      <c r="C3" s="112"/>
      <c r="D3" s="113" t="s">
        <v>131</v>
      </c>
      <c r="E3" s="113"/>
      <c r="F3" s="113"/>
      <c r="G3" s="113"/>
      <c r="H3" s="113"/>
      <c r="I3" s="113"/>
      <c r="J3" s="113"/>
      <c r="K3" s="113"/>
      <c r="L3" s="113"/>
      <c r="M3" s="113"/>
      <c r="N3" s="113"/>
      <c r="O3" s="113"/>
    </row>
    <row r="4" spans="1:15" ht="221.15" customHeight="1" x14ac:dyDescent="0.5">
      <c r="A4" s="114" t="s">
        <v>132</v>
      </c>
      <c r="B4" s="114" t="s">
        <v>133</v>
      </c>
      <c r="C4" s="115" t="s">
        <v>95</v>
      </c>
      <c r="D4" s="116" t="s">
        <v>134</v>
      </c>
      <c r="E4" s="117" t="s">
        <v>135</v>
      </c>
      <c r="F4" s="118" t="s">
        <v>136</v>
      </c>
      <c r="G4" s="118" t="s">
        <v>134</v>
      </c>
      <c r="H4" s="117" t="s">
        <v>137</v>
      </c>
      <c r="I4" s="117" t="s">
        <v>138</v>
      </c>
      <c r="J4" s="118"/>
      <c r="K4" s="118"/>
      <c r="L4" s="118"/>
      <c r="M4" s="118"/>
      <c r="N4" s="117" t="s">
        <v>583</v>
      </c>
      <c r="O4" s="117" t="s">
        <v>139</v>
      </c>
    </row>
    <row r="5" spans="1:15" ht="6" customHeight="1" x14ac:dyDescent="0.5">
      <c r="A5" s="119"/>
      <c r="B5" s="119"/>
      <c r="C5" s="120"/>
      <c r="D5" s="119"/>
      <c r="E5" s="121"/>
      <c r="F5" s="119"/>
      <c r="G5" s="119"/>
      <c r="H5" s="121"/>
      <c r="I5" s="121"/>
      <c r="J5" s="119" t="s">
        <v>140</v>
      </c>
      <c r="K5" s="118"/>
      <c r="L5" s="119"/>
      <c r="M5" s="119"/>
      <c r="N5" s="119"/>
      <c r="O5" s="121"/>
    </row>
    <row r="6" spans="1:15" ht="21" x14ac:dyDescent="0.5">
      <c r="A6" s="122" t="s">
        <v>141</v>
      </c>
      <c r="B6" s="122"/>
      <c r="C6" s="122"/>
      <c r="D6" s="122"/>
      <c r="E6" s="122"/>
      <c r="F6" s="122"/>
      <c r="G6" s="122"/>
      <c r="H6" s="122"/>
      <c r="I6" s="122"/>
      <c r="J6" s="122"/>
      <c r="K6" s="122"/>
      <c r="L6" s="122"/>
      <c r="M6" s="122"/>
      <c r="N6" s="122"/>
      <c r="O6" s="123"/>
    </row>
    <row r="7" spans="1:15" ht="21" x14ac:dyDescent="0.5">
      <c r="A7" s="124" t="s">
        <v>130</v>
      </c>
      <c r="B7" s="124"/>
      <c r="C7" s="125"/>
      <c r="D7" s="126" t="s">
        <v>142</v>
      </c>
      <c r="E7" s="127"/>
      <c r="F7" s="127"/>
      <c r="G7" s="127"/>
      <c r="H7" s="127"/>
      <c r="I7" s="127"/>
      <c r="J7" s="127"/>
      <c r="K7" s="127"/>
      <c r="L7" s="127"/>
      <c r="M7" s="127"/>
      <c r="N7" s="127"/>
      <c r="O7" s="128"/>
    </row>
    <row r="8" spans="1:15" ht="172.4" customHeight="1" x14ac:dyDescent="0.5">
      <c r="A8" s="114"/>
      <c r="B8" s="114"/>
      <c r="C8" s="129" t="s">
        <v>97</v>
      </c>
      <c r="D8" s="130" t="s">
        <v>143</v>
      </c>
      <c r="E8" s="117" t="s">
        <v>135</v>
      </c>
      <c r="F8" s="118" t="s">
        <v>136</v>
      </c>
      <c r="G8" s="118" t="s">
        <v>145</v>
      </c>
      <c r="H8" s="117" t="s">
        <v>146</v>
      </c>
      <c r="I8" s="117" t="s">
        <v>147</v>
      </c>
      <c r="J8" s="118"/>
      <c r="K8" s="114"/>
      <c r="L8" s="118"/>
      <c r="M8" s="118"/>
      <c r="N8" s="117" t="s">
        <v>584</v>
      </c>
      <c r="O8" s="117" t="s">
        <v>139</v>
      </c>
    </row>
    <row r="9" spans="1:15" ht="6" customHeight="1" x14ac:dyDescent="0.5">
      <c r="A9" s="119"/>
      <c r="B9" s="119"/>
      <c r="C9" s="120"/>
      <c r="D9" s="119"/>
      <c r="E9" s="121"/>
      <c r="F9" s="119"/>
      <c r="G9" s="119"/>
      <c r="H9" s="121"/>
      <c r="I9" s="121"/>
      <c r="J9" s="119" t="s">
        <v>140</v>
      </c>
      <c r="K9" s="119"/>
      <c r="L9" s="119"/>
      <c r="M9" s="119"/>
      <c r="N9" s="119"/>
      <c r="O9" s="121"/>
    </row>
    <row r="10" spans="1:15" ht="21" x14ac:dyDescent="0.5">
      <c r="A10" s="122" t="s">
        <v>100</v>
      </c>
      <c r="B10" s="122"/>
      <c r="C10" s="122"/>
      <c r="D10" s="122"/>
      <c r="E10" s="122"/>
      <c r="F10" s="122"/>
      <c r="G10" s="122"/>
      <c r="H10" s="122"/>
      <c r="I10" s="122"/>
      <c r="J10" s="122"/>
      <c r="K10" s="122"/>
      <c r="L10" s="122"/>
      <c r="M10" s="122"/>
      <c r="N10" s="122"/>
      <c r="O10" s="123"/>
    </row>
    <row r="11" spans="1:15" ht="21" x14ac:dyDescent="0.5">
      <c r="A11" s="124" t="s">
        <v>130</v>
      </c>
      <c r="B11" s="124"/>
      <c r="C11" s="125"/>
      <c r="D11" s="126" t="s">
        <v>149</v>
      </c>
      <c r="E11" s="127"/>
      <c r="F11" s="127"/>
      <c r="G11" s="127"/>
      <c r="H11" s="127"/>
      <c r="I11" s="127"/>
      <c r="J11" s="127"/>
      <c r="K11" s="127"/>
      <c r="L11" s="127"/>
      <c r="M11" s="127"/>
      <c r="N11" s="127"/>
      <c r="O11" s="128"/>
    </row>
    <row r="12" spans="1:15" ht="409.5" x14ac:dyDescent="0.5">
      <c r="A12" s="114" t="s">
        <v>132</v>
      </c>
      <c r="B12" s="114" t="s">
        <v>133</v>
      </c>
      <c r="C12" s="131" t="s">
        <v>99</v>
      </c>
      <c r="D12" s="132" t="s">
        <v>150</v>
      </c>
      <c r="E12" s="117" t="s">
        <v>135</v>
      </c>
      <c r="F12" s="118" t="s">
        <v>136</v>
      </c>
      <c r="G12" s="117" t="s">
        <v>151</v>
      </c>
      <c r="H12" s="117" t="s">
        <v>152</v>
      </c>
      <c r="I12" s="117" t="s">
        <v>153</v>
      </c>
      <c r="J12" s="118"/>
      <c r="K12" s="118"/>
      <c r="L12" s="118"/>
      <c r="M12" s="118"/>
      <c r="N12" s="117" t="s">
        <v>585</v>
      </c>
      <c r="O12" s="117" t="s">
        <v>139</v>
      </c>
    </row>
    <row r="13" spans="1:15" ht="409.5" x14ac:dyDescent="0.5">
      <c r="A13" s="114" t="s">
        <v>132</v>
      </c>
      <c r="B13" s="114" t="s">
        <v>133</v>
      </c>
      <c r="C13" s="133"/>
      <c r="D13" s="134"/>
      <c r="E13" s="117" t="s">
        <v>144</v>
      </c>
      <c r="F13" s="118" t="s">
        <v>154</v>
      </c>
      <c r="G13" s="117" t="s">
        <v>155</v>
      </c>
      <c r="H13" s="117" t="s">
        <v>156</v>
      </c>
      <c r="I13" s="117" t="s">
        <v>157</v>
      </c>
      <c r="J13" s="118"/>
      <c r="K13" s="118"/>
      <c r="L13" s="118"/>
      <c r="M13" s="118"/>
      <c r="N13" s="117" t="s">
        <v>586</v>
      </c>
      <c r="O13" s="117" t="s">
        <v>139</v>
      </c>
    </row>
    <row r="14" spans="1:15" ht="6" customHeight="1" x14ac:dyDescent="0.5">
      <c r="A14" s="119"/>
      <c r="B14" s="119"/>
      <c r="C14" s="120"/>
      <c r="D14" s="119"/>
      <c r="E14" s="121"/>
      <c r="F14" s="119"/>
      <c r="G14" s="119"/>
      <c r="H14" s="121"/>
      <c r="I14" s="121"/>
      <c r="J14" s="119" t="s">
        <v>140</v>
      </c>
      <c r="K14" s="119"/>
      <c r="L14" s="119"/>
      <c r="M14" s="119"/>
      <c r="N14" s="119"/>
      <c r="O14" s="121"/>
    </row>
    <row r="15" spans="1:15" ht="21" x14ac:dyDescent="0.5">
      <c r="A15" s="122" t="s">
        <v>102</v>
      </c>
      <c r="B15" s="122"/>
      <c r="C15" s="122"/>
      <c r="D15" s="122"/>
      <c r="E15" s="122"/>
      <c r="F15" s="122"/>
      <c r="G15" s="122"/>
      <c r="H15" s="122"/>
      <c r="I15" s="122"/>
      <c r="J15" s="122"/>
      <c r="K15" s="122"/>
      <c r="L15" s="122"/>
      <c r="M15" s="122"/>
      <c r="N15" s="122"/>
      <c r="O15" s="123"/>
    </row>
    <row r="16" spans="1:15" ht="21" x14ac:dyDescent="0.5">
      <c r="A16" s="111" t="s">
        <v>130</v>
      </c>
      <c r="B16" s="111"/>
      <c r="C16" s="112"/>
      <c r="D16" s="113" t="s">
        <v>158</v>
      </c>
      <c r="E16" s="113"/>
      <c r="F16" s="113"/>
      <c r="G16" s="113"/>
      <c r="H16" s="113"/>
      <c r="I16" s="113"/>
      <c r="J16" s="113"/>
      <c r="K16" s="113"/>
      <c r="L16" s="113"/>
      <c r="M16" s="113"/>
      <c r="N16" s="113"/>
      <c r="O16" s="113"/>
    </row>
    <row r="17" spans="1:15" ht="357" x14ac:dyDescent="0.5">
      <c r="A17" s="114" t="s">
        <v>132</v>
      </c>
      <c r="B17" s="114" t="s">
        <v>133</v>
      </c>
      <c r="C17" s="135" t="s">
        <v>101</v>
      </c>
      <c r="D17" s="136" t="s">
        <v>159</v>
      </c>
      <c r="E17" s="117" t="s">
        <v>135</v>
      </c>
      <c r="F17" s="118" t="s">
        <v>136</v>
      </c>
      <c r="G17" s="118" t="s">
        <v>160</v>
      </c>
      <c r="H17" s="117" t="s">
        <v>161</v>
      </c>
      <c r="I17" s="117" t="s">
        <v>162</v>
      </c>
      <c r="J17" s="118"/>
      <c r="K17" s="118"/>
      <c r="L17" s="118"/>
      <c r="M17" s="118"/>
      <c r="N17" s="117" t="s">
        <v>583</v>
      </c>
      <c r="O17" s="117" t="s">
        <v>139</v>
      </c>
    </row>
    <row r="18" spans="1:15" ht="6" customHeight="1" x14ac:dyDescent="0.5">
      <c r="A18" s="119"/>
      <c r="B18" s="119"/>
      <c r="C18" s="120"/>
      <c r="D18" s="119"/>
      <c r="E18" s="121"/>
      <c r="F18" s="119"/>
      <c r="G18" s="119"/>
      <c r="H18" s="121"/>
      <c r="I18" s="121"/>
      <c r="J18" s="119" t="s">
        <v>140</v>
      </c>
      <c r="K18" s="118"/>
      <c r="L18" s="119"/>
      <c r="M18" s="119"/>
      <c r="N18" s="119"/>
      <c r="O18" s="121"/>
    </row>
    <row r="19" spans="1:15" ht="21" x14ac:dyDescent="0.5">
      <c r="A19" s="122" t="s">
        <v>510</v>
      </c>
      <c r="B19" s="122"/>
      <c r="C19" s="122"/>
      <c r="D19" s="122"/>
      <c r="E19" s="122"/>
      <c r="F19" s="122"/>
      <c r="G19" s="122"/>
      <c r="H19" s="122"/>
      <c r="I19" s="122"/>
      <c r="J19" s="122"/>
      <c r="K19" s="122"/>
      <c r="L19" s="122"/>
      <c r="M19" s="122"/>
      <c r="N19" s="122"/>
      <c r="O19" s="123"/>
    </row>
    <row r="20" spans="1:15" ht="21" x14ac:dyDescent="0.5">
      <c r="A20" s="111" t="s">
        <v>130</v>
      </c>
      <c r="B20" s="111"/>
      <c r="C20" s="112"/>
      <c r="D20" s="113" t="s">
        <v>179</v>
      </c>
      <c r="E20" s="113"/>
      <c r="F20" s="113"/>
      <c r="G20" s="113"/>
      <c r="H20" s="113"/>
      <c r="I20" s="113"/>
      <c r="J20" s="113"/>
      <c r="K20" s="113"/>
      <c r="L20" s="113"/>
      <c r="M20" s="113"/>
      <c r="N20" s="113"/>
      <c r="O20" s="113"/>
    </row>
    <row r="21" spans="1:15" ht="168" x14ac:dyDescent="0.5">
      <c r="A21" s="114" t="s">
        <v>132</v>
      </c>
      <c r="B21" s="114" t="s">
        <v>133</v>
      </c>
      <c r="C21" s="115" t="s">
        <v>105</v>
      </c>
      <c r="D21" s="117" t="s">
        <v>493</v>
      </c>
      <c r="E21" s="117" t="s">
        <v>502</v>
      </c>
      <c r="F21" s="117" t="s">
        <v>136</v>
      </c>
      <c r="G21" s="137" t="s">
        <v>463</v>
      </c>
      <c r="H21" s="117" t="s">
        <v>464</v>
      </c>
      <c r="I21" s="117" t="s">
        <v>465</v>
      </c>
      <c r="J21" s="118"/>
      <c r="K21" s="114"/>
      <c r="L21" s="118"/>
      <c r="M21" s="118"/>
      <c r="N21" s="117" t="s">
        <v>181</v>
      </c>
      <c r="O21" s="117" t="s">
        <v>139</v>
      </c>
    </row>
    <row r="22" spans="1:15" ht="147" x14ac:dyDescent="0.5">
      <c r="A22" s="114" t="s">
        <v>132</v>
      </c>
      <c r="B22" s="114" t="s">
        <v>133</v>
      </c>
      <c r="C22" s="115"/>
      <c r="D22" s="116"/>
      <c r="E22" s="117" t="s">
        <v>502</v>
      </c>
      <c r="F22" s="117" t="s">
        <v>154</v>
      </c>
      <c r="G22" s="118" t="s">
        <v>466</v>
      </c>
      <c r="H22" s="117" t="s">
        <v>307</v>
      </c>
      <c r="I22" s="117" t="s">
        <v>308</v>
      </c>
      <c r="J22" s="118"/>
      <c r="K22" s="114"/>
      <c r="L22" s="118"/>
      <c r="M22" s="118"/>
      <c r="N22" s="117" t="s">
        <v>181</v>
      </c>
      <c r="O22" s="117" t="s">
        <v>139</v>
      </c>
    </row>
    <row r="23" spans="1:15" ht="336" x14ac:dyDescent="0.5">
      <c r="A23" s="114" t="s">
        <v>132</v>
      </c>
      <c r="B23" s="114" t="s">
        <v>133</v>
      </c>
      <c r="C23" s="115"/>
      <c r="D23" s="116"/>
      <c r="E23" s="117" t="s">
        <v>135</v>
      </c>
      <c r="F23" s="117" t="s">
        <v>164</v>
      </c>
      <c r="G23" s="118" t="s">
        <v>467</v>
      </c>
      <c r="H23" s="117" t="s">
        <v>472</v>
      </c>
      <c r="I23" s="117" t="s">
        <v>138</v>
      </c>
      <c r="J23" s="118"/>
      <c r="K23" s="114"/>
      <c r="L23" s="118"/>
      <c r="M23" s="118"/>
      <c r="N23" s="117" t="s">
        <v>181</v>
      </c>
      <c r="O23" s="117" t="s">
        <v>139</v>
      </c>
    </row>
    <row r="24" spans="1:15" ht="231" x14ac:dyDescent="0.5">
      <c r="A24" s="114" t="s">
        <v>132</v>
      </c>
      <c r="B24" s="114" t="s">
        <v>133</v>
      </c>
      <c r="C24" s="115"/>
      <c r="D24" s="116"/>
      <c r="E24" s="117" t="s">
        <v>503</v>
      </c>
      <c r="F24" s="117" t="s">
        <v>165</v>
      </c>
      <c r="G24" s="117" t="s">
        <v>468</v>
      </c>
      <c r="H24" s="117" t="s">
        <v>469</v>
      </c>
      <c r="I24" s="117" t="s">
        <v>389</v>
      </c>
      <c r="J24" s="118"/>
      <c r="K24" s="114"/>
      <c r="L24" s="118"/>
      <c r="M24" s="118"/>
      <c r="N24" s="117" t="s">
        <v>181</v>
      </c>
      <c r="O24" s="117" t="s">
        <v>139</v>
      </c>
    </row>
    <row r="25" spans="1:15" ht="231" x14ac:dyDescent="0.5">
      <c r="A25" s="114" t="s">
        <v>132</v>
      </c>
      <c r="B25" s="114" t="s">
        <v>133</v>
      </c>
      <c r="C25" s="115"/>
      <c r="D25" s="116"/>
      <c r="E25" s="117" t="s">
        <v>503</v>
      </c>
      <c r="F25" s="117" t="s">
        <v>168</v>
      </c>
      <c r="G25" s="117" t="s">
        <v>470</v>
      </c>
      <c r="H25" s="117" t="s">
        <v>498</v>
      </c>
      <c r="I25" s="117" t="s">
        <v>392</v>
      </c>
      <c r="J25" s="118"/>
      <c r="K25" s="114"/>
      <c r="L25" s="118"/>
      <c r="M25" s="118"/>
      <c r="N25" s="117" t="s">
        <v>181</v>
      </c>
      <c r="O25" s="117" t="s">
        <v>139</v>
      </c>
    </row>
    <row r="26" spans="1:15" ht="294" x14ac:dyDescent="0.5">
      <c r="A26" s="114" t="s">
        <v>132</v>
      </c>
      <c r="B26" s="114" t="s">
        <v>133</v>
      </c>
      <c r="C26" s="115"/>
      <c r="D26" s="116"/>
      <c r="E26" s="117" t="s">
        <v>135</v>
      </c>
      <c r="F26" s="117" t="s">
        <v>171</v>
      </c>
      <c r="G26" s="117" t="s">
        <v>471</v>
      </c>
      <c r="H26" s="117" t="s">
        <v>146</v>
      </c>
      <c r="I26" s="117" t="s">
        <v>147</v>
      </c>
      <c r="J26" s="118"/>
      <c r="K26" s="114"/>
      <c r="L26" s="118"/>
      <c r="M26" s="118"/>
      <c r="N26" s="117" t="s">
        <v>181</v>
      </c>
      <c r="O26" s="117" t="s">
        <v>139</v>
      </c>
    </row>
    <row r="27" spans="1:15" ht="271" customHeight="1" x14ac:dyDescent="0.5">
      <c r="A27" s="114" t="s">
        <v>132</v>
      </c>
      <c r="B27" s="114" t="s">
        <v>133</v>
      </c>
      <c r="C27" s="115"/>
      <c r="D27" s="116"/>
      <c r="E27" s="117" t="s">
        <v>135</v>
      </c>
      <c r="F27" s="117" t="s">
        <v>172</v>
      </c>
      <c r="G27" s="117" t="s">
        <v>151</v>
      </c>
      <c r="H27" s="117" t="s">
        <v>152</v>
      </c>
      <c r="I27" s="117" t="s">
        <v>153</v>
      </c>
      <c r="J27" s="118"/>
      <c r="K27" s="114"/>
      <c r="L27" s="118"/>
      <c r="M27" s="118"/>
      <c r="N27" s="117" t="s">
        <v>181</v>
      </c>
      <c r="O27" s="117" t="s">
        <v>139</v>
      </c>
    </row>
    <row r="28" spans="1:15" ht="80" customHeight="1" x14ac:dyDescent="0.5">
      <c r="A28" s="114" t="s">
        <v>132</v>
      </c>
      <c r="B28" s="114" t="s">
        <v>133</v>
      </c>
      <c r="C28" s="115"/>
      <c r="D28" s="116"/>
      <c r="E28" s="117" t="s">
        <v>135</v>
      </c>
      <c r="F28" s="138" t="s">
        <v>324</v>
      </c>
      <c r="G28" s="138" t="s">
        <v>473</v>
      </c>
      <c r="H28" s="139" t="s">
        <v>477</v>
      </c>
      <c r="I28" s="121"/>
      <c r="J28" s="118"/>
      <c r="K28" s="114"/>
      <c r="L28" s="118"/>
      <c r="M28" s="118"/>
      <c r="N28" s="117" t="s">
        <v>181</v>
      </c>
      <c r="O28" s="117" t="s">
        <v>139</v>
      </c>
    </row>
    <row r="29" spans="1:15" ht="105" x14ac:dyDescent="0.5">
      <c r="A29" s="114" t="s">
        <v>132</v>
      </c>
      <c r="B29" s="114" t="s">
        <v>133</v>
      </c>
      <c r="C29" s="115"/>
      <c r="D29" s="116"/>
      <c r="E29" s="117" t="s">
        <v>297</v>
      </c>
      <c r="F29" s="118" t="s">
        <v>165</v>
      </c>
      <c r="G29" s="117" t="s">
        <v>478</v>
      </c>
      <c r="H29" s="117" t="s">
        <v>474</v>
      </c>
      <c r="I29" s="117" t="s">
        <v>312</v>
      </c>
      <c r="J29" s="118"/>
      <c r="K29" s="114"/>
      <c r="L29" s="118"/>
      <c r="M29" s="118"/>
      <c r="N29" s="117" t="s">
        <v>181</v>
      </c>
      <c r="O29" s="117" t="s">
        <v>139</v>
      </c>
    </row>
    <row r="30" spans="1:15" ht="105" x14ac:dyDescent="0.5">
      <c r="A30" s="114" t="s">
        <v>132</v>
      </c>
      <c r="B30" s="114" t="s">
        <v>133</v>
      </c>
      <c r="C30" s="115"/>
      <c r="D30" s="116"/>
      <c r="E30" s="117" t="s">
        <v>297</v>
      </c>
      <c r="F30" s="118" t="s">
        <v>168</v>
      </c>
      <c r="G30" s="118" t="s">
        <v>313</v>
      </c>
      <c r="H30" s="117" t="s">
        <v>475</v>
      </c>
      <c r="I30" s="117" t="s">
        <v>315</v>
      </c>
      <c r="J30" s="118"/>
      <c r="K30" s="114"/>
      <c r="L30" s="118"/>
      <c r="M30" s="118"/>
      <c r="N30" s="117" t="s">
        <v>181</v>
      </c>
      <c r="O30" s="117" t="s">
        <v>139</v>
      </c>
    </row>
    <row r="31" spans="1:15" ht="231" x14ac:dyDescent="0.5">
      <c r="A31" s="114" t="s">
        <v>132</v>
      </c>
      <c r="B31" s="114" t="s">
        <v>133</v>
      </c>
      <c r="C31" s="115"/>
      <c r="D31" s="116"/>
      <c r="E31" s="117" t="s">
        <v>297</v>
      </c>
      <c r="F31" s="118" t="s">
        <v>171</v>
      </c>
      <c r="G31" s="118" t="s">
        <v>316</v>
      </c>
      <c r="H31" s="117" t="s">
        <v>476</v>
      </c>
      <c r="I31" s="117" t="s">
        <v>318</v>
      </c>
      <c r="J31" s="118"/>
      <c r="K31" s="114"/>
      <c r="L31" s="118"/>
      <c r="M31" s="118"/>
      <c r="N31" s="117" t="s">
        <v>181</v>
      </c>
      <c r="O31" s="117" t="s">
        <v>139</v>
      </c>
    </row>
    <row r="32" spans="1:15" ht="21" x14ac:dyDescent="0.5">
      <c r="A32" s="122" t="s">
        <v>497</v>
      </c>
      <c r="B32" s="122"/>
      <c r="C32" s="122"/>
      <c r="D32" s="122"/>
      <c r="E32" s="122"/>
      <c r="F32" s="122"/>
      <c r="G32" s="122"/>
      <c r="H32" s="122"/>
      <c r="I32" s="122"/>
      <c r="J32" s="122"/>
      <c r="K32" s="122"/>
      <c r="L32" s="122"/>
      <c r="M32" s="122"/>
      <c r="N32" s="122"/>
      <c r="O32" s="123"/>
    </row>
    <row r="33" spans="1:15" ht="21" x14ac:dyDescent="0.5">
      <c r="A33" s="111" t="s">
        <v>130</v>
      </c>
      <c r="B33" s="111"/>
      <c r="C33" s="112"/>
      <c r="D33" s="113" t="s">
        <v>179</v>
      </c>
      <c r="E33" s="113"/>
      <c r="F33" s="113"/>
      <c r="G33" s="113"/>
      <c r="H33" s="113"/>
      <c r="I33" s="113"/>
      <c r="J33" s="113"/>
      <c r="K33" s="113"/>
      <c r="L33" s="113"/>
      <c r="M33" s="113"/>
      <c r="N33" s="113"/>
      <c r="O33" s="113"/>
    </row>
    <row r="34" spans="1:15" ht="168" x14ac:dyDescent="0.5">
      <c r="A34" s="114" t="s">
        <v>132</v>
      </c>
      <c r="B34" s="114" t="s">
        <v>133</v>
      </c>
      <c r="C34" s="115" t="s">
        <v>105</v>
      </c>
      <c r="D34" s="117" t="s">
        <v>497</v>
      </c>
      <c r="E34" s="117" t="s">
        <v>297</v>
      </c>
      <c r="F34" s="117" t="s">
        <v>136</v>
      </c>
      <c r="G34" s="137" t="s">
        <v>463</v>
      </c>
      <c r="H34" s="117" t="s">
        <v>587</v>
      </c>
      <c r="I34" s="117" t="s">
        <v>465</v>
      </c>
      <c r="J34" s="118"/>
      <c r="K34" s="114"/>
      <c r="L34" s="118"/>
      <c r="M34" s="118"/>
      <c r="N34" s="117" t="s">
        <v>181</v>
      </c>
      <c r="O34" s="117" t="s">
        <v>139</v>
      </c>
    </row>
    <row r="35" spans="1:15" ht="147" x14ac:dyDescent="0.5">
      <c r="A35" s="114" t="s">
        <v>132</v>
      </c>
      <c r="B35" s="114" t="s">
        <v>133</v>
      </c>
      <c r="C35" s="115"/>
      <c r="D35" s="116"/>
      <c r="E35" s="117" t="s">
        <v>297</v>
      </c>
      <c r="F35" s="117" t="s">
        <v>154</v>
      </c>
      <c r="G35" s="117" t="s">
        <v>466</v>
      </c>
      <c r="H35" s="117" t="s">
        <v>307</v>
      </c>
      <c r="I35" s="117" t="s">
        <v>308</v>
      </c>
      <c r="J35" s="118"/>
      <c r="K35" s="114"/>
      <c r="L35" s="118"/>
      <c r="M35" s="118"/>
      <c r="N35" s="117" t="s">
        <v>181</v>
      </c>
      <c r="O35" s="117" t="s">
        <v>139</v>
      </c>
    </row>
    <row r="36" spans="1:15" ht="357" x14ac:dyDescent="0.5">
      <c r="A36" s="114" t="s">
        <v>132</v>
      </c>
      <c r="B36" s="114" t="s">
        <v>133</v>
      </c>
      <c r="C36" s="115"/>
      <c r="D36" s="116"/>
      <c r="E36" s="117" t="s">
        <v>135</v>
      </c>
      <c r="F36" s="117" t="s">
        <v>164</v>
      </c>
      <c r="G36" s="117" t="s">
        <v>467</v>
      </c>
      <c r="H36" s="117" t="s">
        <v>588</v>
      </c>
      <c r="I36" s="117" t="s">
        <v>138</v>
      </c>
      <c r="J36" s="118"/>
      <c r="K36" s="114"/>
      <c r="L36" s="118"/>
      <c r="M36" s="118"/>
      <c r="N36" s="117" t="s">
        <v>181</v>
      </c>
      <c r="O36" s="117" t="s">
        <v>139</v>
      </c>
    </row>
    <row r="37" spans="1:15" ht="231" x14ac:dyDescent="0.5">
      <c r="A37" s="114" t="s">
        <v>132</v>
      </c>
      <c r="B37" s="114" t="s">
        <v>133</v>
      </c>
      <c r="C37" s="115"/>
      <c r="D37" s="116"/>
      <c r="E37" s="117" t="s">
        <v>504</v>
      </c>
      <c r="F37" s="117" t="s">
        <v>165</v>
      </c>
      <c r="G37" s="117" t="s">
        <v>468</v>
      </c>
      <c r="H37" s="117" t="s">
        <v>469</v>
      </c>
      <c r="I37" s="117" t="s">
        <v>389</v>
      </c>
      <c r="J37" s="118"/>
      <c r="K37" s="114"/>
      <c r="L37" s="118"/>
      <c r="M37" s="118"/>
      <c r="N37" s="117" t="s">
        <v>181</v>
      </c>
      <c r="O37" s="117" t="s">
        <v>139</v>
      </c>
    </row>
    <row r="38" spans="1:15" ht="231" x14ac:dyDescent="0.5">
      <c r="A38" s="114" t="s">
        <v>132</v>
      </c>
      <c r="B38" s="114" t="s">
        <v>133</v>
      </c>
      <c r="C38" s="115"/>
      <c r="D38" s="116"/>
      <c r="E38" s="117" t="s">
        <v>504</v>
      </c>
      <c r="F38" s="117" t="s">
        <v>168</v>
      </c>
      <c r="G38" s="117" t="s">
        <v>470</v>
      </c>
      <c r="H38" s="117" t="s">
        <v>498</v>
      </c>
      <c r="I38" s="117" t="s">
        <v>392</v>
      </c>
      <c r="J38" s="118"/>
      <c r="K38" s="114"/>
      <c r="L38" s="118"/>
      <c r="M38" s="118"/>
      <c r="N38" s="117" t="s">
        <v>181</v>
      </c>
      <c r="O38" s="117" t="s">
        <v>139</v>
      </c>
    </row>
    <row r="39" spans="1:15" ht="294" x14ac:dyDescent="0.5">
      <c r="A39" s="114" t="s">
        <v>132</v>
      </c>
      <c r="B39" s="114" t="s">
        <v>133</v>
      </c>
      <c r="C39" s="115"/>
      <c r="D39" s="116"/>
      <c r="E39" s="117" t="s">
        <v>135</v>
      </c>
      <c r="F39" s="117" t="s">
        <v>171</v>
      </c>
      <c r="G39" s="117" t="s">
        <v>471</v>
      </c>
      <c r="H39" s="117" t="s">
        <v>146</v>
      </c>
      <c r="I39" s="117" t="s">
        <v>147</v>
      </c>
      <c r="J39" s="118"/>
      <c r="K39" s="114"/>
      <c r="L39" s="118"/>
      <c r="M39" s="118"/>
      <c r="N39" s="117" t="s">
        <v>181</v>
      </c>
      <c r="O39" s="117" t="s">
        <v>139</v>
      </c>
    </row>
    <row r="40" spans="1:15" ht="271" customHeight="1" x14ac:dyDescent="0.5">
      <c r="A40" s="114" t="s">
        <v>132</v>
      </c>
      <c r="B40" s="114" t="s">
        <v>133</v>
      </c>
      <c r="C40" s="115"/>
      <c r="D40" s="116"/>
      <c r="E40" s="117" t="s">
        <v>135</v>
      </c>
      <c r="F40" s="117" t="s">
        <v>172</v>
      </c>
      <c r="G40" s="117" t="s">
        <v>151</v>
      </c>
      <c r="H40" s="117" t="s">
        <v>152</v>
      </c>
      <c r="I40" s="117" t="s">
        <v>153</v>
      </c>
      <c r="J40" s="118"/>
      <c r="K40" s="114"/>
      <c r="L40" s="118"/>
      <c r="M40" s="118"/>
      <c r="N40" s="117" t="s">
        <v>181</v>
      </c>
      <c r="O40" s="117" t="s">
        <v>139</v>
      </c>
    </row>
    <row r="41" spans="1:15" ht="80" customHeight="1" x14ac:dyDescent="0.5">
      <c r="A41" s="114" t="s">
        <v>132</v>
      </c>
      <c r="B41" s="114" t="s">
        <v>133</v>
      </c>
      <c r="C41" s="115"/>
      <c r="D41" s="116"/>
      <c r="E41" s="117" t="s">
        <v>135</v>
      </c>
      <c r="F41" s="138" t="s">
        <v>324</v>
      </c>
      <c r="G41" s="138" t="s">
        <v>473</v>
      </c>
      <c r="H41" s="139" t="s">
        <v>477</v>
      </c>
      <c r="I41" s="140"/>
      <c r="J41" s="118"/>
      <c r="K41" s="114"/>
      <c r="L41" s="118"/>
      <c r="M41" s="118"/>
      <c r="N41" s="117" t="s">
        <v>181</v>
      </c>
      <c r="O41" s="117" t="s">
        <v>139</v>
      </c>
    </row>
    <row r="42" spans="1:15" ht="124.5" customHeight="1" x14ac:dyDescent="0.5">
      <c r="A42" s="114" t="s">
        <v>132</v>
      </c>
      <c r="B42" s="114" t="s">
        <v>133</v>
      </c>
      <c r="C42" s="115"/>
      <c r="D42" s="116"/>
      <c r="E42" s="117" t="s">
        <v>297</v>
      </c>
      <c r="F42" s="138" t="s">
        <v>368</v>
      </c>
      <c r="G42" s="138" t="s">
        <v>479</v>
      </c>
      <c r="H42" s="141" t="s">
        <v>499</v>
      </c>
      <c r="I42" s="140"/>
      <c r="J42" s="114"/>
      <c r="K42" s="114"/>
      <c r="L42" s="114"/>
      <c r="M42" s="114"/>
      <c r="N42" s="117" t="s">
        <v>181</v>
      </c>
      <c r="O42" s="117" t="s">
        <v>139</v>
      </c>
    </row>
    <row r="43" spans="1:15" ht="147" x14ac:dyDescent="0.5">
      <c r="A43" s="114" t="s">
        <v>132</v>
      </c>
      <c r="B43" s="114" t="s">
        <v>133</v>
      </c>
      <c r="C43" s="115"/>
      <c r="D43" s="116"/>
      <c r="E43" s="117" t="s">
        <v>297</v>
      </c>
      <c r="F43" s="138" t="s">
        <v>369</v>
      </c>
      <c r="G43" s="138" t="s">
        <v>480</v>
      </c>
      <c r="H43" s="141" t="s">
        <v>500</v>
      </c>
      <c r="I43" s="140"/>
      <c r="J43" s="114"/>
      <c r="K43" s="114"/>
      <c r="L43" s="114"/>
      <c r="M43" s="114"/>
      <c r="N43" s="117" t="s">
        <v>181</v>
      </c>
      <c r="O43" s="117" t="s">
        <v>139</v>
      </c>
    </row>
    <row r="44" spans="1:15" ht="21" x14ac:dyDescent="0.5">
      <c r="A44" s="122" t="s">
        <v>509</v>
      </c>
      <c r="B44" s="122"/>
      <c r="C44" s="122"/>
      <c r="D44" s="122"/>
      <c r="E44" s="122"/>
      <c r="F44" s="122"/>
      <c r="G44" s="122"/>
      <c r="H44" s="122"/>
      <c r="I44" s="122"/>
      <c r="J44" s="122"/>
      <c r="K44" s="122"/>
      <c r="L44" s="122"/>
      <c r="M44" s="122"/>
      <c r="N44" s="122"/>
      <c r="O44" s="123"/>
    </row>
    <row r="45" spans="1:15" ht="21" x14ac:dyDescent="0.5">
      <c r="A45" s="111" t="s">
        <v>130</v>
      </c>
      <c r="B45" s="111"/>
      <c r="C45" s="112"/>
      <c r="D45" s="113" t="s">
        <v>179</v>
      </c>
      <c r="E45" s="113"/>
      <c r="F45" s="113"/>
      <c r="G45" s="113"/>
      <c r="H45" s="113"/>
      <c r="I45" s="113"/>
      <c r="J45" s="113"/>
      <c r="K45" s="113"/>
      <c r="L45" s="113"/>
      <c r="M45" s="113"/>
      <c r="N45" s="113"/>
      <c r="O45" s="113"/>
    </row>
    <row r="46" spans="1:15" ht="168" x14ac:dyDescent="0.5">
      <c r="A46" s="114" t="s">
        <v>132</v>
      </c>
      <c r="B46" s="114" t="s">
        <v>133</v>
      </c>
      <c r="C46" s="115" t="s">
        <v>105</v>
      </c>
      <c r="D46" s="117" t="s">
        <v>492</v>
      </c>
      <c r="E46" s="117" t="s">
        <v>297</v>
      </c>
      <c r="F46" s="117" t="s">
        <v>136</v>
      </c>
      <c r="G46" s="137" t="s">
        <v>463</v>
      </c>
      <c r="H46" s="117" t="s">
        <v>589</v>
      </c>
      <c r="I46" s="117" t="s">
        <v>465</v>
      </c>
      <c r="J46" s="118"/>
      <c r="K46" s="114"/>
      <c r="L46" s="118"/>
      <c r="M46" s="118"/>
      <c r="N46" s="117" t="s">
        <v>181</v>
      </c>
      <c r="O46" s="117" t="s">
        <v>139</v>
      </c>
    </row>
    <row r="47" spans="1:15" ht="147" x14ac:dyDescent="0.5">
      <c r="A47" s="114" t="s">
        <v>132</v>
      </c>
      <c r="B47" s="114" t="s">
        <v>133</v>
      </c>
      <c r="C47" s="115"/>
      <c r="D47" s="116"/>
      <c r="E47" s="117" t="s">
        <v>297</v>
      </c>
      <c r="F47" s="117" t="s">
        <v>154</v>
      </c>
      <c r="G47" s="118" t="s">
        <v>466</v>
      </c>
      <c r="H47" s="117" t="s">
        <v>307</v>
      </c>
      <c r="I47" s="117" t="s">
        <v>308</v>
      </c>
      <c r="J47" s="118"/>
      <c r="K47" s="114"/>
      <c r="L47" s="118"/>
      <c r="M47" s="118"/>
      <c r="N47" s="117" t="s">
        <v>181</v>
      </c>
      <c r="O47" s="117" t="s">
        <v>139</v>
      </c>
    </row>
    <row r="48" spans="1:15" ht="357" x14ac:dyDescent="0.5">
      <c r="A48" s="114" t="s">
        <v>132</v>
      </c>
      <c r="B48" s="114" t="s">
        <v>133</v>
      </c>
      <c r="C48" s="115"/>
      <c r="D48" s="116"/>
      <c r="E48" s="117" t="s">
        <v>135</v>
      </c>
      <c r="F48" s="117" t="s">
        <v>164</v>
      </c>
      <c r="G48" s="118" t="s">
        <v>467</v>
      </c>
      <c r="H48" s="117" t="s">
        <v>590</v>
      </c>
      <c r="I48" s="117" t="s">
        <v>138</v>
      </c>
      <c r="J48" s="118"/>
      <c r="K48" s="114"/>
      <c r="L48" s="118"/>
      <c r="M48" s="118"/>
      <c r="N48" s="117" t="s">
        <v>181</v>
      </c>
      <c r="O48" s="117" t="s">
        <v>139</v>
      </c>
    </row>
    <row r="49" spans="1:15" ht="231" x14ac:dyDescent="0.5">
      <c r="A49" s="114" t="s">
        <v>132</v>
      </c>
      <c r="B49" s="114" t="s">
        <v>133</v>
      </c>
      <c r="C49" s="115"/>
      <c r="D49" s="116"/>
      <c r="E49" s="117" t="s">
        <v>504</v>
      </c>
      <c r="F49" s="117" t="s">
        <v>165</v>
      </c>
      <c r="G49" s="117" t="s">
        <v>468</v>
      </c>
      <c r="H49" s="117" t="s">
        <v>469</v>
      </c>
      <c r="I49" s="117" t="s">
        <v>389</v>
      </c>
      <c r="J49" s="118"/>
      <c r="K49" s="114"/>
      <c r="L49" s="118"/>
      <c r="M49" s="118"/>
      <c r="N49" s="117" t="s">
        <v>181</v>
      </c>
      <c r="O49" s="117" t="s">
        <v>139</v>
      </c>
    </row>
    <row r="50" spans="1:15" ht="231" x14ac:dyDescent="0.5">
      <c r="A50" s="114" t="s">
        <v>132</v>
      </c>
      <c r="B50" s="114" t="s">
        <v>133</v>
      </c>
      <c r="C50" s="115"/>
      <c r="D50" s="116"/>
      <c r="E50" s="117" t="s">
        <v>504</v>
      </c>
      <c r="F50" s="117" t="s">
        <v>168</v>
      </c>
      <c r="G50" s="117" t="s">
        <v>470</v>
      </c>
      <c r="H50" s="117" t="s">
        <v>498</v>
      </c>
      <c r="I50" s="117" t="s">
        <v>392</v>
      </c>
      <c r="J50" s="118"/>
      <c r="K50" s="114"/>
      <c r="L50" s="118"/>
      <c r="M50" s="118"/>
      <c r="N50" s="117" t="s">
        <v>181</v>
      </c>
      <c r="O50" s="117" t="s">
        <v>139</v>
      </c>
    </row>
    <row r="51" spans="1:15" ht="294" x14ac:dyDescent="0.5">
      <c r="A51" s="114" t="s">
        <v>132</v>
      </c>
      <c r="B51" s="114" t="s">
        <v>133</v>
      </c>
      <c r="C51" s="115"/>
      <c r="D51" s="116"/>
      <c r="E51" s="117" t="s">
        <v>135</v>
      </c>
      <c r="F51" s="117" t="s">
        <v>171</v>
      </c>
      <c r="G51" s="118" t="s">
        <v>471</v>
      </c>
      <c r="H51" s="117" t="s">
        <v>146</v>
      </c>
      <c r="I51" s="117" t="s">
        <v>147</v>
      </c>
      <c r="J51" s="118"/>
      <c r="K51" s="114"/>
      <c r="L51" s="118"/>
      <c r="M51" s="118"/>
      <c r="N51" s="117" t="s">
        <v>181</v>
      </c>
      <c r="O51" s="117" t="s">
        <v>139</v>
      </c>
    </row>
    <row r="52" spans="1:15" ht="271" customHeight="1" x14ac:dyDescent="0.5">
      <c r="A52" s="114" t="s">
        <v>132</v>
      </c>
      <c r="B52" s="114" t="s">
        <v>133</v>
      </c>
      <c r="C52" s="115"/>
      <c r="D52" s="116"/>
      <c r="E52" s="117" t="s">
        <v>135</v>
      </c>
      <c r="F52" s="117" t="s">
        <v>172</v>
      </c>
      <c r="G52" s="117" t="s">
        <v>151</v>
      </c>
      <c r="H52" s="117" t="s">
        <v>152</v>
      </c>
      <c r="I52" s="117" t="s">
        <v>153</v>
      </c>
      <c r="J52" s="118"/>
      <c r="K52" s="114"/>
      <c r="L52" s="118"/>
      <c r="M52" s="118"/>
      <c r="N52" s="117" t="s">
        <v>181</v>
      </c>
      <c r="O52" s="117" t="s">
        <v>139</v>
      </c>
    </row>
    <row r="53" spans="1:15" ht="80" customHeight="1" x14ac:dyDescent="0.5">
      <c r="A53" s="114" t="s">
        <v>132</v>
      </c>
      <c r="B53" s="114" t="s">
        <v>133</v>
      </c>
      <c r="C53" s="115"/>
      <c r="D53" s="116"/>
      <c r="E53" s="117" t="s">
        <v>135</v>
      </c>
      <c r="F53" s="138" t="s">
        <v>324</v>
      </c>
      <c r="G53" s="138" t="s">
        <v>473</v>
      </c>
      <c r="H53" s="139" t="s">
        <v>477</v>
      </c>
      <c r="I53" s="121"/>
      <c r="J53" s="118"/>
      <c r="K53" s="114"/>
      <c r="L53" s="118"/>
      <c r="M53" s="118"/>
      <c r="N53" s="117" t="s">
        <v>181</v>
      </c>
      <c r="O53" s="117" t="s">
        <v>139</v>
      </c>
    </row>
    <row r="54" spans="1:15" ht="105" x14ac:dyDescent="0.5">
      <c r="A54" s="114" t="s">
        <v>132</v>
      </c>
      <c r="B54" s="114" t="s">
        <v>133</v>
      </c>
      <c r="C54" s="115"/>
      <c r="D54" s="116"/>
      <c r="E54" s="117" t="s">
        <v>297</v>
      </c>
      <c r="F54" s="118" t="s">
        <v>165</v>
      </c>
      <c r="G54" s="117" t="s">
        <v>478</v>
      </c>
      <c r="H54" s="117" t="s">
        <v>474</v>
      </c>
      <c r="I54" s="117" t="s">
        <v>312</v>
      </c>
      <c r="J54" s="118"/>
      <c r="K54" s="114"/>
      <c r="L54" s="118"/>
      <c r="M54" s="118"/>
      <c r="N54" s="117" t="s">
        <v>181</v>
      </c>
      <c r="O54" s="117" t="s">
        <v>139</v>
      </c>
    </row>
    <row r="55" spans="1:15" ht="105" x14ac:dyDescent="0.5">
      <c r="A55" s="114" t="s">
        <v>132</v>
      </c>
      <c r="B55" s="114" t="s">
        <v>133</v>
      </c>
      <c r="C55" s="115"/>
      <c r="D55" s="116"/>
      <c r="E55" s="117" t="s">
        <v>297</v>
      </c>
      <c r="F55" s="118" t="s">
        <v>168</v>
      </c>
      <c r="G55" s="118" t="s">
        <v>313</v>
      </c>
      <c r="H55" s="117" t="s">
        <v>475</v>
      </c>
      <c r="I55" s="117" t="s">
        <v>315</v>
      </c>
      <c r="J55" s="118"/>
      <c r="K55" s="114"/>
      <c r="L55" s="118"/>
      <c r="M55" s="118"/>
      <c r="N55" s="117" t="s">
        <v>181</v>
      </c>
      <c r="O55" s="117" t="s">
        <v>139</v>
      </c>
    </row>
    <row r="56" spans="1:15" ht="231" x14ac:dyDescent="0.5">
      <c r="A56" s="114" t="s">
        <v>132</v>
      </c>
      <c r="B56" s="114" t="s">
        <v>133</v>
      </c>
      <c r="C56" s="115"/>
      <c r="D56" s="116"/>
      <c r="E56" s="117" t="s">
        <v>297</v>
      </c>
      <c r="F56" s="118" t="s">
        <v>171</v>
      </c>
      <c r="G56" s="118" t="s">
        <v>316</v>
      </c>
      <c r="H56" s="117" t="s">
        <v>476</v>
      </c>
      <c r="I56" s="117" t="s">
        <v>501</v>
      </c>
      <c r="J56" s="118"/>
      <c r="K56" s="114"/>
      <c r="L56" s="118"/>
      <c r="M56" s="118"/>
      <c r="N56" s="117" t="s">
        <v>181</v>
      </c>
      <c r="O56" s="117" t="s">
        <v>139</v>
      </c>
    </row>
  </sheetData>
  <dataConsolidate/>
  <mergeCells count="23">
    <mergeCell ref="A2:O2"/>
    <mergeCell ref="A3:C3"/>
    <mergeCell ref="D3:O3"/>
    <mergeCell ref="D7:O7"/>
    <mergeCell ref="D11:O11"/>
    <mergeCell ref="C12:C13"/>
    <mergeCell ref="D12:D13"/>
    <mergeCell ref="A11:C11"/>
    <mergeCell ref="A7:C7"/>
    <mergeCell ref="A6:O6"/>
    <mergeCell ref="A10:O10"/>
    <mergeCell ref="A44:O44"/>
    <mergeCell ref="A45:C45"/>
    <mergeCell ref="D45:O45"/>
    <mergeCell ref="D16:O16"/>
    <mergeCell ref="A15:O15"/>
    <mergeCell ref="A16:C16"/>
    <mergeCell ref="A32:O32"/>
    <mergeCell ref="A33:C33"/>
    <mergeCell ref="D33:O33"/>
    <mergeCell ref="D20:O20"/>
    <mergeCell ref="A19:O19"/>
    <mergeCell ref="A20:C20"/>
  </mergeCells>
  <dataValidations count="2">
    <dataValidation type="list" allowBlank="1" showInputMessage="1" showErrorMessage="1" sqref="J8 K18 J4 K7 K4:K5 J12:J13 J17:K17 J21:J31 J34:J41 J46:J56" xr:uid="{00000000-0002-0000-0100-000000000000}">
      <formula1>"Pass,Fail"</formula1>
    </dataValidation>
    <dataValidation type="list" allowBlank="1" showInputMessage="1" showErrorMessage="1" sqref="M8 M4 M17 M12:M13 M21:M31 M34:M41 M46:M56" xr:uid="{00000000-0002-0000-0100-000001000000}">
      <formula1>"New,Retest"</formula1>
    </dataValidation>
  </dataValidations>
  <pageMargins left="0.7" right="0.7" top="0.75" bottom="0.75" header="0.3" footer="0.3"/>
  <pageSetup scale="71" fitToHeight="2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50"/>
  <sheetViews>
    <sheetView topLeftCell="D1" zoomScale="70" zoomScaleNormal="70" workbookViewId="0">
      <pane ySplit="1" topLeftCell="A32" activePane="bottomLeft" state="frozen"/>
      <selection pane="bottomLeft" activeCell="D4" sqref="A4:O42"/>
    </sheetView>
  </sheetViews>
  <sheetFormatPr defaultColWidth="8.81640625" defaultRowHeight="14.5" x14ac:dyDescent="0.35"/>
  <cols>
    <col min="3" max="3" width="12.81640625" style="1" customWidth="1"/>
    <col min="4" max="4" width="27" customWidth="1"/>
    <col min="5" max="5" width="19.54296875" style="2" customWidth="1"/>
    <col min="7" max="7" width="26.81640625" customWidth="1"/>
    <col min="8" max="8" width="68.81640625" style="2" customWidth="1"/>
    <col min="9" max="9" width="30.81640625" style="2" customWidth="1"/>
    <col min="12" max="12" width="16.81640625" customWidth="1"/>
    <col min="13" max="13" width="10.1796875" customWidth="1"/>
    <col min="14" max="14" width="13.1796875" customWidth="1"/>
    <col min="15" max="15" width="42.1796875" style="2" customWidth="1"/>
  </cols>
  <sheetData>
    <row r="1" spans="1:15" x14ac:dyDescent="0.35">
      <c r="A1" s="3" t="s">
        <v>119</v>
      </c>
      <c r="B1" s="3" t="s">
        <v>120</v>
      </c>
      <c r="C1" s="3" t="s">
        <v>1</v>
      </c>
      <c r="D1" s="3" t="s">
        <v>2</v>
      </c>
      <c r="E1" s="4" t="s">
        <v>121</v>
      </c>
      <c r="F1" s="3" t="s">
        <v>122</v>
      </c>
      <c r="G1" s="3" t="s">
        <v>123</v>
      </c>
      <c r="H1" s="4" t="s">
        <v>124</v>
      </c>
      <c r="I1" s="4" t="s">
        <v>125</v>
      </c>
      <c r="J1" s="3" t="s">
        <v>3</v>
      </c>
      <c r="K1" s="3" t="s">
        <v>126</v>
      </c>
      <c r="L1" s="3" t="s">
        <v>127</v>
      </c>
      <c r="M1" s="3" t="s">
        <v>128</v>
      </c>
      <c r="N1" s="3" t="s">
        <v>129</v>
      </c>
      <c r="O1" s="4" t="s">
        <v>4</v>
      </c>
    </row>
    <row r="2" spans="1:15" ht="18.5" x14ac:dyDescent="0.45">
      <c r="A2" s="42" t="s">
        <v>182</v>
      </c>
      <c r="B2" s="42"/>
      <c r="C2" s="42"/>
      <c r="D2" s="42"/>
      <c r="E2" s="42"/>
      <c r="F2" s="42"/>
      <c r="G2" s="42"/>
      <c r="H2" s="42"/>
      <c r="I2" s="42"/>
      <c r="J2" s="42"/>
      <c r="K2" s="42"/>
      <c r="L2" s="42"/>
      <c r="M2" s="42"/>
      <c r="N2" s="42"/>
      <c r="O2" s="43"/>
    </row>
    <row r="3" spans="1:15" x14ac:dyDescent="0.35">
      <c r="A3" s="37" t="s">
        <v>130</v>
      </c>
      <c r="B3" s="37"/>
      <c r="C3" s="38"/>
      <c r="D3" s="39" t="s">
        <v>183</v>
      </c>
      <c r="E3" s="39"/>
      <c r="F3" s="39"/>
      <c r="G3" s="39"/>
      <c r="H3" s="39"/>
      <c r="I3" s="39"/>
      <c r="J3" s="39"/>
      <c r="K3" s="39"/>
      <c r="L3" s="39"/>
      <c r="M3" s="39"/>
      <c r="N3" s="39"/>
      <c r="O3" s="39"/>
    </row>
    <row r="4" spans="1:15" ht="399.5" x14ac:dyDescent="0.55000000000000004">
      <c r="A4" s="51" t="s">
        <v>184</v>
      </c>
      <c r="B4" s="51" t="s">
        <v>133</v>
      </c>
      <c r="C4" s="52" t="s">
        <v>6</v>
      </c>
      <c r="D4" s="53" t="s">
        <v>185</v>
      </c>
      <c r="E4" s="54" t="s">
        <v>163</v>
      </c>
      <c r="F4" s="55" t="s">
        <v>136</v>
      </c>
      <c r="G4" s="55" t="s">
        <v>186</v>
      </c>
      <c r="H4" s="54" t="s">
        <v>187</v>
      </c>
      <c r="I4" s="54" t="s">
        <v>188</v>
      </c>
      <c r="J4" s="55"/>
      <c r="K4" s="55"/>
      <c r="L4" s="55"/>
      <c r="M4" s="55"/>
      <c r="N4" s="54" t="s">
        <v>574</v>
      </c>
      <c r="O4" s="54" t="s">
        <v>139</v>
      </c>
    </row>
    <row r="5" spans="1:15" ht="6" customHeight="1" x14ac:dyDescent="0.55000000000000004">
      <c r="A5" s="63"/>
      <c r="B5" s="63"/>
      <c r="C5" s="64"/>
      <c r="D5" s="63"/>
      <c r="E5" s="65"/>
      <c r="F5" s="63"/>
      <c r="G5" s="63"/>
      <c r="H5" s="65"/>
      <c r="I5" s="65"/>
      <c r="J5" s="63" t="s">
        <v>140</v>
      </c>
      <c r="K5" s="55"/>
      <c r="L5" s="63"/>
      <c r="M5" s="63"/>
      <c r="N5" s="63"/>
      <c r="O5" s="65"/>
    </row>
    <row r="6" spans="1:15" ht="23.5" x14ac:dyDescent="0.55000000000000004">
      <c r="A6" s="106" t="s">
        <v>9</v>
      </c>
      <c r="B6" s="106"/>
      <c r="C6" s="106"/>
      <c r="D6" s="106"/>
      <c r="E6" s="106"/>
      <c r="F6" s="106"/>
      <c r="G6" s="106"/>
      <c r="H6" s="106"/>
      <c r="I6" s="106"/>
      <c r="J6" s="106"/>
      <c r="K6" s="106"/>
      <c r="L6" s="106"/>
      <c r="M6" s="106"/>
      <c r="N6" s="106"/>
      <c r="O6" s="107"/>
    </row>
    <row r="7" spans="1:15" ht="23.5" x14ac:dyDescent="0.55000000000000004">
      <c r="A7" s="60" t="s">
        <v>130</v>
      </c>
      <c r="B7" s="60"/>
      <c r="C7" s="61"/>
      <c r="D7" s="62" t="s">
        <v>189</v>
      </c>
      <c r="E7" s="62"/>
      <c r="F7" s="62"/>
      <c r="G7" s="62"/>
      <c r="H7" s="62"/>
      <c r="I7" s="62"/>
      <c r="J7" s="62"/>
      <c r="K7" s="62"/>
      <c r="L7" s="62"/>
      <c r="M7" s="62"/>
      <c r="N7" s="62"/>
      <c r="O7" s="62"/>
    </row>
    <row r="8" spans="1:15" ht="409.5" x14ac:dyDescent="0.55000000000000004">
      <c r="A8" s="51" t="s">
        <v>184</v>
      </c>
      <c r="B8" s="51" t="s">
        <v>133</v>
      </c>
      <c r="C8" s="52" t="s">
        <v>8</v>
      </c>
      <c r="D8" s="53" t="s">
        <v>190</v>
      </c>
      <c r="E8" s="54" t="s">
        <v>167</v>
      </c>
      <c r="F8" s="55" t="s">
        <v>136</v>
      </c>
      <c r="G8" s="55" t="s">
        <v>191</v>
      </c>
      <c r="H8" s="54" t="s">
        <v>192</v>
      </c>
      <c r="I8" s="54" t="s">
        <v>193</v>
      </c>
      <c r="J8" s="55"/>
      <c r="K8" s="63"/>
      <c r="L8" s="55"/>
      <c r="M8" s="55"/>
      <c r="N8" s="54" t="s">
        <v>575</v>
      </c>
      <c r="O8" s="54" t="s">
        <v>139</v>
      </c>
    </row>
    <row r="9" spans="1:15" ht="6" customHeight="1" x14ac:dyDescent="0.55000000000000004">
      <c r="A9" s="63"/>
      <c r="B9" s="63"/>
      <c r="C9" s="64"/>
      <c r="D9" s="63"/>
      <c r="E9" s="65"/>
      <c r="F9" s="63"/>
      <c r="G9" s="63"/>
      <c r="H9" s="65"/>
      <c r="I9" s="65"/>
      <c r="J9" s="63" t="s">
        <v>140</v>
      </c>
      <c r="K9" s="55"/>
      <c r="L9" s="63"/>
      <c r="M9" s="63"/>
      <c r="N9" s="63"/>
      <c r="O9" s="65"/>
    </row>
    <row r="10" spans="1:15" ht="23.5" x14ac:dyDescent="0.55000000000000004">
      <c r="A10" s="106" t="s">
        <v>194</v>
      </c>
      <c r="B10" s="106"/>
      <c r="C10" s="106"/>
      <c r="D10" s="106"/>
      <c r="E10" s="106"/>
      <c r="F10" s="106"/>
      <c r="G10" s="106"/>
      <c r="H10" s="106"/>
      <c r="I10" s="106"/>
      <c r="J10" s="106"/>
      <c r="K10" s="106"/>
      <c r="L10" s="106"/>
      <c r="M10" s="106"/>
      <c r="N10" s="106"/>
      <c r="O10" s="107"/>
    </row>
    <row r="11" spans="1:15" ht="23.5" x14ac:dyDescent="0.55000000000000004">
      <c r="A11" s="60" t="s">
        <v>130</v>
      </c>
      <c r="B11" s="60"/>
      <c r="C11" s="61"/>
      <c r="D11" s="62" t="s">
        <v>195</v>
      </c>
      <c r="E11" s="62"/>
      <c r="F11" s="62"/>
      <c r="G11" s="62"/>
      <c r="H11" s="62"/>
      <c r="I11" s="62"/>
      <c r="J11" s="62"/>
      <c r="K11" s="62"/>
      <c r="L11" s="62"/>
      <c r="M11" s="62"/>
      <c r="N11" s="62"/>
      <c r="O11" s="62"/>
    </row>
    <row r="12" spans="1:15" ht="305.5" x14ac:dyDescent="0.55000000000000004">
      <c r="A12" s="51" t="s">
        <v>184</v>
      </c>
      <c r="B12" s="51" t="s">
        <v>133</v>
      </c>
      <c r="C12" s="108" t="s">
        <v>10</v>
      </c>
      <c r="D12" s="74" t="s">
        <v>196</v>
      </c>
      <c r="E12" s="54" t="s">
        <v>167</v>
      </c>
      <c r="F12" s="55" t="s">
        <v>136</v>
      </c>
      <c r="G12" s="55" t="s">
        <v>197</v>
      </c>
      <c r="H12" s="54" t="s">
        <v>198</v>
      </c>
      <c r="I12" s="54" t="s">
        <v>199</v>
      </c>
      <c r="J12" s="55"/>
      <c r="K12" s="63"/>
      <c r="L12" s="55"/>
      <c r="M12" s="55"/>
      <c r="N12" s="54" t="s">
        <v>576</v>
      </c>
      <c r="O12" s="54" t="s">
        <v>139</v>
      </c>
    </row>
    <row r="13" spans="1:15" ht="282" x14ac:dyDescent="0.55000000000000004">
      <c r="A13" s="51" t="s">
        <v>184</v>
      </c>
      <c r="B13" s="51" t="s">
        <v>133</v>
      </c>
      <c r="C13" s="109"/>
      <c r="D13" s="76"/>
      <c r="E13" s="54" t="s">
        <v>167</v>
      </c>
      <c r="F13" s="55" t="s">
        <v>154</v>
      </c>
      <c r="G13" s="55" t="s">
        <v>200</v>
      </c>
      <c r="H13" s="54" t="s">
        <v>201</v>
      </c>
      <c r="I13" s="54" t="s">
        <v>202</v>
      </c>
      <c r="J13" s="55"/>
      <c r="K13" s="55"/>
      <c r="L13" s="55"/>
      <c r="M13" s="55"/>
      <c r="N13" s="54" t="s">
        <v>577</v>
      </c>
      <c r="O13" s="54" t="s">
        <v>139</v>
      </c>
    </row>
    <row r="14" spans="1:15" ht="282" x14ac:dyDescent="0.55000000000000004">
      <c r="A14" s="51" t="s">
        <v>184</v>
      </c>
      <c r="B14" s="51" t="s">
        <v>133</v>
      </c>
      <c r="C14" s="109"/>
      <c r="D14" s="76"/>
      <c r="E14" s="54" t="s">
        <v>167</v>
      </c>
      <c r="F14" s="55" t="s">
        <v>164</v>
      </c>
      <c r="G14" s="55" t="s">
        <v>204</v>
      </c>
      <c r="H14" s="54" t="s">
        <v>205</v>
      </c>
      <c r="I14" s="54" t="s">
        <v>206</v>
      </c>
      <c r="J14" s="55"/>
      <c r="K14" s="55"/>
      <c r="L14" s="55"/>
      <c r="M14" s="55"/>
      <c r="N14" s="54" t="s">
        <v>578</v>
      </c>
      <c r="O14" s="54" t="s">
        <v>139</v>
      </c>
    </row>
    <row r="15" spans="1:15" ht="6" customHeight="1" x14ac:dyDescent="0.55000000000000004">
      <c r="A15" s="63"/>
      <c r="B15" s="63"/>
      <c r="C15" s="64"/>
      <c r="D15" s="63"/>
      <c r="E15" s="65"/>
      <c r="F15" s="63"/>
      <c r="G15" s="63"/>
      <c r="H15" s="65"/>
      <c r="I15" s="65"/>
      <c r="J15" s="63" t="s">
        <v>140</v>
      </c>
      <c r="K15" s="55"/>
      <c r="L15" s="63"/>
      <c r="M15" s="63"/>
      <c r="N15" s="110" t="s">
        <v>140</v>
      </c>
      <c r="O15" s="65"/>
    </row>
    <row r="16" spans="1:15" ht="23.5" x14ac:dyDescent="0.55000000000000004">
      <c r="A16" s="106" t="s">
        <v>208</v>
      </c>
      <c r="B16" s="106"/>
      <c r="C16" s="106"/>
      <c r="D16" s="106"/>
      <c r="E16" s="106"/>
      <c r="F16" s="106"/>
      <c r="G16" s="106"/>
      <c r="H16" s="106"/>
      <c r="I16" s="106"/>
      <c r="J16" s="106"/>
      <c r="K16" s="106"/>
      <c r="L16" s="106"/>
      <c r="M16" s="106"/>
      <c r="N16" s="106"/>
      <c r="O16" s="107"/>
    </row>
    <row r="17" spans="1:15" ht="23.5" x14ac:dyDescent="0.55000000000000004">
      <c r="A17" s="60" t="s">
        <v>130</v>
      </c>
      <c r="B17" s="60"/>
      <c r="C17" s="61"/>
      <c r="D17" s="62" t="s">
        <v>209</v>
      </c>
      <c r="E17" s="62"/>
      <c r="F17" s="62"/>
      <c r="G17" s="62"/>
      <c r="H17" s="62"/>
      <c r="I17" s="62"/>
      <c r="J17" s="62"/>
      <c r="K17" s="62"/>
      <c r="L17" s="62"/>
      <c r="M17" s="62"/>
      <c r="N17" s="62"/>
      <c r="O17" s="62"/>
    </row>
    <row r="18" spans="1:15" ht="282" x14ac:dyDescent="0.55000000000000004">
      <c r="A18" s="51" t="s">
        <v>184</v>
      </c>
      <c r="B18" s="51" t="s">
        <v>133</v>
      </c>
      <c r="C18" s="52" t="s">
        <v>12</v>
      </c>
      <c r="D18" s="53" t="s">
        <v>210</v>
      </c>
      <c r="E18" s="54" t="s">
        <v>167</v>
      </c>
      <c r="F18" s="55" t="s">
        <v>136</v>
      </c>
      <c r="G18" s="55" t="s">
        <v>211</v>
      </c>
      <c r="H18" s="54" t="s">
        <v>212</v>
      </c>
      <c r="I18" s="54" t="s">
        <v>213</v>
      </c>
      <c r="J18" s="55"/>
      <c r="K18" s="55"/>
      <c r="L18" s="55"/>
      <c r="M18" s="55"/>
      <c r="N18" s="54" t="s">
        <v>579</v>
      </c>
      <c r="O18" s="54" t="s">
        <v>139</v>
      </c>
    </row>
    <row r="19" spans="1:15" ht="6.65" customHeight="1" x14ac:dyDescent="0.55000000000000004">
      <c r="A19" s="63"/>
      <c r="B19" s="63"/>
      <c r="C19" s="90"/>
      <c r="D19" s="53"/>
      <c r="E19" s="54"/>
      <c r="F19" s="55"/>
      <c r="G19" s="55"/>
      <c r="H19" s="54"/>
      <c r="I19" s="54"/>
      <c r="J19" s="55" t="s">
        <v>140</v>
      </c>
      <c r="K19" s="55"/>
      <c r="L19" s="55"/>
      <c r="M19" s="55"/>
      <c r="N19" s="54"/>
      <c r="O19" s="54"/>
    </row>
    <row r="20" spans="1:15" ht="23.5" x14ac:dyDescent="0.55000000000000004">
      <c r="A20" s="106" t="s">
        <v>15</v>
      </c>
      <c r="B20" s="106"/>
      <c r="C20" s="106"/>
      <c r="D20" s="106"/>
      <c r="E20" s="106"/>
      <c r="F20" s="106"/>
      <c r="G20" s="106"/>
      <c r="H20" s="106"/>
      <c r="I20" s="106"/>
      <c r="J20" s="106"/>
      <c r="K20" s="106"/>
      <c r="L20" s="106"/>
      <c r="M20" s="106"/>
      <c r="N20" s="106"/>
      <c r="O20" s="107"/>
    </row>
    <row r="21" spans="1:15" ht="23.5" x14ac:dyDescent="0.55000000000000004">
      <c r="A21" s="60" t="s">
        <v>130</v>
      </c>
      <c r="B21" s="60"/>
      <c r="C21" s="61"/>
      <c r="D21" s="62" t="s">
        <v>214</v>
      </c>
      <c r="E21" s="62"/>
      <c r="F21" s="62"/>
      <c r="G21" s="62"/>
      <c r="H21" s="62"/>
      <c r="I21" s="62"/>
      <c r="J21" s="62"/>
      <c r="K21" s="62"/>
      <c r="L21" s="62"/>
      <c r="M21" s="62"/>
      <c r="N21" s="62"/>
      <c r="O21" s="62"/>
    </row>
    <row r="22" spans="1:15" ht="409.5" x14ac:dyDescent="0.55000000000000004">
      <c r="A22" s="51" t="s">
        <v>184</v>
      </c>
      <c r="B22" s="51" t="s">
        <v>133</v>
      </c>
      <c r="C22" s="52" t="s">
        <v>14</v>
      </c>
      <c r="D22" s="53" t="s">
        <v>215</v>
      </c>
      <c r="E22" s="54" t="s">
        <v>167</v>
      </c>
      <c r="F22" s="55" t="s">
        <v>136</v>
      </c>
      <c r="G22" s="55" t="s">
        <v>216</v>
      </c>
      <c r="H22" s="54" t="s">
        <v>217</v>
      </c>
      <c r="I22" s="54" t="s">
        <v>218</v>
      </c>
      <c r="J22" s="55"/>
      <c r="K22" s="55"/>
      <c r="L22" s="55"/>
      <c r="M22" s="55"/>
      <c r="N22" s="54" t="s">
        <v>574</v>
      </c>
      <c r="O22" s="54" t="s">
        <v>139</v>
      </c>
    </row>
    <row r="23" spans="1:15" ht="5.5" customHeight="1" x14ac:dyDescent="0.55000000000000004">
      <c r="A23" s="63"/>
      <c r="B23" s="63"/>
      <c r="C23" s="90"/>
      <c r="D23" s="53"/>
      <c r="E23" s="54"/>
      <c r="F23" s="55"/>
      <c r="G23" s="55"/>
      <c r="H23" s="54"/>
      <c r="I23" s="54"/>
      <c r="J23" s="55" t="s">
        <v>140</v>
      </c>
      <c r="K23" s="55"/>
      <c r="L23" s="55"/>
      <c r="M23" s="55"/>
      <c r="N23" s="54"/>
      <c r="O23" s="54"/>
    </row>
    <row r="24" spans="1:15" s="25" customFormat="1" ht="23.5" x14ac:dyDescent="0.55000000000000004">
      <c r="A24" s="106" t="s">
        <v>17</v>
      </c>
      <c r="B24" s="106"/>
      <c r="C24" s="106"/>
      <c r="D24" s="106"/>
      <c r="E24" s="106"/>
      <c r="F24" s="106"/>
      <c r="G24" s="106"/>
      <c r="H24" s="106"/>
      <c r="I24" s="106"/>
      <c r="J24" s="106"/>
      <c r="K24" s="106"/>
      <c r="L24" s="106"/>
      <c r="M24" s="106"/>
      <c r="N24" s="106"/>
      <c r="O24" s="107"/>
    </row>
    <row r="25" spans="1:15" s="25" customFormat="1" ht="23.5" x14ac:dyDescent="0.55000000000000004">
      <c r="A25" s="60" t="s">
        <v>130</v>
      </c>
      <c r="B25" s="60"/>
      <c r="C25" s="61"/>
      <c r="D25" s="62" t="s">
        <v>219</v>
      </c>
      <c r="E25" s="62"/>
      <c r="F25" s="62"/>
      <c r="G25" s="62"/>
      <c r="H25" s="62"/>
      <c r="I25" s="62"/>
      <c r="J25" s="62"/>
      <c r="K25" s="62"/>
      <c r="L25" s="62"/>
      <c r="M25" s="62"/>
      <c r="N25" s="62"/>
      <c r="O25" s="62"/>
    </row>
    <row r="26" spans="1:15" s="25" customFormat="1" ht="409.5" x14ac:dyDescent="0.55000000000000004">
      <c r="A26" s="51" t="s">
        <v>184</v>
      </c>
      <c r="B26" s="51" t="s">
        <v>133</v>
      </c>
      <c r="C26" s="52" t="s">
        <v>16</v>
      </c>
      <c r="D26" s="53" t="s">
        <v>220</v>
      </c>
      <c r="E26" s="54" t="s">
        <v>221</v>
      </c>
      <c r="F26" s="55" t="s">
        <v>136</v>
      </c>
      <c r="G26" s="55" t="s">
        <v>222</v>
      </c>
      <c r="H26" s="54" t="s">
        <v>223</v>
      </c>
      <c r="I26" s="54" t="s">
        <v>224</v>
      </c>
      <c r="J26" s="55"/>
      <c r="K26" s="55"/>
      <c r="L26" s="55"/>
      <c r="M26" s="55"/>
      <c r="N26" s="54" t="s">
        <v>574</v>
      </c>
      <c r="O26" s="54" t="s">
        <v>139</v>
      </c>
    </row>
    <row r="27" spans="1:15" s="25" customFormat="1" ht="6" customHeight="1" x14ac:dyDescent="0.55000000000000004">
      <c r="A27" s="63"/>
      <c r="B27" s="63"/>
      <c r="C27" s="64"/>
      <c r="D27" s="63"/>
      <c r="E27" s="65"/>
      <c r="F27" s="63"/>
      <c r="G27" s="63"/>
      <c r="H27" s="65"/>
      <c r="I27" s="65"/>
      <c r="J27" s="63" t="s">
        <v>140</v>
      </c>
      <c r="K27" s="55"/>
      <c r="L27" s="63"/>
      <c r="M27" s="63"/>
      <c r="N27" s="63"/>
      <c r="O27" s="65"/>
    </row>
    <row r="28" spans="1:15" ht="23.5" x14ac:dyDescent="0.55000000000000004">
      <c r="A28" s="106" t="s">
        <v>225</v>
      </c>
      <c r="B28" s="106"/>
      <c r="C28" s="106"/>
      <c r="D28" s="106"/>
      <c r="E28" s="106"/>
      <c r="F28" s="106"/>
      <c r="G28" s="106"/>
      <c r="H28" s="106"/>
      <c r="I28" s="106"/>
      <c r="J28" s="106"/>
      <c r="K28" s="106"/>
      <c r="L28" s="106"/>
      <c r="M28" s="106"/>
      <c r="N28" s="106"/>
      <c r="O28" s="107"/>
    </row>
    <row r="29" spans="1:15" ht="23.5" x14ac:dyDescent="0.55000000000000004">
      <c r="A29" s="68" t="s">
        <v>130</v>
      </c>
      <c r="B29" s="68"/>
      <c r="C29" s="69"/>
      <c r="D29" s="70" t="s">
        <v>226</v>
      </c>
      <c r="E29" s="71"/>
      <c r="F29" s="71"/>
      <c r="G29" s="71"/>
      <c r="H29" s="71"/>
      <c r="I29" s="71"/>
      <c r="J29" s="71"/>
      <c r="K29" s="71"/>
      <c r="L29" s="71"/>
      <c r="M29" s="71"/>
      <c r="N29" s="71"/>
      <c r="O29" s="72"/>
    </row>
    <row r="30" spans="1:15" ht="409.5" x14ac:dyDescent="0.55000000000000004">
      <c r="A30" s="51" t="s">
        <v>184</v>
      </c>
      <c r="B30" s="51" t="s">
        <v>133</v>
      </c>
      <c r="C30" s="52" t="s">
        <v>18</v>
      </c>
      <c r="D30" s="53" t="s">
        <v>226</v>
      </c>
      <c r="E30" s="54" t="s">
        <v>135</v>
      </c>
      <c r="F30" s="55" t="s">
        <v>136</v>
      </c>
      <c r="G30" s="55" t="s">
        <v>227</v>
      </c>
      <c r="H30" s="54" t="s">
        <v>228</v>
      </c>
      <c r="I30" s="54" t="s">
        <v>229</v>
      </c>
      <c r="J30" s="55"/>
      <c r="K30" s="55"/>
      <c r="L30" s="55"/>
      <c r="M30" s="55"/>
      <c r="N30" s="54" t="s">
        <v>580</v>
      </c>
      <c r="O30" s="54" t="s">
        <v>139</v>
      </c>
    </row>
    <row r="31" spans="1:15" ht="7.4" customHeight="1" x14ac:dyDescent="0.55000000000000004">
      <c r="A31" s="63"/>
      <c r="B31" s="63"/>
      <c r="C31" s="90"/>
      <c r="D31" s="53"/>
      <c r="E31" s="54"/>
      <c r="F31" s="55"/>
      <c r="G31" s="55"/>
      <c r="H31" s="54"/>
      <c r="I31" s="54"/>
      <c r="J31" s="55" t="s">
        <v>140</v>
      </c>
      <c r="K31" s="55"/>
      <c r="L31" s="55"/>
      <c r="M31" s="55"/>
      <c r="N31" s="54"/>
      <c r="O31" s="54"/>
    </row>
    <row r="32" spans="1:15" s="25" customFormat="1" ht="23.5" x14ac:dyDescent="0.55000000000000004">
      <c r="A32" s="106" t="s">
        <v>22</v>
      </c>
      <c r="B32" s="106"/>
      <c r="C32" s="106"/>
      <c r="D32" s="106"/>
      <c r="E32" s="106"/>
      <c r="F32" s="106"/>
      <c r="G32" s="106"/>
      <c r="H32" s="106"/>
      <c r="I32" s="106"/>
      <c r="J32" s="106"/>
      <c r="K32" s="106"/>
      <c r="L32" s="106"/>
      <c r="M32" s="106"/>
      <c r="N32" s="106"/>
      <c r="O32" s="107"/>
    </row>
    <row r="33" spans="1:15" s="25" customFormat="1" ht="23.5" x14ac:dyDescent="0.55000000000000004">
      <c r="A33" s="68" t="s">
        <v>130</v>
      </c>
      <c r="B33" s="68"/>
      <c r="C33" s="69"/>
      <c r="D33" s="70" t="s">
        <v>230</v>
      </c>
      <c r="E33" s="71"/>
      <c r="F33" s="71"/>
      <c r="G33" s="71"/>
      <c r="H33" s="71"/>
      <c r="I33" s="71"/>
      <c r="J33" s="71"/>
      <c r="K33" s="71"/>
      <c r="L33" s="71"/>
      <c r="M33" s="71"/>
      <c r="N33" s="71"/>
      <c r="O33" s="72"/>
    </row>
    <row r="34" spans="1:15" s="25" customFormat="1" ht="409.5" x14ac:dyDescent="0.55000000000000004">
      <c r="A34" s="51" t="s">
        <v>184</v>
      </c>
      <c r="B34" s="51" t="s">
        <v>133</v>
      </c>
      <c r="C34" s="52" t="s">
        <v>21</v>
      </c>
      <c r="D34" s="53" t="s">
        <v>231</v>
      </c>
      <c r="E34" s="54" t="s">
        <v>135</v>
      </c>
      <c r="F34" s="55" t="s">
        <v>136</v>
      </c>
      <c r="G34" s="55" t="s">
        <v>231</v>
      </c>
      <c r="H34" s="54" t="s">
        <v>232</v>
      </c>
      <c r="I34" s="54" t="s">
        <v>233</v>
      </c>
      <c r="J34" s="55"/>
      <c r="K34" s="55"/>
      <c r="L34" s="55"/>
      <c r="M34" s="55"/>
      <c r="N34" s="54" t="s">
        <v>581</v>
      </c>
      <c r="O34" s="54" t="s">
        <v>139</v>
      </c>
    </row>
    <row r="35" spans="1:15" s="25" customFormat="1" ht="7.4" customHeight="1" x14ac:dyDescent="0.55000000000000004">
      <c r="A35" s="63"/>
      <c r="B35" s="63"/>
      <c r="C35" s="90"/>
      <c r="D35" s="53"/>
      <c r="E35" s="54"/>
      <c r="F35" s="55"/>
      <c r="G35" s="55"/>
      <c r="H35" s="54"/>
      <c r="I35" s="54"/>
      <c r="J35" s="55" t="s">
        <v>140</v>
      </c>
      <c r="K35" s="55"/>
      <c r="L35" s="55"/>
      <c r="M35" s="55"/>
      <c r="N35" s="54"/>
      <c r="O35" s="54"/>
    </row>
    <row r="36" spans="1:15" ht="23.5" x14ac:dyDescent="0.55000000000000004">
      <c r="A36" s="106" t="s">
        <v>24</v>
      </c>
      <c r="B36" s="106"/>
      <c r="C36" s="106"/>
      <c r="D36" s="106"/>
      <c r="E36" s="106"/>
      <c r="F36" s="106"/>
      <c r="G36" s="106"/>
      <c r="H36" s="106"/>
      <c r="I36" s="106"/>
      <c r="J36" s="106"/>
      <c r="K36" s="106"/>
      <c r="L36" s="106"/>
      <c r="M36" s="106"/>
      <c r="N36" s="106"/>
      <c r="O36" s="107"/>
    </row>
    <row r="37" spans="1:15" ht="23.5" x14ac:dyDescent="0.55000000000000004">
      <c r="A37" s="68" t="s">
        <v>130</v>
      </c>
      <c r="B37" s="68"/>
      <c r="C37" s="69"/>
      <c r="D37" s="70" t="s">
        <v>234</v>
      </c>
      <c r="E37" s="71"/>
      <c r="F37" s="71"/>
      <c r="G37" s="71"/>
      <c r="H37" s="71"/>
      <c r="I37" s="71"/>
      <c r="J37" s="71"/>
      <c r="K37" s="71"/>
      <c r="L37" s="71"/>
      <c r="M37" s="71"/>
      <c r="N37" s="71"/>
      <c r="O37" s="72"/>
    </row>
    <row r="38" spans="1:15" ht="305.5" x14ac:dyDescent="0.55000000000000004">
      <c r="A38" s="51" t="s">
        <v>184</v>
      </c>
      <c r="B38" s="51" t="s">
        <v>133</v>
      </c>
      <c r="C38" s="52" t="s">
        <v>23</v>
      </c>
      <c r="D38" s="53" t="s">
        <v>234</v>
      </c>
      <c r="E38" s="54" t="s">
        <v>269</v>
      </c>
      <c r="F38" s="55" t="s">
        <v>136</v>
      </c>
      <c r="G38" s="55" t="s">
        <v>234</v>
      </c>
      <c r="H38" s="54" t="s">
        <v>235</v>
      </c>
      <c r="I38" s="54" t="s">
        <v>236</v>
      </c>
      <c r="J38" s="55"/>
      <c r="K38" s="55"/>
      <c r="L38" s="55"/>
      <c r="M38" s="55"/>
      <c r="N38" s="54" t="s">
        <v>573</v>
      </c>
      <c r="O38" s="54" t="s">
        <v>139</v>
      </c>
    </row>
    <row r="39" spans="1:15" ht="7.4" customHeight="1" x14ac:dyDescent="0.55000000000000004">
      <c r="A39" s="63"/>
      <c r="B39" s="63"/>
      <c r="C39" s="90"/>
      <c r="D39" s="53"/>
      <c r="E39" s="54"/>
      <c r="F39" s="55"/>
      <c r="G39" s="55"/>
      <c r="H39" s="54"/>
      <c r="I39" s="54"/>
      <c r="J39" s="55" t="s">
        <v>140</v>
      </c>
      <c r="K39" s="55"/>
      <c r="L39" s="55"/>
      <c r="M39" s="55"/>
      <c r="N39" s="54"/>
      <c r="O39" s="54"/>
    </row>
    <row r="40" spans="1:15" s="25" customFormat="1" ht="23.5" x14ac:dyDescent="0.55000000000000004">
      <c r="A40" s="106" t="s">
        <v>26</v>
      </c>
      <c r="B40" s="106"/>
      <c r="C40" s="106"/>
      <c r="D40" s="106"/>
      <c r="E40" s="106"/>
      <c r="F40" s="106"/>
      <c r="G40" s="106"/>
      <c r="H40" s="106"/>
      <c r="I40" s="106"/>
      <c r="J40" s="106"/>
      <c r="K40" s="106"/>
      <c r="L40" s="106"/>
      <c r="M40" s="106"/>
      <c r="N40" s="106"/>
      <c r="O40" s="107"/>
    </row>
    <row r="41" spans="1:15" s="25" customFormat="1" ht="23.5" x14ac:dyDescent="0.55000000000000004">
      <c r="A41" s="68" t="s">
        <v>130</v>
      </c>
      <c r="B41" s="68"/>
      <c r="C41" s="69"/>
      <c r="D41" s="70" t="s">
        <v>237</v>
      </c>
      <c r="E41" s="71"/>
      <c r="F41" s="71"/>
      <c r="G41" s="71"/>
      <c r="H41" s="71"/>
      <c r="I41" s="71"/>
      <c r="J41" s="71"/>
      <c r="K41" s="71"/>
      <c r="L41" s="71"/>
      <c r="M41" s="71"/>
      <c r="N41" s="71"/>
      <c r="O41" s="72"/>
    </row>
    <row r="42" spans="1:15" s="25" customFormat="1" ht="409.5" x14ac:dyDescent="0.55000000000000004">
      <c r="A42" s="51" t="s">
        <v>184</v>
      </c>
      <c r="B42" s="51" t="s">
        <v>133</v>
      </c>
      <c r="C42" s="52" t="s">
        <v>25</v>
      </c>
      <c r="D42" s="53" t="s">
        <v>238</v>
      </c>
      <c r="E42" s="54" t="s">
        <v>135</v>
      </c>
      <c r="F42" s="55" t="s">
        <v>136</v>
      </c>
      <c r="G42" s="55" t="s">
        <v>239</v>
      </c>
      <c r="H42" s="54" t="s">
        <v>240</v>
      </c>
      <c r="I42" s="54" t="s">
        <v>241</v>
      </c>
      <c r="J42" s="55"/>
      <c r="K42" s="55"/>
      <c r="L42" s="55"/>
      <c r="M42" s="55"/>
      <c r="N42" s="54" t="s">
        <v>582</v>
      </c>
      <c r="O42" s="54" t="s">
        <v>139</v>
      </c>
    </row>
    <row r="43" spans="1:15" s="25" customFormat="1" ht="6" customHeight="1" x14ac:dyDescent="0.35">
      <c r="C43" s="24"/>
      <c r="E43" s="26"/>
      <c r="H43" s="26"/>
      <c r="I43" s="26"/>
      <c r="J43" s="25" t="s">
        <v>140</v>
      </c>
      <c r="N43" s="27"/>
      <c r="O43" s="26"/>
    </row>
    <row r="46" spans="1:15" x14ac:dyDescent="0.35">
      <c r="N46" s="2"/>
      <c r="O46"/>
    </row>
    <row r="47" spans="1:15" x14ac:dyDescent="0.35">
      <c r="N47" s="2"/>
      <c r="O47"/>
    </row>
    <row r="48" spans="1:15" x14ac:dyDescent="0.35">
      <c r="N48" s="2"/>
      <c r="O48"/>
    </row>
    <row r="49" spans="14:15" x14ac:dyDescent="0.35">
      <c r="N49" s="2"/>
      <c r="O49"/>
    </row>
    <row r="50" spans="14:15" x14ac:dyDescent="0.35">
      <c r="N50" s="2"/>
      <c r="O50"/>
    </row>
  </sheetData>
  <dataConsolidate/>
  <mergeCells count="32">
    <mergeCell ref="D33:O33"/>
    <mergeCell ref="D37:O37"/>
    <mergeCell ref="A32:O32"/>
    <mergeCell ref="A33:C33"/>
    <mergeCell ref="A36:O36"/>
    <mergeCell ref="A37:C37"/>
    <mergeCell ref="A29:C29"/>
    <mergeCell ref="D41:O41"/>
    <mergeCell ref="D29:O29"/>
    <mergeCell ref="A2:O2"/>
    <mergeCell ref="A3:C3"/>
    <mergeCell ref="A6:O6"/>
    <mergeCell ref="A7:C7"/>
    <mergeCell ref="A10:O10"/>
    <mergeCell ref="A11:C11"/>
    <mergeCell ref="A16:O16"/>
    <mergeCell ref="A17:C17"/>
    <mergeCell ref="A20:O20"/>
    <mergeCell ref="A21:C21"/>
    <mergeCell ref="C12:C14"/>
    <mergeCell ref="A40:O40"/>
    <mergeCell ref="A41:C41"/>
    <mergeCell ref="D21:O21"/>
    <mergeCell ref="D25:O25"/>
    <mergeCell ref="A24:O24"/>
    <mergeCell ref="A25:C25"/>
    <mergeCell ref="A28:O28"/>
    <mergeCell ref="D3:O3"/>
    <mergeCell ref="D11:O11"/>
    <mergeCell ref="D17:O17"/>
    <mergeCell ref="D7:O7"/>
    <mergeCell ref="D12:D14"/>
  </mergeCells>
  <dataValidations count="2">
    <dataValidation type="list" allowBlank="1" showInputMessage="1" showErrorMessage="1" sqref="J12:J14 J8 J18:J19 J4 K11 K7 J38:K39 K15 J26 J22:K23 J42:K42 K26:K27 J30:K31 J34:K35 K4:K5" xr:uid="{00000000-0002-0000-0200-000000000000}">
      <formula1>"Pass,Fail"</formula1>
    </dataValidation>
    <dataValidation type="list" allowBlank="1" showInputMessage="1" showErrorMessage="1" sqref="M12:M14 M4 M8 M18:M19 M22:M23 M26 M42 M30:M31 M34:M35 M38:M39" xr:uid="{00000000-0002-0000-0200-000001000000}">
      <formula1>"New,Retest"</formula1>
    </dataValidation>
  </dataValidations>
  <pageMargins left="0.7" right="0.7" top="0.75" bottom="0.75" header="0.3" footer="0.3"/>
  <pageSetup scale="71" fitToHeight="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1"/>
  <sheetViews>
    <sheetView topLeftCell="C33" zoomScale="60" zoomScaleNormal="60" workbookViewId="0">
      <selection activeCell="H33" sqref="H33"/>
    </sheetView>
  </sheetViews>
  <sheetFormatPr defaultColWidth="8.81640625" defaultRowHeight="14.5" x14ac:dyDescent="0.35"/>
  <cols>
    <col min="3" max="3" width="12.81640625" customWidth="1"/>
    <col min="4" max="4" width="27" customWidth="1"/>
    <col min="5" max="5" width="22.26953125" customWidth="1"/>
    <col min="6" max="6" width="11.36328125" customWidth="1"/>
    <col min="7" max="7" width="26.81640625" customWidth="1"/>
    <col min="8" max="8" width="51.453125" style="2" customWidth="1"/>
    <col min="9" max="9" width="30.81640625" customWidth="1"/>
    <col min="12" max="12" width="16.81640625" customWidth="1"/>
    <col min="13" max="13" width="10.1796875" customWidth="1"/>
    <col min="14" max="14" width="13.1796875" customWidth="1"/>
    <col min="15" max="15" width="42.1796875" customWidth="1"/>
  </cols>
  <sheetData>
    <row r="1" spans="1:15" ht="23.5" x14ac:dyDescent="0.55000000000000004">
      <c r="A1" s="56" t="s">
        <v>119</v>
      </c>
      <c r="B1" s="56" t="s">
        <v>120</v>
      </c>
      <c r="C1" s="56" t="s">
        <v>1</v>
      </c>
      <c r="D1" s="56" t="s">
        <v>2</v>
      </c>
      <c r="E1" s="57" t="s">
        <v>121</v>
      </c>
      <c r="F1" s="56" t="s">
        <v>122</v>
      </c>
      <c r="G1" s="57" t="s">
        <v>123</v>
      </c>
      <c r="H1" s="57" t="s">
        <v>124</v>
      </c>
      <c r="I1" s="57" t="s">
        <v>125</v>
      </c>
      <c r="J1" s="56" t="s">
        <v>3</v>
      </c>
      <c r="K1" s="56" t="s">
        <v>126</v>
      </c>
      <c r="L1" s="56" t="s">
        <v>127</v>
      </c>
      <c r="M1" s="56" t="s">
        <v>128</v>
      </c>
      <c r="N1" s="56" t="s">
        <v>129</v>
      </c>
      <c r="O1" s="57" t="s">
        <v>4</v>
      </c>
    </row>
    <row r="2" spans="1:15" ht="23.5" x14ac:dyDescent="0.55000000000000004">
      <c r="A2" s="58" t="s">
        <v>32</v>
      </c>
      <c r="B2" s="58"/>
      <c r="C2" s="58"/>
      <c r="D2" s="58"/>
      <c r="E2" s="58"/>
      <c r="F2" s="58"/>
      <c r="G2" s="58"/>
      <c r="H2" s="58"/>
      <c r="I2" s="58"/>
      <c r="J2" s="58"/>
      <c r="K2" s="58"/>
      <c r="L2" s="58"/>
      <c r="M2" s="58"/>
      <c r="N2" s="58"/>
      <c r="O2" s="59"/>
    </row>
    <row r="3" spans="1:15" ht="23.5" x14ac:dyDescent="0.55000000000000004">
      <c r="A3" s="60" t="s">
        <v>130</v>
      </c>
      <c r="B3" s="60"/>
      <c r="C3" s="61"/>
      <c r="D3" s="62" t="s">
        <v>242</v>
      </c>
      <c r="E3" s="62"/>
      <c r="F3" s="62"/>
      <c r="G3" s="62"/>
      <c r="H3" s="62"/>
      <c r="I3" s="62"/>
      <c r="J3" s="62"/>
      <c r="K3" s="62"/>
      <c r="L3" s="62"/>
      <c r="M3" s="62"/>
      <c r="N3" s="62"/>
      <c r="O3" s="62"/>
    </row>
    <row r="4" spans="1:15" ht="188" x14ac:dyDescent="0.55000000000000004">
      <c r="A4" s="51" t="s">
        <v>184</v>
      </c>
      <c r="B4" s="51" t="s">
        <v>133</v>
      </c>
      <c r="C4" s="85" t="s">
        <v>31</v>
      </c>
      <c r="D4" s="74" t="s">
        <v>243</v>
      </c>
      <c r="E4" s="54" t="s">
        <v>269</v>
      </c>
      <c r="F4" s="55" t="s">
        <v>136</v>
      </c>
      <c r="G4" s="55" t="s">
        <v>244</v>
      </c>
      <c r="H4" s="54" t="s">
        <v>540</v>
      </c>
      <c r="I4" s="54" t="s">
        <v>245</v>
      </c>
      <c r="J4" s="55"/>
      <c r="K4" s="55"/>
      <c r="L4" s="55"/>
      <c r="M4" s="55"/>
      <c r="N4" s="54" t="s">
        <v>246</v>
      </c>
      <c r="O4" s="54"/>
    </row>
    <row r="5" spans="1:15" ht="211.5" x14ac:dyDescent="0.55000000000000004">
      <c r="A5" s="51" t="s">
        <v>184</v>
      </c>
      <c r="B5" s="51" t="s">
        <v>133</v>
      </c>
      <c r="C5" s="87"/>
      <c r="D5" s="82"/>
      <c r="E5" s="54" t="s">
        <v>269</v>
      </c>
      <c r="F5" s="55" t="s">
        <v>154</v>
      </c>
      <c r="G5" s="55" t="s">
        <v>247</v>
      </c>
      <c r="H5" s="54" t="s">
        <v>541</v>
      </c>
      <c r="I5" s="54" t="s">
        <v>248</v>
      </c>
      <c r="J5" s="55"/>
      <c r="K5" s="55"/>
      <c r="L5" s="55"/>
      <c r="M5" s="55"/>
      <c r="N5" s="54" t="s">
        <v>246</v>
      </c>
      <c r="O5" s="54"/>
    </row>
    <row r="6" spans="1:15" ht="6.75" customHeight="1" x14ac:dyDescent="0.55000000000000004">
      <c r="A6" s="63"/>
      <c r="B6" s="63"/>
      <c r="C6" s="90"/>
      <c r="D6" s="63"/>
      <c r="E6" s="63"/>
      <c r="F6" s="63"/>
      <c r="G6" s="63"/>
      <c r="H6" s="65"/>
      <c r="I6" s="63"/>
      <c r="J6" s="63" t="s">
        <v>140</v>
      </c>
      <c r="K6" s="63"/>
      <c r="L6" s="63"/>
      <c r="M6" s="63"/>
      <c r="N6" s="63"/>
      <c r="O6" s="63"/>
    </row>
    <row r="7" spans="1:15" ht="23.5" x14ac:dyDescent="0.55000000000000004">
      <c r="A7" s="66" t="s">
        <v>34</v>
      </c>
      <c r="B7" s="66"/>
      <c r="C7" s="66"/>
      <c r="D7" s="66"/>
      <c r="E7" s="66"/>
      <c r="F7" s="66"/>
      <c r="G7" s="66"/>
      <c r="H7" s="66"/>
      <c r="I7" s="66"/>
      <c r="J7" s="66"/>
      <c r="K7" s="66"/>
      <c r="L7" s="66"/>
      <c r="M7" s="66"/>
      <c r="N7" s="66"/>
      <c r="O7" s="67"/>
    </row>
    <row r="8" spans="1:15" ht="23.5" x14ac:dyDescent="0.55000000000000004">
      <c r="A8" s="60" t="s">
        <v>130</v>
      </c>
      <c r="B8" s="60"/>
      <c r="C8" s="61"/>
      <c r="D8" s="62" t="s">
        <v>249</v>
      </c>
      <c r="E8" s="62"/>
      <c r="F8" s="62"/>
      <c r="G8" s="62"/>
      <c r="H8" s="62"/>
      <c r="I8" s="62"/>
      <c r="J8" s="62"/>
      <c r="K8" s="62"/>
      <c r="L8" s="62"/>
      <c r="M8" s="62"/>
      <c r="N8" s="62"/>
      <c r="O8" s="62"/>
    </row>
    <row r="9" spans="1:15" ht="91.5" customHeight="1" x14ac:dyDescent="0.55000000000000004">
      <c r="A9" s="51" t="s">
        <v>184</v>
      </c>
      <c r="B9" s="51" t="s">
        <v>133</v>
      </c>
      <c r="C9" s="85" t="s">
        <v>33</v>
      </c>
      <c r="D9" s="74" t="s">
        <v>249</v>
      </c>
      <c r="E9" s="54" t="s">
        <v>269</v>
      </c>
      <c r="F9" s="55" t="s">
        <v>136</v>
      </c>
      <c r="G9" s="55" t="s">
        <v>250</v>
      </c>
      <c r="H9" s="54" t="s">
        <v>542</v>
      </c>
      <c r="I9" s="54" t="s">
        <v>251</v>
      </c>
      <c r="J9" s="55"/>
      <c r="K9" s="55"/>
      <c r="L9" s="55"/>
      <c r="M9" s="55"/>
      <c r="N9" s="54" t="s">
        <v>246</v>
      </c>
      <c r="O9" s="54"/>
    </row>
    <row r="10" spans="1:15" ht="94" x14ac:dyDescent="0.55000000000000004">
      <c r="A10" s="51" t="s">
        <v>184</v>
      </c>
      <c r="B10" s="51" t="s">
        <v>133</v>
      </c>
      <c r="C10" s="86"/>
      <c r="D10" s="76"/>
      <c r="E10" s="54" t="s">
        <v>269</v>
      </c>
      <c r="F10" s="55" t="s">
        <v>154</v>
      </c>
      <c r="G10" s="55" t="s">
        <v>252</v>
      </c>
      <c r="H10" s="54" t="s">
        <v>543</v>
      </c>
      <c r="I10" s="54" t="s">
        <v>253</v>
      </c>
      <c r="J10" s="55"/>
      <c r="K10" s="55"/>
      <c r="L10" s="55"/>
      <c r="M10" s="55"/>
      <c r="N10" s="54" t="s">
        <v>246</v>
      </c>
      <c r="O10" s="54"/>
    </row>
    <row r="11" spans="1:15" ht="164.5" x14ac:dyDescent="0.55000000000000004">
      <c r="A11" s="51" t="s">
        <v>184</v>
      </c>
      <c r="B11" s="51" t="s">
        <v>133</v>
      </c>
      <c r="C11" s="86"/>
      <c r="D11" s="76"/>
      <c r="E11" s="54" t="s">
        <v>254</v>
      </c>
      <c r="F11" s="55" t="s">
        <v>164</v>
      </c>
      <c r="G11" s="54" t="s">
        <v>544</v>
      </c>
      <c r="H11" s="54" t="s">
        <v>545</v>
      </c>
      <c r="I11" s="54" t="s">
        <v>255</v>
      </c>
      <c r="J11" s="55"/>
      <c r="K11" s="55"/>
      <c r="L11" s="55"/>
      <c r="M11" s="55"/>
      <c r="N11" s="54" t="s">
        <v>246</v>
      </c>
      <c r="O11" s="54"/>
    </row>
    <row r="12" spans="1:15" ht="117.5" x14ac:dyDescent="0.55000000000000004">
      <c r="A12" s="51" t="s">
        <v>184</v>
      </c>
      <c r="B12" s="51" t="s">
        <v>133</v>
      </c>
      <c r="C12" s="86"/>
      <c r="D12" s="76"/>
      <c r="E12" s="54" t="s">
        <v>269</v>
      </c>
      <c r="F12" s="55" t="s">
        <v>165</v>
      </c>
      <c r="G12" s="55" t="s">
        <v>546</v>
      </c>
      <c r="H12" s="54" t="s">
        <v>542</v>
      </c>
      <c r="I12" s="54" t="s">
        <v>256</v>
      </c>
      <c r="J12" s="55"/>
      <c r="K12" s="55"/>
      <c r="L12" s="55"/>
      <c r="M12" s="55"/>
      <c r="N12" s="54" t="s">
        <v>246</v>
      </c>
      <c r="O12" s="54"/>
    </row>
    <row r="13" spans="1:15" ht="141" x14ac:dyDescent="0.55000000000000004">
      <c r="A13" s="51" t="s">
        <v>184</v>
      </c>
      <c r="B13" s="51" t="s">
        <v>133</v>
      </c>
      <c r="C13" s="87"/>
      <c r="D13" s="82"/>
      <c r="E13" s="54" t="s">
        <v>269</v>
      </c>
      <c r="F13" s="55" t="s">
        <v>168</v>
      </c>
      <c r="G13" s="54" t="s">
        <v>547</v>
      </c>
      <c r="H13" s="54" t="s">
        <v>548</v>
      </c>
      <c r="I13" s="54" t="s">
        <v>257</v>
      </c>
      <c r="J13" s="55"/>
      <c r="K13" s="55"/>
      <c r="L13" s="55"/>
      <c r="M13" s="55"/>
      <c r="N13" s="54" t="s">
        <v>246</v>
      </c>
      <c r="O13" s="54"/>
    </row>
    <row r="14" spans="1:15" ht="5.25" customHeight="1" x14ac:dyDescent="0.55000000000000004">
      <c r="A14" s="63"/>
      <c r="B14" s="63"/>
      <c r="C14" s="63"/>
      <c r="D14" s="63"/>
      <c r="E14" s="63"/>
      <c r="F14" s="63"/>
      <c r="G14" s="63"/>
      <c r="H14" s="65"/>
      <c r="I14" s="63"/>
      <c r="J14" s="63" t="s">
        <v>140</v>
      </c>
      <c r="K14" s="63"/>
      <c r="L14" s="63"/>
      <c r="M14" s="63"/>
      <c r="N14" s="63"/>
      <c r="O14" s="63"/>
    </row>
    <row r="15" spans="1:15" ht="23.5" x14ac:dyDescent="0.55000000000000004">
      <c r="A15" s="66" t="s">
        <v>36</v>
      </c>
      <c r="B15" s="66"/>
      <c r="C15" s="66"/>
      <c r="D15" s="66"/>
      <c r="E15" s="66"/>
      <c r="F15" s="66"/>
      <c r="G15" s="66"/>
      <c r="H15" s="66"/>
      <c r="I15" s="66"/>
      <c r="J15" s="66"/>
      <c r="K15" s="66"/>
      <c r="L15" s="66"/>
      <c r="M15" s="66"/>
      <c r="N15" s="66"/>
      <c r="O15" s="67"/>
    </row>
    <row r="16" spans="1:15" ht="23.5" x14ac:dyDescent="0.55000000000000004">
      <c r="A16" s="60" t="s">
        <v>130</v>
      </c>
      <c r="B16" s="60"/>
      <c r="C16" s="61"/>
      <c r="D16" s="62" t="s">
        <v>258</v>
      </c>
      <c r="E16" s="62"/>
      <c r="F16" s="62"/>
      <c r="G16" s="62"/>
      <c r="H16" s="62"/>
      <c r="I16" s="62"/>
      <c r="J16" s="62"/>
      <c r="K16" s="62"/>
      <c r="L16" s="62"/>
      <c r="M16" s="62"/>
      <c r="N16" s="62"/>
      <c r="O16" s="62"/>
    </row>
    <row r="17" spans="1:15" ht="169.5" customHeight="1" x14ac:dyDescent="0.55000000000000004">
      <c r="A17" s="51" t="s">
        <v>184</v>
      </c>
      <c r="B17" s="91" t="s">
        <v>133</v>
      </c>
      <c r="C17" s="85" t="s">
        <v>35</v>
      </c>
      <c r="D17" s="74" t="s">
        <v>259</v>
      </c>
      <c r="E17" s="54" t="s">
        <v>269</v>
      </c>
      <c r="F17" s="90" t="s">
        <v>136</v>
      </c>
      <c r="G17" s="92" t="s">
        <v>260</v>
      </c>
      <c r="H17" s="54" t="s">
        <v>549</v>
      </c>
      <c r="I17" s="54" t="s">
        <v>550</v>
      </c>
      <c r="J17" s="55"/>
      <c r="K17" s="55"/>
      <c r="L17" s="55"/>
      <c r="M17" s="55"/>
      <c r="N17" s="54" t="s">
        <v>551</v>
      </c>
      <c r="O17" s="54"/>
    </row>
    <row r="18" spans="1:15" ht="235" x14ac:dyDescent="0.55000000000000004">
      <c r="A18" s="51" t="s">
        <v>184</v>
      </c>
      <c r="B18" s="91" t="s">
        <v>133</v>
      </c>
      <c r="C18" s="86"/>
      <c r="D18" s="76"/>
      <c r="E18" s="54" t="s">
        <v>269</v>
      </c>
      <c r="F18" s="90" t="s">
        <v>154</v>
      </c>
      <c r="G18" s="92" t="s">
        <v>552</v>
      </c>
      <c r="H18" s="54" t="s">
        <v>553</v>
      </c>
      <c r="I18" s="54" t="s">
        <v>261</v>
      </c>
      <c r="J18" s="55"/>
      <c r="K18" s="55"/>
      <c r="L18" s="55"/>
      <c r="M18" s="55"/>
      <c r="N18" s="54" t="s">
        <v>551</v>
      </c>
      <c r="O18" s="54"/>
    </row>
    <row r="19" spans="1:15" ht="409.5" x14ac:dyDescent="0.55000000000000004">
      <c r="A19" s="51" t="s">
        <v>184</v>
      </c>
      <c r="B19" s="91" t="s">
        <v>133</v>
      </c>
      <c r="C19" s="86"/>
      <c r="D19" s="76"/>
      <c r="E19" s="54" t="s">
        <v>269</v>
      </c>
      <c r="F19" s="90" t="s">
        <v>164</v>
      </c>
      <c r="G19" s="92" t="s">
        <v>554</v>
      </c>
      <c r="H19" s="54" t="s">
        <v>555</v>
      </c>
      <c r="I19" s="54" t="s">
        <v>556</v>
      </c>
      <c r="J19" s="55"/>
      <c r="K19" s="55"/>
      <c r="L19" s="55"/>
      <c r="M19" s="55"/>
      <c r="N19" s="54" t="s">
        <v>551</v>
      </c>
      <c r="O19" s="54"/>
    </row>
    <row r="20" spans="1:15" ht="305.5" x14ac:dyDescent="0.55000000000000004">
      <c r="A20" s="51" t="s">
        <v>184</v>
      </c>
      <c r="B20" s="91" t="s">
        <v>133</v>
      </c>
      <c r="C20" s="87"/>
      <c r="D20" s="82"/>
      <c r="E20" s="54" t="s">
        <v>269</v>
      </c>
      <c r="F20" s="90" t="s">
        <v>165</v>
      </c>
      <c r="G20" s="92" t="s">
        <v>262</v>
      </c>
      <c r="H20" s="54" t="s">
        <v>557</v>
      </c>
      <c r="I20" s="54" t="s">
        <v>263</v>
      </c>
      <c r="J20" s="55"/>
      <c r="K20" s="55"/>
      <c r="L20" s="55"/>
      <c r="M20" s="55"/>
      <c r="N20" s="54" t="s">
        <v>551</v>
      </c>
      <c r="O20" s="54"/>
    </row>
    <row r="21" spans="1:15" ht="5.25" customHeight="1" x14ac:dyDescent="0.55000000000000004">
      <c r="A21" s="63"/>
      <c r="B21" s="63"/>
      <c r="C21" s="63"/>
      <c r="D21" s="63"/>
      <c r="E21" s="63"/>
      <c r="F21" s="63"/>
      <c r="G21" s="63"/>
      <c r="H21" s="65"/>
      <c r="I21" s="63"/>
      <c r="J21" s="63" t="s">
        <v>140</v>
      </c>
      <c r="K21" s="63"/>
      <c r="L21" s="63"/>
      <c r="M21" s="63"/>
      <c r="N21" s="63"/>
      <c r="O21" s="63"/>
    </row>
    <row r="22" spans="1:15" ht="5.25" customHeight="1" x14ac:dyDescent="0.55000000000000004">
      <c r="A22" s="63"/>
      <c r="B22" s="63"/>
      <c r="C22" s="63"/>
      <c r="D22" s="63"/>
      <c r="E22" s="63"/>
      <c r="F22" s="63"/>
      <c r="G22" s="63"/>
      <c r="H22" s="65"/>
      <c r="I22" s="63"/>
      <c r="J22" s="63" t="s">
        <v>140</v>
      </c>
      <c r="K22" s="63"/>
      <c r="L22" s="63"/>
      <c r="M22" s="63"/>
      <c r="N22" s="63"/>
      <c r="O22" s="63"/>
    </row>
    <row r="23" spans="1:15" ht="18.5" customHeight="1" x14ac:dyDescent="0.55000000000000004">
      <c r="A23" s="93" t="s">
        <v>40</v>
      </c>
      <c r="B23" s="93"/>
      <c r="C23" s="93"/>
      <c r="D23" s="93"/>
      <c r="E23" s="93"/>
      <c r="F23" s="93"/>
      <c r="G23" s="93"/>
      <c r="H23" s="93"/>
      <c r="I23" s="93"/>
      <c r="J23" s="93"/>
      <c r="K23" s="93"/>
      <c r="L23" s="93"/>
      <c r="M23" s="93"/>
      <c r="N23" s="93"/>
      <c r="O23" s="94"/>
    </row>
    <row r="24" spans="1:15" ht="21" customHeight="1" x14ac:dyDescent="0.55000000000000004">
      <c r="A24" s="95" t="s">
        <v>130</v>
      </c>
      <c r="B24" s="95"/>
      <c r="C24" s="96"/>
      <c r="D24" s="97" t="s">
        <v>264</v>
      </c>
      <c r="E24" s="97"/>
      <c r="F24" s="97"/>
      <c r="G24" s="97"/>
      <c r="H24" s="97"/>
      <c r="I24" s="97"/>
      <c r="J24" s="97"/>
      <c r="K24" s="97"/>
      <c r="L24" s="97"/>
      <c r="M24" s="97"/>
      <c r="N24" s="97"/>
      <c r="O24" s="97"/>
    </row>
    <row r="25" spans="1:15" ht="189" customHeight="1" x14ac:dyDescent="0.55000000000000004">
      <c r="A25" s="51" t="s">
        <v>184</v>
      </c>
      <c r="B25" s="51" t="s">
        <v>133</v>
      </c>
      <c r="C25" s="85" t="s">
        <v>39</v>
      </c>
      <c r="D25" s="74" t="s">
        <v>265</v>
      </c>
      <c r="E25" s="54" t="s">
        <v>269</v>
      </c>
      <c r="F25" s="90" t="s">
        <v>136</v>
      </c>
      <c r="G25" s="92" t="s">
        <v>266</v>
      </c>
      <c r="H25" s="98" t="s">
        <v>558</v>
      </c>
      <c r="I25" s="54" t="s">
        <v>559</v>
      </c>
      <c r="J25" s="55"/>
      <c r="K25" s="55"/>
      <c r="L25" s="55"/>
      <c r="M25" s="55"/>
      <c r="N25" s="54" t="s">
        <v>560</v>
      </c>
      <c r="O25" s="54"/>
    </row>
    <row r="26" spans="1:15" ht="211.5" x14ac:dyDescent="0.55000000000000004">
      <c r="A26" s="51" t="s">
        <v>184</v>
      </c>
      <c r="B26" s="51" t="s">
        <v>133</v>
      </c>
      <c r="C26" s="86"/>
      <c r="D26" s="82"/>
      <c r="E26" s="90" t="s">
        <v>267</v>
      </c>
      <c r="F26" s="90" t="s">
        <v>154</v>
      </c>
      <c r="G26" s="92" t="s">
        <v>268</v>
      </c>
      <c r="H26" s="54" t="s">
        <v>561</v>
      </c>
      <c r="I26" s="54" t="s">
        <v>562</v>
      </c>
      <c r="J26" s="55"/>
      <c r="K26" s="55"/>
      <c r="L26" s="55"/>
      <c r="M26" s="55"/>
      <c r="N26" s="54" t="s">
        <v>560</v>
      </c>
      <c r="O26" s="54"/>
    </row>
    <row r="27" spans="1:15" ht="233" customHeight="1" x14ac:dyDescent="0.55000000000000004">
      <c r="A27" s="51" t="s">
        <v>184</v>
      </c>
      <c r="B27" s="51" t="s">
        <v>133</v>
      </c>
      <c r="C27" s="87"/>
      <c r="D27" s="92" t="s">
        <v>563</v>
      </c>
      <c r="E27" s="90" t="s">
        <v>269</v>
      </c>
      <c r="F27" s="90" t="s">
        <v>136</v>
      </c>
      <c r="G27" s="92" t="s">
        <v>270</v>
      </c>
      <c r="H27" s="98" t="s">
        <v>564</v>
      </c>
      <c r="I27" s="54" t="s">
        <v>565</v>
      </c>
      <c r="J27" s="55"/>
      <c r="K27" s="55"/>
      <c r="L27" s="55"/>
      <c r="M27" s="55"/>
      <c r="N27" s="54" t="s">
        <v>560</v>
      </c>
      <c r="O27" s="54"/>
    </row>
    <row r="28" spans="1:15" ht="5.25" customHeight="1" x14ac:dyDescent="0.55000000000000004">
      <c r="A28" s="63"/>
      <c r="B28" s="63"/>
      <c r="C28" s="63"/>
      <c r="D28" s="63"/>
      <c r="E28" s="63"/>
      <c r="F28" s="63"/>
      <c r="G28" s="63"/>
      <c r="H28" s="65"/>
      <c r="I28" s="63"/>
      <c r="J28" s="63" t="s">
        <v>140</v>
      </c>
      <c r="K28" s="63"/>
      <c r="L28" s="63"/>
      <c r="M28" s="63"/>
      <c r="N28" s="63"/>
      <c r="O28" s="63"/>
    </row>
    <row r="29" spans="1:15" ht="7.5" customHeight="1" x14ac:dyDescent="0.55000000000000004">
      <c r="A29" s="63"/>
      <c r="B29" s="63"/>
      <c r="C29" s="63"/>
      <c r="D29" s="63"/>
      <c r="E29" s="63"/>
      <c r="F29" s="63"/>
      <c r="G29" s="63"/>
      <c r="H29" s="65"/>
      <c r="I29" s="63"/>
      <c r="J29" s="63" t="s">
        <v>140</v>
      </c>
      <c r="K29" s="63"/>
      <c r="L29" s="63"/>
      <c r="M29" s="63"/>
      <c r="N29" s="63"/>
      <c r="O29" s="63"/>
    </row>
    <row r="30" spans="1:15" ht="18.75" customHeight="1" x14ac:dyDescent="0.55000000000000004">
      <c r="A30" s="93" t="s">
        <v>44</v>
      </c>
      <c r="B30" s="93"/>
      <c r="C30" s="93"/>
      <c r="D30" s="93"/>
      <c r="E30" s="93"/>
      <c r="F30" s="93"/>
      <c r="G30" s="93"/>
      <c r="H30" s="93"/>
      <c r="I30" s="93"/>
      <c r="J30" s="93"/>
      <c r="K30" s="93"/>
      <c r="L30" s="93"/>
      <c r="M30" s="93"/>
      <c r="N30" s="93"/>
      <c r="O30" s="94"/>
    </row>
    <row r="31" spans="1:15" ht="23.5" x14ac:dyDescent="0.55000000000000004">
      <c r="A31" s="95" t="s">
        <v>130</v>
      </c>
      <c r="B31" s="95"/>
      <c r="C31" s="96"/>
      <c r="D31" s="97" t="s">
        <v>271</v>
      </c>
      <c r="E31" s="97"/>
      <c r="F31" s="97"/>
      <c r="G31" s="97"/>
      <c r="H31" s="97"/>
      <c r="I31" s="97"/>
      <c r="J31" s="97"/>
      <c r="K31" s="97"/>
      <c r="L31" s="97"/>
      <c r="M31" s="97"/>
      <c r="N31" s="97"/>
      <c r="O31" s="97"/>
    </row>
    <row r="32" spans="1:15" ht="399.5" customHeight="1" x14ac:dyDescent="0.55000000000000004">
      <c r="A32" s="51" t="s">
        <v>184</v>
      </c>
      <c r="B32" s="51" t="s">
        <v>133</v>
      </c>
      <c r="C32" s="85" t="s">
        <v>43</v>
      </c>
      <c r="D32" s="74" t="s">
        <v>272</v>
      </c>
      <c r="E32" s="54" t="s">
        <v>269</v>
      </c>
      <c r="F32" s="90" t="s">
        <v>136</v>
      </c>
      <c r="G32" s="92" t="s">
        <v>273</v>
      </c>
      <c r="H32" s="54" t="s">
        <v>566</v>
      </c>
      <c r="I32" s="54" t="s">
        <v>567</v>
      </c>
      <c r="J32" s="55"/>
      <c r="K32" s="55"/>
      <c r="L32" s="55"/>
      <c r="M32" s="55"/>
      <c r="N32" s="54" t="s">
        <v>568</v>
      </c>
      <c r="O32" s="54"/>
    </row>
    <row r="33" spans="1:15" ht="409" customHeight="1" x14ac:dyDescent="0.55000000000000004">
      <c r="A33" s="51" t="s">
        <v>184</v>
      </c>
      <c r="B33" s="51" t="s">
        <v>133</v>
      </c>
      <c r="C33" s="86"/>
      <c r="D33" s="82"/>
      <c r="E33" s="54" t="s">
        <v>269</v>
      </c>
      <c r="F33" s="90" t="s">
        <v>154</v>
      </c>
      <c r="G33" s="92" t="s">
        <v>274</v>
      </c>
      <c r="H33" s="98" t="s">
        <v>569</v>
      </c>
      <c r="I33" s="54" t="s">
        <v>275</v>
      </c>
      <c r="J33" s="55"/>
      <c r="K33" s="55"/>
      <c r="L33" s="55"/>
      <c r="M33" s="55"/>
      <c r="N33" s="54" t="s">
        <v>568</v>
      </c>
      <c r="O33" s="54"/>
    </row>
    <row r="34" spans="1:15" ht="409" customHeight="1" x14ac:dyDescent="0.55000000000000004">
      <c r="A34" s="51" t="s">
        <v>184</v>
      </c>
      <c r="B34" s="51" t="s">
        <v>133</v>
      </c>
      <c r="C34" s="86"/>
      <c r="D34" s="74" t="s">
        <v>276</v>
      </c>
      <c r="E34" s="54" t="s">
        <v>269</v>
      </c>
      <c r="F34" s="90" t="s">
        <v>136</v>
      </c>
      <c r="G34" s="92" t="s">
        <v>273</v>
      </c>
      <c r="H34" s="54" t="s">
        <v>570</v>
      </c>
      <c r="I34" s="54" t="s">
        <v>567</v>
      </c>
      <c r="J34" s="55"/>
      <c r="K34" s="55"/>
      <c r="L34" s="55"/>
      <c r="M34" s="55"/>
      <c r="N34" s="54" t="s">
        <v>571</v>
      </c>
      <c r="O34" s="54"/>
    </row>
    <row r="35" spans="1:15" ht="406.5" customHeight="1" x14ac:dyDescent="0.55000000000000004">
      <c r="A35" s="51" t="s">
        <v>184</v>
      </c>
      <c r="B35" s="51" t="s">
        <v>133</v>
      </c>
      <c r="C35" s="87"/>
      <c r="D35" s="82"/>
      <c r="E35" s="54" t="s">
        <v>269</v>
      </c>
      <c r="F35" s="90" t="s">
        <v>154</v>
      </c>
      <c r="G35" s="92" t="s">
        <v>277</v>
      </c>
      <c r="H35" s="98" t="s">
        <v>572</v>
      </c>
      <c r="I35" s="54" t="s">
        <v>278</v>
      </c>
      <c r="J35" s="55"/>
      <c r="K35" s="55"/>
      <c r="L35" s="55"/>
      <c r="M35" s="55"/>
      <c r="N35" s="54" t="s">
        <v>571</v>
      </c>
      <c r="O35" s="54"/>
    </row>
    <row r="36" spans="1:15" ht="23.5" x14ac:dyDescent="0.55000000000000004">
      <c r="A36" s="63"/>
      <c r="B36" s="63"/>
      <c r="C36" s="99"/>
      <c r="D36" s="84"/>
      <c r="E36" s="90"/>
      <c r="F36" s="90"/>
      <c r="G36" s="92"/>
      <c r="H36" s="98"/>
      <c r="I36" s="54"/>
      <c r="J36" s="55" t="s">
        <v>140</v>
      </c>
      <c r="K36" s="55"/>
      <c r="L36" s="55"/>
      <c r="M36" s="55"/>
      <c r="N36" s="54"/>
      <c r="O36" s="54"/>
    </row>
    <row r="37" spans="1:15" ht="23.5" x14ac:dyDescent="0.55000000000000004">
      <c r="A37" s="63"/>
      <c r="B37" s="63"/>
      <c r="C37" s="100"/>
      <c r="D37" s="101"/>
      <c r="E37" s="101"/>
      <c r="F37" s="101"/>
      <c r="G37" s="101"/>
      <c r="H37" s="102"/>
      <c r="I37" s="103"/>
      <c r="J37" s="104"/>
      <c r="K37" s="104"/>
      <c r="L37" s="104"/>
      <c r="M37" s="104"/>
      <c r="N37" s="105"/>
      <c r="O37" s="104"/>
    </row>
    <row r="38" spans="1:15" ht="23.5" x14ac:dyDescent="0.55000000000000004">
      <c r="A38" s="63"/>
      <c r="B38" s="63"/>
      <c r="C38" s="100"/>
      <c r="D38" s="101"/>
      <c r="E38" s="101"/>
      <c r="F38" s="101"/>
      <c r="G38" s="101"/>
      <c r="H38" s="102"/>
      <c r="I38" s="103"/>
      <c r="J38" s="104"/>
      <c r="K38" s="104"/>
      <c r="L38" s="104"/>
      <c r="M38" s="104"/>
      <c r="N38" s="105"/>
      <c r="O38" s="104"/>
    </row>
    <row r="39" spans="1:15" ht="23.5" x14ac:dyDescent="0.55000000000000004">
      <c r="A39" s="63"/>
      <c r="B39" s="63"/>
      <c r="C39" s="100"/>
      <c r="D39" s="101"/>
      <c r="E39" s="101"/>
      <c r="F39" s="101"/>
      <c r="G39" s="101"/>
      <c r="H39" s="102"/>
      <c r="I39" s="103"/>
      <c r="J39" s="104"/>
      <c r="K39" s="104"/>
      <c r="L39" s="104"/>
      <c r="M39" s="104"/>
      <c r="N39" s="105"/>
      <c r="O39" s="104"/>
    </row>
    <row r="40" spans="1:15" ht="23.5" x14ac:dyDescent="0.55000000000000004">
      <c r="A40" s="63"/>
      <c r="B40" s="63"/>
      <c r="C40" s="63"/>
      <c r="D40" s="63"/>
      <c r="E40" s="63"/>
      <c r="F40" s="63"/>
      <c r="G40" s="63"/>
      <c r="H40" s="65"/>
      <c r="I40" s="63"/>
      <c r="J40" s="63"/>
      <c r="K40" s="63"/>
      <c r="L40" s="63"/>
      <c r="M40" s="63"/>
      <c r="N40" s="63"/>
      <c r="O40" s="63"/>
    </row>
    <row r="41" spans="1:15" ht="18.5" x14ac:dyDescent="0.45">
      <c r="C41" s="23"/>
    </row>
  </sheetData>
  <mergeCells count="26">
    <mergeCell ref="A2:O2"/>
    <mergeCell ref="A3:C3"/>
    <mergeCell ref="A7:O7"/>
    <mergeCell ref="A8:C8"/>
    <mergeCell ref="A15:O15"/>
    <mergeCell ref="D8:O8"/>
    <mergeCell ref="D3:O3"/>
    <mergeCell ref="C4:C5"/>
    <mergeCell ref="D4:D5"/>
    <mergeCell ref="C9:C13"/>
    <mergeCell ref="D9:D13"/>
    <mergeCell ref="C25:C27"/>
    <mergeCell ref="D25:D26"/>
    <mergeCell ref="A30:O30"/>
    <mergeCell ref="D24:O24"/>
    <mergeCell ref="A16:C16"/>
    <mergeCell ref="A23:O23"/>
    <mergeCell ref="A24:C24"/>
    <mergeCell ref="D16:O16"/>
    <mergeCell ref="C17:C20"/>
    <mergeCell ref="D17:D20"/>
    <mergeCell ref="A31:C31"/>
    <mergeCell ref="D31:O31"/>
    <mergeCell ref="C32:C35"/>
    <mergeCell ref="D32:D33"/>
    <mergeCell ref="D34:D35"/>
  </mergeCells>
  <dataValidations count="1">
    <dataValidation type="list" allowBlank="1" showInputMessage="1" showErrorMessage="1" sqref="J4:K5 J9:K13 J17:K20 J25:K27 J32:K36" xr:uid="{00000000-0002-0000-0300-000000000000}">
      <formula1>"Pass,Fail"</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8"/>
  <sheetViews>
    <sheetView zoomScale="85" zoomScaleNormal="85" workbookViewId="0">
      <pane ySplit="1" topLeftCell="A9" activePane="bottomLeft" state="frozen"/>
      <selection pane="bottomLeft" activeCell="A16" sqref="A16:D18"/>
    </sheetView>
  </sheetViews>
  <sheetFormatPr defaultColWidth="8.81640625" defaultRowHeight="14.5" x14ac:dyDescent="0.35"/>
  <cols>
    <col min="3" max="3" width="12.81640625" style="1" customWidth="1"/>
    <col min="4" max="4" width="27" customWidth="1"/>
    <col min="5" max="5" width="13.81640625" customWidth="1"/>
    <col min="7" max="7" width="26.81640625" customWidth="1"/>
    <col min="8" max="8" width="48.81640625" style="2" customWidth="1"/>
    <col min="9" max="9" width="36.54296875" style="2" customWidth="1"/>
    <col min="12" max="12" width="16.81640625" customWidth="1"/>
    <col min="13" max="13" width="10.1796875" customWidth="1"/>
    <col min="14" max="14" width="13.453125" customWidth="1"/>
    <col min="15" max="15" width="45.453125" customWidth="1"/>
  </cols>
  <sheetData>
    <row r="1" spans="1:15" x14ac:dyDescent="0.35">
      <c r="A1" s="3" t="s">
        <v>119</v>
      </c>
      <c r="B1" s="3" t="s">
        <v>120</v>
      </c>
      <c r="C1" s="3" t="s">
        <v>1</v>
      </c>
      <c r="D1" s="3" t="s">
        <v>2</v>
      </c>
      <c r="E1" s="3" t="s">
        <v>121</v>
      </c>
      <c r="F1" s="3" t="s">
        <v>122</v>
      </c>
      <c r="G1" s="3" t="s">
        <v>123</v>
      </c>
      <c r="H1" s="4" t="s">
        <v>124</v>
      </c>
      <c r="I1" s="4" t="s">
        <v>125</v>
      </c>
      <c r="J1" s="3" t="s">
        <v>3</v>
      </c>
      <c r="K1" s="3" t="s">
        <v>126</v>
      </c>
      <c r="L1" s="3" t="s">
        <v>127</v>
      </c>
      <c r="M1" s="3" t="s">
        <v>128</v>
      </c>
      <c r="N1" s="3" t="s">
        <v>129</v>
      </c>
      <c r="O1" s="3" t="s">
        <v>4</v>
      </c>
    </row>
    <row r="2" spans="1:15" ht="18.5" x14ac:dyDescent="0.45">
      <c r="A2" s="42" t="s">
        <v>55</v>
      </c>
      <c r="B2" s="42"/>
      <c r="C2" s="42"/>
      <c r="D2" s="42"/>
      <c r="E2" s="42"/>
      <c r="F2" s="42"/>
      <c r="G2" s="42"/>
      <c r="H2" s="42"/>
      <c r="I2" s="42"/>
      <c r="J2" s="42"/>
      <c r="K2" s="42"/>
      <c r="L2" s="42"/>
      <c r="M2" s="42"/>
      <c r="N2" s="42"/>
      <c r="O2" s="43"/>
    </row>
    <row r="3" spans="1:15" x14ac:dyDescent="0.35">
      <c r="A3" s="37" t="s">
        <v>130</v>
      </c>
      <c r="B3" s="37"/>
      <c r="C3" s="38"/>
      <c r="D3" s="44" t="s">
        <v>280</v>
      </c>
      <c r="E3" s="45"/>
      <c r="F3" s="45"/>
      <c r="G3" s="45"/>
      <c r="H3" s="45"/>
      <c r="I3" s="45"/>
      <c r="J3" s="45"/>
      <c r="K3" s="45"/>
      <c r="L3" s="45"/>
      <c r="M3" s="45"/>
      <c r="N3" s="45"/>
      <c r="O3" s="46"/>
    </row>
    <row r="4" spans="1:15" ht="143" x14ac:dyDescent="0.35">
      <c r="A4" s="7" t="s">
        <v>184</v>
      </c>
      <c r="B4" s="7" t="s">
        <v>133</v>
      </c>
      <c r="C4" s="7" t="s">
        <v>54</v>
      </c>
      <c r="D4" s="7" t="s">
        <v>281</v>
      </c>
      <c r="E4" s="7" t="s">
        <v>297</v>
      </c>
      <c r="F4" s="7" t="s">
        <v>136</v>
      </c>
      <c r="G4" s="7" t="s">
        <v>282</v>
      </c>
      <c r="H4" s="7" t="s">
        <v>283</v>
      </c>
      <c r="I4" s="7" t="s">
        <v>284</v>
      </c>
      <c r="J4" s="7"/>
      <c r="K4" s="8"/>
      <c r="L4" s="8"/>
      <c r="M4" s="8"/>
      <c r="N4" s="7" t="s">
        <v>285</v>
      </c>
      <c r="O4" s="7" t="s">
        <v>139</v>
      </c>
    </row>
    <row r="5" spans="1:15" ht="78" x14ac:dyDescent="0.35">
      <c r="A5" s="7" t="s">
        <v>184</v>
      </c>
      <c r="B5" s="7" t="s">
        <v>133</v>
      </c>
      <c r="C5" s="7"/>
      <c r="D5" s="7"/>
      <c r="E5" s="7" t="s">
        <v>297</v>
      </c>
      <c r="F5" s="7" t="s">
        <v>154</v>
      </c>
      <c r="G5" s="7" t="s">
        <v>286</v>
      </c>
      <c r="H5" s="7" t="s">
        <v>287</v>
      </c>
      <c r="I5" s="7" t="s">
        <v>288</v>
      </c>
      <c r="J5" s="7"/>
      <c r="K5" s="8"/>
      <c r="L5" s="8"/>
      <c r="M5" s="8"/>
      <c r="N5" s="7" t="s">
        <v>285</v>
      </c>
      <c r="O5" s="7" t="s">
        <v>139</v>
      </c>
    </row>
    <row r="6" spans="1:15" ht="130" x14ac:dyDescent="0.35">
      <c r="A6" s="7" t="s">
        <v>184</v>
      </c>
      <c r="B6" s="7" t="s">
        <v>133</v>
      </c>
      <c r="C6" s="7"/>
      <c r="D6" s="7"/>
      <c r="E6" s="7" t="s">
        <v>297</v>
      </c>
      <c r="F6" s="7" t="s">
        <v>164</v>
      </c>
      <c r="G6" s="7" t="s">
        <v>289</v>
      </c>
      <c r="H6" s="7" t="s">
        <v>290</v>
      </c>
      <c r="I6" s="7" t="s">
        <v>291</v>
      </c>
      <c r="J6" s="7"/>
      <c r="K6" s="8"/>
      <c r="L6" s="8"/>
      <c r="M6" s="8"/>
      <c r="N6" s="7" t="s">
        <v>292</v>
      </c>
      <c r="O6" s="7" t="s">
        <v>139</v>
      </c>
    </row>
    <row r="7" spans="1:15" ht="78" x14ac:dyDescent="0.35">
      <c r="A7" s="7" t="s">
        <v>184</v>
      </c>
      <c r="B7" s="7" t="s">
        <v>133</v>
      </c>
      <c r="C7" s="7"/>
      <c r="D7" s="7"/>
      <c r="E7" s="7" t="s">
        <v>297</v>
      </c>
      <c r="F7" s="7" t="s">
        <v>165</v>
      </c>
      <c r="G7" s="7" t="s">
        <v>293</v>
      </c>
      <c r="H7" s="7" t="s">
        <v>294</v>
      </c>
      <c r="I7" s="7" t="s">
        <v>295</v>
      </c>
      <c r="J7" s="7"/>
      <c r="K7" s="8"/>
      <c r="L7" s="8"/>
      <c r="M7" s="8"/>
      <c r="N7" s="7" t="s">
        <v>296</v>
      </c>
      <c r="O7" s="7" t="s">
        <v>139</v>
      </c>
    </row>
    <row r="8" spans="1:15" ht="6" customHeight="1" x14ac:dyDescent="0.35">
      <c r="J8" t="s">
        <v>140</v>
      </c>
    </row>
    <row r="9" spans="1:15" ht="18.5" x14ac:dyDescent="0.45">
      <c r="A9" s="42" t="s">
        <v>505</v>
      </c>
      <c r="B9" s="42"/>
      <c r="C9" s="42"/>
      <c r="D9" s="42"/>
      <c r="E9" s="42"/>
      <c r="F9" s="42"/>
      <c r="G9" s="42"/>
      <c r="H9" s="42"/>
      <c r="I9" s="42"/>
      <c r="J9" s="42"/>
      <c r="K9" s="42"/>
      <c r="L9" s="42"/>
      <c r="M9" s="42"/>
      <c r="N9" s="42"/>
      <c r="O9" s="43"/>
    </row>
    <row r="10" spans="1:15" x14ac:dyDescent="0.35">
      <c r="A10" s="37" t="s">
        <v>130</v>
      </c>
      <c r="B10" s="37"/>
      <c r="C10" s="38"/>
      <c r="D10" s="44" t="s">
        <v>179</v>
      </c>
      <c r="E10" s="45"/>
      <c r="F10" s="45"/>
      <c r="G10" s="45"/>
      <c r="H10" s="45"/>
      <c r="I10" s="45"/>
      <c r="J10" s="45"/>
      <c r="K10" s="45"/>
      <c r="L10" s="45"/>
      <c r="M10" s="45"/>
      <c r="N10" s="45"/>
      <c r="O10" s="46"/>
    </row>
    <row r="11" spans="1:15" ht="156" x14ac:dyDescent="0.35">
      <c r="A11" s="15" t="s">
        <v>184</v>
      </c>
      <c r="B11" s="31" t="s">
        <v>133</v>
      </c>
      <c r="C11" s="22" t="s">
        <v>64</v>
      </c>
      <c r="D11" s="6" t="s">
        <v>486</v>
      </c>
      <c r="E11" s="7" t="s">
        <v>297</v>
      </c>
      <c r="F11" s="7" t="s">
        <v>136</v>
      </c>
      <c r="G11" s="8" t="s">
        <v>486</v>
      </c>
      <c r="H11" s="7" t="s">
        <v>487</v>
      </c>
      <c r="I11" s="7" t="s">
        <v>488</v>
      </c>
      <c r="J11" s="8"/>
      <c r="K11" s="8"/>
      <c r="L11" s="8"/>
      <c r="M11" s="8"/>
      <c r="N11" s="7" t="s">
        <v>181</v>
      </c>
      <c r="O11" s="7" t="s">
        <v>148</v>
      </c>
    </row>
    <row r="12" spans="1:15" ht="286" x14ac:dyDescent="0.35">
      <c r="A12" s="15" t="s">
        <v>184</v>
      </c>
      <c r="B12" s="31" t="s">
        <v>133</v>
      </c>
      <c r="C12" s="22"/>
      <c r="D12" s="6"/>
      <c r="E12" s="7" t="s">
        <v>180</v>
      </c>
      <c r="F12" s="7" t="s">
        <v>154</v>
      </c>
      <c r="G12" s="8" t="s">
        <v>489</v>
      </c>
      <c r="H12" s="7" t="s">
        <v>491</v>
      </c>
      <c r="I12" s="7" t="s">
        <v>490</v>
      </c>
      <c r="J12" s="8"/>
      <c r="K12" s="8"/>
      <c r="L12" s="8"/>
      <c r="M12" s="8"/>
      <c r="N12" s="7" t="s">
        <v>181</v>
      </c>
      <c r="O12" s="7" t="s">
        <v>148</v>
      </c>
    </row>
    <row r="13" spans="1:15" ht="6" customHeight="1" x14ac:dyDescent="0.35">
      <c r="E13" s="2"/>
      <c r="O13" s="2"/>
    </row>
    <row r="14" spans="1:15" ht="18.5" x14ac:dyDescent="0.45">
      <c r="A14" s="42" t="s">
        <v>494</v>
      </c>
      <c r="B14" s="42"/>
      <c r="C14" s="42"/>
      <c r="D14" s="42"/>
      <c r="E14" s="42"/>
      <c r="F14" s="42"/>
      <c r="G14" s="42"/>
      <c r="H14" s="42"/>
      <c r="I14" s="42"/>
      <c r="J14" s="42"/>
      <c r="K14" s="42"/>
      <c r="L14" s="42"/>
      <c r="M14" s="42"/>
      <c r="N14" s="42"/>
      <c r="O14" s="43"/>
    </row>
    <row r="15" spans="1:15" x14ac:dyDescent="0.35">
      <c r="A15" s="37" t="s">
        <v>130</v>
      </c>
      <c r="B15" s="37"/>
      <c r="C15" s="38"/>
      <c r="D15" s="89" t="s">
        <v>179</v>
      </c>
      <c r="E15" s="45"/>
      <c r="F15" s="45"/>
      <c r="G15" s="45"/>
      <c r="H15" s="45"/>
      <c r="I15" s="45"/>
      <c r="J15" s="45"/>
      <c r="K15" s="45"/>
      <c r="L15" s="45"/>
      <c r="M15" s="45"/>
      <c r="N15" s="45"/>
      <c r="O15" s="46"/>
    </row>
    <row r="16" spans="1:15" ht="194.4" customHeight="1" x14ac:dyDescent="0.35">
      <c r="A16" s="15"/>
      <c r="B16" s="15"/>
      <c r="C16" s="88"/>
      <c r="D16" s="6" t="s">
        <v>506</v>
      </c>
      <c r="E16" s="7" t="s">
        <v>297</v>
      </c>
      <c r="F16" s="7" t="s">
        <v>136</v>
      </c>
      <c r="G16" s="8" t="s">
        <v>486</v>
      </c>
      <c r="H16" s="7" t="s">
        <v>487</v>
      </c>
      <c r="I16" s="7" t="s">
        <v>488</v>
      </c>
    </row>
    <row r="17" spans="1:9" ht="372" customHeight="1" x14ac:dyDescent="0.35">
      <c r="A17" s="15"/>
      <c r="B17" s="15"/>
      <c r="C17" s="88"/>
      <c r="D17" s="15"/>
      <c r="E17" s="7" t="s">
        <v>297</v>
      </c>
      <c r="F17" s="7" t="s">
        <v>154</v>
      </c>
      <c r="G17" s="8" t="s">
        <v>489</v>
      </c>
      <c r="H17" s="7" t="s">
        <v>507</v>
      </c>
      <c r="I17" s="7" t="s">
        <v>508</v>
      </c>
    </row>
    <row r="18" spans="1:9" ht="124.75" customHeight="1" x14ac:dyDescent="0.35">
      <c r="A18" s="15"/>
      <c r="B18" s="15"/>
      <c r="C18" s="88"/>
      <c r="D18" s="15"/>
      <c r="E18" s="7" t="s">
        <v>297</v>
      </c>
      <c r="F18" s="7" t="s">
        <v>164</v>
      </c>
      <c r="G18" s="8" t="s">
        <v>495</v>
      </c>
      <c r="H18" s="7" t="s">
        <v>307</v>
      </c>
      <c r="I18" s="7" t="s">
        <v>496</v>
      </c>
    </row>
  </sheetData>
  <dataConsolidate/>
  <mergeCells count="9">
    <mergeCell ref="A2:O2"/>
    <mergeCell ref="A3:C3"/>
    <mergeCell ref="D3:O3"/>
    <mergeCell ref="A14:O14"/>
    <mergeCell ref="A15:C15"/>
    <mergeCell ref="D15:O15"/>
    <mergeCell ref="D10:O10"/>
    <mergeCell ref="A9:O9"/>
    <mergeCell ref="A10:C10"/>
  </mergeCells>
  <dataValidations count="2">
    <dataValidation type="list" allowBlank="1" showInputMessage="1" showErrorMessage="1" sqref="K4:K7 K11:K12 J1 J3:J8 J15:J1048576 J10:J13" xr:uid="{00000000-0002-0000-0400-000000000000}">
      <formula1>"Pass,Fail"</formula1>
    </dataValidation>
    <dataValidation type="list" allowBlank="1" showInputMessage="1" showErrorMessage="1" sqref="M11:M12 M4:M7" xr:uid="{00000000-0002-0000-0400-000001000000}">
      <formula1>"New,Retest"</formula1>
    </dataValidation>
  </dataValidations>
  <pageMargins left="0.25" right="0.25"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8"/>
  <sheetViews>
    <sheetView zoomScale="80" zoomScaleNormal="80" workbookViewId="0">
      <pane ySplit="1" topLeftCell="A28" activePane="bottomLeft" state="frozen"/>
      <selection pane="bottomLeft" activeCell="A29" sqref="A29:XFD35"/>
    </sheetView>
  </sheetViews>
  <sheetFormatPr defaultColWidth="8.81640625" defaultRowHeight="14.5" x14ac:dyDescent="0.35"/>
  <cols>
    <col min="3" max="3" width="12.81640625" style="1" customWidth="1"/>
    <col min="4" max="4" width="27" customWidth="1"/>
    <col min="5" max="5" width="13.81640625" style="2" customWidth="1"/>
    <col min="7" max="7" width="26.81640625" customWidth="1"/>
    <col min="8" max="8" width="62.453125" style="2" customWidth="1"/>
    <col min="9" max="9" width="30.81640625" style="2" customWidth="1"/>
    <col min="12" max="12" width="16.81640625" customWidth="1"/>
    <col min="13" max="13" width="10.1796875" customWidth="1"/>
    <col min="14" max="14" width="13.1796875" customWidth="1"/>
    <col min="15" max="15" width="42.1796875" style="2" customWidth="1"/>
  </cols>
  <sheetData>
    <row r="1" spans="1:15" x14ac:dyDescent="0.35">
      <c r="A1" s="3" t="s">
        <v>119</v>
      </c>
      <c r="B1" s="3" t="s">
        <v>120</v>
      </c>
      <c r="C1" s="3" t="s">
        <v>1</v>
      </c>
      <c r="D1" s="3" t="s">
        <v>2</v>
      </c>
      <c r="E1" s="4" t="s">
        <v>121</v>
      </c>
      <c r="F1" s="3" t="s">
        <v>122</v>
      </c>
      <c r="G1" s="3" t="s">
        <v>123</v>
      </c>
      <c r="H1" s="4" t="s">
        <v>124</v>
      </c>
      <c r="I1" s="4" t="s">
        <v>125</v>
      </c>
      <c r="J1" s="3" t="s">
        <v>3</v>
      </c>
      <c r="K1" s="3" t="s">
        <v>126</v>
      </c>
      <c r="L1" s="3" t="s">
        <v>127</v>
      </c>
      <c r="M1" s="3" t="s">
        <v>128</v>
      </c>
      <c r="N1" s="3" t="s">
        <v>129</v>
      </c>
      <c r="O1" s="4" t="s">
        <v>4</v>
      </c>
    </row>
    <row r="2" spans="1:15" ht="18.5" x14ac:dyDescent="0.45">
      <c r="A2" s="42" t="s">
        <v>68</v>
      </c>
      <c r="B2" s="42"/>
      <c r="C2" s="42"/>
      <c r="D2" s="42"/>
      <c r="E2" s="42"/>
      <c r="F2" s="42"/>
      <c r="G2" s="42"/>
      <c r="H2" s="42"/>
      <c r="I2" s="42"/>
      <c r="J2" s="42"/>
      <c r="K2" s="42"/>
      <c r="L2" s="42"/>
      <c r="M2" s="42"/>
      <c r="N2" s="42"/>
      <c r="O2" s="43"/>
    </row>
    <row r="3" spans="1:15" x14ac:dyDescent="0.35">
      <c r="A3" s="37" t="s">
        <v>130</v>
      </c>
      <c r="B3" s="37"/>
      <c r="C3" s="38"/>
      <c r="D3" s="39" t="s">
        <v>298</v>
      </c>
      <c r="E3" s="39"/>
      <c r="F3" s="39"/>
      <c r="G3" s="39"/>
      <c r="H3" s="39"/>
      <c r="I3" s="39"/>
      <c r="J3" s="39"/>
      <c r="K3" s="39"/>
      <c r="L3" s="39"/>
      <c r="M3" s="39"/>
      <c r="N3" s="39"/>
      <c r="O3" s="39"/>
    </row>
    <row r="4" spans="1:15" ht="116" x14ac:dyDescent="0.35">
      <c r="A4" s="15" t="s">
        <v>184</v>
      </c>
      <c r="B4" s="30" t="s">
        <v>133</v>
      </c>
      <c r="C4" s="47" t="s">
        <v>67</v>
      </c>
      <c r="D4" s="40" t="s">
        <v>299</v>
      </c>
      <c r="E4" s="14" t="s">
        <v>269</v>
      </c>
      <c r="F4" s="13" t="s">
        <v>136</v>
      </c>
      <c r="G4" s="13" t="s">
        <v>300</v>
      </c>
      <c r="H4" s="12" t="s">
        <v>301</v>
      </c>
      <c r="I4" s="14" t="s">
        <v>302</v>
      </c>
      <c r="J4" s="8"/>
      <c r="K4" s="8"/>
      <c r="L4" s="8"/>
      <c r="M4" s="8"/>
      <c r="N4" s="7"/>
      <c r="O4" s="7" t="s">
        <v>139</v>
      </c>
    </row>
    <row r="5" spans="1:15" ht="182" x14ac:dyDescent="0.35">
      <c r="A5" s="15" t="s">
        <v>184</v>
      </c>
      <c r="B5" s="30" t="s">
        <v>133</v>
      </c>
      <c r="C5" s="48"/>
      <c r="D5" s="41"/>
      <c r="E5" s="7" t="s">
        <v>297</v>
      </c>
      <c r="F5" s="8" t="s">
        <v>154</v>
      </c>
      <c r="G5" s="8" t="s">
        <v>303</v>
      </c>
      <c r="H5" s="7" t="s">
        <v>304</v>
      </c>
      <c r="I5" s="7" t="s">
        <v>305</v>
      </c>
      <c r="J5" s="8"/>
      <c r="K5" s="8"/>
      <c r="L5" s="8"/>
      <c r="M5" s="8"/>
      <c r="N5" s="7" t="s">
        <v>296</v>
      </c>
      <c r="O5" s="7" t="s">
        <v>139</v>
      </c>
    </row>
    <row r="6" spans="1:15" ht="65" x14ac:dyDescent="0.35">
      <c r="A6" s="15" t="s">
        <v>184</v>
      </c>
      <c r="B6" s="30" t="s">
        <v>133</v>
      </c>
      <c r="C6" s="48"/>
      <c r="D6" s="41"/>
      <c r="E6" s="7" t="s">
        <v>297</v>
      </c>
      <c r="F6" s="8" t="s">
        <v>164</v>
      </c>
      <c r="G6" s="8" t="s">
        <v>306</v>
      </c>
      <c r="H6" s="7" t="s">
        <v>307</v>
      </c>
      <c r="I6" s="7" t="s">
        <v>308</v>
      </c>
      <c r="J6" s="8"/>
      <c r="K6" s="8"/>
      <c r="L6" s="8"/>
      <c r="M6" s="8"/>
      <c r="N6" s="7" t="s">
        <v>309</v>
      </c>
      <c r="O6" s="7" t="s">
        <v>148</v>
      </c>
    </row>
    <row r="7" spans="1:15" ht="78" x14ac:dyDescent="0.35">
      <c r="A7" s="15" t="s">
        <v>184</v>
      </c>
      <c r="B7" s="30" t="s">
        <v>133</v>
      </c>
      <c r="C7" s="48"/>
      <c r="D7" s="41"/>
      <c r="E7" s="7" t="s">
        <v>167</v>
      </c>
      <c r="F7" s="8" t="s">
        <v>165</v>
      </c>
      <c r="G7" s="8" t="s">
        <v>310</v>
      </c>
      <c r="H7" s="7" t="s">
        <v>311</v>
      </c>
      <c r="I7" s="7" t="s">
        <v>312</v>
      </c>
      <c r="J7" s="8"/>
      <c r="K7" s="8"/>
      <c r="L7" s="8"/>
      <c r="M7" s="8"/>
      <c r="N7" s="7" t="s">
        <v>203</v>
      </c>
      <c r="O7" s="7" t="s">
        <v>148</v>
      </c>
    </row>
    <row r="8" spans="1:15" ht="91" x14ac:dyDescent="0.35">
      <c r="A8" s="15" t="s">
        <v>184</v>
      </c>
      <c r="B8" s="30" t="s">
        <v>133</v>
      </c>
      <c r="C8" s="48"/>
      <c r="D8" s="41"/>
      <c r="E8" s="7" t="s">
        <v>167</v>
      </c>
      <c r="F8" s="8" t="s">
        <v>168</v>
      </c>
      <c r="G8" s="8" t="s">
        <v>313</v>
      </c>
      <c r="H8" s="7" t="s">
        <v>314</v>
      </c>
      <c r="I8" s="7" t="s">
        <v>315</v>
      </c>
      <c r="J8" s="8"/>
      <c r="L8" s="8"/>
      <c r="M8" s="8"/>
      <c r="N8" s="7" t="s">
        <v>203</v>
      </c>
      <c r="O8" s="7" t="s">
        <v>139</v>
      </c>
    </row>
    <row r="9" spans="1:15" ht="117" x14ac:dyDescent="0.35">
      <c r="A9" s="15" t="s">
        <v>184</v>
      </c>
      <c r="B9" s="30" t="s">
        <v>133</v>
      </c>
      <c r="C9" s="48"/>
      <c r="D9" s="41"/>
      <c r="E9" s="7" t="s">
        <v>167</v>
      </c>
      <c r="F9" s="8" t="s">
        <v>171</v>
      </c>
      <c r="G9" s="8" t="s">
        <v>316</v>
      </c>
      <c r="H9" s="7" t="s">
        <v>317</v>
      </c>
      <c r="I9" s="7" t="s">
        <v>318</v>
      </c>
      <c r="J9" s="8"/>
      <c r="K9" s="8"/>
      <c r="L9" s="8"/>
      <c r="M9" s="8"/>
      <c r="N9" s="7" t="s">
        <v>203</v>
      </c>
      <c r="O9" s="7" t="s">
        <v>139</v>
      </c>
    </row>
    <row r="10" spans="1:15" ht="78" x14ac:dyDescent="0.35">
      <c r="A10" s="15" t="s">
        <v>184</v>
      </c>
      <c r="B10" s="30" t="s">
        <v>133</v>
      </c>
      <c r="C10" s="48"/>
      <c r="D10" s="41"/>
      <c r="E10" s="7" t="s">
        <v>319</v>
      </c>
      <c r="F10" s="8" t="s">
        <v>172</v>
      </c>
      <c r="G10" s="8" t="s">
        <v>320</v>
      </c>
      <c r="H10" s="7" t="s">
        <v>321</v>
      </c>
      <c r="I10" s="7" t="s">
        <v>322</v>
      </c>
      <c r="J10" s="8"/>
      <c r="K10" s="8"/>
      <c r="L10" s="8"/>
      <c r="M10" s="8"/>
      <c r="N10" s="7" t="s">
        <v>323</v>
      </c>
      <c r="O10" s="7" t="s">
        <v>148</v>
      </c>
    </row>
    <row r="11" spans="1:15" ht="117" x14ac:dyDescent="0.35">
      <c r="A11" s="15" t="s">
        <v>184</v>
      </c>
      <c r="B11" s="30" t="s">
        <v>133</v>
      </c>
      <c r="C11" s="49"/>
      <c r="D11" s="50"/>
      <c r="E11" s="7" t="s">
        <v>319</v>
      </c>
      <c r="F11" s="8" t="s">
        <v>324</v>
      </c>
      <c r="G11" s="8" t="s">
        <v>325</v>
      </c>
      <c r="H11" s="7" t="s">
        <v>326</v>
      </c>
      <c r="I11" s="7" t="s">
        <v>327</v>
      </c>
      <c r="J11" s="8"/>
      <c r="K11" s="8"/>
      <c r="L11" s="8"/>
      <c r="M11" s="8"/>
      <c r="N11" s="7" t="s">
        <v>328</v>
      </c>
      <c r="O11" s="7" t="s">
        <v>148</v>
      </c>
    </row>
    <row r="12" spans="1:15" ht="6" customHeight="1" x14ac:dyDescent="0.35">
      <c r="J12" t="s">
        <v>329</v>
      </c>
    </row>
    <row r="13" spans="1:15" ht="18.5" x14ac:dyDescent="0.45">
      <c r="A13" s="35" t="s">
        <v>70</v>
      </c>
      <c r="B13" s="35"/>
      <c r="C13" s="35"/>
      <c r="D13" s="35"/>
      <c r="E13" s="35"/>
      <c r="F13" s="35"/>
      <c r="G13" s="35"/>
      <c r="H13" s="35"/>
      <c r="I13" s="35"/>
      <c r="J13" s="35"/>
      <c r="K13" s="35"/>
      <c r="L13" s="35"/>
      <c r="M13" s="35"/>
      <c r="N13" s="35"/>
      <c r="O13" s="36"/>
    </row>
    <row r="14" spans="1:15" x14ac:dyDescent="0.35">
      <c r="A14" s="37" t="s">
        <v>130</v>
      </c>
      <c r="B14" s="37"/>
      <c r="C14" s="38"/>
      <c r="D14" s="39" t="s">
        <v>330</v>
      </c>
      <c r="E14" s="39"/>
      <c r="F14" s="39"/>
      <c r="G14" s="39"/>
      <c r="H14" s="39"/>
      <c r="I14" s="39"/>
      <c r="J14" s="39"/>
      <c r="K14" s="39"/>
      <c r="L14" s="39"/>
      <c r="M14" s="39"/>
      <c r="N14" s="39"/>
      <c r="O14" s="39"/>
    </row>
    <row r="15" spans="1:15" ht="145" x14ac:dyDescent="0.35">
      <c r="A15" s="15" t="s">
        <v>184</v>
      </c>
      <c r="B15" s="15" t="s">
        <v>133</v>
      </c>
      <c r="C15" s="47" t="s">
        <v>69</v>
      </c>
      <c r="D15" s="40" t="s">
        <v>331</v>
      </c>
      <c r="E15" s="14" t="s">
        <v>297</v>
      </c>
      <c r="F15" s="13" t="s">
        <v>136</v>
      </c>
      <c r="G15" s="14" t="s">
        <v>332</v>
      </c>
      <c r="H15" s="12" t="s">
        <v>333</v>
      </c>
      <c r="I15" s="14" t="s">
        <v>334</v>
      </c>
      <c r="J15" s="8"/>
      <c r="K15" s="8"/>
      <c r="L15" s="8"/>
      <c r="M15" s="8"/>
      <c r="N15" s="7" t="s">
        <v>335</v>
      </c>
      <c r="O15" s="7" t="s">
        <v>139</v>
      </c>
    </row>
    <row r="16" spans="1:15" ht="130.5" x14ac:dyDescent="0.35">
      <c r="A16" s="15" t="s">
        <v>184</v>
      </c>
      <c r="B16" s="15" t="s">
        <v>133</v>
      </c>
      <c r="C16" s="48"/>
      <c r="D16" s="41"/>
      <c r="E16" s="14" t="s">
        <v>297</v>
      </c>
      <c r="F16" s="14" t="s">
        <v>336</v>
      </c>
      <c r="G16" s="14" t="s">
        <v>337</v>
      </c>
      <c r="H16" s="14" t="s">
        <v>338</v>
      </c>
      <c r="I16" s="14" t="s">
        <v>334</v>
      </c>
      <c r="J16" s="8"/>
      <c r="K16" s="8"/>
      <c r="L16" s="8"/>
      <c r="M16" s="8"/>
      <c r="N16" s="7" t="s">
        <v>309</v>
      </c>
      <c r="O16" s="7" t="s">
        <v>139</v>
      </c>
    </row>
    <row r="17" spans="1:15" ht="203" x14ac:dyDescent="0.35">
      <c r="A17" s="15" t="s">
        <v>184</v>
      </c>
      <c r="B17" s="15" t="s">
        <v>133</v>
      </c>
      <c r="C17" s="48"/>
      <c r="D17" s="41"/>
      <c r="E17" s="7" t="s">
        <v>319</v>
      </c>
      <c r="F17" s="8" t="s">
        <v>154</v>
      </c>
      <c r="G17" s="14" t="s">
        <v>339</v>
      </c>
      <c r="H17" s="14" t="s">
        <v>340</v>
      </c>
      <c r="I17" s="14" t="s">
        <v>341</v>
      </c>
      <c r="J17" s="8"/>
      <c r="K17" s="8"/>
      <c r="L17" s="8"/>
      <c r="M17" s="8"/>
      <c r="N17" s="7" t="s">
        <v>342</v>
      </c>
      <c r="O17" s="7" t="s">
        <v>148</v>
      </c>
    </row>
    <row r="18" spans="1:15" ht="6" customHeight="1" x14ac:dyDescent="0.35">
      <c r="J18" t="s">
        <v>329</v>
      </c>
    </row>
    <row r="19" spans="1:15" ht="18.5" x14ac:dyDescent="0.45">
      <c r="A19" s="35" t="s">
        <v>343</v>
      </c>
      <c r="B19" s="35"/>
      <c r="C19" s="35"/>
      <c r="D19" s="35"/>
      <c r="E19" s="35"/>
      <c r="F19" s="35"/>
      <c r="G19" s="35"/>
      <c r="H19" s="35"/>
      <c r="I19" s="35"/>
      <c r="J19" s="35"/>
      <c r="K19" s="35"/>
      <c r="L19" s="35"/>
      <c r="M19" s="35"/>
      <c r="N19" s="35"/>
      <c r="O19" s="36"/>
    </row>
    <row r="20" spans="1:15" x14ac:dyDescent="0.35">
      <c r="A20" s="37" t="s">
        <v>130</v>
      </c>
      <c r="B20" s="37"/>
      <c r="C20" s="38"/>
      <c r="D20" s="39" t="s">
        <v>344</v>
      </c>
      <c r="E20" s="39"/>
      <c r="F20" s="39"/>
      <c r="G20" s="39"/>
      <c r="H20" s="39"/>
      <c r="I20" s="39"/>
      <c r="J20" s="39"/>
      <c r="K20" s="39"/>
      <c r="L20" s="39"/>
      <c r="M20" s="39"/>
      <c r="N20" s="39"/>
      <c r="O20" s="39"/>
    </row>
    <row r="21" spans="1:15" ht="156" x14ac:dyDescent="0.35">
      <c r="A21" s="15" t="s">
        <v>184</v>
      </c>
      <c r="B21" s="15" t="s">
        <v>133</v>
      </c>
      <c r="C21" s="47" t="s">
        <v>71</v>
      </c>
      <c r="D21" s="40" t="s">
        <v>345</v>
      </c>
      <c r="E21" s="7" t="s">
        <v>346</v>
      </c>
      <c r="F21" s="8" t="s">
        <v>136</v>
      </c>
      <c r="G21" s="8" t="s">
        <v>347</v>
      </c>
      <c r="H21" s="7" t="s">
        <v>348</v>
      </c>
      <c r="I21" s="7" t="s">
        <v>349</v>
      </c>
      <c r="J21" s="8"/>
      <c r="K21" s="8"/>
      <c r="L21" s="8"/>
      <c r="M21" s="8"/>
      <c r="N21" s="7" t="s">
        <v>350</v>
      </c>
      <c r="O21" s="7" t="s">
        <v>148</v>
      </c>
    </row>
    <row r="22" spans="1:15" ht="169" x14ac:dyDescent="0.35">
      <c r="A22" s="15" t="s">
        <v>184</v>
      </c>
      <c r="B22" s="15" t="s">
        <v>133</v>
      </c>
      <c r="C22" s="48"/>
      <c r="D22" s="41"/>
      <c r="E22" s="7" t="s">
        <v>297</v>
      </c>
      <c r="F22" s="8" t="s">
        <v>154</v>
      </c>
      <c r="G22" s="8" t="s">
        <v>351</v>
      </c>
      <c r="H22" s="7" t="s">
        <v>352</v>
      </c>
      <c r="I22" s="7" t="s">
        <v>353</v>
      </c>
      <c r="J22" s="8"/>
      <c r="K22" s="8"/>
      <c r="L22" s="8"/>
      <c r="M22" s="8"/>
      <c r="N22" s="7" t="s">
        <v>354</v>
      </c>
      <c r="O22" s="7" t="s">
        <v>148</v>
      </c>
    </row>
    <row r="23" spans="1:15" ht="91" x14ac:dyDescent="0.35">
      <c r="A23" s="15" t="s">
        <v>184</v>
      </c>
      <c r="B23" s="15" t="s">
        <v>133</v>
      </c>
      <c r="C23" s="48"/>
      <c r="D23" s="41"/>
      <c r="E23" s="7" t="s">
        <v>297</v>
      </c>
      <c r="F23" s="8" t="s">
        <v>164</v>
      </c>
      <c r="G23" s="8" t="s">
        <v>355</v>
      </c>
      <c r="H23" s="7" t="s">
        <v>356</v>
      </c>
      <c r="I23" s="7" t="s">
        <v>357</v>
      </c>
      <c r="J23" s="8"/>
      <c r="L23" s="8"/>
      <c r="M23" s="8"/>
      <c r="N23" s="7"/>
      <c r="O23" s="7" t="s">
        <v>139</v>
      </c>
    </row>
    <row r="24" spans="1:15" ht="156" x14ac:dyDescent="0.35">
      <c r="A24" s="15" t="s">
        <v>184</v>
      </c>
      <c r="B24" s="15" t="s">
        <v>133</v>
      </c>
      <c r="C24" s="48"/>
      <c r="D24" s="41"/>
      <c r="E24" s="7" t="s">
        <v>167</v>
      </c>
      <c r="F24" s="8" t="s">
        <v>165</v>
      </c>
      <c r="G24" s="8" t="s">
        <v>358</v>
      </c>
      <c r="H24" s="7" t="s">
        <v>359</v>
      </c>
      <c r="I24" s="7" t="s">
        <v>360</v>
      </c>
      <c r="J24" s="8"/>
      <c r="K24" s="8"/>
      <c r="L24" s="8"/>
      <c r="M24" s="8"/>
      <c r="N24" s="7" t="s">
        <v>207</v>
      </c>
      <c r="O24" s="7" t="s">
        <v>148</v>
      </c>
    </row>
    <row r="25" spans="1:15" ht="143" x14ac:dyDescent="0.35">
      <c r="A25" s="15" t="s">
        <v>184</v>
      </c>
      <c r="B25" s="15" t="s">
        <v>133</v>
      </c>
      <c r="C25" s="48"/>
      <c r="D25" s="41"/>
      <c r="E25" s="7" t="s">
        <v>269</v>
      </c>
      <c r="F25" s="8" t="s">
        <v>168</v>
      </c>
      <c r="G25" s="8" t="s">
        <v>361</v>
      </c>
      <c r="H25" s="7" t="s">
        <v>362</v>
      </c>
      <c r="I25" s="7" t="s">
        <v>363</v>
      </c>
      <c r="J25" s="8"/>
      <c r="K25" s="5"/>
      <c r="L25" s="8"/>
      <c r="M25" s="8"/>
      <c r="N25" s="7" t="s">
        <v>364</v>
      </c>
      <c r="O25" s="7" t="s">
        <v>148</v>
      </c>
    </row>
    <row r="26" spans="1:15" ht="91" x14ac:dyDescent="0.35">
      <c r="A26" s="15" t="s">
        <v>184</v>
      </c>
      <c r="B26" s="15" t="s">
        <v>133</v>
      </c>
      <c r="C26" s="49"/>
      <c r="D26" s="50"/>
      <c r="E26" s="7" t="s">
        <v>269</v>
      </c>
      <c r="F26" s="8" t="s">
        <v>171</v>
      </c>
      <c r="G26" s="8" t="s">
        <v>365</v>
      </c>
      <c r="H26" s="7" t="s">
        <v>366</v>
      </c>
      <c r="I26" s="7" t="s">
        <v>360</v>
      </c>
      <c r="J26" s="8"/>
      <c r="K26" s="8"/>
      <c r="L26" s="8"/>
      <c r="M26" s="8"/>
      <c r="N26" s="7" t="s">
        <v>367</v>
      </c>
      <c r="O26" s="7" t="s">
        <v>148</v>
      </c>
    </row>
    <row r="27" spans="1:15" ht="6" customHeight="1" x14ac:dyDescent="0.35">
      <c r="J27" t="s">
        <v>329</v>
      </c>
    </row>
    <row r="28" spans="1:15" ht="6" customHeight="1" x14ac:dyDescent="0.35">
      <c r="J28" t="s">
        <v>329</v>
      </c>
    </row>
  </sheetData>
  <dataConsolidate/>
  <mergeCells count="15">
    <mergeCell ref="A2:O2"/>
    <mergeCell ref="A3:C3"/>
    <mergeCell ref="A13:O13"/>
    <mergeCell ref="A14:C14"/>
    <mergeCell ref="A19:O19"/>
    <mergeCell ref="C15:C17"/>
    <mergeCell ref="D15:D17"/>
    <mergeCell ref="D3:O3"/>
    <mergeCell ref="C4:C11"/>
    <mergeCell ref="D4:D11"/>
    <mergeCell ref="D14:O14"/>
    <mergeCell ref="D20:O20"/>
    <mergeCell ref="C21:C26"/>
    <mergeCell ref="D21:D26"/>
    <mergeCell ref="A20:C20"/>
  </mergeCells>
  <dataValidations count="2">
    <dataValidation type="list" allowBlank="1" showInputMessage="1" showErrorMessage="1" sqref="M21:M26 M4:M11 M15:M17" xr:uid="{00000000-0002-0000-0500-000000000000}">
      <formula1>"New,Retest"</formula1>
    </dataValidation>
    <dataValidation type="list" allowBlank="1" showInputMessage="1" showErrorMessage="1" sqref="J21:J26 J4:J11 K11 K21:K22 K4:K7 K26 K15:K16 J15:J17" xr:uid="{00000000-0002-0000-0500-000001000000}">
      <formula1>"Pass,Fail"</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53"/>
  <sheetViews>
    <sheetView zoomScale="50" zoomScaleNormal="50" workbookViewId="0">
      <pane ySplit="1" topLeftCell="A49" activePane="bottomLeft" state="frozen"/>
      <selection pane="bottomLeft" activeCell="A49" sqref="A49:O49"/>
    </sheetView>
  </sheetViews>
  <sheetFormatPr defaultColWidth="8.81640625" defaultRowHeight="14.5" x14ac:dyDescent="0.35"/>
  <cols>
    <col min="3" max="3" width="18.6328125" style="1" customWidth="1"/>
    <col min="4" max="4" width="27" customWidth="1"/>
    <col min="5" max="5" width="18" style="2" customWidth="1"/>
    <col min="6" max="6" width="15.54296875" customWidth="1"/>
    <col min="7" max="7" width="26.81640625" customWidth="1"/>
    <col min="8" max="8" width="73.81640625" style="2" bestFit="1" customWidth="1"/>
    <col min="9" max="9" width="30.81640625" style="2" customWidth="1"/>
    <col min="12" max="12" width="16.81640625" customWidth="1"/>
    <col min="13" max="13" width="10.1796875" customWidth="1"/>
    <col min="14" max="14" width="13.1796875" customWidth="1"/>
    <col min="15" max="15" width="42.1796875" style="2" customWidth="1"/>
  </cols>
  <sheetData>
    <row r="1" spans="1:15" ht="23.5" x14ac:dyDescent="0.55000000000000004">
      <c r="A1" s="56" t="s">
        <v>119</v>
      </c>
      <c r="B1" s="56" t="s">
        <v>370</v>
      </c>
      <c r="C1" s="56" t="s">
        <v>1</v>
      </c>
      <c r="D1" s="56" t="s">
        <v>2</v>
      </c>
      <c r="E1" s="57" t="s">
        <v>121</v>
      </c>
      <c r="F1" s="56" t="s">
        <v>122</v>
      </c>
      <c r="G1" s="56" t="s">
        <v>123</v>
      </c>
      <c r="H1" s="57" t="s">
        <v>124</v>
      </c>
      <c r="I1" s="57" t="s">
        <v>125</v>
      </c>
      <c r="J1" s="56" t="s">
        <v>3</v>
      </c>
      <c r="K1" s="56" t="s">
        <v>126</v>
      </c>
      <c r="L1" s="56" t="s">
        <v>127</v>
      </c>
      <c r="M1" s="56" t="s">
        <v>128</v>
      </c>
      <c r="N1" s="56" t="s">
        <v>129</v>
      </c>
      <c r="O1" s="57" t="s">
        <v>4</v>
      </c>
    </row>
    <row r="2" spans="1:15" ht="23.5" x14ac:dyDescent="0.55000000000000004">
      <c r="A2" s="58" t="s">
        <v>79</v>
      </c>
      <c r="B2" s="58"/>
      <c r="C2" s="58"/>
      <c r="D2" s="58"/>
      <c r="E2" s="58"/>
      <c r="F2" s="58"/>
      <c r="G2" s="58"/>
      <c r="H2" s="58"/>
      <c r="I2" s="58"/>
      <c r="J2" s="58"/>
      <c r="K2" s="58"/>
      <c r="L2" s="58"/>
      <c r="M2" s="58"/>
      <c r="N2" s="58"/>
      <c r="O2" s="59"/>
    </row>
    <row r="3" spans="1:15" ht="23.5" x14ac:dyDescent="0.55000000000000004">
      <c r="A3" s="60" t="s">
        <v>130</v>
      </c>
      <c r="B3" s="60"/>
      <c r="C3" s="61"/>
      <c r="D3" s="62" t="s">
        <v>371</v>
      </c>
      <c r="E3" s="62"/>
      <c r="F3" s="62"/>
      <c r="G3" s="62"/>
      <c r="H3" s="62"/>
      <c r="I3" s="62"/>
      <c r="J3" s="62"/>
      <c r="K3" s="62"/>
      <c r="L3" s="62"/>
      <c r="M3" s="62"/>
      <c r="N3" s="62"/>
      <c r="O3" s="62"/>
    </row>
    <row r="4" spans="1:15" ht="183" customHeight="1" x14ac:dyDescent="0.55000000000000004">
      <c r="A4" s="51" t="s">
        <v>184</v>
      </c>
      <c r="B4" s="51" t="s">
        <v>133</v>
      </c>
      <c r="C4" s="52" t="s">
        <v>78</v>
      </c>
      <c r="D4" s="53" t="s">
        <v>372</v>
      </c>
      <c r="E4" s="54" t="s">
        <v>504</v>
      </c>
      <c r="F4" s="55" t="s">
        <v>136</v>
      </c>
      <c r="G4" s="55" t="s">
        <v>372</v>
      </c>
      <c r="H4" s="54" t="s">
        <v>373</v>
      </c>
      <c r="I4" s="54" t="s">
        <v>374</v>
      </c>
      <c r="J4" s="55"/>
      <c r="K4" s="55"/>
      <c r="L4" s="55"/>
      <c r="M4" s="55"/>
      <c r="N4" s="54" t="s">
        <v>523</v>
      </c>
      <c r="O4" s="54" t="s">
        <v>139</v>
      </c>
    </row>
    <row r="5" spans="1:15" ht="8.15" customHeight="1" x14ac:dyDescent="0.55000000000000004">
      <c r="A5" s="63"/>
      <c r="B5" s="63"/>
      <c r="C5" s="64"/>
      <c r="D5" s="63"/>
      <c r="E5" s="65"/>
      <c r="F5" s="63"/>
      <c r="G5" s="63"/>
      <c r="H5" s="65"/>
      <c r="I5" s="65"/>
      <c r="J5" s="63" t="s">
        <v>140</v>
      </c>
      <c r="K5" s="55"/>
      <c r="L5" s="63"/>
      <c r="M5" s="63"/>
      <c r="N5" s="63"/>
      <c r="O5" s="54"/>
    </row>
    <row r="6" spans="1:15" ht="23.5" x14ac:dyDescent="0.55000000000000004">
      <c r="A6" s="66" t="s">
        <v>375</v>
      </c>
      <c r="B6" s="66"/>
      <c r="C6" s="66"/>
      <c r="D6" s="66"/>
      <c r="E6" s="66"/>
      <c r="F6" s="66"/>
      <c r="G6" s="66"/>
      <c r="H6" s="66"/>
      <c r="I6" s="66"/>
      <c r="J6" s="66"/>
      <c r="K6" s="66"/>
      <c r="L6" s="66"/>
      <c r="M6" s="66"/>
      <c r="N6" s="66"/>
      <c r="O6" s="67"/>
    </row>
    <row r="7" spans="1:15" ht="23.5" x14ac:dyDescent="0.55000000000000004">
      <c r="A7" s="68" t="s">
        <v>130</v>
      </c>
      <c r="B7" s="68"/>
      <c r="C7" s="69"/>
      <c r="D7" s="70" t="s">
        <v>376</v>
      </c>
      <c r="E7" s="71"/>
      <c r="F7" s="71"/>
      <c r="G7" s="71"/>
      <c r="H7" s="71"/>
      <c r="I7" s="71"/>
      <c r="J7" s="71"/>
      <c r="K7" s="71"/>
      <c r="L7" s="71"/>
      <c r="M7" s="71"/>
      <c r="N7" s="71"/>
      <c r="O7" s="72"/>
    </row>
    <row r="8" spans="1:15" ht="409.5" x14ac:dyDescent="0.55000000000000004">
      <c r="A8" s="51" t="s">
        <v>184</v>
      </c>
      <c r="B8" s="51" t="s">
        <v>133</v>
      </c>
      <c r="C8" s="73" t="s">
        <v>80</v>
      </c>
      <c r="D8" s="74" t="s">
        <v>377</v>
      </c>
      <c r="E8" s="54" t="s">
        <v>504</v>
      </c>
      <c r="F8" s="55" t="s">
        <v>136</v>
      </c>
      <c r="G8" s="55" t="s">
        <v>378</v>
      </c>
      <c r="H8" s="54" t="s">
        <v>379</v>
      </c>
      <c r="I8" s="54" t="s">
        <v>380</v>
      </c>
      <c r="J8" s="55"/>
      <c r="K8" s="55"/>
      <c r="L8" s="55"/>
      <c r="M8" s="51"/>
      <c r="N8" s="54" t="s">
        <v>524</v>
      </c>
      <c r="O8" s="54" t="s">
        <v>139</v>
      </c>
    </row>
    <row r="9" spans="1:15" ht="409.5" x14ac:dyDescent="0.55000000000000004">
      <c r="A9" s="51" t="s">
        <v>184</v>
      </c>
      <c r="B9" s="51" t="s">
        <v>133</v>
      </c>
      <c r="C9" s="75"/>
      <c r="D9" s="76"/>
      <c r="E9" s="77" t="s">
        <v>381</v>
      </c>
      <c r="F9" s="78" t="s">
        <v>154</v>
      </c>
      <c r="G9" s="78" t="s">
        <v>382</v>
      </c>
      <c r="H9" s="77" t="s">
        <v>383</v>
      </c>
      <c r="I9" s="77" t="s">
        <v>384</v>
      </c>
      <c r="J9" s="79"/>
      <c r="K9" s="55"/>
      <c r="L9" s="55"/>
      <c r="M9" s="51"/>
      <c r="N9" s="54" t="s">
        <v>525</v>
      </c>
      <c r="O9" s="54" t="s">
        <v>139</v>
      </c>
    </row>
    <row r="10" spans="1:15" ht="409.5" x14ac:dyDescent="0.55000000000000004">
      <c r="A10" s="51" t="s">
        <v>184</v>
      </c>
      <c r="B10" s="51" t="s">
        <v>133</v>
      </c>
      <c r="C10" s="75"/>
      <c r="D10" s="76"/>
      <c r="E10" s="54" t="s">
        <v>504</v>
      </c>
      <c r="F10" s="78" t="s">
        <v>164</v>
      </c>
      <c r="G10" s="78" t="s">
        <v>385</v>
      </c>
      <c r="H10" s="77" t="s">
        <v>386</v>
      </c>
      <c r="I10" s="77" t="s">
        <v>387</v>
      </c>
      <c r="J10" s="78"/>
      <c r="K10" s="78"/>
      <c r="L10" s="78"/>
      <c r="M10" s="80"/>
      <c r="N10" s="54" t="s">
        <v>526</v>
      </c>
      <c r="O10" s="54" t="s">
        <v>139</v>
      </c>
    </row>
    <row r="11" spans="1:15" ht="376" x14ac:dyDescent="0.55000000000000004">
      <c r="A11" s="51" t="s">
        <v>184</v>
      </c>
      <c r="B11" s="51" t="s">
        <v>133</v>
      </c>
      <c r="C11" s="75"/>
      <c r="D11" s="76"/>
      <c r="E11" s="54" t="s">
        <v>504</v>
      </c>
      <c r="F11" s="55" t="s">
        <v>165</v>
      </c>
      <c r="G11" s="55" t="s">
        <v>279</v>
      </c>
      <c r="H11" s="54" t="s">
        <v>388</v>
      </c>
      <c r="I11" s="54" t="s">
        <v>389</v>
      </c>
      <c r="J11" s="55"/>
      <c r="K11" s="55"/>
      <c r="L11" s="55"/>
      <c r="M11" s="51"/>
      <c r="N11" s="54" t="s">
        <v>527</v>
      </c>
      <c r="O11" s="54" t="s">
        <v>139</v>
      </c>
    </row>
    <row r="12" spans="1:15" ht="235" x14ac:dyDescent="0.55000000000000004">
      <c r="A12" s="51" t="s">
        <v>184</v>
      </c>
      <c r="B12" s="51" t="s">
        <v>133</v>
      </c>
      <c r="C12" s="75"/>
      <c r="D12" s="76"/>
      <c r="E12" s="54" t="s">
        <v>504</v>
      </c>
      <c r="F12" s="55" t="s">
        <v>168</v>
      </c>
      <c r="G12" s="55" t="s">
        <v>390</v>
      </c>
      <c r="H12" s="54" t="s">
        <v>391</v>
      </c>
      <c r="I12" s="54" t="s">
        <v>392</v>
      </c>
      <c r="J12" s="55"/>
      <c r="K12" s="55"/>
      <c r="L12" s="55"/>
      <c r="M12" s="51"/>
      <c r="N12" s="54" t="s">
        <v>528</v>
      </c>
      <c r="O12" s="54" t="s">
        <v>139</v>
      </c>
    </row>
    <row r="13" spans="1:15" ht="282" x14ac:dyDescent="0.55000000000000004">
      <c r="A13" s="51" t="s">
        <v>184</v>
      </c>
      <c r="B13" s="51" t="s">
        <v>133</v>
      </c>
      <c r="C13" s="75"/>
      <c r="D13" s="76"/>
      <c r="E13" s="54" t="s">
        <v>393</v>
      </c>
      <c r="F13" s="55" t="s">
        <v>171</v>
      </c>
      <c r="G13" s="55" t="s">
        <v>394</v>
      </c>
      <c r="H13" s="54" t="s">
        <v>395</v>
      </c>
      <c r="I13" s="54" t="s">
        <v>396</v>
      </c>
      <c r="J13" s="55"/>
      <c r="K13" s="55"/>
      <c r="L13" s="55"/>
      <c r="M13" s="51"/>
      <c r="N13" s="54" t="s">
        <v>529</v>
      </c>
      <c r="O13" s="54" t="s">
        <v>139</v>
      </c>
    </row>
    <row r="14" spans="1:15" ht="258.5" x14ac:dyDescent="0.55000000000000004">
      <c r="A14" s="51" t="s">
        <v>184</v>
      </c>
      <c r="B14" s="51" t="s">
        <v>133</v>
      </c>
      <c r="C14" s="81"/>
      <c r="D14" s="82"/>
      <c r="E14" s="54" t="s">
        <v>393</v>
      </c>
      <c r="F14" s="55" t="s">
        <v>172</v>
      </c>
      <c r="G14" s="55" t="s">
        <v>397</v>
      </c>
      <c r="H14" s="54" t="s">
        <v>398</v>
      </c>
      <c r="I14" s="54" t="s">
        <v>399</v>
      </c>
      <c r="J14" s="55"/>
      <c r="K14" s="55"/>
      <c r="L14" s="55"/>
      <c r="M14" s="51"/>
      <c r="N14" s="54" t="s">
        <v>530</v>
      </c>
      <c r="O14" s="54" t="s">
        <v>139</v>
      </c>
    </row>
    <row r="15" spans="1:15" ht="23.5" x14ac:dyDescent="0.55000000000000004">
      <c r="A15" s="63"/>
      <c r="B15" s="63"/>
      <c r="C15" s="83"/>
      <c r="D15" s="84"/>
      <c r="E15" s="54"/>
      <c r="F15" s="55"/>
      <c r="G15" s="55"/>
      <c r="H15" s="54"/>
      <c r="I15" s="54"/>
      <c r="J15" s="55" t="s">
        <v>140</v>
      </c>
      <c r="K15" s="55"/>
      <c r="L15" s="55"/>
      <c r="M15" s="63"/>
      <c r="N15" s="54"/>
      <c r="O15" s="54"/>
    </row>
    <row r="16" spans="1:15" ht="23.5" x14ac:dyDescent="0.55000000000000004">
      <c r="A16" s="66" t="s">
        <v>83</v>
      </c>
      <c r="B16" s="66"/>
      <c r="C16" s="66"/>
      <c r="D16" s="66"/>
      <c r="E16" s="66"/>
      <c r="F16" s="66"/>
      <c r="G16" s="66"/>
      <c r="H16" s="66"/>
      <c r="I16" s="66"/>
      <c r="J16" s="66"/>
      <c r="K16" s="66"/>
      <c r="L16" s="66"/>
      <c r="M16" s="66"/>
      <c r="N16" s="66"/>
      <c r="O16" s="67"/>
    </row>
    <row r="17" spans="1:15" ht="23.5" x14ac:dyDescent="0.55000000000000004">
      <c r="A17" s="68" t="s">
        <v>130</v>
      </c>
      <c r="B17" s="68"/>
      <c r="C17" s="69"/>
      <c r="D17" s="70" t="s">
        <v>400</v>
      </c>
      <c r="E17" s="71"/>
      <c r="F17" s="71"/>
      <c r="G17" s="71"/>
      <c r="H17" s="71"/>
      <c r="I17" s="71"/>
      <c r="J17" s="71"/>
      <c r="K17" s="71"/>
      <c r="L17" s="71"/>
      <c r="M17" s="71"/>
      <c r="N17" s="71"/>
      <c r="O17" s="72"/>
    </row>
    <row r="18" spans="1:15" ht="409.5" x14ac:dyDescent="0.55000000000000004">
      <c r="A18" s="51" t="s">
        <v>184</v>
      </c>
      <c r="B18" s="51" t="s">
        <v>133</v>
      </c>
      <c r="C18" s="73" t="s">
        <v>82</v>
      </c>
      <c r="D18" s="74" t="s">
        <v>143</v>
      </c>
      <c r="E18" s="54" t="s">
        <v>504</v>
      </c>
      <c r="F18" s="55" t="s">
        <v>136</v>
      </c>
      <c r="G18" s="55" t="s">
        <v>173</v>
      </c>
      <c r="H18" s="54" t="s">
        <v>174</v>
      </c>
      <c r="I18" s="54" t="s">
        <v>175</v>
      </c>
      <c r="J18" s="55"/>
      <c r="K18" s="63"/>
      <c r="L18" s="55"/>
      <c r="M18" s="55"/>
      <c r="N18" s="54" t="s">
        <v>531</v>
      </c>
      <c r="O18" s="54" t="s">
        <v>139</v>
      </c>
    </row>
    <row r="19" spans="1:15" ht="409.5" x14ac:dyDescent="0.55000000000000004">
      <c r="A19" s="51" t="s">
        <v>184</v>
      </c>
      <c r="B19" s="51" t="s">
        <v>133</v>
      </c>
      <c r="C19" s="81"/>
      <c r="D19" s="82"/>
      <c r="E19" s="54" t="s">
        <v>504</v>
      </c>
      <c r="F19" s="55" t="s">
        <v>154</v>
      </c>
      <c r="G19" s="55" t="s">
        <v>176</v>
      </c>
      <c r="H19" s="54" t="s">
        <v>177</v>
      </c>
      <c r="I19" s="54" t="s">
        <v>178</v>
      </c>
      <c r="J19" s="55"/>
      <c r="K19" s="55"/>
      <c r="L19" s="55"/>
      <c r="M19" s="55"/>
      <c r="N19" s="54" t="s">
        <v>531</v>
      </c>
      <c r="O19" s="54" t="s">
        <v>139</v>
      </c>
    </row>
    <row r="20" spans="1:15" ht="23.5" x14ac:dyDescent="0.55000000000000004">
      <c r="A20" s="63"/>
      <c r="B20" s="63"/>
      <c r="C20" s="64"/>
      <c r="D20" s="63"/>
      <c r="E20" s="65"/>
      <c r="F20" s="63"/>
      <c r="G20" s="63"/>
      <c r="H20" s="65"/>
      <c r="I20" s="65"/>
      <c r="J20" s="63" t="s">
        <v>140</v>
      </c>
      <c r="K20" s="63"/>
      <c r="L20" s="63"/>
      <c r="M20" s="63"/>
      <c r="N20" s="63"/>
      <c r="O20" s="65"/>
    </row>
    <row r="21" spans="1:15" ht="23.5" x14ac:dyDescent="0.55000000000000004">
      <c r="A21" s="66" t="s">
        <v>85</v>
      </c>
      <c r="B21" s="66"/>
      <c r="C21" s="66"/>
      <c r="D21" s="66"/>
      <c r="E21" s="66"/>
      <c r="F21" s="66"/>
      <c r="G21" s="66"/>
      <c r="H21" s="66"/>
      <c r="I21" s="66"/>
      <c r="J21" s="66"/>
      <c r="K21" s="66"/>
      <c r="L21" s="66"/>
      <c r="M21" s="66"/>
      <c r="N21" s="66"/>
      <c r="O21" s="67"/>
    </row>
    <row r="22" spans="1:15" ht="23.5" x14ac:dyDescent="0.55000000000000004">
      <c r="A22" s="60" t="s">
        <v>130</v>
      </c>
      <c r="B22" s="60"/>
      <c r="C22" s="61"/>
      <c r="D22" s="62" t="s">
        <v>401</v>
      </c>
      <c r="E22" s="62"/>
      <c r="F22" s="62"/>
      <c r="G22" s="62"/>
      <c r="H22" s="62"/>
      <c r="I22" s="62"/>
      <c r="J22" s="62"/>
      <c r="K22" s="62"/>
      <c r="L22" s="62"/>
      <c r="M22" s="62"/>
      <c r="N22" s="62"/>
      <c r="O22" s="62"/>
    </row>
    <row r="23" spans="1:15" ht="282" x14ac:dyDescent="0.55000000000000004">
      <c r="A23" s="51" t="s">
        <v>184</v>
      </c>
      <c r="B23" s="51" t="s">
        <v>133</v>
      </c>
      <c r="C23" s="85" t="s">
        <v>84</v>
      </c>
      <c r="D23" s="74" t="s">
        <v>402</v>
      </c>
      <c r="E23" s="54" t="s">
        <v>269</v>
      </c>
      <c r="F23" s="55" t="s">
        <v>136</v>
      </c>
      <c r="G23" s="55" t="s">
        <v>403</v>
      </c>
      <c r="H23" s="54" t="s">
        <v>404</v>
      </c>
      <c r="I23" s="54" t="s">
        <v>405</v>
      </c>
      <c r="J23" s="55"/>
      <c r="K23" s="51"/>
      <c r="L23" s="55"/>
      <c r="M23" s="55"/>
      <c r="N23" s="54" t="s">
        <v>532</v>
      </c>
      <c r="O23" s="54" t="s">
        <v>139</v>
      </c>
    </row>
    <row r="24" spans="1:15" ht="376" x14ac:dyDescent="0.55000000000000004">
      <c r="A24" s="51" t="s">
        <v>184</v>
      </c>
      <c r="B24" s="51" t="s">
        <v>133</v>
      </c>
      <c r="C24" s="86"/>
      <c r="D24" s="76"/>
      <c r="E24" s="54" t="s">
        <v>393</v>
      </c>
      <c r="F24" s="55" t="s">
        <v>154</v>
      </c>
      <c r="G24" s="55" t="s">
        <v>406</v>
      </c>
      <c r="H24" s="54" t="s">
        <v>407</v>
      </c>
      <c r="I24" s="54" t="s">
        <v>408</v>
      </c>
      <c r="J24" s="55"/>
      <c r="K24" s="63"/>
      <c r="L24" s="55"/>
      <c r="M24" s="55"/>
      <c r="N24" s="54" t="s">
        <v>533</v>
      </c>
      <c r="O24" s="54" t="s">
        <v>139</v>
      </c>
    </row>
    <row r="25" spans="1:15" ht="409.5" x14ac:dyDescent="0.55000000000000004">
      <c r="A25" s="51" t="s">
        <v>184</v>
      </c>
      <c r="B25" s="51" t="s">
        <v>133</v>
      </c>
      <c r="C25" s="87"/>
      <c r="D25" s="82"/>
      <c r="E25" s="54" t="s">
        <v>393</v>
      </c>
      <c r="F25" s="55" t="s">
        <v>164</v>
      </c>
      <c r="G25" s="55" t="s">
        <v>409</v>
      </c>
      <c r="H25" s="54" t="s">
        <v>410</v>
      </c>
      <c r="I25" s="54" t="s">
        <v>411</v>
      </c>
      <c r="J25" s="55"/>
      <c r="K25" s="55"/>
      <c r="L25" s="55"/>
      <c r="M25" s="55"/>
      <c r="N25" s="54" t="s">
        <v>532</v>
      </c>
      <c r="O25" s="54" t="s">
        <v>139</v>
      </c>
    </row>
    <row r="26" spans="1:15" ht="9.65" customHeight="1" x14ac:dyDescent="0.55000000000000004">
      <c r="A26" s="63"/>
      <c r="B26" s="63"/>
      <c r="C26" s="64"/>
      <c r="D26" s="63"/>
      <c r="E26" s="65"/>
      <c r="F26" s="63"/>
      <c r="G26" s="63"/>
      <c r="H26" s="65"/>
      <c r="I26" s="65"/>
      <c r="J26" s="63" t="s">
        <v>140</v>
      </c>
      <c r="K26" s="63"/>
      <c r="L26" s="63"/>
      <c r="M26" s="63"/>
      <c r="N26" s="63"/>
      <c r="O26" s="65"/>
    </row>
    <row r="27" spans="1:15" ht="23.5" x14ac:dyDescent="0.55000000000000004">
      <c r="A27" s="66" t="s">
        <v>87</v>
      </c>
      <c r="B27" s="66"/>
      <c r="C27" s="66"/>
      <c r="D27" s="66"/>
      <c r="E27" s="66"/>
      <c r="F27" s="66"/>
      <c r="G27" s="66"/>
      <c r="H27" s="66"/>
      <c r="I27" s="66"/>
      <c r="J27" s="66"/>
      <c r="K27" s="66"/>
      <c r="L27" s="66"/>
      <c r="M27" s="66"/>
      <c r="N27" s="66"/>
      <c r="O27" s="67"/>
    </row>
    <row r="28" spans="1:15" ht="23.5" x14ac:dyDescent="0.55000000000000004">
      <c r="A28" s="60" t="s">
        <v>130</v>
      </c>
      <c r="B28" s="60"/>
      <c r="C28" s="61"/>
      <c r="D28" s="62" t="s">
        <v>412</v>
      </c>
      <c r="E28" s="62"/>
      <c r="F28" s="62"/>
      <c r="G28" s="62"/>
      <c r="H28" s="62"/>
      <c r="I28" s="62"/>
      <c r="J28" s="62"/>
      <c r="K28" s="62"/>
      <c r="L28" s="62"/>
      <c r="M28" s="62"/>
      <c r="N28" s="62"/>
      <c r="O28" s="62"/>
    </row>
    <row r="29" spans="1:15" ht="352.5" x14ac:dyDescent="0.55000000000000004">
      <c r="A29" s="51" t="s">
        <v>184</v>
      </c>
      <c r="B29" s="51" t="s">
        <v>133</v>
      </c>
      <c r="C29" s="85" t="s">
        <v>86</v>
      </c>
      <c r="D29" s="74" t="s">
        <v>413</v>
      </c>
      <c r="E29" s="54" t="s">
        <v>504</v>
      </c>
      <c r="F29" s="55" t="s">
        <v>136</v>
      </c>
      <c r="G29" s="55" t="s">
        <v>279</v>
      </c>
      <c r="H29" s="54" t="s">
        <v>414</v>
      </c>
      <c r="I29" s="54" t="s">
        <v>166</v>
      </c>
      <c r="J29" s="55"/>
      <c r="K29" s="55"/>
      <c r="L29" s="55"/>
      <c r="M29" s="55"/>
      <c r="N29" s="54" t="s">
        <v>527</v>
      </c>
      <c r="O29" s="54" t="s">
        <v>139</v>
      </c>
    </row>
    <row r="30" spans="1:15" ht="258.5" x14ac:dyDescent="0.55000000000000004">
      <c r="A30" s="51" t="s">
        <v>184</v>
      </c>
      <c r="B30" s="51" t="s">
        <v>133</v>
      </c>
      <c r="C30" s="86"/>
      <c r="D30" s="76"/>
      <c r="E30" s="54" t="s">
        <v>167</v>
      </c>
      <c r="F30" s="55" t="s">
        <v>154</v>
      </c>
      <c r="G30" s="55" t="s">
        <v>390</v>
      </c>
      <c r="H30" s="54" t="s">
        <v>169</v>
      </c>
      <c r="I30" s="54" t="s">
        <v>170</v>
      </c>
      <c r="J30" s="55"/>
      <c r="K30" s="55"/>
      <c r="L30" s="55"/>
      <c r="M30" s="55"/>
      <c r="N30" s="54" t="s">
        <v>528</v>
      </c>
      <c r="O30" s="54" t="s">
        <v>139</v>
      </c>
    </row>
    <row r="31" spans="1:15" ht="282" x14ac:dyDescent="0.55000000000000004">
      <c r="A31" s="51" t="s">
        <v>184</v>
      </c>
      <c r="B31" s="51" t="s">
        <v>133</v>
      </c>
      <c r="C31" s="86"/>
      <c r="D31" s="76"/>
      <c r="E31" s="54" t="s">
        <v>393</v>
      </c>
      <c r="F31" s="55" t="s">
        <v>164</v>
      </c>
      <c r="G31" s="55" t="s">
        <v>394</v>
      </c>
      <c r="H31" s="54" t="s">
        <v>395</v>
      </c>
      <c r="I31" s="54" t="s">
        <v>415</v>
      </c>
      <c r="J31" s="55"/>
      <c r="K31" s="55"/>
      <c r="L31" s="55"/>
      <c r="M31" s="55"/>
      <c r="N31" s="54" t="s">
        <v>529</v>
      </c>
      <c r="O31" s="54" t="s">
        <v>139</v>
      </c>
    </row>
    <row r="32" spans="1:15" ht="258.5" x14ac:dyDescent="0.55000000000000004">
      <c r="A32" s="51" t="s">
        <v>184</v>
      </c>
      <c r="B32" s="51" t="s">
        <v>133</v>
      </c>
      <c r="C32" s="87"/>
      <c r="D32" s="82"/>
      <c r="E32" s="54" t="s">
        <v>393</v>
      </c>
      <c r="F32" s="55" t="s">
        <v>165</v>
      </c>
      <c r="G32" s="55" t="s">
        <v>397</v>
      </c>
      <c r="H32" s="54" t="s">
        <v>416</v>
      </c>
      <c r="I32" s="54" t="s">
        <v>417</v>
      </c>
      <c r="J32" s="55"/>
      <c r="K32" s="55"/>
      <c r="L32" s="55"/>
      <c r="M32" s="55"/>
      <c r="N32" s="54" t="s">
        <v>530</v>
      </c>
      <c r="O32" s="54" t="s">
        <v>139</v>
      </c>
    </row>
    <row r="33" spans="1:15" ht="23.5" x14ac:dyDescent="0.55000000000000004">
      <c r="A33" s="63"/>
      <c r="B33" s="63"/>
      <c r="C33" s="64"/>
      <c r="D33" s="63"/>
      <c r="E33" s="65"/>
      <c r="F33" s="63"/>
      <c r="G33" s="63"/>
      <c r="H33" s="65"/>
      <c r="I33" s="65"/>
      <c r="J33" s="63" t="s">
        <v>140</v>
      </c>
      <c r="K33" s="63"/>
      <c r="L33" s="63"/>
      <c r="M33" s="63"/>
      <c r="N33" s="63"/>
      <c r="O33" s="65"/>
    </row>
    <row r="34" spans="1:15" ht="23.5" x14ac:dyDescent="0.55000000000000004">
      <c r="A34" s="66" t="s">
        <v>89</v>
      </c>
      <c r="B34" s="66"/>
      <c r="C34" s="66"/>
      <c r="D34" s="66"/>
      <c r="E34" s="66"/>
      <c r="F34" s="66"/>
      <c r="G34" s="66"/>
      <c r="H34" s="66"/>
      <c r="I34" s="66"/>
      <c r="J34" s="66"/>
      <c r="K34" s="66"/>
      <c r="L34" s="66"/>
      <c r="M34" s="66"/>
      <c r="N34" s="66"/>
      <c r="O34" s="67"/>
    </row>
    <row r="35" spans="1:15" ht="23.5" x14ac:dyDescent="0.55000000000000004">
      <c r="A35" s="60" t="s">
        <v>130</v>
      </c>
      <c r="B35" s="60"/>
      <c r="C35" s="61"/>
      <c r="D35" s="62" t="s">
        <v>418</v>
      </c>
      <c r="E35" s="62"/>
      <c r="F35" s="62"/>
      <c r="G35" s="62"/>
      <c r="H35" s="62"/>
      <c r="I35" s="62"/>
      <c r="J35" s="62"/>
      <c r="K35" s="62"/>
      <c r="L35" s="62"/>
      <c r="M35" s="62"/>
      <c r="N35" s="62"/>
      <c r="O35" s="62"/>
    </row>
    <row r="36" spans="1:15" ht="409.5" x14ac:dyDescent="0.55000000000000004">
      <c r="A36" s="51" t="s">
        <v>184</v>
      </c>
      <c r="B36" s="51" t="s">
        <v>133</v>
      </c>
      <c r="C36" s="85" t="s">
        <v>88</v>
      </c>
      <c r="D36" s="74" t="s">
        <v>159</v>
      </c>
      <c r="E36" s="54" t="s">
        <v>504</v>
      </c>
      <c r="F36" s="55" t="s">
        <v>136</v>
      </c>
      <c r="G36" s="55" t="s">
        <v>413</v>
      </c>
      <c r="H36" s="54" t="s">
        <v>419</v>
      </c>
      <c r="I36" s="54" t="s">
        <v>420</v>
      </c>
      <c r="J36" s="55"/>
      <c r="K36" s="55"/>
      <c r="L36" s="55"/>
      <c r="M36" s="55"/>
      <c r="N36" s="54" t="s">
        <v>534</v>
      </c>
      <c r="O36" s="54" t="s">
        <v>139</v>
      </c>
    </row>
    <row r="37" spans="1:15" ht="211.5" x14ac:dyDescent="0.55000000000000004">
      <c r="A37" s="51" t="s">
        <v>184</v>
      </c>
      <c r="B37" s="51" t="s">
        <v>133</v>
      </c>
      <c r="C37" s="86"/>
      <c r="D37" s="76"/>
      <c r="E37" s="54" t="s">
        <v>167</v>
      </c>
      <c r="F37" s="55" t="s">
        <v>154</v>
      </c>
      <c r="G37" s="55" t="s">
        <v>390</v>
      </c>
      <c r="H37" s="54" t="s">
        <v>421</v>
      </c>
      <c r="I37" s="54" t="s">
        <v>422</v>
      </c>
      <c r="J37" s="55"/>
      <c r="K37" s="55"/>
      <c r="L37" s="55"/>
      <c r="M37" s="55"/>
      <c r="N37" s="54" t="s">
        <v>528</v>
      </c>
      <c r="O37" s="54" t="s">
        <v>139</v>
      </c>
    </row>
    <row r="38" spans="1:15" ht="235" x14ac:dyDescent="0.55000000000000004">
      <c r="A38" s="51" t="s">
        <v>184</v>
      </c>
      <c r="B38" s="51" t="s">
        <v>133</v>
      </c>
      <c r="C38" s="86"/>
      <c r="D38" s="76"/>
      <c r="E38" s="54" t="s">
        <v>393</v>
      </c>
      <c r="F38" s="55" t="s">
        <v>164</v>
      </c>
      <c r="G38" s="55" t="s">
        <v>394</v>
      </c>
      <c r="H38" s="54" t="s">
        <v>423</v>
      </c>
      <c r="I38" s="54" t="s">
        <v>424</v>
      </c>
      <c r="J38" s="55"/>
      <c r="K38" s="55"/>
      <c r="L38" s="55"/>
      <c r="M38" s="55"/>
      <c r="N38" s="54" t="s">
        <v>529</v>
      </c>
      <c r="O38" s="54" t="s">
        <v>139</v>
      </c>
    </row>
    <row r="39" spans="1:15" ht="258.5" x14ac:dyDescent="0.55000000000000004">
      <c r="A39" s="51" t="s">
        <v>184</v>
      </c>
      <c r="B39" s="51" t="s">
        <v>133</v>
      </c>
      <c r="C39" s="87"/>
      <c r="D39" s="82"/>
      <c r="E39" s="54" t="s">
        <v>393</v>
      </c>
      <c r="F39" s="55" t="s">
        <v>165</v>
      </c>
      <c r="G39" s="55" t="s">
        <v>397</v>
      </c>
      <c r="H39" s="54" t="s">
        <v>416</v>
      </c>
      <c r="I39" s="54" t="s">
        <v>425</v>
      </c>
      <c r="J39" s="55"/>
      <c r="K39" s="55"/>
      <c r="L39" s="55"/>
      <c r="M39" s="55"/>
      <c r="N39" s="54" t="s">
        <v>530</v>
      </c>
      <c r="O39" s="54" t="s">
        <v>139</v>
      </c>
    </row>
    <row r="40" spans="1:15" ht="23.5" x14ac:dyDescent="0.55000000000000004">
      <c r="A40" s="63"/>
      <c r="B40" s="63"/>
      <c r="C40" s="64"/>
      <c r="D40" s="63"/>
      <c r="E40" s="65"/>
      <c r="F40" s="63"/>
      <c r="G40" s="63"/>
      <c r="H40" s="65"/>
      <c r="I40" s="65"/>
      <c r="J40" s="63" t="s">
        <v>140</v>
      </c>
      <c r="K40" s="55"/>
      <c r="L40" s="63"/>
      <c r="M40" s="63"/>
      <c r="N40" s="63"/>
      <c r="O40" s="65"/>
    </row>
    <row r="41" spans="1:15" ht="23.5" x14ac:dyDescent="0.55000000000000004">
      <c r="A41" s="66" t="s">
        <v>426</v>
      </c>
      <c r="B41" s="66"/>
      <c r="C41" s="66"/>
      <c r="D41" s="66"/>
      <c r="E41" s="66"/>
      <c r="F41" s="66"/>
      <c r="G41" s="66"/>
      <c r="H41" s="66"/>
      <c r="I41" s="66"/>
      <c r="J41" s="66"/>
      <c r="K41" s="66"/>
      <c r="L41" s="66"/>
      <c r="M41" s="66"/>
      <c r="N41" s="66"/>
      <c r="O41" s="67"/>
    </row>
    <row r="42" spans="1:15" ht="23.5" x14ac:dyDescent="0.55000000000000004">
      <c r="A42" s="60" t="s">
        <v>130</v>
      </c>
      <c r="B42" s="60"/>
      <c r="C42" s="61"/>
      <c r="D42" s="62" t="s">
        <v>427</v>
      </c>
      <c r="E42" s="62"/>
      <c r="F42" s="62"/>
      <c r="G42" s="62"/>
      <c r="H42" s="62"/>
      <c r="I42" s="62"/>
      <c r="J42" s="62"/>
      <c r="K42" s="62"/>
      <c r="L42" s="62"/>
      <c r="M42" s="62"/>
      <c r="N42" s="62"/>
      <c r="O42" s="62"/>
    </row>
    <row r="43" spans="1:15" ht="211.5" x14ac:dyDescent="0.55000000000000004">
      <c r="A43" s="51" t="s">
        <v>184</v>
      </c>
      <c r="B43" s="51" t="s">
        <v>133</v>
      </c>
      <c r="C43" s="85" t="s">
        <v>90</v>
      </c>
      <c r="D43" s="74" t="s">
        <v>428</v>
      </c>
      <c r="E43" s="54" t="s">
        <v>163</v>
      </c>
      <c r="F43" s="54" t="s">
        <v>136</v>
      </c>
      <c r="G43" s="54" t="s">
        <v>429</v>
      </c>
      <c r="H43" s="54" t="s">
        <v>430</v>
      </c>
      <c r="I43" s="54" t="s">
        <v>431</v>
      </c>
      <c r="J43" s="55"/>
      <c r="K43" s="51"/>
      <c r="L43" s="55"/>
      <c r="M43" s="55"/>
      <c r="N43" s="54" t="s">
        <v>535</v>
      </c>
      <c r="O43" s="54" t="s">
        <v>139</v>
      </c>
    </row>
    <row r="44" spans="1:15" ht="305.5" x14ac:dyDescent="0.55000000000000004">
      <c r="A44" s="51" t="s">
        <v>184</v>
      </c>
      <c r="B44" s="51" t="s">
        <v>133</v>
      </c>
      <c r="C44" s="86"/>
      <c r="D44" s="76"/>
      <c r="E44" s="54" t="s">
        <v>167</v>
      </c>
      <c r="F44" s="54" t="s">
        <v>154</v>
      </c>
      <c r="G44" s="54" t="s">
        <v>432</v>
      </c>
      <c r="H44" s="54" t="s">
        <v>433</v>
      </c>
      <c r="I44" s="54" t="s">
        <v>434</v>
      </c>
      <c r="J44" s="55"/>
      <c r="K44" s="51"/>
      <c r="L44" s="55"/>
      <c r="M44" s="55"/>
      <c r="N44" s="54" t="s">
        <v>536</v>
      </c>
      <c r="O44" s="54" t="s">
        <v>139</v>
      </c>
    </row>
    <row r="45" spans="1:15" ht="305.5" x14ac:dyDescent="0.55000000000000004">
      <c r="A45" s="51" t="s">
        <v>184</v>
      </c>
      <c r="B45" s="51" t="s">
        <v>133</v>
      </c>
      <c r="C45" s="86"/>
      <c r="D45" s="76"/>
      <c r="E45" s="54" t="s">
        <v>393</v>
      </c>
      <c r="F45" s="54" t="s">
        <v>164</v>
      </c>
      <c r="G45" s="54" t="s">
        <v>435</v>
      </c>
      <c r="H45" s="54" t="s">
        <v>436</v>
      </c>
      <c r="I45" s="54" t="s">
        <v>437</v>
      </c>
      <c r="J45" s="55"/>
      <c r="K45" s="51"/>
      <c r="L45" s="55"/>
      <c r="M45" s="55"/>
      <c r="N45" s="54" t="s">
        <v>537</v>
      </c>
      <c r="O45" s="54" t="s">
        <v>139</v>
      </c>
    </row>
    <row r="46" spans="1:15" ht="409.5" x14ac:dyDescent="0.55000000000000004">
      <c r="A46" s="51" t="s">
        <v>184</v>
      </c>
      <c r="B46" s="51" t="s">
        <v>133</v>
      </c>
      <c r="C46" s="86"/>
      <c r="D46" s="76"/>
      <c r="E46" s="54" t="s">
        <v>269</v>
      </c>
      <c r="F46" s="54" t="s">
        <v>438</v>
      </c>
      <c r="G46" s="54" t="s">
        <v>439</v>
      </c>
      <c r="H46" s="54" t="s">
        <v>440</v>
      </c>
      <c r="I46" s="54" t="s">
        <v>441</v>
      </c>
      <c r="J46" s="55"/>
      <c r="K46" s="51"/>
      <c r="L46" s="55"/>
      <c r="M46" s="55"/>
      <c r="N46" s="54" t="s">
        <v>538</v>
      </c>
      <c r="O46" s="54" t="s">
        <v>139</v>
      </c>
    </row>
    <row r="47" spans="1:15" ht="258.5" x14ac:dyDescent="0.55000000000000004">
      <c r="A47" s="51" t="s">
        <v>184</v>
      </c>
      <c r="B47" s="51" t="s">
        <v>133</v>
      </c>
      <c r="C47" s="87"/>
      <c r="D47" s="82"/>
      <c r="E47" s="54" t="s">
        <v>393</v>
      </c>
      <c r="F47" s="54" t="s">
        <v>442</v>
      </c>
      <c r="G47" s="54" t="s">
        <v>443</v>
      </c>
      <c r="H47" s="54" t="s">
        <v>444</v>
      </c>
      <c r="I47" s="54" t="s">
        <v>445</v>
      </c>
      <c r="J47" s="55"/>
      <c r="K47" s="51"/>
      <c r="L47" s="55"/>
      <c r="M47" s="55"/>
      <c r="N47" s="54"/>
      <c r="O47" s="54" t="s">
        <v>139</v>
      </c>
    </row>
    <row r="48" spans="1:15" ht="23.5" x14ac:dyDescent="0.55000000000000004">
      <c r="A48" s="63"/>
      <c r="B48" s="63"/>
      <c r="C48" s="64"/>
      <c r="D48" s="63"/>
      <c r="E48" s="65"/>
      <c r="F48" s="63"/>
      <c r="G48" s="63"/>
      <c r="H48" s="65"/>
      <c r="I48" s="65"/>
      <c r="J48" s="63" t="s">
        <v>140</v>
      </c>
      <c r="K48" s="63"/>
      <c r="L48" s="63"/>
      <c r="M48" s="63"/>
      <c r="N48" s="63"/>
      <c r="O48" s="65"/>
    </row>
    <row r="49" spans="1:15" ht="23.5" x14ac:dyDescent="0.55000000000000004">
      <c r="A49" s="66" t="s">
        <v>539</v>
      </c>
      <c r="B49" s="66"/>
      <c r="C49" s="66"/>
      <c r="D49" s="66"/>
      <c r="E49" s="66"/>
      <c r="F49" s="66"/>
      <c r="G49" s="66"/>
      <c r="H49" s="66"/>
      <c r="I49" s="66"/>
      <c r="J49" s="66"/>
      <c r="K49" s="66"/>
      <c r="L49" s="66"/>
      <c r="M49" s="66"/>
      <c r="N49" s="66"/>
      <c r="O49" s="67"/>
    </row>
    <row r="50" spans="1:15" ht="23.5" x14ac:dyDescent="0.55000000000000004">
      <c r="A50" s="60" t="s">
        <v>130</v>
      </c>
      <c r="B50" s="60"/>
      <c r="C50" s="61"/>
      <c r="D50" s="62" t="s">
        <v>179</v>
      </c>
      <c r="E50" s="62"/>
      <c r="F50" s="62"/>
      <c r="G50" s="62"/>
      <c r="H50" s="62"/>
      <c r="I50" s="62"/>
      <c r="J50" s="62"/>
      <c r="K50" s="62"/>
      <c r="L50" s="62"/>
      <c r="M50" s="62"/>
      <c r="N50" s="62"/>
      <c r="O50" s="62"/>
    </row>
    <row r="51" spans="1:15" ht="352.5" x14ac:dyDescent="0.55000000000000004">
      <c r="A51" s="51" t="s">
        <v>184</v>
      </c>
      <c r="B51" s="51" t="s">
        <v>133</v>
      </c>
      <c r="C51" s="52" t="s">
        <v>92</v>
      </c>
      <c r="D51" s="53" t="s">
        <v>481</v>
      </c>
      <c r="E51" s="54" t="s">
        <v>504</v>
      </c>
      <c r="F51" s="54" t="s">
        <v>136</v>
      </c>
      <c r="G51" s="55" t="s">
        <v>482</v>
      </c>
      <c r="H51" s="54" t="s">
        <v>414</v>
      </c>
      <c r="I51" s="54" t="s">
        <v>166</v>
      </c>
      <c r="J51" s="55"/>
      <c r="K51" s="51"/>
      <c r="L51" s="55"/>
      <c r="M51" s="55"/>
      <c r="N51" s="54" t="s">
        <v>181</v>
      </c>
      <c r="O51" s="54" t="s">
        <v>139</v>
      </c>
    </row>
    <row r="52" spans="1:15" ht="134" customHeight="1" x14ac:dyDescent="0.55000000000000004">
      <c r="A52" s="51" t="s">
        <v>184</v>
      </c>
      <c r="B52" s="51" t="s">
        <v>133</v>
      </c>
      <c r="C52" s="52"/>
      <c r="D52" s="53"/>
      <c r="E52" s="54" t="s">
        <v>167</v>
      </c>
      <c r="F52" s="54" t="s">
        <v>154</v>
      </c>
      <c r="G52" s="55" t="s">
        <v>483</v>
      </c>
      <c r="H52" s="54" t="s">
        <v>169</v>
      </c>
      <c r="I52" s="54" t="s">
        <v>422</v>
      </c>
      <c r="J52" s="55"/>
      <c r="K52" s="51"/>
      <c r="L52" s="55"/>
      <c r="M52" s="55"/>
      <c r="N52" s="54" t="s">
        <v>181</v>
      </c>
      <c r="O52" s="54" t="s">
        <v>139</v>
      </c>
    </row>
    <row r="53" spans="1:15" ht="305.5" x14ac:dyDescent="0.55000000000000004">
      <c r="A53" s="51" t="s">
        <v>184</v>
      </c>
      <c r="B53" s="51" t="s">
        <v>133</v>
      </c>
      <c r="C53" s="52"/>
      <c r="D53" s="53"/>
      <c r="E53" s="54" t="s">
        <v>167</v>
      </c>
      <c r="F53" s="54" t="s">
        <v>164</v>
      </c>
      <c r="G53" s="55" t="s">
        <v>481</v>
      </c>
      <c r="H53" s="54" t="s">
        <v>484</v>
      </c>
      <c r="I53" s="54" t="s">
        <v>485</v>
      </c>
      <c r="J53" s="55"/>
      <c r="K53" s="51"/>
      <c r="L53" s="55"/>
      <c r="M53" s="55"/>
      <c r="N53" s="54" t="s">
        <v>181</v>
      </c>
      <c r="O53" s="54" t="s">
        <v>139</v>
      </c>
    </row>
  </sheetData>
  <dataConsolidate/>
  <mergeCells count="36">
    <mergeCell ref="C29:C32"/>
    <mergeCell ref="D17:O17"/>
    <mergeCell ref="D36:D39"/>
    <mergeCell ref="C36:C39"/>
    <mergeCell ref="D35:O35"/>
    <mergeCell ref="A50:C50"/>
    <mergeCell ref="A49:O49"/>
    <mergeCell ref="D50:O50"/>
    <mergeCell ref="C23:C25"/>
    <mergeCell ref="D23:D25"/>
    <mergeCell ref="A27:O27"/>
    <mergeCell ref="A28:C28"/>
    <mergeCell ref="A34:O34"/>
    <mergeCell ref="A35:C35"/>
    <mergeCell ref="D28:O28"/>
    <mergeCell ref="C43:C47"/>
    <mergeCell ref="D43:D47"/>
    <mergeCell ref="D29:D32"/>
    <mergeCell ref="D42:O42"/>
    <mergeCell ref="A41:O41"/>
    <mergeCell ref="A42:C42"/>
    <mergeCell ref="A2:O2"/>
    <mergeCell ref="A3:C3"/>
    <mergeCell ref="D3:O3"/>
    <mergeCell ref="D18:D19"/>
    <mergeCell ref="D22:O22"/>
    <mergeCell ref="D8:D14"/>
    <mergeCell ref="C8:C14"/>
    <mergeCell ref="A7:C7"/>
    <mergeCell ref="D7:O7"/>
    <mergeCell ref="A6:O6"/>
    <mergeCell ref="C18:C19"/>
    <mergeCell ref="A17:C17"/>
    <mergeCell ref="A16:O16"/>
    <mergeCell ref="A21:O21"/>
    <mergeCell ref="A22:C22"/>
  </mergeCells>
  <dataValidations count="2">
    <dataValidation type="list" allowBlank="1" showInputMessage="1" showErrorMessage="1" sqref="M18:M19 M4 M51:M53 M29:M32 M36:M39 M43:M47 L8:L15 M23:M25" xr:uid="{00000000-0002-0000-0600-000000000000}">
      <formula1>"New,Retest"</formula1>
    </dataValidation>
    <dataValidation type="list" allowBlank="1" showInputMessage="1" showErrorMessage="1" sqref="J18:J19 J51:J53 J29:J32 J36:J39 J43:J47 J4 K22 K31:K32 K36 J23:J25 K4:K5 K17 J8:J15 K40" xr:uid="{00000000-0002-0000-0600-000001000000}">
      <formula1>"Pass,Fail"</formula1>
    </dataValidation>
  </dataValidations>
  <pageMargins left="0.7" right="0.7" top="0.75" bottom="0.75" header="0.3" footer="0.3"/>
  <pageSetup scale="71" fitToHeight="2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47"/>
  <sheetViews>
    <sheetView topLeftCell="D1" zoomScaleNormal="100" workbookViewId="0">
      <pane ySplit="1" topLeftCell="A9" activePane="bottomLeft" state="frozen"/>
      <selection pane="bottomLeft" activeCell="G5" sqref="G5"/>
    </sheetView>
  </sheetViews>
  <sheetFormatPr defaultColWidth="8.81640625" defaultRowHeight="14.5" x14ac:dyDescent="0.35"/>
  <cols>
    <col min="3" max="3" width="12.81640625" style="1" customWidth="1"/>
    <col min="4" max="4" width="27" customWidth="1"/>
    <col min="5" max="5" width="13.81640625" style="2" customWidth="1"/>
    <col min="7" max="7" width="26.81640625" customWidth="1"/>
    <col min="8" max="8" width="51.1796875" style="2" customWidth="1"/>
    <col min="9" max="9" width="30.81640625" style="2" customWidth="1"/>
    <col min="12" max="12" width="16.81640625" customWidth="1"/>
    <col min="13" max="13" width="10.1796875" customWidth="1"/>
    <col min="14" max="14" width="13.1796875" customWidth="1"/>
    <col min="15" max="15" width="42.1796875" style="2" customWidth="1"/>
  </cols>
  <sheetData>
    <row r="1" spans="1:15" x14ac:dyDescent="0.35">
      <c r="A1" s="3" t="s">
        <v>119</v>
      </c>
      <c r="B1" s="3" t="s">
        <v>120</v>
      </c>
      <c r="C1" s="3" t="s">
        <v>1</v>
      </c>
      <c r="D1" s="3" t="s">
        <v>2</v>
      </c>
      <c r="E1" s="4" t="s">
        <v>121</v>
      </c>
      <c r="F1" s="3" t="s">
        <v>122</v>
      </c>
      <c r="G1" s="3" t="s">
        <v>123</v>
      </c>
      <c r="H1" s="4" t="s">
        <v>124</v>
      </c>
      <c r="I1" s="4" t="s">
        <v>125</v>
      </c>
      <c r="J1" s="3" t="s">
        <v>3</v>
      </c>
      <c r="K1" s="3" t="s">
        <v>126</v>
      </c>
      <c r="L1" s="3" t="s">
        <v>127</v>
      </c>
      <c r="M1" s="3" t="s">
        <v>128</v>
      </c>
      <c r="N1" s="3" t="s">
        <v>129</v>
      </c>
      <c r="O1" s="4" t="s">
        <v>4</v>
      </c>
    </row>
    <row r="2" spans="1:15" ht="18.5" x14ac:dyDescent="0.45">
      <c r="A2" s="42" t="s">
        <v>109</v>
      </c>
      <c r="B2" s="42"/>
      <c r="C2" s="42"/>
      <c r="D2" s="42"/>
      <c r="E2" s="42"/>
      <c r="F2" s="42"/>
      <c r="G2" s="42"/>
      <c r="H2" s="42"/>
      <c r="I2" s="42"/>
      <c r="J2" s="42"/>
      <c r="K2" s="42"/>
      <c r="L2" s="42"/>
      <c r="M2" s="42"/>
      <c r="N2" s="42"/>
      <c r="O2" s="43"/>
    </row>
    <row r="3" spans="1:15" x14ac:dyDescent="0.35">
      <c r="A3" s="37" t="s">
        <v>130</v>
      </c>
      <c r="B3" s="37"/>
      <c r="C3" s="38"/>
      <c r="D3" s="39" t="s">
        <v>446</v>
      </c>
      <c r="E3" s="39"/>
      <c r="F3" s="39"/>
      <c r="G3" s="39"/>
      <c r="H3" s="39"/>
      <c r="I3" s="39"/>
      <c r="J3" s="39"/>
      <c r="K3" s="39"/>
      <c r="L3" s="39"/>
      <c r="M3" s="39"/>
      <c r="N3" s="39"/>
      <c r="O3" s="39"/>
    </row>
    <row r="4" spans="1:15" ht="234" x14ac:dyDescent="0.35">
      <c r="A4" s="15" t="s">
        <v>184</v>
      </c>
      <c r="B4" s="15" t="s">
        <v>133</v>
      </c>
      <c r="C4" s="47" t="s">
        <v>108</v>
      </c>
      <c r="D4" s="40" t="s">
        <v>447</v>
      </c>
      <c r="E4" s="7" t="s">
        <v>448</v>
      </c>
      <c r="F4" s="8" t="s">
        <v>136</v>
      </c>
      <c r="G4" s="7" t="s">
        <v>449</v>
      </c>
      <c r="H4" s="7" t="s">
        <v>516</v>
      </c>
      <c r="I4" s="7" t="s">
        <v>517</v>
      </c>
      <c r="J4" s="8"/>
      <c r="K4" s="8"/>
      <c r="L4" s="8"/>
      <c r="M4" s="8"/>
      <c r="N4" s="7" t="s">
        <v>450</v>
      </c>
      <c r="O4" s="7" t="s">
        <v>139</v>
      </c>
    </row>
    <row r="5" spans="1:15" ht="130" x14ac:dyDescent="0.35">
      <c r="A5" s="15" t="s">
        <v>184</v>
      </c>
      <c r="B5" s="15" t="s">
        <v>133</v>
      </c>
      <c r="C5" s="48"/>
      <c r="D5" s="41"/>
      <c r="E5" s="7" t="s">
        <v>448</v>
      </c>
      <c r="F5" s="8" t="s">
        <v>154</v>
      </c>
      <c r="G5" s="8" t="s">
        <v>522</v>
      </c>
      <c r="H5" s="7" t="s">
        <v>518</v>
      </c>
      <c r="I5" s="7" t="s">
        <v>451</v>
      </c>
      <c r="J5" s="8"/>
      <c r="K5" s="8"/>
      <c r="L5" s="8"/>
      <c r="M5" s="8"/>
      <c r="N5" s="7" t="s">
        <v>452</v>
      </c>
      <c r="O5" s="7" t="s">
        <v>148</v>
      </c>
    </row>
    <row r="6" spans="1:15" ht="312" x14ac:dyDescent="0.35">
      <c r="A6" s="15" t="s">
        <v>184</v>
      </c>
      <c r="B6" s="15" t="s">
        <v>133</v>
      </c>
      <c r="C6" s="48"/>
      <c r="D6" s="41"/>
      <c r="E6" s="7" t="s">
        <v>448</v>
      </c>
      <c r="F6" s="8" t="s">
        <v>164</v>
      </c>
      <c r="G6" s="8" t="s">
        <v>453</v>
      </c>
      <c r="H6" s="9" t="s">
        <v>519</v>
      </c>
      <c r="I6" s="7" t="s">
        <v>454</v>
      </c>
      <c r="J6" s="8"/>
      <c r="K6" s="8"/>
      <c r="L6" s="8"/>
      <c r="M6" s="8"/>
      <c r="N6" s="7" t="s">
        <v>455</v>
      </c>
      <c r="O6" s="7" t="s">
        <v>139</v>
      </c>
    </row>
    <row r="7" spans="1:15" ht="78" x14ac:dyDescent="0.35">
      <c r="A7" s="15" t="s">
        <v>184</v>
      </c>
      <c r="B7" s="15" t="s">
        <v>133</v>
      </c>
      <c r="C7" s="49"/>
      <c r="D7" s="50"/>
      <c r="E7" s="7" t="s">
        <v>448</v>
      </c>
      <c r="F7" s="8" t="s">
        <v>165</v>
      </c>
      <c r="G7" s="8" t="s">
        <v>456</v>
      </c>
      <c r="H7" s="7" t="s">
        <v>520</v>
      </c>
      <c r="I7" s="7" t="s">
        <v>457</v>
      </c>
      <c r="J7" s="8"/>
      <c r="L7" s="8"/>
      <c r="M7" s="8"/>
      <c r="N7" s="7"/>
      <c r="O7" s="7" t="s">
        <v>148</v>
      </c>
    </row>
    <row r="8" spans="1:15" ht="6" customHeight="1" x14ac:dyDescent="0.35">
      <c r="J8" t="s">
        <v>140</v>
      </c>
    </row>
    <row r="9" spans="1:15" ht="6" customHeight="1" x14ac:dyDescent="0.35">
      <c r="J9" t="s">
        <v>140</v>
      </c>
    </row>
    <row r="11" spans="1:15" x14ac:dyDescent="0.35">
      <c r="K11" s="8"/>
    </row>
    <row r="12" spans="1:15" x14ac:dyDescent="0.35">
      <c r="K12" s="8"/>
    </row>
    <row r="13" spans="1:15" x14ac:dyDescent="0.35">
      <c r="K13" s="8"/>
    </row>
    <row r="14" spans="1:15" x14ac:dyDescent="0.35">
      <c r="K14" s="8"/>
    </row>
    <row r="15" spans="1:15" x14ac:dyDescent="0.35">
      <c r="K15" s="8"/>
    </row>
    <row r="18" spans="11:11" x14ac:dyDescent="0.35">
      <c r="K18" s="8"/>
    </row>
    <row r="19" spans="11:11" x14ac:dyDescent="0.35">
      <c r="K19" s="8"/>
    </row>
    <row r="20" spans="11:11" x14ac:dyDescent="0.35">
      <c r="K20" s="8"/>
    </row>
    <row r="21" spans="11:11" x14ac:dyDescent="0.35">
      <c r="K21" s="8"/>
    </row>
    <row r="22" spans="11:11" x14ac:dyDescent="0.35">
      <c r="K22" s="8"/>
    </row>
    <row r="23" spans="11:11" x14ac:dyDescent="0.35">
      <c r="K23" s="17"/>
    </row>
    <row r="24" spans="11:11" x14ac:dyDescent="0.35">
      <c r="K24" s="16"/>
    </row>
    <row r="27" spans="11:11" x14ac:dyDescent="0.35">
      <c r="K27" s="15"/>
    </row>
    <row r="28" spans="11:11" x14ac:dyDescent="0.35">
      <c r="K28" s="15"/>
    </row>
    <row r="29" spans="11:11" x14ac:dyDescent="0.35">
      <c r="K29" s="15"/>
    </row>
    <row r="30" spans="11:11" x14ac:dyDescent="0.35">
      <c r="K30" s="15"/>
    </row>
    <row r="31" spans="11:11" x14ac:dyDescent="0.35">
      <c r="K31" s="15"/>
    </row>
    <row r="32" spans="11:11" x14ac:dyDescent="0.35">
      <c r="K32" s="15"/>
    </row>
    <row r="36" spans="11:11" x14ac:dyDescent="0.35">
      <c r="K36" s="15"/>
    </row>
    <row r="37" spans="11:11" x14ac:dyDescent="0.35">
      <c r="K37" s="15"/>
    </row>
    <row r="38" spans="11:11" x14ac:dyDescent="0.35">
      <c r="K38" s="15"/>
    </row>
    <row r="39" spans="11:11" x14ac:dyDescent="0.35">
      <c r="K39" s="15"/>
    </row>
    <row r="40" spans="11:11" x14ac:dyDescent="0.35">
      <c r="K40" s="15"/>
    </row>
    <row r="44" spans="11:11" x14ac:dyDescent="0.35">
      <c r="K44" s="15"/>
    </row>
    <row r="45" spans="11:11" x14ac:dyDescent="0.35">
      <c r="K45" s="15"/>
    </row>
    <row r="46" spans="11:11" x14ac:dyDescent="0.35">
      <c r="K46" s="15"/>
    </row>
    <row r="47" spans="11:11" x14ac:dyDescent="0.35">
      <c r="K47" s="15"/>
    </row>
  </sheetData>
  <dataConsolidate/>
  <mergeCells count="5">
    <mergeCell ref="A2:O2"/>
    <mergeCell ref="A3:C3"/>
    <mergeCell ref="D3:O3"/>
    <mergeCell ref="D4:D7"/>
    <mergeCell ref="C4:C7"/>
  </mergeCells>
  <dataValidations count="2">
    <dataValidation type="list" allowBlank="1" showInputMessage="1" showErrorMessage="1" sqref="K8 K11 K15:K16 K20:K23 K4:K5 J4:J7" xr:uid="{00000000-0002-0000-0700-000000000000}">
      <formula1>"Pass,Fail"</formula1>
    </dataValidation>
    <dataValidation type="list" allowBlank="1" showInputMessage="1" showErrorMessage="1" sqref="M4:M7" xr:uid="{00000000-0002-0000-0700-000001000000}">
      <formula1>"New,Retest"</formula1>
    </dataValidation>
  </dataValidations>
  <pageMargins left="0.7" right="0.7" top="0.75" bottom="0.75" header="0.3" footer="0.3"/>
  <pageSetup scale="71" fitToHeight="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50"/>
  <sheetViews>
    <sheetView topLeftCell="D1" workbookViewId="0">
      <pane ySplit="1" topLeftCell="A6" activePane="bottomLeft" state="frozen"/>
      <selection pane="bottomLeft" activeCell="G11" sqref="G11"/>
    </sheetView>
  </sheetViews>
  <sheetFormatPr defaultColWidth="8.81640625" defaultRowHeight="14.5" x14ac:dyDescent="0.35"/>
  <cols>
    <col min="3" max="3" width="12.81640625" style="1" customWidth="1"/>
    <col min="4" max="4" width="27" customWidth="1"/>
    <col min="5" max="5" width="13.81640625" style="2" customWidth="1"/>
    <col min="7" max="7" width="26.81640625" customWidth="1"/>
    <col min="8" max="8" width="51.1796875" style="2" customWidth="1"/>
    <col min="9" max="9" width="30.81640625" style="2" customWidth="1"/>
    <col min="12" max="12" width="16.81640625" customWidth="1"/>
    <col min="13" max="13" width="10.1796875" customWidth="1"/>
    <col min="14" max="14" width="13.1796875" customWidth="1"/>
    <col min="15" max="15" width="42.1796875" style="2" customWidth="1"/>
  </cols>
  <sheetData>
    <row r="1" spans="1:15" x14ac:dyDescent="0.35">
      <c r="A1" s="3" t="s">
        <v>119</v>
      </c>
      <c r="B1" s="3" t="s">
        <v>120</v>
      </c>
      <c r="C1" s="3" t="s">
        <v>1</v>
      </c>
      <c r="D1" s="3" t="s">
        <v>2</v>
      </c>
      <c r="E1" s="4" t="s">
        <v>121</v>
      </c>
      <c r="F1" s="3" t="s">
        <v>122</v>
      </c>
      <c r="G1" s="3" t="s">
        <v>123</v>
      </c>
      <c r="H1" s="4" t="s">
        <v>124</v>
      </c>
      <c r="I1" s="4" t="s">
        <v>125</v>
      </c>
      <c r="J1" s="3" t="s">
        <v>3</v>
      </c>
      <c r="K1" s="3" t="s">
        <v>126</v>
      </c>
      <c r="L1" s="3" t="s">
        <v>127</v>
      </c>
      <c r="M1" s="3" t="s">
        <v>128</v>
      </c>
      <c r="N1" s="3" t="s">
        <v>129</v>
      </c>
      <c r="O1" s="4" t="s">
        <v>4</v>
      </c>
    </row>
    <row r="2" spans="1:15" ht="18.5" x14ac:dyDescent="0.45">
      <c r="A2" s="42" t="s">
        <v>114</v>
      </c>
      <c r="B2" s="42"/>
      <c r="C2" s="42"/>
      <c r="D2" s="42"/>
      <c r="E2" s="42"/>
      <c r="F2" s="42"/>
      <c r="G2" s="42"/>
      <c r="H2" s="42"/>
      <c r="I2" s="42"/>
      <c r="J2" s="42"/>
      <c r="K2" s="42"/>
      <c r="L2" s="42"/>
      <c r="M2" s="42"/>
      <c r="N2" s="42"/>
      <c r="O2" s="43"/>
    </row>
    <row r="3" spans="1:15" x14ac:dyDescent="0.35">
      <c r="A3" s="37" t="s">
        <v>130</v>
      </c>
      <c r="B3" s="37"/>
      <c r="C3" s="38"/>
      <c r="D3" s="39" t="s">
        <v>458</v>
      </c>
      <c r="E3" s="39"/>
      <c r="F3" s="39"/>
      <c r="G3" s="39"/>
      <c r="H3" s="39"/>
      <c r="I3" s="39"/>
      <c r="J3" s="39"/>
      <c r="K3" s="39"/>
      <c r="L3" s="39"/>
      <c r="M3" s="39"/>
      <c r="N3" s="39"/>
      <c r="O3" s="39"/>
    </row>
    <row r="4" spans="1:15" ht="247" x14ac:dyDescent="0.35">
      <c r="A4" s="15" t="s">
        <v>184</v>
      </c>
      <c r="B4" s="15" t="s">
        <v>133</v>
      </c>
      <c r="C4" s="22" t="s">
        <v>113</v>
      </c>
      <c r="D4" s="6" t="s">
        <v>459</v>
      </c>
      <c r="E4" s="7" t="s">
        <v>346</v>
      </c>
      <c r="F4" s="8" t="s">
        <v>136</v>
      </c>
      <c r="G4" s="8" t="s">
        <v>347</v>
      </c>
      <c r="H4" s="7" t="s">
        <v>512</v>
      </c>
      <c r="I4" s="7" t="s">
        <v>460</v>
      </c>
      <c r="J4" s="8"/>
      <c r="K4" s="8"/>
      <c r="L4" s="8"/>
      <c r="M4" s="8"/>
      <c r="N4" s="7" t="s">
        <v>350</v>
      </c>
      <c r="O4" s="7" t="s">
        <v>139</v>
      </c>
    </row>
    <row r="5" spans="1:15" ht="166" customHeight="1" x14ac:dyDescent="0.35">
      <c r="A5" s="15" t="s">
        <v>184</v>
      </c>
      <c r="B5" s="15" t="s">
        <v>133</v>
      </c>
      <c r="C5" s="22" t="s">
        <v>113</v>
      </c>
      <c r="D5" s="6" t="s">
        <v>459</v>
      </c>
      <c r="E5" s="7" t="s">
        <v>346</v>
      </c>
      <c r="F5" s="33" t="s">
        <v>154</v>
      </c>
      <c r="G5" s="33" t="s">
        <v>515</v>
      </c>
      <c r="H5" s="7" t="s">
        <v>514</v>
      </c>
      <c r="J5" t="s">
        <v>140</v>
      </c>
      <c r="K5" s="8"/>
    </row>
    <row r="6" spans="1:15" ht="18.5" x14ac:dyDescent="0.45">
      <c r="A6" s="35" t="s">
        <v>116</v>
      </c>
      <c r="B6" s="35"/>
      <c r="C6" s="35"/>
      <c r="D6" s="35"/>
      <c r="E6" s="35"/>
      <c r="F6" s="35"/>
      <c r="G6" s="35"/>
      <c r="H6" s="35"/>
      <c r="I6" s="35"/>
      <c r="J6" s="35"/>
      <c r="K6" s="35"/>
      <c r="L6" s="35"/>
      <c r="M6" s="35"/>
      <c r="N6" s="35"/>
      <c r="O6" s="36"/>
    </row>
    <row r="7" spans="1:15" x14ac:dyDescent="0.35">
      <c r="A7" s="37" t="s">
        <v>130</v>
      </c>
      <c r="B7" s="37"/>
      <c r="C7" s="38"/>
      <c r="D7" s="39" t="s">
        <v>461</v>
      </c>
      <c r="E7" s="39"/>
      <c r="F7" s="39"/>
      <c r="G7" s="39"/>
      <c r="H7" s="39"/>
      <c r="I7" s="39"/>
      <c r="J7" s="39"/>
      <c r="K7" s="39"/>
      <c r="L7" s="39"/>
      <c r="M7" s="39"/>
      <c r="N7" s="39"/>
      <c r="O7" s="39"/>
    </row>
    <row r="8" spans="1:15" ht="169" x14ac:dyDescent="0.35">
      <c r="A8" s="15" t="s">
        <v>184</v>
      </c>
      <c r="B8" s="15" t="s">
        <v>133</v>
      </c>
      <c r="C8" s="32" t="s">
        <v>115</v>
      </c>
      <c r="D8" s="11" t="s">
        <v>459</v>
      </c>
      <c r="E8" s="9" t="s">
        <v>346</v>
      </c>
      <c r="F8" s="10" t="s">
        <v>136</v>
      </c>
      <c r="G8" s="10" t="s">
        <v>462</v>
      </c>
      <c r="H8" s="9" t="s">
        <v>513</v>
      </c>
      <c r="I8" s="9" t="s">
        <v>521</v>
      </c>
      <c r="J8" s="8"/>
      <c r="L8" s="8"/>
      <c r="M8" s="8"/>
      <c r="N8" s="7" t="s">
        <v>350</v>
      </c>
      <c r="O8" s="7" t="s">
        <v>139</v>
      </c>
    </row>
    <row r="9" spans="1:15" ht="6" customHeight="1" x14ac:dyDescent="0.35">
      <c r="J9" t="s">
        <v>140</v>
      </c>
      <c r="K9" s="8"/>
    </row>
    <row r="10" spans="1:15" ht="6" customHeight="1" x14ac:dyDescent="0.35">
      <c r="J10" t="s">
        <v>140</v>
      </c>
      <c r="K10" s="8"/>
    </row>
    <row r="14" spans="1:15" x14ac:dyDescent="0.35">
      <c r="K14" s="8"/>
    </row>
    <row r="15" spans="1:15" x14ac:dyDescent="0.35">
      <c r="K15" s="8"/>
    </row>
    <row r="16" spans="1:15" x14ac:dyDescent="0.35">
      <c r="K16" s="8"/>
    </row>
    <row r="17" spans="11:11" x14ac:dyDescent="0.35">
      <c r="K17" s="8"/>
    </row>
    <row r="18" spans="11:11" x14ac:dyDescent="0.35">
      <c r="K18" s="8"/>
    </row>
    <row r="21" spans="11:11" x14ac:dyDescent="0.35">
      <c r="K21" s="8"/>
    </row>
    <row r="22" spans="11:11" x14ac:dyDescent="0.35">
      <c r="K22" s="8"/>
    </row>
    <row r="23" spans="11:11" x14ac:dyDescent="0.35">
      <c r="K23" s="8"/>
    </row>
    <row r="24" spans="11:11" x14ac:dyDescent="0.35">
      <c r="K24" s="8"/>
    </row>
    <row r="25" spans="11:11" x14ac:dyDescent="0.35">
      <c r="K25" s="8"/>
    </row>
    <row r="26" spans="11:11" x14ac:dyDescent="0.35">
      <c r="K26" s="17"/>
    </row>
    <row r="27" spans="11:11" x14ac:dyDescent="0.35">
      <c r="K27" s="16"/>
    </row>
    <row r="30" spans="11:11" x14ac:dyDescent="0.35">
      <c r="K30" s="15"/>
    </row>
    <row r="31" spans="11:11" x14ac:dyDescent="0.35">
      <c r="K31" s="15"/>
    </row>
    <row r="32" spans="11:11" x14ac:dyDescent="0.35">
      <c r="K32" s="15"/>
    </row>
    <row r="33" spans="11:11" x14ac:dyDescent="0.35">
      <c r="K33" s="15"/>
    </row>
    <row r="34" spans="11:11" x14ac:dyDescent="0.35">
      <c r="K34" s="15"/>
    </row>
    <row r="35" spans="11:11" x14ac:dyDescent="0.35">
      <c r="K35" s="15"/>
    </row>
    <row r="39" spans="11:11" x14ac:dyDescent="0.35">
      <c r="K39" s="15"/>
    </row>
    <row r="40" spans="11:11" x14ac:dyDescent="0.35">
      <c r="K40" s="15"/>
    </row>
    <row r="41" spans="11:11" x14ac:dyDescent="0.35">
      <c r="K41" s="15"/>
    </row>
    <row r="42" spans="11:11" x14ac:dyDescent="0.35">
      <c r="K42" s="15"/>
    </row>
    <row r="43" spans="11:11" x14ac:dyDescent="0.35">
      <c r="K43" s="15"/>
    </row>
    <row r="47" spans="11:11" x14ac:dyDescent="0.35">
      <c r="K47" s="15"/>
    </row>
    <row r="48" spans="11:11" x14ac:dyDescent="0.35">
      <c r="K48" s="15"/>
    </row>
    <row r="49" spans="11:11" x14ac:dyDescent="0.35">
      <c r="K49" s="15"/>
    </row>
    <row r="50" spans="11:11" x14ac:dyDescent="0.35">
      <c r="K50" s="15"/>
    </row>
  </sheetData>
  <dataConsolidate/>
  <mergeCells count="6">
    <mergeCell ref="D3:O3"/>
    <mergeCell ref="D7:O7"/>
    <mergeCell ref="A2:O2"/>
    <mergeCell ref="A3:C3"/>
    <mergeCell ref="A6:O6"/>
    <mergeCell ref="A7:C7"/>
  </mergeCells>
  <dataValidations count="2">
    <dataValidation type="list" allowBlank="1" showInputMessage="1" showErrorMessage="1" sqref="M4 M8" xr:uid="{00000000-0002-0000-0800-000000000000}">
      <formula1>"New,Retest"</formula1>
    </dataValidation>
    <dataValidation type="list" allowBlank="1" showInputMessage="1" showErrorMessage="1" sqref="J4 J8 K23:K26 K14 K18:K19 K4:K5 K7 K10" xr:uid="{00000000-0002-0000-0800-000001000000}">
      <formula1>"Pass,Fail"</formula1>
    </dataValidation>
  </dataValidations>
  <pageMargins left="0.7" right="0.7" top="0.75" bottom="0.75" header="0.3" footer="0.3"/>
  <pageSetup scale="71" fitToHeight="1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7A4CC1AF2026409A6E39D9D04101A0" ma:contentTypeVersion="10" ma:contentTypeDescription="Create a new document." ma:contentTypeScope="" ma:versionID="9b155abda69d8a5f8a375e79177ba22c">
  <xsd:schema xmlns:xsd="http://www.w3.org/2001/XMLSchema" xmlns:xs="http://www.w3.org/2001/XMLSchema" xmlns:p="http://schemas.microsoft.com/office/2006/metadata/properties" xmlns:ns1="http://schemas.microsoft.com/sharepoint/v3" xmlns:ns2="e293ce31-67a4-4125-8330-80282ab27cbe" xmlns:ns3="6d12afd6-76fb-4d3e-b207-d43aeb8216c2" targetNamespace="http://schemas.microsoft.com/office/2006/metadata/properties" ma:root="true" ma:fieldsID="d52267e3328c36d1df1f47a997ada39b" ns1:_="" ns2:_="" ns3:_="">
    <xsd:import namespace="http://schemas.microsoft.com/sharepoint/v3"/>
    <xsd:import namespace="e293ce31-67a4-4125-8330-80282ab27cbe"/>
    <xsd:import namespace="6d12afd6-76fb-4d3e-b207-d43aeb8216c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93ce31-67a4-4125-8330-80282ab27c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2afd6-76fb-4d3e-b207-d43aeb8216c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e293ce31-67a4-4125-8330-80282ab27cbe">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9ADA66-7DF3-478E-A253-D1D223D000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293ce31-67a4-4125-8330-80282ab27cbe"/>
    <ds:schemaRef ds:uri="6d12afd6-76fb-4d3e-b207-d43aeb8216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9E8140-7D95-4425-8125-DB04A4AAF93A}">
  <ds:schemaRefs>
    <ds:schemaRef ds:uri="http://schemas.microsoft.com/office/2006/metadata/properties"/>
    <ds:schemaRef ds:uri="http://schemas.microsoft.com/office/infopath/2007/PartnerControls"/>
    <ds:schemaRef ds:uri="e293ce31-67a4-4125-8330-80282ab27cbe"/>
    <ds:schemaRef ds:uri="http://schemas.microsoft.com/sharepoint/v3"/>
  </ds:schemaRefs>
</ds:datastoreItem>
</file>

<file path=customXml/itemProps3.xml><?xml version="1.0" encoding="utf-8"?>
<ds:datastoreItem xmlns:ds="http://schemas.openxmlformats.org/officeDocument/2006/customXml" ds:itemID="{7C1E2CB8-60B8-44BE-9FC4-556AA1D6C1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47</vt:i4>
      </vt:variant>
    </vt:vector>
  </HeadingPairs>
  <TitlesOfParts>
    <vt:vector size="56" baseType="lpstr">
      <vt:lpstr>Summary</vt:lpstr>
      <vt:lpstr>Manufacturing</vt:lpstr>
      <vt:lpstr>Design to Build</vt:lpstr>
      <vt:lpstr>Record to Report</vt:lpstr>
      <vt:lpstr>Lead to Quote</vt:lpstr>
      <vt:lpstr>Order to Cash_Return to Credit</vt:lpstr>
      <vt:lpstr>Procure to Pay_Return to Debit</vt:lpstr>
      <vt:lpstr>Marketing to ROI</vt:lpstr>
      <vt:lpstr>Call to Resolution</vt:lpstr>
      <vt:lpstr>_C2R_CUS01</vt:lpstr>
      <vt:lpstr>_C2R01</vt:lpstr>
      <vt:lpstr>_C2R02</vt:lpstr>
      <vt:lpstr>_MFG01</vt:lpstr>
      <vt:lpstr>_MFG02</vt:lpstr>
      <vt:lpstr>_MFG03</vt:lpstr>
      <vt:lpstr>_MFG04</vt:lpstr>
      <vt:lpstr>_R2C01</vt:lpstr>
      <vt:lpstr>_R2C02</vt:lpstr>
      <vt:lpstr>_R2R01</vt:lpstr>
      <vt:lpstr>_R2R02</vt:lpstr>
      <vt:lpstr>_R2R03</vt:lpstr>
      <vt:lpstr>_R2R04</vt:lpstr>
      <vt:lpstr>_R2R05</vt:lpstr>
      <vt:lpstr>_R2R06</vt:lpstr>
      <vt:lpstr>_R2R07</vt:lpstr>
      <vt:lpstr>D2B01</vt:lpstr>
      <vt:lpstr>D2B02</vt:lpstr>
      <vt:lpstr>D2B03</vt:lpstr>
      <vt:lpstr>D2B04</vt:lpstr>
      <vt:lpstr>D2B05</vt:lpstr>
      <vt:lpstr>D2B06</vt:lpstr>
      <vt:lpstr>D2B07</vt:lpstr>
      <vt:lpstr>D2B08</vt:lpstr>
      <vt:lpstr>D2B09</vt:lpstr>
      <vt:lpstr>D2B10</vt:lpstr>
      <vt:lpstr>L2Q_CUS01</vt:lpstr>
      <vt:lpstr>L2Q01</vt:lpstr>
      <vt:lpstr>M2R_CUS01</vt:lpstr>
      <vt:lpstr>M2R01</vt:lpstr>
      <vt:lpstr>MFG_CUS01</vt:lpstr>
      <vt:lpstr>O2C01</vt:lpstr>
      <vt:lpstr>O2C02</vt:lpstr>
      <vt:lpstr>P2P_CUS01</vt:lpstr>
      <vt:lpstr>P2P01</vt:lpstr>
      <vt:lpstr>P2P02</vt:lpstr>
      <vt:lpstr>P2P03</vt:lpstr>
      <vt:lpstr>P2P04</vt:lpstr>
      <vt:lpstr>P2P05</vt:lpstr>
      <vt:lpstr>P2P06</vt:lpstr>
      <vt:lpstr>P2P09</vt:lpstr>
      <vt:lpstr>'Call to Resolution'!Print_Area</vt:lpstr>
      <vt:lpstr>'Design to Build'!Print_Area</vt:lpstr>
      <vt:lpstr>'Lead to Quote'!Print_Area</vt:lpstr>
      <vt:lpstr>Manufacturing!Print_Area</vt:lpstr>
      <vt:lpstr>'Marketing to ROI'!Print_Area</vt:lpstr>
      <vt:lpstr>'Procure to Pay_Return to Debit'!Print_Area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Steffen, Cheryl</dc:creator>
  <cp:keywords/>
  <dc:description/>
  <cp:lastModifiedBy>paapr</cp:lastModifiedBy>
  <cp:revision/>
  <dcterms:created xsi:type="dcterms:W3CDTF">2016-02-25T18:27:02Z</dcterms:created>
  <dcterms:modified xsi:type="dcterms:W3CDTF">2022-10-18T13:02:21Z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0x010100247A4CC1AF2026409A6E39D9D04101A0</vt:lpwstr>
  </property>
  <property fmtid="{D5CDD505-2E9C-101B-9397-08002B2CF9AE}" pid="3" name="Order">
    <vt:r8>937200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