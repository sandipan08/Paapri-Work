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Work\Functional\Ace Of Carts (Functional)\"/>
    </mc:Choice>
  </mc:AlternateContent>
  <bookViews>
    <workbookView xWindow="0" yWindow="0" windowWidth="23040" windowHeight="9264" tabRatio="685" activeTab="2"/>
  </bookViews>
  <sheets>
    <sheet name="Summary" sheetId="8" r:id="rId1"/>
    <sheet name="Design to Build" sheetId="3" r:id="rId2"/>
    <sheet name="Record to Report" sheetId="11" r:id="rId3"/>
    <sheet name="Lead to Quote" sheetId="1" r:id="rId4"/>
    <sheet name="Order to Cash_Return to Credit" sheetId="2" r:id="rId5"/>
    <sheet name="Procure to Pay_Return to Debit" sheetId="4" r:id="rId6"/>
    <sheet name="Marketing to ROI" sheetId="5" r:id="rId7"/>
    <sheet name="Call to Resolution" sheetId="6" r:id="rId8"/>
  </sheets>
  <definedNames>
    <definedName name="_C2R_CUS01">'Call to Resolution'!#REF!</definedName>
    <definedName name="_C2R01">'Call to Resolution'!$J$4:$J$5</definedName>
    <definedName name="_C2R02">'Call to Resolution'!$J$8:$J$9</definedName>
    <definedName name="_FA01">'Procure to Pay_Return to Debit'!#REF!</definedName>
    <definedName name="_FA02">'Procure to Pay_Return to Debit'!#REF!</definedName>
    <definedName name="_FA03">'Procure to Pay_Return to Debit'!#REF!</definedName>
    <definedName name="_MFG01">#REF!</definedName>
    <definedName name="_MFG02">#REF!</definedName>
    <definedName name="_MFG03">#REF!</definedName>
    <definedName name="_MFG04">#REF!</definedName>
    <definedName name="_MFG05">#REF!</definedName>
    <definedName name="_MFG06">#REF!</definedName>
    <definedName name="_R2C01">'Order to Cash_Return to Credit'!$J$21:$J$27</definedName>
    <definedName name="_R2C02">'Order to Cash_Return to Credit'!$J$30:$J$41</definedName>
    <definedName name="_R2R_CUS01">'Record to Report'!#REF!</definedName>
    <definedName name="_R2R01">'Record to Report'!$J$4:$J$6</definedName>
    <definedName name="_R2R02">'Record to Report'!$J$9:$J$14</definedName>
    <definedName name="_R2R03">'Record to Report'!$J$17:$J$21</definedName>
    <definedName name="_R2R04">'Record to Report'!#REF!</definedName>
    <definedName name="_R2R05">'Record to Report'!$J$24:$J$27</definedName>
    <definedName name="_R2R06">'Record to Report'!$J$28:$J$28</definedName>
    <definedName name="_R2R07">'Record to Report'!#REF!</definedName>
    <definedName name="_R2R08">'Record to Report'!#REF!</definedName>
    <definedName name="_R2R09">'Record to Report'!#REF!</definedName>
    <definedName name="_R2R10">'Record to Report'!#REF!</definedName>
    <definedName name="D2B_CUS01">'Design to Build'!$J$25:$J$25</definedName>
    <definedName name="D2B01">'Design to Build'!$J$4:$J$5</definedName>
    <definedName name="D2B02">'Design to Build'!$J$8:$J$9</definedName>
    <definedName name="D2B03">'Design to Build'!$J$12:$J$15</definedName>
    <definedName name="D2B04">'Design to Build'!$J$18:$J$19</definedName>
    <definedName name="D2B05">'Design to Build'!$J$22:$J$23</definedName>
    <definedName name="D2B06">'Design to Build'!#REF!</definedName>
    <definedName name="D2B07">'Design to Build'!#REF!</definedName>
    <definedName name="D2B08">'Design to Build'!#REF!</definedName>
    <definedName name="D2B09">'Design to Build'!#REF!</definedName>
    <definedName name="D2B10">'Design to Build'!$J$24:$J$24</definedName>
    <definedName name="L2Q_CUS01">'Lead to Quote'!#REF!</definedName>
    <definedName name="L2Q01">'Lead to Quote'!$J$4:$J$8</definedName>
    <definedName name="L2Q02">'Lead to Quote'!#REF!</definedName>
    <definedName name="L2Q03">'Lead to Quote'!#REF!</definedName>
    <definedName name="L2Q04">'Lead to Quote'!#REF!</definedName>
    <definedName name="L2Q05">'Lead to Quote'!#REF!</definedName>
    <definedName name="M2R_CUS01">'Marketing to ROI'!#REF!</definedName>
    <definedName name="M2R01">'Marketing to ROI'!$J$8:$J$11</definedName>
    <definedName name="MFG_CUS01">#REF!</definedName>
    <definedName name="O2C_CUS01">'Order to Cash_Return to Credit'!#REF!</definedName>
    <definedName name="O2C01">'Order to Cash_Return to Credit'!$J$4:$J$12</definedName>
    <definedName name="O2C02">'Order to Cash_Return to Credit'!$J$15:$J$18</definedName>
    <definedName name="P2P_CUS01">'Procure to Pay_Return to Debit'!#REF!</definedName>
    <definedName name="P2P01">'Procure to Pay_Return to Debit'!$J$4:$J$5</definedName>
    <definedName name="P2P02">'Procure to Pay_Return to Debit'!#REF!</definedName>
    <definedName name="P2P03">'Procure to Pay_Return to Debit'!#REF!</definedName>
    <definedName name="P2P04">'Procure to Pay_Return to Debit'!$J$8:$J$11</definedName>
    <definedName name="P2P05">'Procure to Pay_Return to Debit'!$J$14:$J$18</definedName>
    <definedName name="P2P06">'Procure to Pay_Return to Debit'!$J$21:$J$25</definedName>
    <definedName name="P2P07">'Procure to Pay_Return to Debit'!#REF!</definedName>
    <definedName name="P2P08">'Procure to Pay_Return to Debit'!#REF!</definedName>
    <definedName name="P2P09">'Procure to Pay_Return to Debit'!$J$28:$J$32</definedName>
    <definedName name="_xlnm.Print_Area" localSheetId="7">'Call to Resolution'!$C:$I</definedName>
    <definedName name="_xlnm.Print_Area" localSheetId="1">'Design to Build'!$C:$I</definedName>
    <definedName name="_xlnm.Print_Area" localSheetId="3">'Lead to Quote'!$E:$I</definedName>
    <definedName name="_xlnm.Print_Area" localSheetId="6">'Marketing to ROI'!$C:$I</definedName>
    <definedName name="_xlnm.Print_Area" localSheetId="5">'Procure to Pay_Return to Debit'!$C:$I</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0" i="8" l="1"/>
  <c r="C18" i="8" l="1"/>
  <c r="C17" i="8"/>
  <c r="C16" i="8"/>
  <c r="C15" i="8"/>
  <c r="C14" i="8"/>
  <c r="C13" i="8"/>
  <c r="C12" i="8"/>
  <c r="C11" i="8"/>
  <c r="C21" i="8"/>
  <c r="C23" i="8"/>
  <c r="C24" i="8"/>
  <c r="C25" i="8"/>
  <c r="C33" i="8"/>
  <c r="C32" i="8"/>
  <c r="C31" i="8"/>
  <c r="C30" i="8"/>
  <c r="C8" i="8"/>
  <c r="C40" i="8"/>
  <c r="C39" i="8"/>
  <c r="C41" i="8"/>
  <c r="C37" i="8"/>
  <c r="C36" i="8"/>
  <c r="C34" i="8"/>
  <c r="C29" i="8"/>
  <c r="C9" i="8"/>
  <c r="C7" i="8"/>
  <c r="C6" i="8"/>
  <c r="C5" i="8"/>
  <c r="C4" i="8"/>
  <c r="C27" i="8"/>
  <c r="C26" i="8"/>
</calcChain>
</file>

<file path=xl/sharedStrings.xml><?xml version="1.0" encoding="utf-8"?>
<sst xmlns="http://schemas.openxmlformats.org/spreadsheetml/2006/main" count="1014" uniqueCount="416">
  <si>
    <t>Summary of MFG Test Use Cases</t>
  </si>
  <si>
    <t>Case #</t>
  </si>
  <si>
    <t>Scenario</t>
  </si>
  <si>
    <t>Pass/Fail</t>
  </si>
  <si>
    <t>Notes</t>
  </si>
  <si>
    <t>DESIGN TO BUILD</t>
  </si>
  <si>
    <t>D2B01</t>
  </si>
  <si>
    <t>Design to Build: Create New Inventory Item</t>
  </si>
  <si>
    <t>D2B02</t>
  </si>
  <si>
    <t>Design to Build: Inventory Adjustment</t>
  </si>
  <si>
    <t>D2B03</t>
  </si>
  <si>
    <t>Design to Build: Transfer Inventory via Transfer Order</t>
  </si>
  <si>
    <t>D2B04</t>
  </si>
  <si>
    <t>Design to Build: Transfer Inventory</t>
  </si>
  <si>
    <t>D2B05</t>
  </si>
  <si>
    <t>Design to Build: Item Costing</t>
  </si>
  <si>
    <t>D2B_CUS01</t>
  </si>
  <si>
    <t>Design to Build: Custom: &lt;Consultant to complete this section…</t>
  </si>
  <si>
    <t>Pass/Fail formula may need to be corrected or delete this row</t>
  </si>
  <si>
    <t>RECORD TO REPORT</t>
  </si>
  <si>
    <t>R2R01</t>
  </si>
  <si>
    <t>Record to Report:  Validate Subsidiaries &amp; Segments</t>
  </si>
  <si>
    <t>R2R02</t>
  </si>
  <si>
    <t>Record to Report:  Accounting Setup</t>
  </si>
  <si>
    <t>R2R03</t>
  </si>
  <si>
    <t>Record to Report:  Validate Period Close</t>
  </si>
  <si>
    <t>R2R04</t>
  </si>
  <si>
    <t>Record to Report:  Exchange Rates</t>
  </si>
  <si>
    <t>R2R05</t>
  </si>
  <si>
    <t>Record to Report:  Journal Entry</t>
  </si>
  <si>
    <t>R2R06</t>
  </si>
  <si>
    <t>Record to Report:  Budgets</t>
  </si>
  <si>
    <t>R2R07</t>
  </si>
  <si>
    <t>Record to Report:  Reconcile Credit Card &amp; Bank Statements</t>
  </si>
  <si>
    <t>R2R_CUS01</t>
  </si>
  <si>
    <t>Record to Report: Custom: &lt;Consultant to complete this section…</t>
  </si>
  <si>
    <t>LEAD TO QUOTE</t>
  </si>
  <si>
    <t>L2Q01</t>
  </si>
  <si>
    <t>Lead to Quote: Create and Manage Lead, Opportunity, Quote</t>
  </si>
  <si>
    <t>L2Q_CUS01</t>
  </si>
  <si>
    <t>Lead to Quote: Custom: &lt;Consultant to complete this section…</t>
  </si>
  <si>
    <t>ORDER TO CASH</t>
  </si>
  <si>
    <t>O2C01</t>
  </si>
  <si>
    <t>Order to Cash: Create Sales Order, Fulfill, Invoice</t>
  </si>
  <si>
    <t>O2C02</t>
  </si>
  <si>
    <t>Order to Cash: Customer Deposit</t>
  </si>
  <si>
    <t>R2C01</t>
  </si>
  <si>
    <t>Order to Cash: Customer Return - Credit</t>
  </si>
  <si>
    <t>R2C02</t>
  </si>
  <si>
    <t>Order to Cash: Customer Reurn - Replace</t>
  </si>
  <si>
    <t>O2C_CUS01</t>
  </si>
  <si>
    <t>Order to Cash: Custom: &lt;Consultant to complete this section…</t>
  </si>
  <si>
    <t>PROCURE TO PAY and FIXED ASSETS</t>
  </si>
  <si>
    <t>P2P01</t>
  </si>
  <si>
    <t>Procure to Pay: Create Vendor</t>
  </si>
  <si>
    <t>P2P04</t>
  </si>
  <si>
    <t>Procure to Pay: Vendor Prepayment</t>
  </si>
  <si>
    <t>P2P05</t>
  </si>
  <si>
    <t>Procure to Pay: Create Purchase Order</t>
  </si>
  <si>
    <t>P2P06</t>
  </si>
  <si>
    <t>Procure to Pay: Purchase Order from Order Items</t>
  </si>
  <si>
    <t>P2P09</t>
  </si>
  <si>
    <t>Procure to Pay: Vendor Return with Fulfillment</t>
  </si>
  <si>
    <t>P2P_CUS01</t>
  </si>
  <si>
    <t>Procure to Pay: Custom: &lt;Consultant to complete this section…</t>
  </si>
  <si>
    <t>MARKETING</t>
  </si>
  <si>
    <t>M2R01</t>
  </si>
  <si>
    <t>Marketing to ROI: Manage Campaigns</t>
  </si>
  <si>
    <t>M2R_CUS01</t>
  </si>
  <si>
    <t>Marketing to ROI: Custom: &lt;Consultant to complete this section…</t>
  </si>
  <si>
    <t>CALL TO RESOLUTION</t>
  </si>
  <si>
    <t>C2R01</t>
  </si>
  <si>
    <t>Call to Resolution: Create New Case</t>
  </si>
  <si>
    <t>C2R02</t>
  </si>
  <si>
    <t>Call to Resolution: Update Existing Case</t>
  </si>
  <si>
    <t>C2R_CUS01</t>
  </si>
  <si>
    <t>Call to Resolution: Custom: &lt;Consultant to complete this section…</t>
  </si>
  <si>
    <t xml:space="preserve">Market </t>
  </si>
  <si>
    <t>Region</t>
  </si>
  <si>
    <t>Role</t>
  </si>
  <si>
    <t>Step #</t>
  </si>
  <si>
    <t>Step Name</t>
  </si>
  <si>
    <t>Step Instructions</t>
  </si>
  <si>
    <t>Verification</t>
  </si>
  <si>
    <t>Issue #</t>
  </si>
  <si>
    <t>User</t>
  </si>
  <si>
    <t>Iteration</t>
  </si>
  <si>
    <t>Transaction #</t>
  </si>
  <si>
    <t>Description:</t>
  </si>
  <si>
    <t>NA</t>
  </si>
  <si>
    <t>Step 1</t>
  </si>
  <si>
    <t>[Enter testing notes]</t>
  </si>
  <si>
    <t>Pass</t>
  </si>
  <si>
    <r>
      <t>[Enter testing notes</t>
    </r>
    <r>
      <rPr>
        <sz val="10"/>
        <color theme="1"/>
        <rFont val="Calibri"/>
        <family val="2"/>
        <scheme val="minor"/>
      </rPr>
      <t>]</t>
    </r>
  </si>
  <si>
    <t>Step 2</t>
  </si>
  <si>
    <t>Purchase Order from Order Items</t>
  </si>
  <si>
    <t>Step 3</t>
  </si>
  <si>
    <t>Step 4</t>
  </si>
  <si>
    <t>1. The Purchase Order form opens.  
2. Transaction successfully saved and can be found, and updated.
3. Purchase Order status is Pending Approval or Receipt.  Note: if pending approval, have PO approved prior to moving to next step.</t>
  </si>
  <si>
    <t>Step 5</t>
  </si>
  <si>
    <t>1. From the home Dashboard, click on 'Orders to Receive' on the Reminders portlet.
2. On the Receive Order page, locate the Purchase Order created in Step 1 and click Receive. 
3. On the Item Receipt page, review the Item, Quantity, and Location. Once confirmed, click Save.</t>
  </si>
  <si>
    <t>1.  Receive Orders page opens.
2. Item Receipt page opens.
3. Transaction successfully saved and can be reviewed.
4.  Verify GL impact.</t>
  </si>
  <si>
    <t>Step 6</t>
  </si>
  <si>
    <t>Step 7</t>
  </si>
  <si>
    <t>Design to Build: Create new Inventory Item</t>
  </si>
  <si>
    <t>Manually create a new Inventory Item.</t>
  </si>
  <si>
    <t>PRM</t>
  </si>
  <si>
    <t>Create new Inventory Item</t>
  </si>
  <si>
    <t>Create Item</t>
  </si>
  <si>
    <t>1. New item form opens successfully and allows entry.
2. Item successfully Saved, can be viewed and edited.
*Note: all items must be created before attaching to assembly items for BOM.</t>
  </si>
  <si>
    <r>
      <t xml:space="preserve">Include: </t>
    </r>
    <r>
      <rPr>
        <b/>
        <sz val="10"/>
        <color rgb="FFFF0000"/>
        <rFont val="Calibri"/>
        <family val="2"/>
        <scheme val="minor"/>
      </rPr>
      <t>Item Name/Number</t>
    </r>
  </si>
  <si>
    <t>Manually adjust inventory.</t>
  </si>
  <si>
    <t>Create Inventory Adjustment</t>
  </si>
  <si>
    <t>Adjust Inventory</t>
  </si>
  <si>
    <t xml:space="preserve">1. Inventory adjustment form opens successfully.
2. Entries are entered successfully and transaction is saved.
3. Validate item is adjusted with both cost and quantity.
4. View and validate impact on the GL.  This may require viewing the transaction from the item.
</t>
  </si>
  <si>
    <r>
      <t xml:space="preserve">Include: </t>
    </r>
    <r>
      <rPr>
        <b/>
        <sz val="10"/>
        <color rgb="FFFF0000"/>
        <rFont val="Calibri"/>
        <family val="2"/>
        <scheme val="minor"/>
      </rPr>
      <t>Inventory Adjustment Number</t>
    </r>
  </si>
  <si>
    <t>Design to Build: Transfer Inventory - Transfer Order</t>
  </si>
  <si>
    <t>Enter Transfer Order, fulfill from source and receive at destination.</t>
  </si>
  <si>
    <t>Transfer Inventory - Transfer Order</t>
  </si>
  <si>
    <t>Enter Transfer Order</t>
  </si>
  <si>
    <t>1. Transfer order form opens successfully.
2. Transaction successfully Saved and can be viewed.
2. Transfer Order status is Pending Fulfillment.</t>
  </si>
  <si>
    <r>
      <t xml:space="preserve">Include: </t>
    </r>
    <r>
      <rPr>
        <b/>
        <sz val="10"/>
        <color rgb="FFFF0000"/>
        <rFont val="Calibri"/>
        <family val="2"/>
        <scheme val="minor"/>
      </rPr>
      <t>Transfer Order Number</t>
    </r>
  </si>
  <si>
    <t>Fulfill Transfer Order</t>
  </si>
  <si>
    <t>1. Item Fulfillment form opens.
2. Able to find the transfer order created earlier.
3. Transaction successfully Saved.</t>
  </si>
  <si>
    <r>
      <t xml:space="preserve">Include: </t>
    </r>
    <r>
      <rPr>
        <b/>
        <sz val="10"/>
        <color rgb="FFFF0000"/>
        <rFont val="Calibri"/>
        <family val="2"/>
        <scheme val="minor"/>
      </rPr>
      <t>Item Fulfillment Number</t>
    </r>
  </si>
  <si>
    <t>Receive Transfer Order</t>
  </si>
  <si>
    <t>1. Item Receipt page opens.
2. Transaction successfully Saved.
3. Validate quantity and any costs transfer (negative "from location" and positive "to location").</t>
  </si>
  <si>
    <r>
      <t xml:space="preserve">Include: </t>
    </r>
    <r>
      <rPr>
        <b/>
        <sz val="10"/>
        <color rgb="FFFF0000"/>
        <rFont val="Calibri"/>
        <family val="2"/>
        <scheme val="minor"/>
      </rPr>
      <t>Item Receipt Number</t>
    </r>
  </si>
  <si>
    <t>Design to Build: Inventory Transfer</t>
  </si>
  <si>
    <t>Manually enter a single inventory transfer.</t>
  </si>
  <si>
    <t>Inventory Transfer</t>
  </si>
  <si>
    <t>Enter Inventory Transfer</t>
  </si>
  <si>
    <t>1. Navigate to Inventory &gt; Inventory &gt; Transfer Inventory. Inventory Transfer page opens.
2. In the header section of the page select the From Location and To Location.
3. On the Items tab select the item used in D2B02 and enter Qty. To Transfer = 1.
4. Click the Add button on the line.
5. Click Save.</t>
  </si>
  <si>
    <t xml:space="preserve">1. Case successfully Saved.
2. Item Quantity on Hand has been reduced by 1 at the From Location and increased by 1 at the To Location. </t>
  </si>
  <si>
    <r>
      <t xml:space="preserve">Include: </t>
    </r>
    <r>
      <rPr>
        <b/>
        <sz val="10"/>
        <color rgb="FFFF0000"/>
        <rFont val="Calibri"/>
        <family val="2"/>
        <scheme val="minor"/>
      </rPr>
      <t>Inventory Transfer Number</t>
    </r>
  </si>
  <si>
    <t>Update Inventory Item.</t>
  </si>
  <si>
    <t>Set Item Costing</t>
  </si>
  <si>
    <t>Update Item Cost</t>
  </si>
  <si>
    <t xml:space="preserve">1. Utilizing any of the search features, find the items you will be using for Manufacturing testing.  Or add items that will be needed for testing.
2. Select the item to update or verify costing method.  
3. Costing choices are: 
   - Average
   - Standard
   - Specific
   - FIFO
   - LIFO
   - Mixed (combines two or more of above)
4. Click Save.
</t>
  </si>
  <si>
    <t>1. New item form opens successfully and allows entry.
2. Item successfully Saved, item can be viewed and edited with appropriate costing method applied.</t>
  </si>
  <si>
    <t>Validate Subsidiary and Segmentation Setup</t>
  </si>
  <si>
    <t>Validate Subsidiaries &amp; Segments</t>
  </si>
  <si>
    <t>Validate Subsidiary Configuration</t>
  </si>
  <si>
    <r>
      <t xml:space="preserve">1.  Setup &gt; Other Setup &gt; </t>
    </r>
    <r>
      <rPr>
        <b/>
        <sz val="10"/>
        <color theme="1"/>
        <rFont val="Calibri"/>
        <family val="2"/>
        <scheme val="minor"/>
      </rPr>
      <t>Subsidiaries</t>
    </r>
  </si>
  <si>
    <t>1.  Validate Subsidiary structure is correct.
2.  Validate elimination subsidaries are configured.</t>
  </si>
  <si>
    <t>N/A</t>
  </si>
  <si>
    <t>Validate Classifications</t>
  </si>
  <si>
    <r>
      <t xml:space="preserve">1. Financial &gt; Lists &gt; </t>
    </r>
    <r>
      <rPr>
        <b/>
        <sz val="10"/>
        <color theme="1"/>
        <rFont val="Calibri"/>
        <family val="2"/>
        <scheme val="minor"/>
      </rPr>
      <t xml:space="preserve">Departments
</t>
    </r>
    <r>
      <rPr>
        <sz val="10"/>
        <color theme="1"/>
        <rFont val="Calibri"/>
        <family val="2"/>
        <scheme val="minor"/>
      </rPr>
      <t xml:space="preserve">
2. Financial &gt; Lists &gt; </t>
    </r>
    <r>
      <rPr>
        <b/>
        <sz val="10"/>
        <color theme="1"/>
        <rFont val="Calibri"/>
        <family val="2"/>
        <scheme val="minor"/>
      </rPr>
      <t xml:space="preserve">Locations
</t>
    </r>
    <r>
      <rPr>
        <sz val="10"/>
        <color theme="1"/>
        <rFont val="Calibri"/>
        <family val="2"/>
        <scheme val="minor"/>
      </rPr>
      <t xml:space="preserve">
3. Financial &gt; Lists &gt; </t>
    </r>
    <r>
      <rPr>
        <b/>
        <sz val="10"/>
        <color theme="1"/>
        <rFont val="Calibri"/>
        <family val="2"/>
        <scheme val="minor"/>
      </rPr>
      <t>Classes</t>
    </r>
  </si>
  <si>
    <t>1. Validate Departments configured correctly
2.  Validate Locations configured correctly
3. Validate Classes configured correctly</t>
  </si>
  <si>
    <t>Confirm Accounting Setup</t>
  </si>
  <si>
    <t>General Ledger</t>
  </si>
  <si>
    <r>
      <t xml:space="preserve">1. Financial &gt; Lists &gt; </t>
    </r>
    <r>
      <rPr>
        <b/>
        <sz val="10"/>
        <color theme="1"/>
        <rFont val="Calibri"/>
        <family val="2"/>
        <scheme val="minor"/>
      </rPr>
      <t>Accounts</t>
    </r>
    <r>
      <rPr>
        <sz val="10"/>
        <color theme="1"/>
        <rFont val="Calibri"/>
        <family val="2"/>
        <scheme val="minor"/>
      </rPr>
      <t xml:space="preserve">
  </t>
    </r>
  </si>
  <si>
    <t xml:space="preserve">1.  Validate General Ledger Configuration and that it conforms to company requirements
2.  Ensure that there are no duplicate accounts
3. Ensure that bank accounts are limited to a single subsidiary
  </t>
  </si>
  <si>
    <t>Accounting Periods</t>
  </si>
  <si>
    <r>
      <t xml:space="preserve">1. Setup &gt; Accounting &gt; </t>
    </r>
    <r>
      <rPr>
        <b/>
        <sz val="10"/>
        <color theme="1"/>
        <rFont val="Calibri"/>
        <family val="2"/>
        <scheme val="minor"/>
      </rPr>
      <t>Manage Accounting Periods</t>
    </r>
  </si>
  <si>
    <t>1.  Confirm that accounting periods have been configured</t>
  </si>
  <si>
    <t>Adminstrator</t>
  </si>
  <si>
    <r>
      <t xml:space="preserve">Intercompany Management </t>
    </r>
    <r>
      <rPr>
        <b/>
        <sz val="10"/>
        <color theme="1"/>
        <rFont val="Calibri"/>
        <family val="2"/>
        <scheme val="minor"/>
      </rPr>
      <t>[OW ONLY]</t>
    </r>
  </si>
  <si>
    <r>
      <t xml:space="preserve">1. Setup &gt; Company &gt; Enable Features &gt; Accounting Tab &gt; </t>
    </r>
    <r>
      <rPr>
        <b/>
        <sz val="10"/>
        <color theme="1"/>
        <rFont val="Calibri"/>
        <family val="2"/>
        <scheme val="minor"/>
      </rPr>
      <t>Automated Intercompany Management</t>
    </r>
  </si>
  <si>
    <t>1.  If OneWorld Account, validate Automated Intercompany Management features have been configured</t>
  </si>
  <si>
    <r>
      <t xml:space="preserve">Intercompany Accounts </t>
    </r>
    <r>
      <rPr>
        <b/>
        <sz val="10"/>
        <color theme="1"/>
        <rFont val="Calibri"/>
        <family val="2"/>
        <scheme val="minor"/>
      </rPr>
      <t>[OW ONLY]</t>
    </r>
  </si>
  <si>
    <t>1.  If OneWorld Account, validate intercompany Accounts have been created</t>
  </si>
  <si>
    <r>
      <t xml:space="preserve">Intercompany Customers &amp; Vendors </t>
    </r>
    <r>
      <rPr>
        <b/>
        <sz val="10"/>
        <color theme="1"/>
        <rFont val="Calibri"/>
        <family val="2"/>
        <scheme val="minor"/>
      </rPr>
      <t>[OW ONLY]</t>
    </r>
  </si>
  <si>
    <r>
      <t xml:space="preserve">1. Customers &gt; Lists &gt; </t>
    </r>
    <r>
      <rPr>
        <b/>
        <sz val="10"/>
        <color theme="1"/>
        <rFont val="Calibri"/>
        <family val="2"/>
        <scheme val="minor"/>
      </rPr>
      <t xml:space="preserve">Customers
</t>
    </r>
    <r>
      <rPr>
        <sz val="10"/>
        <color theme="1"/>
        <rFont val="Calibri"/>
        <family val="2"/>
        <scheme val="minor"/>
      </rPr>
      <t xml:space="preserve">2. Vendors &gt; Lists &gt; </t>
    </r>
    <r>
      <rPr>
        <b/>
        <sz val="10"/>
        <color theme="1"/>
        <rFont val="Calibri"/>
        <family val="2"/>
        <scheme val="minor"/>
      </rPr>
      <t>Vendors</t>
    </r>
  </si>
  <si>
    <t>1.  If OneWorld Account, validate intercompany customers and vendors have been created</t>
  </si>
  <si>
    <t>Validate Period Close</t>
  </si>
  <si>
    <t>Review &amp; Validate Period Close Checklist</t>
  </si>
  <si>
    <t>Review Period Close Checklist</t>
  </si>
  <si>
    <r>
      <t xml:space="preserve">1.  Go to Setup &gt; Accounting &gt;  </t>
    </r>
    <r>
      <rPr>
        <b/>
        <sz val="10"/>
        <color theme="1"/>
        <rFont val="Calibri"/>
        <family val="2"/>
        <scheme val="minor"/>
      </rPr>
      <t xml:space="preserve">Manage Accounting Periods
</t>
    </r>
    <r>
      <rPr>
        <sz val="10"/>
        <color theme="1"/>
        <rFont val="Calibri"/>
        <family val="2"/>
        <scheme val="minor"/>
      </rPr>
      <t xml:space="preserve">
2.  Click the </t>
    </r>
    <r>
      <rPr>
        <b/>
        <sz val="10"/>
        <color theme="1"/>
        <rFont val="Calibri"/>
        <family val="2"/>
        <scheme val="minor"/>
      </rPr>
      <t>Checklist Icon</t>
    </r>
    <r>
      <rPr>
        <sz val="10"/>
        <color theme="1"/>
        <rFont val="Calibri"/>
        <family val="2"/>
        <scheme val="minor"/>
      </rPr>
      <t xml:space="preserve"> for a period
3.  Review the tasks in the checklist.  Tasks are listed in the order in which they should be completed. 
4.  To complete a task, click the </t>
    </r>
    <r>
      <rPr>
        <b/>
        <sz val="10"/>
        <color theme="1"/>
        <rFont val="Calibri"/>
        <family val="2"/>
        <scheme val="minor"/>
      </rPr>
      <t xml:space="preserve">Go to Task </t>
    </r>
    <r>
      <rPr>
        <sz val="10"/>
        <color theme="1"/>
        <rFont val="Calibri"/>
        <family val="2"/>
        <scheme val="minor"/>
      </rPr>
      <t xml:space="preserve">icon for the task.
</t>
    </r>
  </si>
  <si>
    <r>
      <t xml:space="preserve">1. Ensure access to </t>
    </r>
    <r>
      <rPr>
        <b/>
        <sz val="10"/>
        <color theme="1"/>
        <rFont val="Calibri"/>
        <family val="2"/>
        <scheme val="minor"/>
      </rPr>
      <t>Period Close Checklist</t>
    </r>
    <r>
      <rPr>
        <sz val="10"/>
        <color theme="1"/>
        <rFont val="Calibri"/>
        <family val="2"/>
        <scheme val="minor"/>
      </rPr>
      <t>.
2. Close prior periods as necessary after historical uploads have been completed.</t>
    </r>
  </si>
  <si>
    <r>
      <t xml:space="preserve">Include: </t>
    </r>
    <r>
      <rPr>
        <b/>
        <sz val="10"/>
        <color rgb="FFFF0000"/>
        <rFont val="Calibri"/>
        <family val="2"/>
        <scheme val="minor"/>
      </rPr>
      <t>Periods Closed [If Applicable]</t>
    </r>
  </si>
  <si>
    <r>
      <t xml:space="preserve">Review Inventory-Related Tasks </t>
    </r>
    <r>
      <rPr>
        <b/>
        <sz val="10"/>
        <color theme="1"/>
        <rFont val="Calibri"/>
        <family val="2"/>
        <scheme val="minor"/>
      </rPr>
      <t>[If Applicable]</t>
    </r>
  </si>
  <si>
    <r>
      <t xml:space="preserve">1.  Go to Setup &gt; Accounting &gt; </t>
    </r>
    <r>
      <rPr>
        <b/>
        <sz val="10"/>
        <color theme="1"/>
        <rFont val="Calibri"/>
        <family val="2"/>
        <scheme val="minor"/>
      </rPr>
      <t>Manage Accounting Periods</t>
    </r>
    <r>
      <rPr>
        <sz val="10"/>
        <color theme="1"/>
        <rFont val="Calibri"/>
        <family val="2"/>
        <scheme val="minor"/>
      </rPr>
      <t xml:space="preserve">
2. If you use the Inventory feature, the checklist may include these inventory tasks:
■ Resolve Date/Period Mismatches
■ Review Negative Inventory
■ Review Inventory Cost Accounting
■ Review Inventory Activity</t>
    </r>
  </si>
  <si>
    <t>1. Ensure access to Inventory-Related tasks if applicable.</t>
  </si>
  <si>
    <r>
      <t xml:space="preserve">Review Multi-Currency -Related Tasks </t>
    </r>
    <r>
      <rPr>
        <b/>
        <sz val="10"/>
        <color theme="1"/>
        <rFont val="Calibri"/>
        <family val="2"/>
        <scheme val="minor"/>
      </rPr>
      <t>[If Applicable]</t>
    </r>
  </si>
  <si>
    <r>
      <t xml:space="preserve">1.  Go to Setup &gt; Accounting &gt;  </t>
    </r>
    <r>
      <rPr>
        <b/>
        <sz val="10"/>
        <color theme="1"/>
        <rFont val="Calibri"/>
        <family val="2"/>
        <scheme val="minor"/>
      </rPr>
      <t>Manage Accounting Periods</t>
    </r>
    <r>
      <rPr>
        <sz val="10"/>
        <color theme="1"/>
        <rFont val="Calibri"/>
        <family val="2"/>
        <scheme val="minor"/>
      </rPr>
      <t xml:space="preserve">
2.  If the account has multiple currencies enabled, click the icon for </t>
    </r>
    <r>
      <rPr>
        <b/>
        <sz val="10"/>
        <color theme="1"/>
        <rFont val="Calibri"/>
        <family val="2"/>
        <scheme val="minor"/>
      </rPr>
      <t>Calculate Consolidated Exchange Rate</t>
    </r>
    <r>
      <rPr>
        <sz val="10"/>
        <color theme="1"/>
        <rFont val="Calibri"/>
        <family val="2"/>
        <scheme val="minor"/>
      </rPr>
      <t xml:space="preserve">s and </t>
    </r>
    <r>
      <rPr>
        <b/>
        <sz val="10"/>
        <color theme="1"/>
        <rFont val="Calibri"/>
        <family val="2"/>
        <scheme val="minor"/>
      </rPr>
      <t>Revalue Open Foreign Currency Balances</t>
    </r>
    <r>
      <rPr>
        <sz val="10"/>
        <color theme="1"/>
        <rFont val="Calibri"/>
        <family val="2"/>
        <scheme val="minor"/>
      </rPr>
      <t>.
3. Click</t>
    </r>
    <r>
      <rPr>
        <b/>
        <sz val="10"/>
        <color theme="1"/>
        <rFont val="Calibri"/>
        <family val="2"/>
        <scheme val="minor"/>
      </rPr>
      <t xml:space="preserve"> Currency Revaluation</t>
    </r>
    <r>
      <rPr>
        <sz val="10"/>
        <color theme="1"/>
        <rFont val="Calibri"/>
        <family val="2"/>
        <scheme val="minor"/>
      </rPr>
      <t xml:space="preserve"> to go to the </t>
    </r>
    <r>
      <rPr>
        <b/>
        <sz val="10"/>
        <color theme="1"/>
        <rFont val="Calibri"/>
        <family val="2"/>
        <scheme val="minor"/>
      </rPr>
      <t>Select Accounts to Revalue</t>
    </r>
    <r>
      <rPr>
        <sz val="10"/>
        <color theme="1"/>
        <rFont val="Calibri"/>
        <family val="2"/>
        <scheme val="minor"/>
      </rPr>
      <t xml:space="preserve"> page and complete this process. 
4. In a NetSuite OneWorld account, you must complete revaluation for each subsidiary. Go to the </t>
    </r>
    <r>
      <rPr>
        <b/>
        <sz val="10"/>
        <color theme="1"/>
        <rFont val="Calibri"/>
        <family val="2"/>
        <scheme val="minor"/>
      </rPr>
      <t>Select Accounts to Revalue</t>
    </r>
    <r>
      <rPr>
        <sz val="10"/>
        <color theme="1"/>
        <rFont val="Calibri"/>
        <family val="2"/>
        <scheme val="minor"/>
      </rPr>
      <t xml:space="preserve"> page to select each subsidiary and complete the task. Depending upon your account, you may revisit this page multiple times. Complete revaluation before closing the period.
5.  If your revaluation is finished, click </t>
    </r>
    <r>
      <rPr>
        <b/>
        <sz val="10"/>
        <color theme="1"/>
        <rFont val="Calibri"/>
        <family val="2"/>
        <scheme val="minor"/>
      </rPr>
      <t xml:space="preserve">Mark Task Complete. </t>
    </r>
    <r>
      <rPr>
        <sz val="10"/>
        <color theme="1"/>
        <rFont val="Calibri"/>
        <family val="2"/>
        <scheme val="minor"/>
      </rPr>
      <t>If you have previously marked this task complete but must do more work, click</t>
    </r>
    <r>
      <rPr>
        <b/>
        <sz val="10"/>
        <color theme="1"/>
        <rFont val="Calibri"/>
        <family val="2"/>
        <scheme val="minor"/>
      </rPr>
      <t xml:space="preserve"> Mark Task In Progress. </t>
    </r>
    <r>
      <rPr>
        <sz val="10"/>
        <color theme="1"/>
        <rFont val="Calibri"/>
        <family val="2"/>
        <scheme val="minor"/>
      </rPr>
      <t>To go back to the checklist page, click</t>
    </r>
    <r>
      <rPr>
        <b/>
        <sz val="10"/>
        <color theme="1"/>
        <rFont val="Calibri"/>
        <family val="2"/>
        <scheme val="minor"/>
      </rPr>
      <t xml:space="preserve"> Cancel.</t>
    </r>
  </si>
  <si>
    <r>
      <t xml:space="preserve">1.  Ensure Access to Multi-Currency Related tasks if applicable.
</t>
    </r>
    <r>
      <rPr>
        <b/>
        <sz val="10"/>
        <color rgb="FFFF0000"/>
        <rFont val="Calibri"/>
        <family val="2"/>
        <scheme val="minor"/>
      </rPr>
      <t>NOTE: You must have the Currency Revaluation permission as well as the Override Period
Restrictions permission to complete this task for the subsidiaries you can access.</t>
    </r>
    <r>
      <rPr>
        <sz val="10"/>
        <color theme="1"/>
        <rFont val="Calibri"/>
        <family val="2"/>
        <scheme val="minor"/>
      </rPr>
      <t xml:space="preserve">
</t>
    </r>
  </si>
  <si>
    <t>Review OW-Related Tasks</t>
  </si>
  <si>
    <r>
      <t xml:space="preserve">1.  Go to Setup &gt; Accounting &gt; </t>
    </r>
    <r>
      <rPr>
        <b/>
        <sz val="10"/>
        <color theme="1"/>
        <rFont val="Calibri"/>
        <family val="2"/>
        <scheme val="minor"/>
      </rPr>
      <t>Manage Accounting Periods</t>
    </r>
    <r>
      <rPr>
        <sz val="10"/>
        <color theme="1"/>
        <rFont val="Calibri"/>
        <family val="2"/>
        <scheme val="minor"/>
      </rPr>
      <t xml:space="preserve">
2.  Click the icon for </t>
    </r>
    <r>
      <rPr>
        <b/>
        <sz val="10"/>
        <color theme="1"/>
        <rFont val="Calibri"/>
        <family val="2"/>
        <scheme val="minor"/>
      </rPr>
      <t xml:space="preserve">Eliminate Intercompany Transactions. </t>
    </r>
    <r>
      <rPr>
        <sz val="10"/>
        <color theme="1"/>
        <rFont val="Calibri"/>
        <family val="2"/>
        <scheme val="minor"/>
      </rPr>
      <t>If no intercompany transactions are performed there shouldn't be any transactions to eliminate.</t>
    </r>
    <r>
      <rPr>
        <b/>
        <sz val="10"/>
        <color theme="1"/>
        <rFont val="Calibri"/>
        <family val="2"/>
        <scheme val="minor"/>
      </rPr>
      <t xml:space="preserve">
3.  </t>
    </r>
    <r>
      <rPr>
        <sz val="10"/>
        <color theme="1"/>
        <rFont val="Calibri"/>
        <family val="2"/>
        <scheme val="minor"/>
      </rPr>
      <t xml:space="preserve">If the account has automated adjustments for intercompany expenses enabled, click the icon for </t>
    </r>
    <r>
      <rPr>
        <b/>
        <sz val="10"/>
        <color theme="1"/>
        <rFont val="Calibri"/>
        <family val="2"/>
        <scheme val="minor"/>
      </rPr>
      <t>Create Intercompany Adjustments.</t>
    </r>
  </si>
  <si>
    <t>1. Ensure access to OW-Related tasks if applicable.</t>
  </si>
  <si>
    <t>Create Journal Entries</t>
  </si>
  <si>
    <t>Create &amp; Approve Journal Entries</t>
  </si>
  <si>
    <t>Enter Journal Entry</t>
  </si>
  <si>
    <r>
      <t>1.  Review the Out of Balance By fields as you enter journal lines. 
2. Journal successfully Saved.
3. Journal Entry status is</t>
    </r>
    <r>
      <rPr>
        <b/>
        <sz val="10"/>
        <color theme="1"/>
        <rFont val="Calibri"/>
        <family val="2"/>
        <scheme val="minor"/>
      </rPr>
      <t xml:space="preserve"> 'Pending Approval'</t>
    </r>
  </si>
  <si>
    <r>
      <t xml:space="preserve">Include: </t>
    </r>
    <r>
      <rPr>
        <b/>
        <sz val="10"/>
        <color rgb="FFFF0000"/>
        <rFont val="Calibri"/>
        <family val="2"/>
        <scheme val="minor"/>
      </rPr>
      <t>Journal Entry Number</t>
    </r>
  </si>
  <si>
    <t>Approve Journal Entry</t>
  </si>
  <si>
    <r>
      <t xml:space="preserve">1. Home Dashboard &gt; Reminders &gt; </t>
    </r>
    <r>
      <rPr>
        <b/>
        <sz val="10"/>
        <color theme="1"/>
        <rFont val="Calibri"/>
        <family val="2"/>
        <scheme val="minor"/>
      </rPr>
      <t>Journal Entries to Approve</t>
    </r>
    <r>
      <rPr>
        <sz val="10"/>
        <color theme="1"/>
        <rFont val="Calibri"/>
        <family val="2"/>
        <scheme val="minor"/>
      </rPr>
      <t xml:space="preserve">
2. Click on</t>
    </r>
    <r>
      <rPr>
        <b/>
        <sz val="10"/>
        <color theme="1"/>
        <rFont val="Calibri"/>
        <family val="2"/>
        <scheme val="minor"/>
      </rPr>
      <t xml:space="preserve"> JE Number</t>
    </r>
    <r>
      <rPr>
        <sz val="10"/>
        <color theme="1"/>
        <rFont val="Calibri"/>
        <family val="2"/>
        <scheme val="minor"/>
      </rPr>
      <t xml:space="preserve"> created in Step 1
3. Review and click </t>
    </r>
    <r>
      <rPr>
        <b/>
        <sz val="10"/>
        <color theme="1"/>
        <rFont val="Calibri"/>
        <family val="2"/>
        <scheme val="minor"/>
      </rPr>
      <t>Approve</t>
    </r>
  </si>
  <si>
    <r>
      <t xml:space="preserve">1. Journal status updated to 'Approved for Posting'
2. Click on Actions &gt; </t>
    </r>
    <r>
      <rPr>
        <b/>
        <sz val="10"/>
        <color theme="1"/>
        <rFont val="Calibri"/>
        <family val="2"/>
        <scheme val="minor"/>
      </rPr>
      <t>GL Impact</t>
    </r>
    <r>
      <rPr>
        <sz val="10"/>
        <color theme="1"/>
        <rFont val="Calibri"/>
        <family val="2"/>
        <scheme val="minor"/>
      </rPr>
      <t xml:space="preserve"> and ensure correct GL impact</t>
    </r>
  </si>
  <si>
    <r>
      <t>Create Intercompany Journal Entry</t>
    </r>
    <r>
      <rPr>
        <b/>
        <sz val="10"/>
        <color rgb="FFFF0000"/>
        <rFont val="Calibri"/>
        <family val="2"/>
        <scheme val="minor"/>
      </rPr>
      <t xml:space="preserve"> [If Applicable]</t>
    </r>
  </si>
  <si>
    <t>Create Intercompany Journal Entry</t>
  </si>
  <si>
    <r>
      <t>1.  Review the Out of Balance By fields as you enter journal lines. 
2. Ensure Exchange Rate field &amp; Currency fields are being set properly based on Subsidiary selected.
3. Journal successfully Saved.
4. Journal Entry status is</t>
    </r>
    <r>
      <rPr>
        <b/>
        <sz val="10"/>
        <color theme="1"/>
        <rFont val="Calibri"/>
        <family val="2"/>
        <scheme val="minor"/>
      </rPr>
      <t xml:space="preserve"> 'Approved for Posting'
</t>
    </r>
    <r>
      <rPr>
        <sz val="10"/>
        <color theme="1"/>
        <rFont val="Calibri"/>
        <family val="2"/>
        <scheme val="minor"/>
      </rPr>
      <t>5. Click on Actions &gt; GL Impact and ensure correct GL impact</t>
    </r>
  </si>
  <si>
    <t>Enter Purchase Order</t>
  </si>
  <si>
    <t>OTHER R2R CONSIDERATIONS - NOTE THE FOLLOWING COMMON ADD-ONS THAT WILL CHANGE THESE BASIC USE CASES: ADVANCED FINANCIALS (STATISTICAL ACCOUNTS &amp; JES, AMORTIZATION, ALLOCATION), INTERCOMPANY TRANSACTIONS, ETC.</t>
  </si>
  <si>
    <t>Manually create a Lead record and then create an Opportunity and Quote.</t>
  </si>
  <si>
    <t>Create and Manage Lead, Opportunity, Quote</t>
  </si>
  <si>
    <t>Create Lead</t>
  </si>
  <si>
    <t>1. Lead successfully saved.
2. Able to edit Lead.</t>
  </si>
  <si>
    <r>
      <t xml:space="preserve">Include: </t>
    </r>
    <r>
      <rPr>
        <b/>
        <sz val="10"/>
        <color rgb="FFFF0000"/>
        <rFont val="Calibri"/>
        <family val="2"/>
        <scheme val="minor"/>
      </rPr>
      <t>Lead Id</t>
    </r>
  </si>
  <si>
    <t>Manage Lead</t>
  </si>
  <si>
    <t>1. Using recent records, edit the new Lead.
Enter the following:
- Add contact
- Add information about initial communications
2. Click Save.</t>
  </si>
  <si>
    <t>1. Updates successfully made and saved.</t>
  </si>
  <si>
    <t>Create Opportunity</t>
  </si>
  <si>
    <t>1. Transaction successfully Saved.
2. Lead from Step 1 is converted to Prospect. 
  A) Return to dashboard and click on Leads - Lead is no longer there
  B) Return to dashboard and click on Prospects - Lead now appears as Prospect</t>
  </si>
  <si>
    <r>
      <t xml:space="preserve">Include: </t>
    </r>
    <r>
      <rPr>
        <b/>
        <sz val="10"/>
        <color rgb="FFFF0000"/>
        <rFont val="Calibri"/>
        <family val="2"/>
        <scheme val="minor"/>
      </rPr>
      <t>Opportunity Number</t>
    </r>
  </si>
  <si>
    <t>Create and Manage Quote</t>
  </si>
  <si>
    <t>1. From either the Opportunity list, turn on the In Line Edit or select Opportunity Review from the top menu, hover the mouse alongside the opportunity under the New column; select New Estimate.  
2. Click Save.</t>
  </si>
  <si>
    <t>1. Verify the correct Customer and Item information has been carried over.
2. Verify the opportunity status is changed to Issued Estimate.
3. Verify the estimate is now listed under Estimates.</t>
  </si>
  <si>
    <r>
      <t xml:space="preserve">Include: </t>
    </r>
    <r>
      <rPr>
        <b/>
        <sz val="10"/>
        <color rgb="FFFF0000"/>
        <rFont val="Calibri"/>
        <family val="2"/>
        <scheme val="minor"/>
      </rPr>
      <t>Quote Number</t>
    </r>
  </si>
  <si>
    <t>Manually convert Quote into a Sales Order, ship order, invoice, and accept customer payment.</t>
  </si>
  <si>
    <t>Create Sales Order, Fulfill, Invoice</t>
  </si>
  <si>
    <t>Validate Taxes are setup</t>
  </si>
  <si>
    <t>Verify or setup the following taxes for testing as appropriate for your business:
-Tax Agencies
-Tax Nexus'
-Tax Control Accounts
-Tax Types
-Tax Codes
-Tax Schedules</t>
  </si>
  <si>
    <t>1. Sales taxes are setup properly for testing during Order to Cash.</t>
  </si>
  <si>
    <t>Update Quote</t>
  </si>
  <si>
    <t xml:space="preserve">1. Transaction successfully created, can be viewed and updated.
2. Sales tax is calculated properly and displays in the Summary box.
3. Shipping cost is properly calculated and reflected in the Summary box.
</t>
  </si>
  <si>
    <t>Convert Quote</t>
  </si>
  <si>
    <t>1. From the Quote record in the above step, click on the Sales Order button. Validate that the Quote information has been carried over to the Sales Order record.
2. Click Save.</t>
  </si>
  <si>
    <t>1. Transaction successfully updated.
2. Sales Order status is Pending Fulfillment.</t>
  </si>
  <si>
    <r>
      <t xml:space="preserve">Include: </t>
    </r>
    <r>
      <rPr>
        <b/>
        <sz val="10"/>
        <color rgb="FFFF0000"/>
        <rFont val="Calibri"/>
        <family val="2"/>
        <scheme val="minor"/>
      </rPr>
      <t>Sales Order Number</t>
    </r>
  </si>
  <si>
    <t>Pick Items</t>
  </si>
  <si>
    <t>1. Navigate to the Shipping tab and click on the Orders to Fulfill link in the Reminders portlet.
2. Locate the Sales Order and click Fulfill.
3. From the Item Fulfillment page, click Save.</t>
  </si>
  <si>
    <t>1. Transaction successfully saved.
2. Item Fulfillment status is Picked.</t>
  </si>
  <si>
    <t>Pack Items</t>
  </si>
  <si>
    <t>1. Navigate to the Shipping dashboard and click the Mark Orders Packed link from the Shipping Links portlet.
2. Click on the Date link for the Sales Order fulfillment from Step 3 to open the transaction record.
3. Click Mark Packed.</t>
  </si>
  <si>
    <t>1. Shipment successfully Packed.
2. Item Fulfillment status is Packed.</t>
  </si>
  <si>
    <t>Ship Items</t>
  </si>
  <si>
    <t>1. Navigate to the Shipping dashboard and click the Mark Orders Shipped link from the Shipping Links portlet.
2. Click on the Date link for the Sales Order fulfillment to open the transaction record.
3. Click Mark Shipped.</t>
  </si>
  <si>
    <t>1. Shipment succesfully Marked Shipped.
2. Item Fulfillment status is Shipped.
3. Shippin notification sent to Customer.
4. Sales Order status is Pending Billing.</t>
  </si>
  <si>
    <t>Invoice Order</t>
  </si>
  <si>
    <t>1. Invoice record is created.
2. Able to find, view, and update invoice.
3. Invoice PDF is created.</t>
  </si>
  <si>
    <r>
      <t xml:space="preserve">Include: </t>
    </r>
    <r>
      <rPr>
        <b/>
        <sz val="10"/>
        <color rgb="FFFF0000"/>
        <rFont val="Calibri"/>
        <family val="2"/>
        <scheme val="minor"/>
      </rPr>
      <t>Invoice Number</t>
    </r>
  </si>
  <si>
    <t>Step 8</t>
  </si>
  <si>
    <t>Process Payment</t>
  </si>
  <si>
    <t>1. Locate the Customer Invoice that was created earlier by typing the invoice number into the Global Search at the top of the page.
2. From the Invoice page, click the Accept Payment button.
3. On the Payment page, ensure that the Invoice is selected at the bottom of the page on the Apply subtab and the correct Payment amount is reflected.
4. Click Save.</t>
  </si>
  <si>
    <t>1. Transaction successfully Saved.
2. Payment record is Deposited.</t>
  </si>
  <si>
    <r>
      <t xml:space="preserve">Include: </t>
    </r>
    <r>
      <rPr>
        <b/>
        <sz val="10"/>
        <color rgb="FFFF0000"/>
        <rFont val="Calibri"/>
        <family val="2"/>
        <scheme val="minor"/>
      </rPr>
      <t>Payment Number</t>
    </r>
  </si>
  <si>
    <t>pass</t>
  </si>
  <si>
    <t>Enter Customer Deposit and Apply</t>
  </si>
  <si>
    <t>Enter and Apply Customer Deposit</t>
  </si>
  <si>
    <t>Record Customer Deposit: Customer Deposit Page</t>
  </si>
  <si>
    <t>1. Customer deposit is saved and can be viewed.
2. Validate GL Impact is accurate.</t>
  </si>
  <si>
    <r>
      <t xml:space="preserve">Include: </t>
    </r>
    <r>
      <rPr>
        <b/>
        <sz val="10"/>
        <color rgb="FFFF0000"/>
        <rFont val="Calibri"/>
        <family val="2"/>
        <scheme val="minor"/>
      </rPr>
      <t>Deposit Number</t>
    </r>
  </si>
  <si>
    <t>Alt 
Step 1</t>
  </si>
  <si>
    <t>Record Customer Deposit: Sales Order</t>
  </si>
  <si>
    <t>1. Upon saving the Sales Order, click the Create Deposit button.
2. Enter the appropriate information.
3. Click Save.
NOTE: Deposits created this way can only be applied to this order.  When you invoice this sales order, the reserved deposit is automatically applied.</t>
  </si>
  <si>
    <t>Apply Customer Deposit When Not Automatically Applied</t>
  </si>
  <si>
    <t>1. Deposit is found.
2. Deposit is applied and invoice amount is reduced by amount applied.
3. Validate GL impact is accurate.</t>
  </si>
  <si>
    <r>
      <t xml:space="preserve">Include: </t>
    </r>
    <r>
      <rPr>
        <b/>
        <sz val="10"/>
        <color rgb="FFFF0000"/>
        <rFont val="Calibri"/>
        <family val="2"/>
        <scheme val="minor"/>
      </rPr>
      <t>Customer, Deposit, and</t>
    </r>
    <r>
      <rPr>
        <sz val="10"/>
        <color rgb="FFFF0000"/>
        <rFont val="Calibri"/>
        <family val="2"/>
        <scheme val="minor"/>
      </rPr>
      <t xml:space="preserve"> </t>
    </r>
    <r>
      <rPr>
        <b/>
        <sz val="10"/>
        <color rgb="FFFF0000"/>
        <rFont val="Calibri"/>
        <family val="2"/>
        <scheme val="minor"/>
      </rPr>
      <t>Invoice Number</t>
    </r>
  </si>
  <si>
    <t>Return to Credit: Customer Return - Credit</t>
  </si>
  <si>
    <t>Customer submits support case to return items. Item is received and credit applied</t>
  </si>
  <si>
    <t>Customer Return - Credit</t>
  </si>
  <si>
    <t>Customer Service</t>
  </si>
  <si>
    <t>Create Case</t>
  </si>
  <si>
    <t>1. Case successfully created and able to be edited and viewed.</t>
  </si>
  <si>
    <r>
      <t xml:space="preserve">Include: </t>
    </r>
    <r>
      <rPr>
        <b/>
        <sz val="10"/>
        <color rgb="FFFF0000"/>
        <rFont val="Calibri"/>
        <family val="2"/>
        <scheme val="minor"/>
      </rPr>
      <t>Case Number</t>
    </r>
  </si>
  <si>
    <t>Create Return</t>
  </si>
  <si>
    <t>1. From the home Dashboard, click on 'Cases to Respond to' from the Reminders portlet.
2. View the case created above. Click on the Invoice/Cash Sale link in the Transaction field.
3. From the Invoice/Cash Sale record, review the record and then click the Aurhorize Return button.
4. On the new Return Authorization page, remove any line items that are not being returned leaving only the items and quantities being returned.
5. Click Save.</t>
  </si>
  <si>
    <t>1. Transaction successfully created.
2. Return Authorization status is Pending Approval.</t>
  </si>
  <si>
    <r>
      <t xml:space="preserve">Include: </t>
    </r>
    <r>
      <rPr>
        <b/>
        <sz val="10"/>
        <color rgb="FFFF0000"/>
        <rFont val="Calibri"/>
        <family val="2"/>
        <scheme val="minor"/>
      </rPr>
      <t>Return Authorization Number</t>
    </r>
  </si>
  <si>
    <t>Approve Return</t>
  </si>
  <si>
    <t>1. From the home Dashboard, click on 'Return Authorizations to Approve' from the Reminders portlet.
2. On the Approve Authorizations list, click the date field/link for the Return Authorization created in Step 2.
3. Review the Return Authorization and click the Approve Return button.</t>
  </si>
  <si>
    <t>1. Return Authorization successfully Approved.
2. Return Authorization status is Pending Receipt.</t>
  </si>
  <si>
    <t>Receive Items</t>
  </si>
  <si>
    <t>1. From the home Dashboard, click on 'Return Authorizations to Receive' from the Reminders portlet.
2. From the Receive Return Authorization list, click the date field/link for the Return Authorization created in Step 2 (Return Authorization page opens).
3. On the Return Authorization page, click the 'Receive' button.
4. On the Item Receipt page, review the record and, if necessary, adjust the Quantity and Location.
5. Click Save.</t>
  </si>
  <si>
    <t>1. Transaction successfully Saved.</t>
  </si>
  <si>
    <t>Credit Return</t>
  </si>
  <si>
    <t>1. On the home Dashboard, click 'Return Authorizations to Refund' from the Reminders portlet.
2. From the Refund Return Authorization list, click the date field/link for the Return Authorization created in Step 2 (Return Authorization page opens).
3. Review the Return Authorization to verify that the line item has been returned (Returned column) and then click the 'Refund' button (Credit Memo page opens).
4. Review the Credit Memo and click Save.</t>
  </si>
  <si>
    <t>1. Transaction successfully Saved.
2. Credit Memo status is Open.</t>
  </si>
  <si>
    <r>
      <t xml:space="preserve">Include: </t>
    </r>
    <r>
      <rPr>
        <b/>
        <sz val="10"/>
        <color rgb="FFFF0000"/>
        <rFont val="Calibri"/>
        <family val="2"/>
        <scheme val="minor"/>
      </rPr>
      <t>Credit Memo Number</t>
    </r>
  </si>
  <si>
    <t>Refund Customer</t>
  </si>
  <si>
    <r>
      <t xml:space="preserve">Include: </t>
    </r>
    <r>
      <rPr>
        <b/>
        <sz val="10"/>
        <color rgb="FFFF0000"/>
        <rFont val="Calibri"/>
        <family val="2"/>
        <scheme val="minor"/>
      </rPr>
      <t>Customer Refund Number</t>
    </r>
  </si>
  <si>
    <t>Return to Credit: Customer Return - Replace</t>
  </si>
  <si>
    <t>Customer submits support case to return items. Item is received and new Sales Order is created for replacement.</t>
  </si>
  <si>
    <t>Customer Return - Replace</t>
  </si>
  <si>
    <t>1. Case successfully created, can be viewed and updated.</t>
  </si>
  <si>
    <t>1. From the home Dashboard, click on 'Cases to Respond to' from the Reminders portlet.
2. View the case created earlier. Click on the Invoice/Cash Sale link in the Transaction field.
3. From the Invoice/Cash Sale record, review the record and then click the Aurhorize Return button.
4. On the new Return Authorization page select 'Received Damaged' under Reason for Return and remove any line items that are not being returned leaving only the items and quantities being returned.
5. Click Save.</t>
  </si>
  <si>
    <t>1. Transaction successfully created, can be viewed and edited.
2. Return Authorization status is Pending Approval.</t>
  </si>
  <si>
    <t>1. From the home Dashboard, click on 'Return Authorizations to Receive' from the Reminders portlet.
2. From the Receive Return Authorization list, click the date field/link for the Return Authorization created earlier (Return Authorization page opens).
3. On the Return Authorization page, click the 'Receive' button.
4. On the Item Receipt page, review the record and, if necessary, adjust the Quantity and Location.
5. Click Save.</t>
  </si>
  <si>
    <r>
      <t xml:space="preserve">1. On the home Dashboard, click 'Return Authorizations to Refund' from the Reminders portlet.
2. From the Refund Return Authorization list, open the Return Authorization created earlier (Return Authorization page opens).
</t>
    </r>
    <r>
      <rPr>
        <sz val="10"/>
        <color rgb="FFFF0000"/>
        <rFont val="Calibri"/>
        <family val="2"/>
        <scheme val="minor"/>
      </rPr>
      <t xml:space="preserve">
</t>
    </r>
    <r>
      <rPr>
        <sz val="10"/>
        <rFont val="Calibri"/>
        <family val="2"/>
        <scheme val="minor"/>
      </rPr>
      <t>3. Verify that the Return requires a replacement by checking that Reason for Return = Received Damaged, then click the Refund button to create a new Credit Memo.</t>
    </r>
    <r>
      <rPr>
        <sz val="10"/>
        <color theme="1"/>
        <rFont val="Calibri"/>
        <family val="2"/>
        <scheme val="minor"/>
      </rPr>
      <t xml:space="preserve">
4. Review the Credit Memo and click Save.</t>
    </r>
  </si>
  <si>
    <t>Create Replacement Order</t>
  </si>
  <si>
    <t>1. From the home Dashboard, click on 'Replacement Orders to enter' from the Reminders portlet. The list displays all Return Authorizations that require a replacement order.
2. From the Return Authorization list, open the Return Authorization created in Step 2 (Return Authorization page opens).
3. Review Return Authorization line items, including quantity and price. Then, create a new replacement Sales Order for the customer. Item, quantity and price should match the item that was returned.
3. Click Save.</t>
  </si>
  <si>
    <t>1. Transaction successfully Saved.
2. Sales Order status is Pending Fulfillment.</t>
  </si>
  <si>
    <t>1. Navigate to the Shipping tab and click on the Orders to Fulfill link in the Reminders portlet.
2. Locate the Sales Order from Step 6 and click Fulfill.
3. From the Item Fulfillment page, click Save.</t>
  </si>
  <si>
    <t>1. Transaction successfully Saved.
2. Item Fulfillment status is Picked.</t>
  </si>
  <si>
    <t>Step 9</t>
  </si>
  <si>
    <t>Step 10</t>
  </si>
  <si>
    <t>Bill Order</t>
  </si>
  <si>
    <t>1. Invoice record is created, can be viewed including on aging report.</t>
  </si>
  <si>
    <t>Step 11</t>
  </si>
  <si>
    <t>1. Locate the Customer Invoice that was created in Step 10 by typing the invoice number into the Global Search at the top of the page.
2. From the Invoice page, click the Accept Payment button.
3. On the Payment page, ensure that the Invoice is selected at the bottom of the page on the Apply subtab in the Invoices sublist.
4. Navigate to the Credits sublist and check 'Apply' next to the Credit Memo created in Step 5.
4. Click Save.</t>
  </si>
  <si>
    <t>1. Transaction successfully Saved.
NOTE: This transaction does not create a Payment record. The activity in this step links the Credit Memo from Step 5 with the Invoice in Step 10.</t>
  </si>
  <si>
    <t xml:space="preserve">Region </t>
  </si>
  <si>
    <t>Manually create vendor.</t>
  </si>
  <si>
    <t>Create Vendor</t>
  </si>
  <si>
    <t>1. Vendor successfully Saved, can be found and updated.</t>
  </si>
  <si>
    <r>
      <t xml:space="preserve">Include: </t>
    </r>
    <r>
      <rPr>
        <b/>
        <sz val="10"/>
        <color rgb="FFFF0000"/>
        <rFont val="Calibri"/>
        <family val="2"/>
        <scheme val="minor"/>
      </rPr>
      <t>Vendor Name</t>
    </r>
  </si>
  <si>
    <r>
      <t xml:space="preserve">Include: </t>
    </r>
    <r>
      <rPr>
        <b/>
        <sz val="10"/>
        <color rgb="FFFF0000"/>
        <rFont val="Calibri"/>
        <family val="2"/>
        <scheme val="minor"/>
      </rPr>
      <t>Purchase Order Number, Vendor, Item</t>
    </r>
  </si>
  <si>
    <t>Receive Purchase Order</t>
  </si>
  <si>
    <t>Bill Purchase Order</t>
  </si>
  <si>
    <t>1. From the home Dashboard, click on 'Purchase Orders to Bill' on the Reminders portlet. Bill Purchase Orders page opens.
2. On the Bill Purchase Orders page, filter the list by selecting the Vendor used in Step 1. Then, click on the Date link for the Purchase Order being billed. The Purchase Order from Step 1 opens in View mode. Click the Bill button.
3. Review the Bill information, including Amount, Date, Posting Period, and Terms. Click Save.</t>
  </si>
  <si>
    <r>
      <t xml:space="preserve">Include: </t>
    </r>
    <r>
      <rPr>
        <b/>
        <sz val="10"/>
        <color rgb="FFFF0000"/>
        <rFont val="Calibri"/>
        <family val="2"/>
        <scheme val="minor"/>
      </rPr>
      <t>Vendor Bill Number</t>
    </r>
  </si>
  <si>
    <t>Pay Bill</t>
  </si>
  <si>
    <r>
      <t xml:space="preserve">Include: </t>
    </r>
    <r>
      <rPr>
        <b/>
        <sz val="10"/>
        <color rgb="FFFF0000"/>
        <rFont val="Calibri"/>
        <family val="2"/>
        <scheme val="minor"/>
      </rPr>
      <t>Bill Payment Number</t>
    </r>
  </si>
  <si>
    <t>Enter Vendor Prepayment</t>
  </si>
  <si>
    <t>Vendor Prepayment</t>
  </si>
  <si>
    <t>Create Holding Account</t>
  </si>
  <si>
    <t>1. Chart of Accounts form opens successfully.
2. Entry of the new account is successful.
3. Account is saved to the chart of accounts.</t>
  </si>
  <si>
    <r>
      <t xml:space="preserve">Include: </t>
    </r>
    <r>
      <rPr>
        <b/>
        <sz val="10"/>
        <color rgb="FFFF0000"/>
        <rFont val="Calibri"/>
        <family val="2"/>
        <scheme val="minor"/>
      </rPr>
      <t>Vendor number</t>
    </r>
  </si>
  <si>
    <t>Write a Check</t>
  </si>
  <si>
    <t>1. Form opens successfully.
2. Entry of the prepayment is successful.
3. Transaction is saved.</t>
  </si>
  <si>
    <r>
      <t xml:space="preserve">Include: </t>
    </r>
    <r>
      <rPr>
        <b/>
        <sz val="10"/>
        <color rgb="FFFF0000"/>
        <rFont val="Calibri"/>
        <family val="2"/>
        <scheme val="minor"/>
      </rPr>
      <t>Check number</t>
    </r>
  </si>
  <si>
    <t>Enter a Vendor Credit</t>
  </si>
  <si>
    <t>1. Form opens successfully.
2. Entry of the credit is successful.
3. Transaction is saved.
4. Validate the new account number created in Step 1 is cleared with a balance of zero.
5. Validate credit on the vendors account.
6. Validate Impact on GL is accurate.</t>
  </si>
  <si>
    <t>Manually create stand alone purchase order, receive items, create vendor bill.</t>
  </si>
  <si>
    <t>Create Purchase Order</t>
  </si>
  <si>
    <t>1. Transaction successfully Saved.
2. Bill status is Open.</t>
  </si>
  <si>
    <t>1. From the home Dashboard, click on 'Bills to Pay' from the Reminders portlet. 
2. On the Bill Payments page, locate the Bill created in Step 3 and click the Bill link to open the Bill in View mode. Click the Make Payment button.
3. On the Bill Payment page, review the information in the header. Then, on the Apply tab verify that the Apply box is checked for the Bill and click Save.</t>
  </si>
  <si>
    <t>1. Bill Payments page opens.
2. Transaction successfully Saved.
3. Vendor Bill status is Paid in Full.
4. Verify the GL Impact.</t>
  </si>
  <si>
    <t>Create purchase order from Order Items page.</t>
  </si>
  <si>
    <t>1. Order Items page opens.
2. Processed Purchase Orders page appears.
3. Status is Complete, a Purchase Order Number is generataed, and Approval Status is Pending Approval or Approved (depending on your configuration).
Note: if pending approval - obtain PO approval before moving to next step.</t>
  </si>
  <si>
    <r>
      <t xml:space="preserve">Include: </t>
    </r>
    <r>
      <rPr>
        <b/>
        <sz val="10"/>
        <color rgb="FFFF0000"/>
        <rFont val="Calibri"/>
        <family val="2"/>
        <scheme val="minor"/>
      </rPr>
      <t>Purchase Order Number</t>
    </r>
  </si>
  <si>
    <t>1. From the home Dashboard, click on 'Orders to Receive' on the Reminders portlet. 
2. On the Receive Order page, locate the Purchase Order created in Step 1 and click Receive. Item Receipt page opens.
3. On the Item Receipt page, review the Item, Quantity, and Location. Once confirmed, click Save.</t>
  </si>
  <si>
    <t>1. Receive Orders page opens.
2. Transaction successfully Saved.
3. Verify GL impact is accurate.</t>
  </si>
  <si>
    <t>1. From the home Dashboard, click on 'Purchase Orders to Bill' on the Reminders portlet. 
2. On the Bill Purchase Orders page, filter the list by selecting the Vendor used in Step 1. Then, click on the Date link for the Purchase Order being billed. Click the Bill button.
3. Review the Bill information, including Amount, Date, Posting Period, and Terms. Click Save.</t>
  </si>
  <si>
    <t>1. Bill Purchase Orders page opens.
2. Transaction successfully Saved.
3. Bill status is Open.
4. Verify GL impact is accurate.</t>
  </si>
  <si>
    <t>1. Bill Payments page opens.
2. Transaction successfully Saved.
3. Vendor Bill status is Paid in Full.
4. Verify the GL Impact is accurate.</t>
  </si>
  <si>
    <t>Return to Debit: Vendor Return with Fulfillment</t>
  </si>
  <si>
    <t>Manually create a Vendor Return from a Vendor Bill.</t>
  </si>
  <si>
    <t>Vendor Return with Item Fulfillment</t>
  </si>
  <si>
    <t>Create Vendor Return Authorization</t>
  </si>
  <si>
    <t>1. Transaction successfully Saved.
2. Screen returns to the Vendor Bill.</t>
  </si>
  <si>
    <t>Ship Vendor Return Authorization</t>
  </si>
  <si>
    <t>1. Ship Vendor Return Authorization form opens.
2. Vendor Return Authorization opens in View mode.
3. Transaction successfully Saved.
4. Verify GL impact is accurate.</t>
  </si>
  <si>
    <t>Credit Vendor Return</t>
  </si>
  <si>
    <t>1. From the Home Dashboard, click on Vendor Return Authorizations to Refund on the Reminders portlet. Refund 
2. Click on the Date link next to the Return created in Step 1. 
3. Click the Refund button. Bill Credit page opens.
4. Review the Bill Credit information and click Save.</t>
  </si>
  <si>
    <t>1. Vendor Return Authorization form opens.
2. Vendor Return Authorization opens in View mode.
3. Transaction successfully Saved.
4. Verify GL impact is accurate.</t>
  </si>
  <si>
    <r>
      <t xml:space="preserve">Include: </t>
    </r>
    <r>
      <rPr>
        <b/>
        <sz val="10"/>
        <color rgb="FFFF0000"/>
        <rFont val="Calibri"/>
        <family val="2"/>
        <scheme val="minor"/>
      </rPr>
      <t>Bill Credit Number</t>
    </r>
  </si>
  <si>
    <t>Step 4 (Optional)</t>
  </si>
  <si>
    <t>Manage Vendor Refund: Deposit</t>
  </si>
  <si>
    <t>Optional Step - This step should be used if Vendor provides a refund.
1. Navigate to Financial &gt; Banking &gt; Maked Deposits. 
2. In the header section of the page, enter the following:
     - Account: Select a cash account to deposit the refund
     - Memo: Refund for R2C01
3. On the Deposits tab, select the Other Deposits sublist and enter the following onto the first line:
     - Name: Select Vendor used in the Vendor Return
     - Amount: Enter the amount from the Vendor Credit (Step 3)
     - Account: Select the Accounts Payable account from Step 3
     - Payment Method: Check
     - Number: Enter a fictional check number
4. Click Add on the line.
5. Click Save.</t>
  </si>
  <si>
    <t>1. Deposit form opens.
2. Transaction successfully Saved.
3. Verify GL impact is accurate.</t>
  </si>
  <si>
    <t>Step 5 (Optional)</t>
  </si>
  <si>
    <t>Manage Vendor Refund: Associate Credit to Deposit</t>
  </si>
  <si>
    <t>Optional Step - This step should follow Step 4 only if Vendor provides a refund.
1. Navigate to Vendors &gt; Accounts Payable &gt; Pay Single Vendor.
2. On the Bill Payment page, click the Apply check box next to the Bill Credit from Step 3 and Deposit from Step 3.
3. Click Save.</t>
  </si>
  <si>
    <t>1. Transaction successfully Saved
2. Bill Credit from Step 3 is applied.
3. Verify GL impact is accurate.</t>
  </si>
  <si>
    <t>Manually set up and execute an email campaign.</t>
  </si>
  <si>
    <t>Manage Campaigns</t>
  </si>
  <si>
    <t>Set up Template</t>
  </si>
  <si>
    <t>1. Navigate to Campaigns &gt; Marketing &gt; Marketing Templates &gt; New. 
2. Click on Campaign.
3. Select a Blank template layout.
4. Enter a Name and Description in the header section of the template.
5. On the Template subtab, enter the following:
     - Subject: &lt;subject line of the email message&gt;
     - In the Message area, type a short fictional marketing message. 
     **To insert a field in the template, select the record type in the Field Type dropdown, and select a field in the Insert Field dropdown.
6. Click Save.</t>
  </si>
  <si>
    <t>1. Select Type page appears.
2. Campaign Email Template (Scriptable) successfully saved and able to find.
3. Campaing Template appears in list.</t>
  </si>
  <si>
    <r>
      <t xml:space="preserve">Include: </t>
    </r>
    <r>
      <rPr>
        <b/>
        <sz val="10"/>
        <color rgb="FFFF0000"/>
        <rFont val="Calibri"/>
        <family val="2"/>
        <scheme val="minor"/>
      </rPr>
      <t>Campaign Template Name</t>
    </r>
  </si>
  <si>
    <t>Set Up Groups (Dynamic): Validate Customer</t>
  </si>
  <si>
    <t>1. Customer successfully saved and viewable.</t>
  </si>
  <si>
    <r>
      <t xml:space="preserve">Include: </t>
    </r>
    <r>
      <rPr>
        <b/>
        <sz val="10"/>
        <color rgb="FFFF0000"/>
        <rFont val="Calibri"/>
        <family val="2"/>
        <scheme val="minor"/>
      </rPr>
      <t>Customer Name</t>
    </r>
  </si>
  <si>
    <t>Set Up Groups (Dynamic): Create Saved Search</t>
  </si>
  <si>
    <t>1. Results of Saved Search are displayed, including Customer from Step above.</t>
  </si>
  <si>
    <r>
      <t xml:space="preserve">Include: </t>
    </r>
    <r>
      <rPr>
        <b/>
        <sz val="10"/>
        <color rgb="FFFF0000"/>
        <rFont val="Calibri"/>
        <family val="2"/>
        <scheme val="minor"/>
      </rPr>
      <t>Saved Search Name</t>
    </r>
  </si>
  <si>
    <t>Set Up Groups (Dynamic)</t>
  </si>
  <si>
    <t>1. Group successfully Saved.
2. Group members are displayed in the list.</t>
  </si>
  <si>
    <r>
      <t xml:space="preserve">Include: </t>
    </r>
    <r>
      <rPr>
        <b/>
        <sz val="10"/>
        <color rgb="FFFF0000"/>
        <rFont val="Calibri"/>
        <family val="2"/>
        <scheme val="minor"/>
      </rPr>
      <t>Dynamic Customer Group Name</t>
    </r>
  </si>
  <si>
    <t>Set Up Promotions</t>
  </si>
  <si>
    <t>1. Promotion successfully saved, viewable, and can be updated.</t>
  </si>
  <si>
    <r>
      <t xml:space="preserve">Include: </t>
    </r>
    <r>
      <rPr>
        <b/>
        <sz val="10"/>
        <color rgb="FFFF0000"/>
        <rFont val="Calibri"/>
        <family val="2"/>
        <scheme val="minor"/>
      </rPr>
      <t>Promotion Name</t>
    </r>
  </si>
  <si>
    <t>Set Up Campaign</t>
  </si>
  <si>
    <t>1. Navigate to Campaigns &gt; Marketing &gt; Marketing Campaigns &gt; New. New Marketing Campaign screen opens.
2. Enter the following values:
     - Title: M2R01_Campaign
     - Category: Email
     - Set a Base Cost
     - Set an Expected Revenue
     - Promotion Code: M2R01_promotion
3. From the Events subtab, enter an Email campaign with the following values:
     - Target Group: M2R01_group
     - Template: M2R01_template
     - Subscription: Marketing
     - Channel: Email
     - Status:Execute
     - Date: Current date (default)
     - Promotion: M2E01_promotion
4. Click Add.
5. Click Save.</t>
  </si>
  <si>
    <t>1. Campaign successfully saved and can be used.</t>
  </si>
  <si>
    <r>
      <t xml:space="preserve">Include: </t>
    </r>
    <r>
      <rPr>
        <b/>
        <sz val="10"/>
        <color rgb="FFFF0000"/>
        <rFont val="Calibri"/>
        <family val="2"/>
        <scheme val="minor"/>
      </rPr>
      <t>Marketing Campaign Name</t>
    </r>
  </si>
  <si>
    <t>Execute Campaign</t>
  </si>
  <si>
    <t>1. With the Status set to Execute, the Campaign will automatically run.
2. After the Campaign has executed, navigate to the Marketing Campaign record and view the Statistics tab to see the results.</t>
  </si>
  <si>
    <t>1. Statistics displays metrics for the Campaign.</t>
  </si>
  <si>
    <t>Manually enter a new support case.</t>
  </si>
  <si>
    <t>Create New Case</t>
  </si>
  <si>
    <t>1. Case successfully saved, can be viewed, and updated.</t>
  </si>
  <si>
    <t>Manually update existing support case.</t>
  </si>
  <si>
    <t>Update Case</t>
  </si>
  <si>
    <t>1. Case successfully Saved.
2. Case does not appear in list below.</t>
  </si>
  <si>
    <t>AOC Supply Chain Manager</t>
  </si>
  <si>
    <t>1. Go To Shipping &gt; Lists &gt; Items &gt; New
2. Click on Inventory Item to select the type of item.  
3. Enter the following information:
     - Item Name/Number (on page header)
     - Display Name/Code (on page header)
     - Replenishment Method (on Inventory tab)
     - Transfer Ship Price (on Inventory tab)
     - List Price - Qty 0 column (on Pricing tab)
4. Record your entry details.
5. Click Save.</t>
  </si>
  <si>
    <t>1. Go To Inventory &gt; Inventory &gt; Adjust Inventory
2. Enter required information.
3. In the header section of the page, select an Adjustment Account (this is typically an expense account).
3. On the Adjustments tab select an Item, select a valid location, and enter
     - Adjust Qty. By a number
     - Unit Cost
4. Click the Add button on the line.
5. Click Save.</t>
  </si>
  <si>
    <t>1. Go To Inventory &gt; Inventory &gt; Enter Transfer Orders
2. In the primary section of the page, select the Source Location and Destination Location.
3. On the Items tab select the Item and enter Quantity to be transfered.
4. Click the Add button.
5. Click Save.</t>
  </si>
  <si>
    <t>1. Go To Shipping &gt; Shipping &gt; Fulfill Orders
2. On the Fulfill Orders page set Transaction Type to 'Transfer Order' and the Bulk Fulfill from Location to the Source Location from Step 1.
3. Click the Fulfill link for the Transfer Order created from Step 1. 
4. On the Item Fulfillment page, set Status = Shipped. Click Save.</t>
  </si>
  <si>
    <t>AOC Warehouse Operations</t>
  </si>
  <si>
    <t xml:space="preserve">1. Go To Receiving &gt; Receiving &gt; Receive Orders
2. On the Receive Orders page click the Receive link for the Transfer Order created from Step 1. 
4. On the Item Receipt page, click Save.
</t>
  </si>
  <si>
    <t>AOC Accountant</t>
  </si>
  <si>
    <r>
      <t xml:space="preserve">1.  Go to Transactions &gt; Financial &gt;  </t>
    </r>
    <r>
      <rPr>
        <b/>
        <sz val="10"/>
        <color theme="1"/>
        <rFont val="Calibri"/>
        <family val="2"/>
        <scheme val="minor"/>
      </rPr>
      <t xml:space="preserve">Make Journal Entries
</t>
    </r>
    <r>
      <rPr>
        <sz val="10"/>
        <color theme="1"/>
        <rFont val="Calibri"/>
        <family val="2"/>
        <scheme val="minor"/>
      </rPr>
      <t>2</t>
    </r>
    <r>
      <rPr>
        <b/>
        <sz val="10"/>
        <color theme="1"/>
        <rFont val="Calibri"/>
        <family val="2"/>
        <scheme val="minor"/>
      </rPr>
      <t xml:space="preserve">. </t>
    </r>
    <r>
      <rPr>
        <sz val="10"/>
        <color theme="1"/>
        <rFont val="Calibri"/>
        <family val="2"/>
        <scheme val="minor"/>
      </rPr>
      <t>On the new</t>
    </r>
    <r>
      <rPr>
        <b/>
        <sz val="10"/>
        <color theme="1"/>
        <rFont val="Calibri"/>
        <family val="2"/>
        <scheme val="minor"/>
      </rPr>
      <t xml:space="preserve"> Journal Entry </t>
    </r>
    <r>
      <rPr>
        <sz val="10"/>
        <color theme="1"/>
        <rFont val="Calibri"/>
        <family val="2"/>
        <scheme val="minor"/>
      </rPr>
      <t>page enter the following in the header section of the page:</t>
    </r>
    <r>
      <rPr>
        <b/>
        <sz val="10"/>
        <color theme="1"/>
        <rFont val="Calibri"/>
        <family val="2"/>
        <scheme val="minor"/>
      </rPr>
      <t xml:space="preserve">
     - Subsidiary
     - Memo: </t>
    </r>
    <r>
      <rPr>
        <sz val="10"/>
        <color theme="1"/>
        <rFont val="Calibri"/>
        <family val="2"/>
        <scheme val="minor"/>
      </rPr>
      <t xml:space="preserve">UAT Case R2R06 
3. Enter balancing Journal Entry lines. Enter the following info for each line.
     - </t>
    </r>
    <r>
      <rPr>
        <b/>
        <sz val="10"/>
        <color theme="1"/>
        <rFont val="Calibri"/>
        <family val="2"/>
        <scheme val="minor"/>
      </rPr>
      <t>Account</t>
    </r>
    <r>
      <rPr>
        <sz val="10"/>
        <color theme="1"/>
        <rFont val="Calibri"/>
        <family val="2"/>
        <scheme val="minor"/>
      </rPr>
      <t xml:space="preserve">
     - </t>
    </r>
    <r>
      <rPr>
        <b/>
        <sz val="10"/>
        <color theme="1"/>
        <rFont val="Calibri"/>
        <family val="2"/>
        <scheme val="minor"/>
      </rPr>
      <t>Debit or Credit Amount
     - Department, Class and/or Location</t>
    </r>
    <r>
      <rPr>
        <sz val="10"/>
        <color theme="1"/>
        <rFont val="Calibri"/>
        <family val="2"/>
        <scheme val="minor"/>
      </rPr>
      <t xml:space="preserve">
4.  Click </t>
    </r>
    <r>
      <rPr>
        <b/>
        <sz val="10"/>
        <color theme="1"/>
        <rFont val="Calibri"/>
        <family val="2"/>
        <scheme val="minor"/>
      </rPr>
      <t>Save.</t>
    </r>
  </si>
  <si>
    <r>
      <t xml:space="preserve">1.  Transactions &gt; Financial &gt; </t>
    </r>
    <r>
      <rPr>
        <b/>
        <sz val="10"/>
        <color theme="1"/>
        <rFont val="Calibri"/>
        <family val="2"/>
        <scheme val="minor"/>
      </rPr>
      <t>Make Advanve Intercompany</t>
    </r>
    <r>
      <rPr>
        <sz val="10"/>
        <color theme="1"/>
        <rFont val="Calibri"/>
        <family val="2"/>
        <scheme val="minor"/>
      </rPr>
      <t xml:space="preserve"> </t>
    </r>
    <r>
      <rPr>
        <b/>
        <sz val="10"/>
        <color theme="1"/>
        <rFont val="Calibri"/>
        <family val="2"/>
        <scheme val="minor"/>
      </rPr>
      <t>Journal Entries</t>
    </r>
    <r>
      <rPr>
        <sz val="10"/>
        <color theme="1"/>
        <rFont val="Calibri"/>
        <family val="2"/>
        <scheme val="minor"/>
      </rPr>
      <t xml:space="preserve">
2. On the new Journal Entry page enter the following in the header section of the page:
     - </t>
    </r>
    <r>
      <rPr>
        <b/>
        <sz val="10"/>
        <color theme="1"/>
        <rFont val="Calibri"/>
        <family val="2"/>
        <scheme val="minor"/>
      </rPr>
      <t>Subsidiary</t>
    </r>
    <r>
      <rPr>
        <sz val="10"/>
        <color theme="1"/>
        <rFont val="Calibri"/>
        <family val="2"/>
        <scheme val="minor"/>
      </rPr>
      <t>: select the subsidiary initiating the ledger transaction
     -</t>
    </r>
    <r>
      <rPr>
        <b/>
        <sz val="10"/>
        <color theme="1"/>
        <rFont val="Calibri"/>
        <family val="2"/>
        <scheme val="minor"/>
      </rPr>
      <t>To Subsidiary</t>
    </r>
    <r>
      <rPr>
        <sz val="10"/>
        <color theme="1"/>
        <rFont val="Calibri"/>
        <family val="2"/>
        <scheme val="minor"/>
      </rPr>
      <t xml:space="preserve">: choose the second subsidiary for this ledger transaction
     - </t>
    </r>
    <r>
      <rPr>
        <b/>
        <sz val="10"/>
        <color theme="1"/>
        <rFont val="Calibri"/>
        <family val="2"/>
        <scheme val="minor"/>
      </rPr>
      <t>Memo</t>
    </r>
    <r>
      <rPr>
        <sz val="10"/>
        <color theme="1"/>
        <rFont val="Calibri"/>
        <family val="2"/>
        <scheme val="minor"/>
      </rPr>
      <t xml:space="preserve">: UAT Case R2R07 
3. Enter balancing Journal Entry lines. Enter the following info for each line.
     - </t>
    </r>
    <r>
      <rPr>
        <b/>
        <sz val="10"/>
        <color theme="1"/>
        <rFont val="Calibri"/>
        <family val="2"/>
        <scheme val="minor"/>
      </rPr>
      <t>Account</t>
    </r>
    <r>
      <rPr>
        <sz val="10"/>
        <color theme="1"/>
        <rFont val="Calibri"/>
        <family val="2"/>
        <scheme val="minor"/>
      </rPr>
      <t xml:space="preserve">
     - </t>
    </r>
    <r>
      <rPr>
        <b/>
        <sz val="10"/>
        <color theme="1"/>
        <rFont val="Calibri"/>
        <family val="2"/>
        <scheme val="minor"/>
      </rPr>
      <t>Debit or Credit Amount</t>
    </r>
    <r>
      <rPr>
        <sz val="10"/>
        <color theme="1"/>
        <rFont val="Calibri"/>
        <family val="2"/>
        <scheme val="minor"/>
      </rPr>
      <t xml:space="preserve">
     - </t>
    </r>
    <r>
      <rPr>
        <b/>
        <sz val="10"/>
        <color theme="1"/>
        <rFont val="Calibri"/>
        <family val="2"/>
        <scheme val="minor"/>
      </rPr>
      <t>Department, Class and/or Location</t>
    </r>
    <r>
      <rPr>
        <sz val="10"/>
        <color theme="1"/>
        <rFont val="Calibri"/>
        <family val="2"/>
        <scheme val="minor"/>
      </rPr>
      <t xml:space="preserve">
4.  Click </t>
    </r>
    <r>
      <rPr>
        <b/>
        <sz val="10"/>
        <color theme="1"/>
        <rFont val="Calibri"/>
        <family val="2"/>
        <scheme val="minor"/>
      </rPr>
      <t>Save.</t>
    </r>
  </si>
  <si>
    <t>1. Go To Leads &gt; Relationship &gt; Leads
Enter the following:
- Customer ID 
- Select Type = Company
- Company Name
- Select Sales Rep
- Email
2. Click Save.</t>
  </si>
  <si>
    <t>1. Go To Opportunities &gt; Transactions &gt; Opportunities
Enter the following:
- Company (select the Lead from Step 1)
- Add a line item to the Items tab either individual line or multiple items by clicking the Add Multiple button (select an item with Available quantity).
2. Click Save.</t>
  </si>
  <si>
    <t>AOC Sales Manager</t>
  </si>
  <si>
    <t>1. 1. Go To Opportunities &gt; Transactions &gt; Quotes &gt; List and click Edit next to an open Quote (status = Open).
2. From the Shipping tab, select a Shipping Carrier and Shipping method. Then, click the calculator button next to the Shipping Cost field to calculate the shipping cost.
3. Click Save.
4. Edit the customer to be taxable and have an appropriate address based upon the tax setup above.
NOTE: If possible, selecte a quote from Lead to Quote scenario L2Q01 with line items that have available inventory.</t>
  </si>
  <si>
    <t>1. Navigate to Billing &gt; Sales &gt; Invoice Sales Orders.
2. Locate the Sales Order from the list on the Bill Sales Order page and click the Invoice link.
3. On the Invoice page, validate the information and click Save &amp; Print.</t>
  </si>
  <si>
    <t>1. Navigate to Customers &gt; Other Transactions &gt; Customer Deposits.
2. Enter/Select primary information:
   - Customer or Project
   - Payment Amount
   - Bank Account or Undep. Funds
   - Classifications
   - Payment Method
3. Click Save.</t>
  </si>
  <si>
    <t>1. Navigate to Customers &gt; Accounts Receivable &gt; Record Customer Deposits &gt; List.
2. Click view next to the deposit to be applied.
3. Click apply on the customer deposit page.
4. Enter/Select required information and data pertaining to your business requirements.
5. Click the apply box next to the invoices you want to apply the deposit against (up to the total amount of the deposit).
6. Click save.</t>
  </si>
  <si>
    <t>1. 1. Navigate to Receiving &gt; Lists &gt; Vendors &gt; New.
2. On the new Vendor page enter the mandatory fields in the header section and fields important to your business and this specific transaction.
3. On the Address tab, click the pencil icon in the Edit column to open the new address window. Complete address fields and click the OK button to close the new Address window. Click the Add button on the line.
4. Click Save.</t>
  </si>
  <si>
    <t>AOC AR Analyst</t>
  </si>
  <si>
    <t>1. Navigate to Customers &gt; Customer Service &gt; Cases.
2. Enter the following information:
     - Subject: Return for order in previous test  
     - Company (use company from Sales Order scenatio)
     - Item (select item from Sales Order scenario O2C01)
     - Invoice (select Invoice/Cash Sale record from previous test
     - Origin: Phone
     - Message (type a short message about the return for the Sales Rep to view)
3. Click Save.</t>
  </si>
  <si>
    <t>1. Navigate to Transactions &gt; Customer &gt; Issue Customer Refunds.
2. On the Customer Refund page, click on the Refund Method tab and select Refund Method = Check.
3. Click Save.</t>
  </si>
  <si>
    <t>1. Navigate to Customers &gt; Customer Service &gt; Cases.
2. Enter the following information:
     - Company (use company from earlier sale 
     - Subject: Return for earlier test scenario
     - Item (select item from earlier test
     - Invoice (select Invoice/Cash Sale record in earlier test)
     - Origin: Phone
     - Type: Damaged/Replace
     - Message (type a short message about the return for the Sales Rep to view)
3. Click Save.</t>
  </si>
  <si>
    <t>1. Navigate to Shipping &gt; Shipping &gt; Mark Orders Packed.
2. Click on the Date link for the Sales Order fulfillment from Step 3 to open the transaction record.
3. Click Mark Packed.</t>
  </si>
  <si>
    <t>1. Navigate to Shipping &gt; Shipping &gt; Mark Orders Shipped
2. Click on the Date link for the Sales Order fulfillment from Step 4 to open the transaction record.
3. Click Mark Shipped.</t>
  </si>
  <si>
    <t>1. From the Home dashboard, click on the Sales Orders to Invoice reminder.
2. Locate the Sales Order from the list on the Bill Sales Order page and click the Invoice link.
3. On the Invoice page, navigate to the Activities tab and uncheck To Be Printed, To Be Faxed, or To Be Emailed to avoid sending the Invoice to the Customer. Then, validate the information and click Save.</t>
  </si>
  <si>
    <t>1. Navigate to List &gt; Accounting &gt; Accounts &gt; New.
2. Enter Other Current Asset in the type field.
3. If using account numbers, enter a number in the number field.
4. Enter a name in the name field; for example Temporary Holding.
5. Click Save.</t>
  </si>
  <si>
    <t>1. Navigate to Vendors &gt; Account Payable &gt; Enter Vendor Credits.
2. Select the vendor used in the steps above.
3. Navigate to the Expenses subtab and select the account number added in step 1.
4. Enter the prepayment amount in the amount column.
5. Click Add.
6. Click Save.
Note: When you receive the bill from the vendor, you can apply this credit.</t>
  </si>
  <si>
    <t>1. Navigate to Vendors &gt; Purchases &gt; Write Checks.
2. Select Vendor in the payee field.
3. Navigate to the Expenses subtab and in the Account column select the new account created above.
4. Enter the amount for the prepayment in the amount field.
5. Include any additional notes in the memo field.
6. Click Add.
7. Click Save.</t>
  </si>
  <si>
    <t>AOC AP Analyst</t>
  </si>
  <si>
    <t>1. Go To Receiving &gt; Receiving &gt; Enter Purchase Order.
2. In the header section of the new Purchase Order page enter the required fields and information pertaining to your business.
3. On the Items tab, select an Item, Location, and enter Quantity. Click the Add button on the line.
4. Click Save.
NOTE: the Purchase Order status may be Pending Approval or Pending Receipt depending on your configuration.</t>
  </si>
  <si>
    <t>1. Go To Inventory &gt; Inventory &gt; Order Items.
2. On the Order Items page, select the Location where the order will be received. In the item list below, check the box for the item you plan to order.
3. Click Submit. 
4. Click Refresh until the Status is Complete.</t>
  </si>
  <si>
    <t>1. Locate a the Vendor Bill by entering the bill number into the Global Search and clicking on the transaction.
2. Click the Aurhoize Return button.
3. On the Vendor Return Authorization page, review the information and click Save.</t>
  </si>
  <si>
    <t>1. From the Home Dashboard, click on Vendor Returns to Ship on the Reminders portlet. 
2. Click on the Date link next to the Return created in Step 1. 
3. Click the Return button. Item Fulfillment page opens.
4. Review the Item Fulfillment information and click Save.</t>
  </si>
  <si>
    <t>1. Go To Customers &gt; Customer Service &gt; Cases
2. Enter the following information:
     - Company (use company from Sales Order scenatio)
     - Subject: Call to Resolution
     - Origin: Phone
     - Type: Question
     - Assigned To: Select your name
     - Message: Customer had a billing question.
3. Click Save.</t>
  </si>
  <si>
    <t>1. From the home Dashboard, click Cases to Respond Do from the Reminders portlet.
2. On the Case Search page, click Edit next to the Case.
3. Enter the following information:
     - Status: Closed
     - Close Reason: 100% Answered
     - Reply: Bill due at end of month.
     - Send to Customer: Checked
4. Click Save.</t>
  </si>
  <si>
    <t>AOC Marketing Coordinator</t>
  </si>
  <si>
    <t>Ensure that you have at least one Customer with criteria for your Group.
1. Navigate to a fictional Customer account and Click Edit.
2. On the Marketing subtab of the Customer record, click on the Subscriptions sublist.
3. Click the Subscribed box next to Marketing.
4. Click Save.</t>
  </si>
  <si>
    <t>Create a Saved Search to define the Group criteria:
1. Navigate to Campaigns &gt; Other &gt; Saved Searches &gt; New.
2. On the New Saved Search page click Customer.
3. On the Saved Customer Search page, rename the Search.
4. On the Criteria tab, select the following filter:
     - Subscription is Marketing
5. Click Save &amp; Run.</t>
  </si>
  <si>
    <t>1. Navigate to Campaigns &gt; Marketing &gt; Groups &gt; New.
2. On the Create Group page, select Dynamic and Customer. Click Continue.
3. On Create Dynamic Customer Group, enter the name in the Name field. In the Saved Search box, select the Saved Search created in Step 3.
4. Click Save.</t>
  </si>
  <si>
    <t>1. Go To Campaigns &gt; Marketing &gt; Promotions.
2. Click New Promotion.
3. Click Order-Based Promotions. Promotion page appears.
4. Enter the promotion  in the Promotion Name field. Select a Discount Item. (Other fields are optional)
5. On the Codes subtab, select Number of Uses = Multiple Uses. Enter M2R01 in the Coupon Code field.
6. On the Eligibility subtab, select the Order sublist. In the Add Order Criteria box, select Set Order Total and enter $100 USD minimum purchase. Click Save.
7. On the Discount subtab, select New Order Discount from the Add Order Discount box. Enter 25% and click Save to close the dialogue box.
8. Click Save.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</si>
</sst>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1"/>
      <color theme="1"/>
      <name val="Calibri"/>
      <family val="2"/>
      <scheme val="minor"/>
    </font>
    <font>
      <b/>
      <sz val="14"/>
      <color theme="0"/>
      <name val="Calibri"/>
      <family val="2"/>
      <scheme val="minor"/>
    </font>
    <font>
      <sz val="10"/>
      <color theme="1"/>
      <name val="Calibri"/>
      <family val="2"/>
      <scheme val="minor"/>
    </font>
    <font>
      <b/>
      <sz val="10"/>
      <color rgb="FFFF0000"/>
      <name val="Calibri"/>
      <family val="2"/>
      <scheme val="minor"/>
    </font>
    <font>
      <sz val="10"/>
      <color rgb="FFFF0000"/>
      <name val="Calibri"/>
      <family val="2"/>
      <scheme val="minor"/>
    </font>
    <font>
      <sz val="10"/>
      <name val="Calibri"/>
      <family val="2"/>
      <scheme val="minor"/>
    </font>
    <font>
      <b/>
      <sz val="12"/>
      <color theme="1"/>
      <name val="Calibri"/>
      <family val="2"/>
      <scheme val="minor"/>
    </font>
    <font>
      <i/>
      <sz val="11"/>
      <color theme="1"/>
      <name val="Calibri"/>
      <family val="2"/>
      <scheme val="minor"/>
    </font>
    <font>
      <b/>
      <sz val="10"/>
      <color theme="1"/>
      <name val="Calibri"/>
      <family val="2"/>
      <scheme val="minor"/>
    </font>
    <font>
      <b/>
      <sz val="14"/>
      <color rgb="FFFF0000"/>
      <name val="Calibri"/>
      <family val="2"/>
      <scheme val="minor"/>
    </font>
    <font>
      <sz val="11"/>
      <color rgb="FF0070C0"/>
      <name val="Calibri"/>
      <family val="2"/>
      <scheme val="minor"/>
    </font>
    <font>
      <sz val="10"/>
      <color rgb="FF0070C0"/>
      <name val="Calibri"/>
      <family val="2"/>
      <scheme val="minor"/>
    </font>
  </fonts>
  <fills count="5">
    <fill>
      <patternFill patternType="none"/>
    </fill>
    <fill>
      <patternFill patternType="gray125"/>
    </fill>
    <fill>
      <patternFill patternType="solid">
        <fgColor theme="8"/>
        <bgColor indexed="64"/>
      </patternFill>
    </fill>
    <fill>
      <patternFill patternType="solid">
        <fgColor theme="0" tint="-0.249977111117893"/>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s>
  <cellStyleXfs count="1">
    <xf numFmtId="0" fontId="0" fillId="0" borderId="0"/>
  </cellStyleXfs>
  <cellXfs count="64">
    <xf numFmtId="0" fontId="0" fillId="0" borderId="0" xfId="0"/>
    <xf numFmtId="0" fontId="0" fillId="0" borderId="0" xfId="0" applyAlignment="1">
      <alignment horizontal="center"/>
    </xf>
    <xf numFmtId="0" fontId="0" fillId="0" borderId="0" xfId="0" applyAlignment="1">
      <alignment wrapText="1"/>
    </xf>
    <xf numFmtId="0" fontId="1" fillId="3" borderId="1" xfId="0" applyFont="1"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xf numFmtId="0" fontId="3" fillId="0" borderId="1" xfId="0" applyFont="1" applyBorder="1" applyAlignment="1">
      <alignment vertical="center" wrapText="1"/>
    </xf>
    <xf numFmtId="0" fontId="3" fillId="0" borderId="1" xfId="0" applyFont="1" applyBorder="1" applyAlignment="1">
      <alignment vertical="top" wrapText="1"/>
    </xf>
    <xf numFmtId="0" fontId="3" fillId="0" borderId="1" xfId="0" applyFont="1" applyBorder="1" applyAlignment="1">
      <alignment vertical="top"/>
    </xf>
    <xf numFmtId="0" fontId="3" fillId="0" borderId="1" xfId="0" applyFont="1" applyBorder="1" applyAlignment="1">
      <alignment horizontal="center" vertical="center"/>
    </xf>
    <xf numFmtId="0" fontId="6" fillId="0" borderId="1" xfId="0" applyFont="1" applyBorder="1" applyAlignment="1">
      <alignment vertical="top" wrapText="1"/>
    </xf>
    <xf numFmtId="0" fontId="6" fillId="0" borderId="1" xfId="0" applyFont="1" applyBorder="1" applyAlignment="1">
      <alignment vertical="top"/>
    </xf>
    <xf numFmtId="0" fontId="6" fillId="0" borderId="1" xfId="0" applyFont="1" applyBorder="1" applyAlignment="1">
      <alignment vertical="center" wrapText="1"/>
    </xf>
    <xf numFmtId="0" fontId="0" fillId="0" borderId="1" xfId="0"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3" fillId="0" borderId="6" xfId="0" applyFont="1" applyBorder="1" applyAlignment="1">
      <alignment vertical="top" wrapText="1"/>
    </xf>
    <xf numFmtId="0" fontId="0" fillId="0" borderId="1" xfId="0" applyBorder="1"/>
    <xf numFmtId="0" fontId="0" fillId="0" borderId="7" xfId="0" applyBorder="1"/>
    <xf numFmtId="0" fontId="3" fillId="0" borderId="0" xfId="0" applyFont="1" applyAlignment="1">
      <alignment vertical="top"/>
    </xf>
    <xf numFmtId="0" fontId="7" fillId="0" borderId="0" xfId="0" applyFont="1" applyAlignment="1">
      <alignment horizontal="left" vertical="center"/>
    </xf>
    <xf numFmtId="0" fontId="1" fillId="0" borderId="7" xfId="0" applyFont="1" applyBorder="1" applyAlignment="1">
      <alignment horizontal="center"/>
    </xf>
    <xf numFmtId="0" fontId="8" fillId="4" borderId="0" xfId="0" applyFont="1" applyFill="1" applyAlignment="1">
      <alignment horizontal="center"/>
    </xf>
    <xf numFmtId="0" fontId="8" fillId="4" borderId="0" xfId="0" applyFont="1" applyFill="1"/>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wrapText="1"/>
    </xf>
    <xf numFmtId="0" fontId="3" fillId="0" borderId="0" xfId="0" applyFont="1" applyAlignment="1">
      <alignment horizontal="left" vertical="top" wrapText="1"/>
    </xf>
    <xf numFmtId="0" fontId="3" fillId="0" borderId="0" xfId="0" applyFont="1" applyAlignment="1">
      <alignment horizontal="left"/>
    </xf>
    <xf numFmtId="0" fontId="3" fillId="0" borderId="0" xfId="0" applyFont="1" applyAlignment="1">
      <alignment horizontal="left" vertical="top"/>
    </xf>
    <xf numFmtId="0" fontId="10" fillId="0" borderId="0" xfId="0" applyFont="1" applyAlignment="1">
      <alignment horizontal="left"/>
    </xf>
    <xf numFmtId="0" fontId="11" fillId="0" borderId="0" xfId="0" applyFont="1" applyAlignment="1">
      <alignment horizontal="center"/>
    </xf>
    <xf numFmtId="0" fontId="11" fillId="0" borderId="0" xfId="0" applyFont="1"/>
    <xf numFmtId="0" fontId="11" fillId="0" borderId="0" xfId="0" applyFont="1" applyAlignment="1">
      <alignment wrapText="1"/>
    </xf>
    <xf numFmtId="0" fontId="12" fillId="0" borderId="6" xfId="0" applyFont="1" applyBorder="1" applyAlignment="1">
      <alignment vertical="top" wrapText="1"/>
    </xf>
    <xf numFmtId="0" fontId="0" fillId="0" borderId="4" xfId="0" applyBorder="1"/>
    <xf numFmtId="0" fontId="6" fillId="0" borderId="4" xfId="0" applyFont="1" applyBorder="1" applyAlignment="1">
      <alignment horizontal="center" vertical="center"/>
    </xf>
    <xf numFmtId="0" fontId="2" fillId="2" borderId="1" xfId="0" applyFont="1" applyFill="1" applyBorder="1" applyAlignment="1">
      <alignment horizontal="center"/>
    </xf>
    <xf numFmtId="0" fontId="1" fillId="3" borderId="0" xfId="0" applyFont="1" applyFill="1" applyAlignment="1">
      <alignment horizontal="center"/>
    </xf>
    <xf numFmtId="0" fontId="1" fillId="3" borderId="9" xfId="0" applyFont="1" applyFill="1" applyBorder="1" applyAlignment="1">
      <alignment horizontal="center"/>
    </xf>
    <xf numFmtId="0" fontId="2" fillId="2" borderId="0" xfId="0" applyFont="1" applyFill="1" applyAlignment="1">
      <alignment horizontal="center"/>
    </xf>
    <xf numFmtId="0" fontId="2" fillId="2" borderId="9" xfId="0" applyFont="1" applyFill="1" applyBorder="1" applyAlignment="1">
      <alignment horizontal="center"/>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0" fillId="3" borderId="1" xfId="0" applyFill="1" applyBorder="1" applyAlignment="1">
      <alignment horizontal="left"/>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2" fillId="2" borderId="11" xfId="0" applyFont="1" applyFill="1" applyBorder="1" applyAlignment="1">
      <alignment horizontal="center"/>
    </xf>
    <xf numFmtId="0" fontId="2" fillId="2" borderId="8" xfId="0" applyFont="1" applyFill="1" applyBorder="1" applyAlignment="1">
      <alignment horizont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7" xfId="0" applyFont="1" applyBorder="1" applyAlignment="1">
      <alignment horizontal="center" vertical="center" wrapText="1"/>
    </xf>
    <xf numFmtId="0" fontId="2" fillId="2" borderId="0" xfId="0" applyFont="1" applyFill="1" applyAlignment="1">
      <alignment horizontal="center" wrapText="1"/>
    </xf>
    <xf numFmtId="0" fontId="2" fillId="2" borderId="9" xfId="0" applyFont="1" applyFill="1" applyBorder="1" applyAlignment="1">
      <alignment horizontal="center" wrapText="1"/>
    </xf>
    <xf numFmtId="0" fontId="1" fillId="3" borderId="0" xfId="0" applyFont="1" applyFill="1" applyAlignment="1">
      <alignment horizontal="center" wrapText="1"/>
    </xf>
    <xf numFmtId="0" fontId="1" fillId="3" borderId="9" xfId="0" applyFont="1" applyFill="1" applyBorder="1" applyAlignment="1">
      <alignment horizontal="center" wrapText="1"/>
    </xf>
    <xf numFmtId="0" fontId="0" fillId="3" borderId="1" xfId="0" applyFill="1" applyBorder="1" applyAlignment="1">
      <alignment horizontal="left" wrapText="1"/>
    </xf>
    <xf numFmtId="0" fontId="0" fillId="3" borderId="2" xfId="0" applyFill="1" applyBorder="1" applyAlignment="1">
      <alignment horizontal="left"/>
    </xf>
    <xf numFmtId="0" fontId="0" fillId="3" borderId="3" xfId="0" applyFill="1" applyBorder="1" applyAlignment="1">
      <alignment horizontal="left"/>
    </xf>
    <xf numFmtId="0" fontId="0" fillId="3" borderId="4" xfId="0" applyFill="1" applyBorder="1" applyAlignment="1">
      <alignment horizontal="left"/>
    </xf>
  </cellXfs>
  <cellStyles count="1">
    <cellStyle name="Normal" xfId="0" builtinId="0"/>
  </cellStyles>
  <dxfs count="9">
    <dxf>
      <font>
        <b val="0"/>
        <i/>
        <color rgb="FFFF0000"/>
      </font>
    </dxf>
    <dxf>
      <font>
        <b val="0"/>
        <i/>
        <color rgb="FFFF0000"/>
      </font>
    </dxf>
    <dxf>
      <font>
        <b val="0"/>
        <i/>
        <color rgb="FFFF0000"/>
      </font>
    </dxf>
    <dxf>
      <font>
        <b val="0"/>
        <i/>
        <color rgb="FFFF0000"/>
      </font>
    </dxf>
    <dxf>
      <font>
        <b val="0"/>
        <i/>
        <color rgb="FFFF0000"/>
      </font>
    </dxf>
    <dxf>
      <alignment horizontal="center" vertical="bottom"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ables/table1.xml><?xml version="1.0" encoding="utf-8"?>
<table xmlns="http://schemas.openxmlformats.org/spreadsheetml/2006/main" id="3" name="Table3" displayName="Table3" ref="A2:D41" totalsRowShown="0" headerRowDxfId="8" headerRowBorderDxfId="7" tableBorderDxfId="6">
  <autoFilter ref="A2:D41"/>
  <tableColumns count="4">
    <tableColumn id="1" name="Case #" dataDxfId="5"/>
    <tableColumn id="2" name="Scenario"/>
    <tableColumn id="3" name="Pass/Fail"/>
    <tableColumn id="4" name="Notes"/>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workbookViewId="0">
      <pane ySplit="2" topLeftCell="A23" activePane="bottomLeft" state="frozen"/>
      <selection pane="bottomLeft" activeCell="D13" sqref="D13"/>
    </sheetView>
  </sheetViews>
  <sheetFormatPr defaultColWidth="8.88671875" defaultRowHeight="14.4" x14ac:dyDescent="0.3"/>
  <cols>
    <col min="1" max="1" width="12.88671875" style="1" customWidth="1"/>
    <col min="2" max="2" width="51.6640625" bestFit="1" customWidth="1"/>
    <col min="3" max="3" width="11" customWidth="1"/>
    <col min="4" max="4" width="57" customWidth="1"/>
  </cols>
  <sheetData>
    <row r="1" spans="1:4" ht="18" x14ac:dyDescent="0.35">
      <c r="A1" s="40" t="s">
        <v>0</v>
      </c>
      <c r="B1" s="40"/>
      <c r="C1" s="40"/>
      <c r="D1" s="40"/>
    </row>
    <row r="2" spans="1:4" x14ac:dyDescent="0.3">
      <c r="A2" s="21" t="s">
        <v>1</v>
      </c>
      <c r="B2" s="21" t="s">
        <v>2</v>
      </c>
      <c r="C2" s="21" t="s">
        <v>3</v>
      </c>
      <c r="D2" s="21" t="s">
        <v>4</v>
      </c>
    </row>
    <row r="3" spans="1:4" ht="15.6" x14ac:dyDescent="0.3">
      <c r="B3" s="20" t="s">
        <v>5</v>
      </c>
    </row>
    <row r="4" spans="1:4" x14ac:dyDescent="0.3">
      <c r="A4" s="1" t="s">
        <v>6</v>
      </c>
      <c r="B4" t="s">
        <v>7</v>
      </c>
      <c r="C4" t="str">
        <f>+IF(COUNTIF(D2B01,"Fail")&gt;0,"Fail",IF(COUNTIF(D2B01,"")&gt;0,"Not Tested","Pass"))</f>
        <v>Not Tested</v>
      </c>
    </row>
    <row r="5" spans="1:4" x14ac:dyDescent="0.3">
      <c r="A5" s="1" t="s">
        <v>8</v>
      </c>
      <c r="B5" t="s">
        <v>9</v>
      </c>
      <c r="C5" t="str">
        <f>+IF(COUNTIF(D2B02,"Fail")&gt;0,"Fail",IF(COUNTIF(D2B02,"")&gt;0,"Not Tested","Pass"))</f>
        <v>Not Tested</v>
      </c>
    </row>
    <row r="6" spans="1:4" x14ac:dyDescent="0.3">
      <c r="A6" s="1" t="s">
        <v>10</v>
      </c>
      <c r="B6" t="s">
        <v>11</v>
      </c>
      <c r="C6" t="str">
        <f>+IF(COUNTIF(D2B03,"Fail")&gt;0,"Fail",IF(COUNTIF(D2B03,"")&gt;0,"Not Tested","Pass"))</f>
        <v>Not Tested</v>
      </c>
    </row>
    <row r="7" spans="1:4" x14ac:dyDescent="0.3">
      <c r="A7" s="1" t="s">
        <v>12</v>
      </c>
      <c r="B7" t="s">
        <v>13</v>
      </c>
      <c r="C7" t="str">
        <f>+IF(COUNTIF(D2B04,"Fail")&gt;0,"Fail",IF(COUNTIF(D2B04,"")&gt;0,"Not Tested","Pass"))</f>
        <v>Not Tested</v>
      </c>
    </row>
    <row r="8" spans="1:4" x14ac:dyDescent="0.3">
      <c r="A8" s="1" t="s">
        <v>14</v>
      </c>
      <c r="B8" t="s">
        <v>15</v>
      </c>
      <c r="C8" t="str">
        <f>+IF(COUNTIF(D2B05,"Fail")&gt;0,"Fail",IF(COUNTIF(D2B05,"")&gt;0,"Not Tested","Pass"))</f>
        <v>Not Tested</v>
      </c>
    </row>
    <row r="9" spans="1:4" x14ac:dyDescent="0.3">
      <c r="A9" s="22" t="s">
        <v>16</v>
      </c>
      <c r="B9" s="23" t="s">
        <v>17</v>
      </c>
      <c r="C9" s="23" t="str">
        <f>+IF(COUNTIF(D2B_CUS01,"Fail")&gt;0,"Fail",IF(COUNTIF(D2B_CUS01,"")&gt;0,"Not Tested","Pass"))</f>
        <v>Pass</v>
      </c>
      <c r="D9" s="23" t="s">
        <v>18</v>
      </c>
    </row>
    <row r="10" spans="1:4" ht="15.6" x14ac:dyDescent="0.3">
      <c r="B10" s="20" t="s">
        <v>19</v>
      </c>
    </row>
    <row r="11" spans="1:4" x14ac:dyDescent="0.3">
      <c r="A11" s="1" t="s">
        <v>20</v>
      </c>
      <c r="B11" t="s">
        <v>21</v>
      </c>
      <c r="C11" t="str">
        <f>+IF(COUNTIF(_R2R01,"Fail")&gt;0,"Fail",IF(COUNTIF(_R2R01,"")&gt;0,"Not Tested","Pass"))</f>
        <v>Not Tested</v>
      </c>
    </row>
    <row r="12" spans="1:4" x14ac:dyDescent="0.3">
      <c r="A12" s="1" t="s">
        <v>22</v>
      </c>
      <c r="B12" t="s">
        <v>23</v>
      </c>
      <c r="C12" t="str">
        <f>+IF(COUNTIF(_R2R02,"Fail")&gt;0,"Fail",IF(COUNTIF(_R2R02,"")&gt;0,"Not Tested","Pass"))</f>
        <v>Not Tested</v>
      </c>
    </row>
    <row r="13" spans="1:4" x14ac:dyDescent="0.3">
      <c r="A13" s="1" t="s">
        <v>24</v>
      </c>
      <c r="B13" t="s">
        <v>25</v>
      </c>
      <c r="C13" t="str">
        <f>+IF(COUNTIF(_R2R03,"Fail")&gt;0,"Fail",IF(COUNTIF(_R2R03,"")&gt;0,"Not Tested","Pass"))</f>
        <v>Not Tested</v>
      </c>
    </row>
    <row r="14" spans="1:4" x14ac:dyDescent="0.3">
      <c r="A14" s="1" t="s">
        <v>26</v>
      </c>
      <c r="B14" t="s">
        <v>27</v>
      </c>
      <c r="C14" t="e">
        <f>+IF(COUNTIF(_R2R04,"Fail")&gt;0,"Fail",IF(COUNTIF(_R2R04,"")&gt;0,"Not Tested","Pass"))</f>
        <v>#REF!</v>
      </c>
    </row>
    <row r="15" spans="1:4" x14ac:dyDescent="0.3">
      <c r="A15" s="1" t="s">
        <v>28</v>
      </c>
      <c r="B15" t="s">
        <v>29</v>
      </c>
      <c r="C15" t="str">
        <f>+IF(COUNTIF(_R2R05,"Fail")&gt;0,"Fail",IF(COUNTIF(_R2R05,"")&gt;0,"Not Tested","Pass"))</f>
        <v>Not Tested</v>
      </c>
    </row>
    <row r="16" spans="1:4" x14ac:dyDescent="0.3">
      <c r="A16" s="1" t="s">
        <v>30</v>
      </c>
      <c r="B16" t="s">
        <v>31</v>
      </c>
      <c r="C16" t="str">
        <f>+IF(COUNTIF(_R2R06,"Fail")&gt;0,"Fail",IF(COUNTIF(_R2R06,"")&gt;0,"Not Tested","Pass"))</f>
        <v>Pass</v>
      </c>
    </row>
    <row r="17" spans="1:4" x14ac:dyDescent="0.3">
      <c r="A17" s="1" t="s">
        <v>32</v>
      </c>
      <c r="B17" t="s">
        <v>33</v>
      </c>
      <c r="C17" t="e">
        <f>+IF(COUNTIF(_R2R07,"Fail")&gt;0,"Fail",IF(COUNTIF(_R2R07,"")&gt;0,"Not Tested","Pass"))</f>
        <v>#REF!</v>
      </c>
    </row>
    <row r="18" spans="1:4" x14ac:dyDescent="0.3">
      <c r="A18" s="22" t="s">
        <v>34</v>
      </c>
      <c r="B18" s="23" t="s">
        <v>35</v>
      </c>
      <c r="C18" s="23" t="e">
        <f>+IF(COUNTIF(_R2R_CUS01,"Fail")&gt;0,"Fail",IF(COUNTIF(_R2R_CUS01,"")&gt;0,"Not Tested","Pass"))</f>
        <v>#REF!</v>
      </c>
      <c r="D18" s="23" t="s">
        <v>18</v>
      </c>
    </row>
    <row r="19" spans="1:4" ht="15.6" x14ac:dyDescent="0.3">
      <c r="B19" s="20" t="s">
        <v>36</v>
      </c>
      <c r="C19" s="1"/>
      <c r="D19" s="1"/>
    </row>
    <row r="20" spans="1:4" x14ac:dyDescent="0.3">
      <c r="A20" s="1" t="s">
        <v>37</v>
      </c>
      <c r="B20" t="s">
        <v>38</v>
      </c>
      <c r="C20" t="str">
        <f>+IF(COUNTIF(L2Q01,"Fail")&gt;0,"Fail",IF(COUNTIF(L2Q01,"")&gt;0,"Not Tested","Pass"))</f>
        <v>Not Tested</v>
      </c>
    </row>
    <row r="21" spans="1:4" x14ac:dyDescent="0.3">
      <c r="A21" s="22" t="s">
        <v>39</v>
      </c>
      <c r="B21" s="23" t="s">
        <v>40</v>
      </c>
      <c r="C21" s="23" t="e">
        <f>+IF(COUNTIF(L2Q_CUS01,"Fail")&gt;0,"Fail",IF(COUNTIF(L2Q_CUS01,"")&gt;0,"Not Tested","Pass"))</f>
        <v>#REF!</v>
      </c>
      <c r="D21" s="23" t="s">
        <v>18</v>
      </c>
    </row>
    <row r="22" spans="1:4" ht="15.6" x14ac:dyDescent="0.3">
      <c r="B22" s="20" t="s">
        <v>41</v>
      </c>
    </row>
    <row r="23" spans="1:4" x14ac:dyDescent="0.3">
      <c r="A23" s="1" t="s">
        <v>42</v>
      </c>
      <c r="B23" t="s">
        <v>43</v>
      </c>
      <c r="C23" t="str">
        <f>+IF(COUNTIF(O2C01,"Fail")&gt;0,"Fail",IF(COUNTIF(O2C01,"")&gt;0,"Not Tested","Pass"))</f>
        <v>Not Tested</v>
      </c>
    </row>
    <row r="24" spans="1:4" x14ac:dyDescent="0.3">
      <c r="A24" s="1" t="s">
        <v>44</v>
      </c>
      <c r="B24" t="s">
        <v>45</v>
      </c>
      <c r="C24" t="str">
        <f>+IF(COUNTIF(O2C02,"Fail")&gt;0,"Fail",IF(COUNTIF(O2C02,"")&gt;0,"Not Tested","Pass"))</f>
        <v>Not Tested</v>
      </c>
    </row>
    <row r="25" spans="1:4" x14ac:dyDescent="0.3">
      <c r="A25" s="1" t="s">
        <v>46</v>
      </c>
      <c r="B25" t="s">
        <v>47</v>
      </c>
      <c r="C25" t="str">
        <f>+IF(COUNTIF(_R2C01,"Fail")&gt;0,"Fail",IF(COUNTIF(_R2C01,"")&gt;0,"Not Tested","Pass"))</f>
        <v>Not Tested</v>
      </c>
    </row>
    <row r="26" spans="1:4" x14ac:dyDescent="0.3">
      <c r="A26" s="1" t="s">
        <v>48</v>
      </c>
      <c r="B26" t="s">
        <v>49</v>
      </c>
      <c r="C26" t="str">
        <f>+IF(COUNTIF(_R2C02,"Fail")&gt;0,"Fail",IF(COUNTIF(_R2C02,"")&gt;0,"Not Tested","Pass"))</f>
        <v>Not Tested</v>
      </c>
    </row>
    <row r="27" spans="1:4" x14ac:dyDescent="0.3">
      <c r="A27" s="22" t="s">
        <v>50</v>
      </c>
      <c r="B27" s="23" t="s">
        <v>51</v>
      </c>
      <c r="C27" s="23" t="e">
        <f>+IF(COUNTIF(O2C_CUS01,"Fail")&gt;0,"Fail",IF(COUNTIF(O2C_CUS01,"")&gt;0,"Not Tested","Pass"))</f>
        <v>#REF!</v>
      </c>
      <c r="D27" s="23" t="s">
        <v>18</v>
      </c>
    </row>
    <row r="28" spans="1:4" ht="15.6" x14ac:dyDescent="0.3">
      <c r="B28" s="20" t="s">
        <v>52</v>
      </c>
    </row>
    <row r="29" spans="1:4" x14ac:dyDescent="0.3">
      <c r="A29" s="1" t="s">
        <v>53</v>
      </c>
      <c r="B29" t="s">
        <v>54</v>
      </c>
      <c r="C29" t="str">
        <f>+IF(COUNTIF(P2P01,"Fail")&gt;0,"Fail",IF(COUNTIF(P2P01,"")&gt;0,"Not Tested","Pass"))</f>
        <v>Not Tested</v>
      </c>
    </row>
    <row r="30" spans="1:4" x14ac:dyDescent="0.3">
      <c r="A30" s="1" t="s">
        <v>55</v>
      </c>
      <c r="B30" t="s">
        <v>56</v>
      </c>
      <c r="C30" t="str">
        <f>+IF(COUNTIF(P2P04,"Fail")&gt;0,"Fail",IF(COUNTIF(P2P04,"")&gt;0,"Not Tested","Pass"))</f>
        <v>Not Tested</v>
      </c>
    </row>
    <row r="31" spans="1:4" x14ac:dyDescent="0.3">
      <c r="A31" s="1" t="s">
        <v>57</v>
      </c>
      <c r="B31" t="s">
        <v>58</v>
      </c>
      <c r="C31" t="str">
        <f>+IF(COUNTIF(P2P05,"Fail")&gt;0,"Fail",IF(COUNTIF(P2P05,"")&gt;0,"Not Tested","Pass"))</f>
        <v>Not Tested</v>
      </c>
    </row>
    <row r="32" spans="1:4" x14ac:dyDescent="0.3">
      <c r="A32" s="1" t="s">
        <v>59</v>
      </c>
      <c r="B32" t="s">
        <v>60</v>
      </c>
      <c r="C32" t="str">
        <f>+IF(COUNTIF(P2P06,"Fail")&gt;0,"Fail",IF(COUNTIF(P2P06,"")&gt;0,"Not Tested","Pass"))</f>
        <v>Not Tested</v>
      </c>
    </row>
    <row r="33" spans="1:4" x14ac:dyDescent="0.3">
      <c r="A33" s="1" t="s">
        <v>61</v>
      </c>
      <c r="B33" t="s">
        <v>62</v>
      </c>
      <c r="C33" t="str">
        <f>+IF(COUNTIF(P2P09,"Fail")&gt;0,"Fail",IF(COUNTIF(P2P09,"")&gt;0,"Not Tested","Pass"))</f>
        <v>Not Tested</v>
      </c>
    </row>
    <row r="34" spans="1:4" x14ac:dyDescent="0.3">
      <c r="A34" s="22" t="s">
        <v>63</v>
      </c>
      <c r="B34" s="23" t="s">
        <v>64</v>
      </c>
      <c r="C34" s="23" t="e">
        <f>+IF(COUNTIF(P2P_CUS01,"Fail")&gt;0,"Fail",IF(COUNTIF(P2P_CUS01,"")&gt;0,"Not Tested","Pass"))</f>
        <v>#REF!</v>
      </c>
      <c r="D34" s="23" t="s">
        <v>18</v>
      </c>
    </row>
    <row r="35" spans="1:4" ht="15.6" x14ac:dyDescent="0.3">
      <c r="B35" s="20" t="s">
        <v>65</v>
      </c>
    </row>
    <row r="36" spans="1:4" x14ac:dyDescent="0.3">
      <c r="A36" s="1" t="s">
        <v>66</v>
      </c>
      <c r="B36" t="s">
        <v>67</v>
      </c>
      <c r="C36" t="str">
        <f>+IF(COUNTIF(M2R01,"Fail")&gt;0,"Fail",IF(COUNTIF(M2R01,"")&gt;0,"Not Tested","Pass"))</f>
        <v>Not Tested</v>
      </c>
    </row>
    <row r="37" spans="1:4" x14ac:dyDescent="0.3">
      <c r="A37" s="22" t="s">
        <v>68</v>
      </c>
      <c r="B37" s="23" t="s">
        <v>69</v>
      </c>
      <c r="C37" s="23" t="e">
        <f>+IF(COUNTIF(M2R_CUS01,"Fail")&gt;0,"Fail",IF(COUNTIF(M2R_CUS01,"")&gt;0,"Not Tested","Pass"))</f>
        <v>#REF!</v>
      </c>
      <c r="D37" s="23" t="s">
        <v>18</v>
      </c>
    </row>
    <row r="38" spans="1:4" ht="15.6" x14ac:dyDescent="0.3">
      <c r="B38" s="20" t="s">
        <v>70</v>
      </c>
    </row>
    <row r="39" spans="1:4" x14ac:dyDescent="0.3">
      <c r="A39" s="1" t="s">
        <v>71</v>
      </c>
      <c r="B39" t="s">
        <v>72</v>
      </c>
      <c r="C39" t="str">
        <f>+IF(COUNTIF(_C2R01,"Fail")&gt;0,"Fail",IF(COUNTIF(_C2R01,"")&gt;0,"Not Tested","Pass"))</f>
        <v>Not Tested</v>
      </c>
    </row>
    <row r="40" spans="1:4" x14ac:dyDescent="0.3">
      <c r="A40" s="1" t="s">
        <v>73</v>
      </c>
      <c r="B40" t="s">
        <v>74</v>
      </c>
      <c r="C40" t="str">
        <f>+IF(COUNTIF(_C2R02,"Fail")&gt;0,"Fail",IF(COUNTIF(_C2R02,"")&gt;0,"Not Tested","Pass"))</f>
        <v>Not Tested</v>
      </c>
    </row>
    <row r="41" spans="1:4" x14ac:dyDescent="0.3">
      <c r="A41" s="22" t="s">
        <v>75</v>
      </c>
      <c r="B41" s="23" t="s">
        <v>76</v>
      </c>
      <c r="C41" s="23" t="e">
        <f>+IF(COUNTIF(_C2R_CUS01,"Fail")&gt;0,"Fail",IF(COUNTIF(_C2R_CUS01,"")&gt;0,"Not Tested","Pass"))</f>
        <v>#REF!</v>
      </c>
      <c r="D41" s="23" t="s">
        <v>18</v>
      </c>
    </row>
  </sheetData>
  <dataConsolidate/>
  <mergeCells count="1">
    <mergeCell ref="A1:D1"/>
  </mergeCells>
  <conditionalFormatting sqref="C42:C43 C39:C40 C3:C9 C20:C36">
    <cfRule type="cellIs" dxfId="4" priority="8" operator="equal">
      <formula>"Fail"</formula>
    </cfRule>
  </conditionalFormatting>
  <conditionalFormatting sqref="C37:C38">
    <cfRule type="cellIs" dxfId="3" priority="5" operator="equal">
      <formula>"Fail"</formula>
    </cfRule>
  </conditionalFormatting>
  <conditionalFormatting sqref="C41">
    <cfRule type="cellIs" dxfId="2" priority="4" operator="equal">
      <formula>"Fail"</formula>
    </cfRule>
  </conditionalFormatting>
  <conditionalFormatting sqref="C10:C17">
    <cfRule type="cellIs" dxfId="1" priority="2" operator="equal">
      <formula>"Fail"</formula>
    </cfRule>
  </conditionalFormatting>
  <conditionalFormatting sqref="C18">
    <cfRule type="cellIs" dxfId="0" priority="1" operator="equal">
      <formula>"Fail"</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3"/>
  <sheetViews>
    <sheetView zoomScale="70" zoomScaleNormal="70" workbookViewId="0">
      <pane ySplit="1" topLeftCell="A2" activePane="bottomLeft" state="frozen"/>
      <selection pane="bottomLeft" activeCell="H22" sqref="H22"/>
    </sheetView>
  </sheetViews>
  <sheetFormatPr defaultColWidth="8.88671875" defaultRowHeight="14.4" x14ac:dyDescent="0.3"/>
  <cols>
    <col min="3" max="3" width="12.88671875" style="1" customWidth="1"/>
    <col min="4" max="4" width="27" customWidth="1"/>
    <col min="5" max="5" width="13.88671875" style="2" customWidth="1"/>
    <col min="7" max="7" width="26.88671875" customWidth="1"/>
    <col min="8" max="8" width="68.6640625" style="2" customWidth="1"/>
    <col min="9" max="9" width="30.6640625" style="2" customWidth="1"/>
    <col min="12" max="12" width="16.6640625" customWidth="1"/>
    <col min="13" max="13" width="10.33203125" customWidth="1"/>
    <col min="14" max="14" width="13.109375" customWidth="1"/>
    <col min="15" max="15" width="42.109375" style="2" customWidth="1"/>
  </cols>
  <sheetData>
    <row r="1" spans="1:15" x14ac:dyDescent="0.3">
      <c r="A1" s="3" t="s">
        <v>77</v>
      </c>
      <c r="B1" s="3" t="s">
        <v>78</v>
      </c>
      <c r="C1" s="3" t="s">
        <v>1</v>
      </c>
      <c r="D1" s="3" t="s">
        <v>2</v>
      </c>
      <c r="E1" s="4" t="s">
        <v>79</v>
      </c>
      <c r="F1" s="3" t="s">
        <v>80</v>
      </c>
      <c r="G1" s="3" t="s">
        <v>81</v>
      </c>
      <c r="H1" s="4" t="s">
        <v>82</v>
      </c>
      <c r="I1" s="4" t="s">
        <v>83</v>
      </c>
      <c r="J1" s="3" t="s">
        <v>3</v>
      </c>
      <c r="K1" s="3" t="s">
        <v>84</v>
      </c>
      <c r="L1" s="3" t="s">
        <v>85</v>
      </c>
      <c r="M1" s="3" t="s">
        <v>86</v>
      </c>
      <c r="N1" s="3" t="s">
        <v>87</v>
      </c>
      <c r="O1" s="4" t="s">
        <v>4</v>
      </c>
    </row>
    <row r="2" spans="1:15" ht="18" x14ac:dyDescent="0.35">
      <c r="A2" s="50" t="s">
        <v>104</v>
      </c>
      <c r="B2" s="50"/>
      <c r="C2" s="50"/>
      <c r="D2" s="50"/>
      <c r="E2" s="50"/>
      <c r="F2" s="50"/>
      <c r="G2" s="50"/>
      <c r="H2" s="50"/>
      <c r="I2" s="50"/>
      <c r="J2" s="50"/>
      <c r="K2" s="50"/>
      <c r="L2" s="50"/>
      <c r="M2" s="50"/>
      <c r="N2" s="50"/>
      <c r="O2" s="51"/>
    </row>
    <row r="3" spans="1:15" x14ac:dyDescent="0.3">
      <c r="A3" s="41" t="s">
        <v>88</v>
      </c>
      <c r="B3" s="41"/>
      <c r="C3" s="42"/>
      <c r="D3" s="47" t="s">
        <v>105</v>
      </c>
      <c r="E3" s="47"/>
      <c r="F3" s="47"/>
      <c r="G3" s="47"/>
      <c r="H3" s="47"/>
      <c r="I3" s="47"/>
      <c r="J3" s="47"/>
      <c r="K3" s="47"/>
      <c r="L3" s="47"/>
      <c r="M3" s="47"/>
      <c r="N3" s="47"/>
      <c r="O3" s="47"/>
    </row>
    <row r="4" spans="1:15" ht="193.2" x14ac:dyDescent="0.3">
      <c r="A4" s="17" t="s">
        <v>106</v>
      </c>
      <c r="B4" s="17" t="s">
        <v>89</v>
      </c>
      <c r="C4" s="26" t="s">
        <v>6</v>
      </c>
      <c r="D4" s="6" t="s">
        <v>107</v>
      </c>
      <c r="E4" s="7" t="s">
        <v>376</v>
      </c>
      <c r="F4" s="8" t="s">
        <v>90</v>
      </c>
      <c r="G4" s="8" t="s">
        <v>108</v>
      </c>
      <c r="H4" s="7" t="s">
        <v>377</v>
      </c>
      <c r="I4" s="7" t="s">
        <v>109</v>
      </c>
      <c r="J4" s="8"/>
      <c r="K4" s="8"/>
      <c r="L4" s="8"/>
      <c r="M4" s="8"/>
      <c r="N4" s="7" t="s">
        <v>110</v>
      </c>
      <c r="O4" s="7" t="s">
        <v>91</v>
      </c>
    </row>
    <row r="5" spans="1:15" x14ac:dyDescent="0.3">
      <c r="J5" t="s">
        <v>92</v>
      </c>
      <c r="K5" s="8"/>
    </row>
    <row r="6" spans="1:15" ht="18" x14ac:dyDescent="0.35">
      <c r="A6" s="43" t="s">
        <v>9</v>
      </c>
      <c r="B6" s="43"/>
      <c r="C6" s="43"/>
      <c r="D6" s="43"/>
      <c r="E6" s="43"/>
      <c r="F6" s="43"/>
      <c r="G6" s="43"/>
      <c r="H6" s="43"/>
      <c r="I6" s="43"/>
      <c r="J6" s="43"/>
      <c r="K6" s="43"/>
      <c r="L6" s="43"/>
      <c r="M6" s="43"/>
      <c r="N6" s="43"/>
      <c r="O6" s="44"/>
    </row>
    <row r="7" spans="1:15" x14ac:dyDescent="0.3">
      <c r="A7" s="41" t="s">
        <v>88</v>
      </c>
      <c r="B7" s="41"/>
      <c r="C7" s="42"/>
      <c r="D7" s="47" t="s">
        <v>111</v>
      </c>
      <c r="E7" s="47"/>
      <c r="F7" s="47"/>
      <c r="G7" s="47"/>
      <c r="H7" s="47"/>
      <c r="I7" s="47"/>
      <c r="J7" s="47"/>
      <c r="K7" s="47"/>
      <c r="L7" s="47"/>
      <c r="M7" s="47"/>
      <c r="N7" s="47"/>
      <c r="O7" s="47"/>
    </row>
    <row r="8" spans="1:15" ht="193.2" x14ac:dyDescent="0.3">
      <c r="A8" s="17" t="s">
        <v>106</v>
      </c>
      <c r="B8" s="17" t="s">
        <v>89</v>
      </c>
      <c r="C8" s="26" t="s">
        <v>8</v>
      </c>
      <c r="D8" s="6" t="s">
        <v>112</v>
      </c>
      <c r="E8" s="7" t="s">
        <v>376</v>
      </c>
      <c r="F8" s="8" t="s">
        <v>90</v>
      </c>
      <c r="G8" s="8" t="s">
        <v>113</v>
      </c>
      <c r="H8" s="7" t="s">
        <v>378</v>
      </c>
      <c r="I8" s="7" t="s">
        <v>114</v>
      </c>
      <c r="J8" s="8"/>
      <c r="L8" s="8"/>
      <c r="M8" s="8"/>
      <c r="N8" s="7" t="s">
        <v>115</v>
      </c>
      <c r="O8" s="7" t="s">
        <v>91</v>
      </c>
    </row>
    <row r="9" spans="1:15" ht="6" customHeight="1" x14ac:dyDescent="0.3">
      <c r="J9" t="s">
        <v>92</v>
      </c>
      <c r="K9" s="8"/>
    </row>
    <row r="10" spans="1:15" ht="18" x14ac:dyDescent="0.35">
      <c r="A10" s="43" t="s">
        <v>116</v>
      </c>
      <c r="B10" s="43"/>
      <c r="C10" s="43"/>
      <c r="D10" s="43"/>
      <c r="E10" s="43"/>
      <c r="F10" s="43"/>
      <c r="G10" s="43"/>
      <c r="H10" s="43"/>
      <c r="I10" s="43"/>
      <c r="J10" s="43"/>
      <c r="K10" s="43"/>
      <c r="L10" s="43"/>
      <c r="M10" s="43"/>
      <c r="N10" s="43"/>
      <c r="O10" s="44"/>
    </row>
    <row r="11" spans="1:15" x14ac:dyDescent="0.3">
      <c r="A11" s="41" t="s">
        <v>88</v>
      </c>
      <c r="B11" s="41"/>
      <c r="C11" s="42"/>
      <c r="D11" s="47" t="s">
        <v>117</v>
      </c>
      <c r="E11" s="47"/>
      <c r="F11" s="47"/>
      <c r="G11" s="47"/>
      <c r="H11" s="47"/>
      <c r="I11" s="47"/>
      <c r="J11" s="47"/>
      <c r="K11" s="47"/>
      <c r="L11" s="47"/>
      <c r="M11" s="47"/>
      <c r="N11" s="47"/>
      <c r="O11" s="47"/>
    </row>
    <row r="12" spans="1:15" ht="138" x14ac:dyDescent="0.3">
      <c r="A12" s="17" t="s">
        <v>106</v>
      </c>
      <c r="B12" s="17" t="s">
        <v>89</v>
      </c>
      <c r="C12" s="45" t="s">
        <v>10</v>
      </c>
      <c r="D12" s="48" t="s">
        <v>118</v>
      </c>
      <c r="E12" s="7" t="s">
        <v>376</v>
      </c>
      <c r="F12" s="8" t="s">
        <v>90</v>
      </c>
      <c r="G12" s="8" t="s">
        <v>119</v>
      </c>
      <c r="H12" s="7" t="s">
        <v>379</v>
      </c>
      <c r="I12" s="7" t="s">
        <v>120</v>
      </c>
      <c r="J12" s="8"/>
      <c r="L12" s="8"/>
      <c r="M12" s="8"/>
      <c r="N12" s="7" t="s">
        <v>121</v>
      </c>
      <c r="O12" s="7" t="s">
        <v>93</v>
      </c>
    </row>
    <row r="13" spans="1:15" ht="110.4" x14ac:dyDescent="0.3">
      <c r="A13" s="17" t="s">
        <v>106</v>
      </c>
      <c r="B13" s="17" t="s">
        <v>89</v>
      </c>
      <c r="C13" s="46"/>
      <c r="D13" s="49"/>
      <c r="E13" s="7" t="s">
        <v>381</v>
      </c>
      <c r="F13" s="8" t="s">
        <v>94</v>
      </c>
      <c r="G13" s="8" t="s">
        <v>122</v>
      </c>
      <c r="H13" s="7" t="s">
        <v>380</v>
      </c>
      <c r="I13" s="7" t="s">
        <v>123</v>
      </c>
      <c r="J13" s="8"/>
      <c r="K13" s="8"/>
      <c r="L13" s="8"/>
      <c r="M13" s="8"/>
      <c r="N13" s="7" t="s">
        <v>124</v>
      </c>
      <c r="O13" s="7" t="s">
        <v>93</v>
      </c>
    </row>
    <row r="14" spans="1:15" ht="96.6" x14ac:dyDescent="0.3">
      <c r="A14" s="17" t="s">
        <v>106</v>
      </c>
      <c r="B14" s="17" t="s">
        <v>89</v>
      </c>
      <c r="C14" s="46"/>
      <c r="D14" s="49"/>
      <c r="E14" s="7" t="s">
        <v>381</v>
      </c>
      <c r="F14" s="8" t="s">
        <v>96</v>
      </c>
      <c r="G14" s="8" t="s">
        <v>125</v>
      </c>
      <c r="H14" s="7" t="s">
        <v>382</v>
      </c>
      <c r="I14" s="7" t="s">
        <v>126</v>
      </c>
      <c r="J14" s="8"/>
      <c r="K14" s="8"/>
      <c r="L14" s="8"/>
      <c r="M14" s="8"/>
      <c r="N14" s="7" t="s">
        <v>127</v>
      </c>
      <c r="O14" s="7" t="s">
        <v>91</v>
      </c>
    </row>
    <row r="15" spans="1:15" ht="6" customHeight="1" x14ac:dyDescent="0.3">
      <c r="J15" t="s">
        <v>92</v>
      </c>
      <c r="K15" s="8"/>
      <c r="N15" s="16" t="s">
        <v>92</v>
      </c>
    </row>
    <row r="16" spans="1:15" ht="18" x14ac:dyDescent="0.35">
      <c r="A16" s="43" t="s">
        <v>128</v>
      </c>
      <c r="B16" s="43"/>
      <c r="C16" s="43"/>
      <c r="D16" s="43"/>
      <c r="E16" s="43"/>
      <c r="F16" s="43"/>
      <c r="G16" s="43"/>
      <c r="H16" s="43"/>
      <c r="I16" s="43"/>
      <c r="J16" s="43"/>
      <c r="K16" s="43"/>
      <c r="L16" s="43"/>
      <c r="M16" s="43"/>
      <c r="N16" s="43"/>
      <c r="O16" s="44"/>
    </row>
    <row r="17" spans="1:15" x14ac:dyDescent="0.3">
      <c r="A17" s="41" t="s">
        <v>88</v>
      </c>
      <c r="B17" s="41"/>
      <c r="C17" s="42"/>
      <c r="D17" s="47" t="s">
        <v>129</v>
      </c>
      <c r="E17" s="47"/>
      <c r="F17" s="47"/>
      <c r="G17" s="47"/>
      <c r="H17" s="47"/>
      <c r="I17" s="47"/>
      <c r="J17" s="47"/>
      <c r="K17" s="47"/>
      <c r="L17" s="47"/>
      <c r="M17" s="47"/>
      <c r="N17" s="47"/>
      <c r="O17" s="47"/>
    </row>
    <row r="18" spans="1:15" ht="138" x14ac:dyDescent="0.3">
      <c r="A18" s="17" t="s">
        <v>106</v>
      </c>
      <c r="B18" s="17" t="s">
        <v>89</v>
      </c>
      <c r="C18" s="26" t="s">
        <v>12</v>
      </c>
      <c r="D18" s="6" t="s">
        <v>130</v>
      </c>
      <c r="E18" s="7" t="s">
        <v>376</v>
      </c>
      <c r="F18" s="8" t="s">
        <v>90</v>
      </c>
      <c r="G18" s="8" t="s">
        <v>131</v>
      </c>
      <c r="H18" s="7" t="s">
        <v>132</v>
      </c>
      <c r="I18" s="7" t="s">
        <v>133</v>
      </c>
      <c r="J18" s="8"/>
      <c r="K18" s="8"/>
      <c r="L18" s="8"/>
      <c r="M18" s="8"/>
      <c r="N18" s="7" t="s">
        <v>134</v>
      </c>
      <c r="O18" s="7" t="s">
        <v>93</v>
      </c>
    </row>
    <row r="19" spans="1:15" ht="6.6" customHeight="1" x14ac:dyDescent="0.3">
      <c r="C19" s="9"/>
      <c r="D19" s="6"/>
      <c r="E19" s="7"/>
      <c r="F19" s="8"/>
      <c r="G19" s="8"/>
      <c r="H19" s="7"/>
      <c r="I19" s="7"/>
      <c r="J19" s="8" t="s">
        <v>92</v>
      </c>
      <c r="K19" s="8"/>
      <c r="L19" s="8"/>
      <c r="M19" s="8"/>
      <c r="N19" s="7"/>
      <c r="O19" s="7"/>
    </row>
    <row r="20" spans="1:15" ht="18" x14ac:dyDescent="0.35">
      <c r="A20" s="43" t="s">
        <v>15</v>
      </c>
      <c r="B20" s="43"/>
      <c r="C20" s="43"/>
      <c r="D20" s="43"/>
      <c r="E20" s="43"/>
      <c r="F20" s="43"/>
      <c r="G20" s="43"/>
      <c r="H20" s="43"/>
      <c r="I20" s="43"/>
      <c r="J20" s="43"/>
      <c r="K20" s="43"/>
      <c r="L20" s="43"/>
      <c r="M20" s="43"/>
      <c r="N20" s="43"/>
      <c r="O20" s="44"/>
    </row>
    <row r="21" spans="1:15" x14ac:dyDescent="0.3">
      <c r="A21" s="41" t="s">
        <v>88</v>
      </c>
      <c r="B21" s="41"/>
      <c r="C21" s="42"/>
      <c r="D21" s="47" t="s">
        <v>135</v>
      </c>
      <c r="E21" s="47"/>
      <c r="F21" s="47"/>
      <c r="G21" s="47"/>
      <c r="H21" s="47"/>
      <c r="I21" s="47"/>
      <c r="J21" s="47"/>
      <c r="K21" s="47"/>
      <c r="L21" s="47"/>
      <c r="M21" s="47"/>
      <c r="N21" s="47"/>
      <c r="O21" s="47"/>
    </row>
    <row r="22" spans="1:15" ht="220.8" x14ac:dyDescent="0.3">
      <c r="A22" s="17" t="s">
        <v>106</v>
      </c>
      <c r="B22" s="17" t="s">
        <v>89</v>
      </c>
      <c r="C22" s="26" t="s">
        <v>14</v>
      </c>
      <c r="D22" s="6" t="s">
        <v>136</v>
      </c>
      <c r="E22" s="7" t="s">
        <v>376</v>
      </c>
      <c r="F22" s="8" t="s">
        <v>90</v>
      </c>
      <c r="G22" s="8" t="s">
        <v>137</v>
      </c>
      <c r="H22" s="7" t="s">
        <v>138</v>
      </c>
      <c r="I22" s="7" t="s">
        <v>139</v>
      </c>
      <c r="J22" s="8"/>
      <c r="K22" s="8"/>
      <c r="L22" s="8"/>
      <c r="M22" s="8"/>
      <c r="N22" s="7" t="s">
        <v>110</v>
      </c>
      <c r="O22" s="7" t="s">
        <v>91</v>
      </c>
    </row>
    <row r="23" spans="1:15" ht="5.4" customHeight="1" x14ac:dyDescent="0.3">
      <c r="C23" s="9"/>
      <c r="D23" s="6"/>
      <c r="E23" s="7"/>
      <c r="F23" s="8"/>
      <c r="G23" s="8"/>
      <c r="H23" s="7"/>
      <c r="I23" s="7"/>
      <c r="J23" s="8" t="s">
        <v>92</v>
      </c>
      <c r="K23" s="8"/>
      <c r="L23" s="8"/>
      <c r="M23" s="8"/>
      <c r="N23" s="7"/>
      <c r="O23" s="7"/>
    </row>
    <row r="24" spans="1:15" s="35" customFormat="1" ht="6" customHeight="1" x14ac:dyDescent="0.3">
      <c r="C24" s="34"/>
      <c r="E24" s="36"/>
      <c r="H24" s="36"/>
      <c r="I24" s="36"/>
      <c r="J24" s="35" t="s">
        <v>92</v>
      </c>
      <c r="N24" s="37"/>
      <c r="O24" s="36"/>
    </row>
    <row r="25" spans="1:15" ht="6" customHeight="1" x14ac:dyDescent="0.3">
      <c r="J25" t="s">
        <v>92</v>
      </c>
      <c r="N25" s="16"/>
    </row>
    <row r="29" spans="1:15" x14ac:dyDescent="0.3">
      <c r="N29" s="2"/>
      <c r="O29"/>
    </row>
    <row r="30" spans="1:15" x14ac:dyDescent="0.3">
      <c r="N30" s="2"/>
      <c r="O30"/>
    </row>
    <row r="31" spans="1:15" x14ac:dyDescent="0.3">
      <c r="N31" s="2"/>
      <c r="O31"/>
    </row>
    <row r="32" spans="1:15" x14ac:dyDescent="0.3">
      <c r="N32" s="2"/>
      <c r="O32"/>
    </row>
    <row r="33" spans="14:15" x14ac:dyDescent="0.3">
      <c r="N33" s="2"/>
      <c r="O33"/>
    </row>
  </sheetData>
  <dataConsolidate/>
  <mergeCells count="17">
    <mergeCell ref="A2:O2"/>
    <mergeCell ref="A3:C3"/>
    <mergeCell ref="A6:O6"/>
    <mergeCell ref="A7:C7"/>
    <mergeCell ref="A10:O10"/>
    <mergeCell ref="D3:O3"/>
    <mergeCell ref="D7:O7"/>
    <mergeCell ref="A11:C11"/>
    <mergeCell ref="A16:O16"/>
    <mergeCell ref="A17:C17"/>
    <mergeCell ref="A20:O20"/>
    <mergeCell ref="A21:C21"/>
    <mergeCell ref="C12:C14"/>
    <mergeCell ref="D21:O21"/>
    <mergeCell ref="D11:O11"/>
    <mergeCell ref="D17:O17"/>
    <mergeCell ref="D12:D14"/>
  </mergeCells>
  <dataValidations count="2">
    <dataValidation type="list" allowBlank="1" showInputMessage="1" showErrorMessage="1" sqref="J12:J14 J8 J18:J19 J4 K11 K7 K15 J22:K23 K4:K5">
      <formula1>"Pass,Fail"</formula1>
    </dataValidation>
    <dataValidation type="list" allowBlank="1" showInputMessage="1" showErrorMessage="1" sqref="M12:M14 M4 M8 M18:M19 M22:M23">
      <formula1>"New,Retest"</formula1>
    </dataValidation>
  </dataValidations>
  <pageMargins left="0.7" right="0.7" top="0.75" bottom="0.75" header="0.3" footer="0.3"/>
  <pageSetup scale="71" fitToHeight="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abSelected="1" topLeftCell="A25" zoomScale="60" zoomScaleNormal="60" workbookViewId="0">
      <selection activeCell="A29" sqref="A29:XFD36"/>
    </sheetView>
  </sheetViews>
  <sheetFormatPr defaultColWidth="8.88671875" defaultRowHeight="14.4" x14ac:dyDescent="0.3"/>
  <cols>
    <col min="3" max="3" width="12.88671875" customWidth="1"/>
    <col min="4" max="4" width="27" customWidth="1"/>
    <col min="5" max="5" width="17.44140625" customWidth="1"/>
    <col min="7" max="7" width="26.88671875" customWidth="1"/>
    <col min="8" max="8" width="51.44140625" style="2" customWidth="1"/>
    <col min="9" max="9" width="30.6640625" customWidth="1"/>
    <col min="12" max="12" width="16.6640625" customWidth="1"/>
    <col min="13" max="13" width="10.33203125" customWidth="1"/>
    <col min="14" max="14" width="13.109375" customWidth="1"/>
    <col min="15" max="15" width="42.109375" customWidth="1"/>
  </cols>
  <sheetData>
    <row r="1" spans="1:15" x14ac:dyDescent="0.3">
      <c r="A1" s="3" t="s">
        <v>77</v>
      </c>
      <c r="B1" s="3" t="s">
        <v>78</v>
      </c>
      <c r="C1" s="3" t="s">
        <v>1</v>
      </c>
      <c r="D1" s="3" t="s">
        <v>2</v>
      </c>
      <c r="E1" s="4" t="s">
        <v>79</v>
      </c>
      <c r="F1" s="3" t="s">
        <v>80</v>
      </c>
      <c r="G1" s="4" t="s">
        <v>81</v>
      </c>
      <c r="H1" s="4" t="s">
        <v>82</v>
      </c>
      <c r="I1" s="4" t="s">
        <v>83</v>
      </c>
      <c r="J1" s="3" t="s">
        <v>3</v>
      </c>
      <c r="K1" s="3" t="s">
        <v>84</v>
      </c>
      <c r="L1" s="3" t="s">
        <v>85</v>
      </c>
      <c r="M1" s="3" t="s">
        <v>86</v>
      </c>
      <c r="N1" s="3" t="s">
        <v>87</v>
      </c>
      <c r="O1" s="4" t="s">
        <v>4</v>
      </c>
    </row>
    <row r="2" spans="1:15" ht="18" x14ac:dyDescent="0.35">
      <c r="A2" s="50" t="s">
        <v>21</v>
      </c>
      <c r="B2" s="50"/>
      <c r="C2" s="50"/>
      <c r="D2" s="50"/>
      <c r="E2" s="50"/>
      <c r="F2" s="50"/>
      <c r="G2" s="50"/>
      <c r="H2" s="50"/>
      <c r="I2" s="50"/>
      <c r="J2" s="50"/>
      <c r="K2" s="50"/>
      <c r="L2" s="50"/>
      <c r="M2" s="50"/>
      <c r="N2" s="50"/>
      <c r="O2" s="51"/>
    </row>
    <row r="3" spans="1:15" x14ac:dyDescent="0.3">
      <c r="A3" s="41" t="s">
        <v>88</v>
      </c>
      <c r="B3" s="41"/>
      <c r="C3" s="42"/>
      <c r="D3" s="47" t="s">
        <v>140</v>
      </c>
      <c r="E3" s="47"/>
      <c r="F3" s="47"/>
      <c r="G3" s="47"/>
      <c r="H3" s="47"/>
      <c r="I3" s="47"/>
      <c r="J3" s="47"/>
      <c r="K3" s="47"/>
      <c r="L3" s="47"/>
      <c r="M3" s="47"/>
      <c r="N3" s="47"/>
      <c r="O3" s="47"/>
    </row>
    <row r="4" spans="1:15" ht="69" x14ac:dyDescent="0.3">
      <c r="A4" s="17" t="s">
        <v>106</v>
      </c>
      <c r="B4" s="17" t="s">
        <v>89</v>
      </c>
      <c r="C4" s="52" t="s">
        <v>20</v>
      </c>
      <c r="D4" s="48" t="s">
        <v>141</v>
      </c>
      <c r="E4" s="7" t="s">
        <v>383</v>
      </c>
      <c r="F4" s="8" t="s">
        <v>90</v>
      </c>
      <c r="G4" s="8" t="s">
        <v>142</v>
      </c>
      <c r="H4" s="7" t="s">
        <v>143</v>
      </c>
      <c r="I4" s="7" t="s">
        <v>144</v>
      </c>
      <c r="J4" s="8"/>
      <c r="K4" s="8"/>
      <c r="L4" s="8"/>
      <c r="M4" s="8"/>
      <c r="N4" s="7" t="s">
        <v>145</v>
      </c>
      <c r="O4" s="7"/>
    </row>
    <row r="5" spans="1:15" ht="110.4" x14ac:dyDescent="0.3">
      <c r="A5" s="17" t="s">
        <v>106</v>
      </c>
      <c r="B5" s="17" t="s">
        <v>89</v>
      </c>
      <c r="C5" s="54"/>
      <c r="D5" s="55"/>
      <c r="E5" s="7" t="s">
        <v>383</v>
      </c>
      <c r="F5" s="8" t="s">
        <v>94</v>
      </c>
      <c r="G5" s="8" t="s">
        <v>146</v>
      </c>
      <c r="H5" s="7" t="s">
        <v>147</v>
      </c>
      <c r="I5" s="7" t="s">
        <v>148</v>
      </c>
      <c r="J5" s="8"/>
      <c r="K5" s="8"/>
      <c r="L5" s="8"/>
      <c r="M5" s="8"/>
      <c r="N5" s="7" t="s">
        <v>145</v>
      </c>
      <c r="O5" s="7"/>
    </row>
    <row r="6" spans="1:15" ht="6.75" customHeight="1" x14ac:dyDescent="0.3">
      <c r="C6" s="9"/>
      <c r="J6" t="s">
        <v>92</v>
      </c>
    </row>
    <row r="7" spans="1:15" ht="18" x14ac:dyDescent="0.35">
      <c r="A7" s="43" t="s">
        <v>23</v>
      </c>
      <c r="B7" s="43"/>
      <c r="C7" s="43"/>
      <c r="D7" s="43"/>
      <c r="E7" s="43"/>
      <c r="F7" s="43"/>
      <c r="G7" s="43"/>
      <c r="H7" s="43"/>
      <c r="I7" s="43"/>
      <c r="J7" s="43"/>
      <c r="K7" s="43"/>
      <c r="L7" s="43"/>
      <c r="M7" s="43"/>
      <c r="N7" s="43"/>
      <c r="O7" s="44"/>
    </row>
    <row r="8" spans="1:15" x14ac:dyDescent="0.3">
      <c r="A8" s="41" t="s">
        <v>88</v>
      </c>
      <c r="B8" s="41"/>
      <c r="C8" s="42"/>
      <c r="D8" s="47" t="s">
        <v>149</v>
      </c>
      <c r="E8" s="47"/>
      <c r="F8" s="47"/>
      <c r="G8" s="47"/>
      <c r="H8" s="47"/>
      <c r="I8" s="47"/>
      <c r="J8" s="47"/>
      <c r="K8" s="47"/>
      <c r="L8" s="47"/>
      <c r="M8" s="47"/>
      <c r="N8" s="47"/>
      <c r="O8" s="47"/>
    </row>
    <row r="9" spans="1:15" ht="91.5" customHeight="1" x14ac:dyDescent="0.3">
      <c r="A9" s="17" t="s">
        <v>106</v>
      </c>
      <c r="B9" s="17" t="s">
        <v>89</v>
      </c>
      <c r="C9" s="52" t="s">
        <v>22</v>
      </c>
      <c r="D9" s="48" t="s">
        <v>149</v>
      </c>
      <c r="E9" s="7" t="s">
        <v>383</v>
      </c>
      <c r="F9" s="8" t="s">
        <v>90</v>
      </c>
      <c r="G9" s="8" t="s">
        <v>150</v>
      </c>
      <c r="H9" s="7" t="s">
        <v>151</v>
      </c>
      <c r="I9" s="7" t="s">
        <v>152</v>
      </c>
      <c r="J9" s="8"/>
      <c r="K9" s="8"/>
      <c r="L9" s="8"/>
      <c r="M9" s="8"/>
      <c r="N9" s="7" t="s">
        <v>145</v>
      </c>
      <c r="O9" s="7"/>
    </row>
    <row r="10" spans="1:15" ht="27.6" x14ac:dyDescent="0.3">
      <c r="A10" s="17" t="s">
        <v>106</v>
      </c>
      <c r="B10" s="17" t="s">
        <v>89</v>
      </c>
      <c r="C10" s="53"/>
      <c r="D10" s="49"/>
      <c r="E10" s="7" t="s">
        <v>383</v>
      </c>
      <c r="F10" s="8" t="s">
        <v>94</v>
      </c>
      <c r="G10" s="8" t="s">
        <v>153</v>
      </c>
      <c r="H10" s="7" t="s">
        <v>154</v>
      </c>
      <c r="I10" s="7" t="s">
        <v>155</v>
      </c>
      <c r="J10" s="8"/>
      <c r="K10" s="8"/>
      <c r="L10" s="8"/>
      <c r="M10" s="8"/>
      <c r="N10" s="7" t="s">
        <v>145</v>
      </c>
      <c r="O10" s="7"/>
    </row>
    <row r="11" spans="1:15" ht="55.2" x14ac:dyDescent="0.3">
      <c r="A11" s="17" t="s">
        <v>106</v>
      </c>
      <c r="B11" s="17" t="s">
        <v>89</v>
      </c>
      <c r="C11" s="53"/>
      <c r="D11" s="49"/>
      <c r="E11" s="7" t="s">
        <v>156</v>
      </c>
      <c r="F11" s="8" t="s">
        <v>96</v>
      </c>
      <c r="G11" s="7" t="s">
        <v>157</v>
      </c>
      <c r="H11" s="7" t="s">
        <v>158</v>
      </c>
      <c r="I11" s="7" t="s">
        <v>159</v>
      </c>
      <c r="J11" s="8"/>
      <c r="K11" s="8"/>
      <c r="L11" s="8"/>
      <c r="M11" s="8"/>
      <c r="N11" s="7" t="s">
        <v>145</v>
      </c>
      <c r="O11" s="7"/>
    </row>
    <row r="12" spans="1:15" ht="41.4" x14ac:dyDescent="0.3">
      <c r="A12" s="17" t="s">
        <v>106</v>
      </c>
      <c r="B12" s="17" t="s">
        <v>89</v>
      </c>
      <c r="C12" s="53"/>
      <c r="D12" s="49"/>
      <c r="E12" s="7" t="s">
        <v>383</v>
      </c>
      <c r="F12" s="8" t="s">
        <v>97</v>
      </c>
      <c r="G12" s="8" t="s">
        <v>160</v>
      </c>
      <c r="H12" s="7" t="s">
        <v>151</v>
      </c>
      <c r="I12" s="7" t="s">
        <v>161</v>
      </c>
      <c r="J12" s="8"/>
      <c r="K12" s="8"/>
      <c r="L12" s="8"/>
      <c r="M12" s="8"/>
      <c r="N12" s="7" t="s">
        <v>145</v>
      </c>
      <c r="O12" s="7"/>
    </row>
    <row r="13" spans="1:15" ht="41.4" x14ac:dyDescent="0.3">
      <c r="A13" s="17" t="s">
        <v>106</v>
      </c>
      <c r="B13" s="17" t="s">
        <v>89</v>
      </c>
      <c r="C13" s="54"/>
      <c r="D13" s="55"/>
      <c r="E13" s="7" t="s">
        <v>383</v>
      </c>
      <c r="F13" s="8" t="s">
        <v>99</v>
      </c>
      <c r="G13" s="7" t="s">
        <v>162</v>
      </c>
      <c r="H13" s="7" t="s">
        <v>163</v>
      </c>
      <c r="I13" s="7" t="s">
        <v>164</v>
      </c>
      <c r="J13" s="8"/>
      <c r="K13" s="8"/>
      <c r="L13" s="8"/>
      <c r="M13" s="8"/>
      <c r="N13" s="7" t="s">
        <v>145</v>
      </c>
      <c r="O13" s="7"/>
    </row>
    <row r="14" spans="1:15" ht="5.25" customHeight="1" x14ac:dyDescent="0.3">
      <c r="J14" t="s">
        <v>92</v>
      </c>
    </row>
    <row r="15" spans="1:15" ht="18" x14ac:dyDescent="0.35">
      <c r="A15" s="43" t="s">
        <v>25</v>
      </c>
      <c r="B15" s="43"/>
      <c r="C15" s="43"/>
      <c r="D15" s="43"/>
      <c r="E15" s="43"/>
      <c r="F15" s="43"/>
      <c r="G15" s="43"/>
      <c r="H15" s="43"/>
      <c r="I15" s="43"/>
      <c r="J15" s="43"/>
      <c r="K15" s="43"/>
      <c r="L15" s="43"/>
      <c r="M15" s="43"/>
      <c r="N15" s="43"/>
      <c r="O15" s="44"/>
    </row>
    <row r="16" spans="1:15" x14ac:dyDescent="0.3">
      <c r="A16" s="41" t="s">
        <v>88</v>
      </c>
      <c r="B16" s="41"/>
      <c r="C16" s="42"/>
      <c r="D16" s="47" t="s">
        <v>165</v>
      </c>
      <c r="E16" s="47"/>
      <c r="F16" s="47"/>
      <c r="G16" s="47"/>
      <c r="H16" s="47"/>
      <c r="I16" s="47"/>
      <c r="J16" s="47"/>
      <c r="K16" s="47"/>
      <c r="L16" s="47"/>
      <c r="M16" s="47"/>
      <c r="N16" s="47"/>
      <c r="O16" s="47"/>
    </row>
    <row r="17" spans="1:15" ht="106.5" customHeight="1" x14ac:dyDescent="0.3">
      <c r="A17" s="17" t="s">
        <v>106</v>
      </c>
      <c r="B17" s="38" t="s">
        <v>89</v>
      </c>
      <c r="C17" s="52" t="s">
        <v>24</v>
      </c>
      <c r="D17" s="48" t="s">
        <v>166</v>
      </c>
      <c r="E17" s="7" t="s">
        <v>383</v>
      </c>
      <c r="F17" s="9" t="s">
        <v>90</v>
      </c>
      <c r="G17" s="9" t="s">
        <v>167</v>
      </c>
      <c r="H17" s="7" t="s">
        <v>168</v>
      </c>
      <c r="I17" s="7" t="s">
        <v>169</v>
      </c>
      <c r="J17" s="8"/>
      <c r="K17" s="8"/>
      <c r="L17" s="8"/>
      <c r="M17" s="8"/>
      <c r="N17" s="7" t="s">
        <v>170</v>
      </c>
      <c r="O17" s="7"/>
    </row>
    <row r="18" spans="1:15" ht="110.4" x14ac:dyDescent="0.3">
      <c r="A18" s="17" t="s">
        <v>106</v>
      </c>
      <c r="B18" s="38" t="s">
        <v>89</v>
      </c>
      <c r="C18" s="53"/>
      <c r="D18" s="49"/>
      <c r="E18" s="7" t="s">
        <v>383</v>
      </c>
      <c r="F18" s="9" t="s">
        <v>94</v>
      </c>
      <c r="G18" s="24" t="s">
        <v>171</v>
      </c>
      <c r="H18" s="7" t="s">
        <v>172</v>
      </c>
      <c r="I18" s="7" t="s">
        <v>173</v>
      </c>
      <c r="J18" s="8"/>
      <c r="K18" s="8"/>
      <c r="L18" s="8"/>
      <c r="M18" s="8"/>
      <c r="N18" s="7" t="s">
        <v>170</v>
      </c>
      <c r="O18" s="7"/>
    </row>
    <row r="19" spans="1:15" ht="262.2" x14ac:dyDescent="0.3">
      <c r="A19" s="17" t="s">
        <v>106</v>
      </c>
      <c r="B19" s="38" t="s">
        <v>89</v>
      </c>
      <c r="C19" s="53"/>
      <c r="D19" s="49"/>
      <c r="E19" s="7" t="s">
        <v>383</v>
      </c>
      <c r="F19" s="9" t="s">
        <v>96</v>
      </c>
      <c r="G19" s="24" t="s">
        <v>174</v>
      </c>
      <c r="H19" s="7" t="s">
        <v>175</v>
      </c>
      <c r="I19" s="7" t="s">
        <v>176</v>
      </c>
      <c r="J19" s="8"/>
      <c r="K19" s="8"/>
      <c r="L19" s="8"/>
      <c r="M19" s="8"/>
      <c r="N19" s="7" t="s">
        <v>170</v>
      </c>
      <c r="O19" s="7"/>
    </row>
    <row r="20" spans="1:15" ht="124.2" x14ac:dyDescent="0.3">
      <c r="A20" s="17" t="s">
        <v>106</v>
      </c>
      <c r="B20" s="38" t="s">
        <v>89</v>
      </c>
      <c r="C20" s="54"/>
      <c r="D20" s="55"/>
      <c r="E20" s="7" t="s">
        <v>383</v>
      </c>
      <c r="F20" s="9" t="s">
        <v>97</v>
      </c>
      <c r="G20" s="24" t="s">
        <v>177</v>
      </c>
      <c r="H20" s="7" t="s">
        <v>178</v>
      </c>
      <c r="I20" s="7" t="s">
        <v>179</v>
      </c>
      <c r="J20" s="8"/>
      <c r="K20" s="8"/>
      <c r="L20" s="8"/>
      <c r="M20" s="8"/>
      <c r="N20" s="7" t="s">
        <v>170</v>
      </c>
      <c r="O20" s="7"/>
    </row>
    <row r="21" spans="1:15" ht="5.25" customHeight="1" x14ac:dyDescent="0.3">
      <c r="J21" t="s">
        <v>92</v>
      </c>
    </row>
    <row r="22" spans="1:15" ht="15" customHeight="1" x14ac:dyDescent="0.35">
      <c r="A22" s="56" t="s">
        <v>29</v>
      </c>
      <c r="B22" s="56"/>
      <c r="C22" s="56"/>
      <c r="D22" s="56"/>
      <c r="E22" s="56"/>
      <c r="F22" s="56"/>
      <c r="G22" s="56"/>
      <c r="H22" s="56"/>
      <c r="I22" s="56"/>
      <c r="J22" s="56"/>
      <c r="K22" s="56"/>
      <c r="L22" s="56"/>
      <c r="M22" s="56"/>
      <c r="N22" s="56"/>
      <c r="O22" s="57"/>
    </row>
    <row r="23" spans="1:15" x14ac:dyDescent="0.3">
      <c r="A23" s="58" t="s">
        <v>88</v>
      </c>
      <c r="B23" s="58"/>
      <c r="C23" s="59"/>
      <c r="D23" s="60" t="s">
        <v>180</v>
      </c>
      <c r="E23" s="60"/>
      <c r="F23" s="60"/>
      <c r="G23" s="60"/>
      <c r="H23" s="60"/>
      <c r="I23" s="60"/>
      <c r="J23" s="60"/>
      <c r="K23" s="60"/>
      <c r="L23" s="60"/>
      <c r="M23" s="60"/>
      <c r="N23" s="60"/>
      <c r="O23" s="60"/>
    </row>
    <row r="24" spans="1:15" ht="166.5" customHeight="1" x14ac:dyDescent="0.3">
      <c r="A24" s="17" t="s">
        <v>106</v>
      </c>
      <c r="B24" s="17" t="s">
        <v>89</v>
      </c>
      <c r="C24" s="52" t="s">
        <v>28</v>
      </c>
      <c r="D24" s="48" t="s">
        <v>181</v>
      </c>
      <c r="E24" s="7" t="s">
        <v>383</v>
      </c>
      <c r="F24" s="9" t="s">
        <v>90</v>
      </c>
      <c r="G24" s="24" t="s">
        <v>182</v>
      </c>
      <c r="H24" s="25" t="s">
        <v>384</v>
      </c>
      <c r="I24" s="7" t="s">
        <v>183</v>
      </c>
      <c r="J24" s="8"/>
      <c r="K24" s="8"/>
      <c r="L24" s="8"/>
      <c r="M24" s="8"/>
      <c r="N24" s="7" t="s">
        <v>184</v>
      </c>
      <c r="O24" s="7"/>
    </row>
    <row r="25" spans="1:15" ht="69" x14ac:dyDescent="0.3">
      <c r="A25" s="17" t="s">
        <v>106</v>
      </c>
      <c r="B25" s="17" t="s">
        <v>89</v>
      </c>
      <c r="C25" s="53"/>
      <c r="D25" s="55"/>
      <c r="E25" s="7" t="s">
        <v>383</v>
      </c>
      <c r="F25" s="9" t="s">
        <v>94</v>
      </c>
      <c r="G25" s="24" t="s">
        <v>185</v>
      </c>
      <c r="H25" s="7" t="s">
        <v>186</v>
      </c>
      <c r="I25" s="7" t="s">
        <v>187</v>
      </c>
      <c r="J25" s="8"/>
      <c r="K25" s="8"/>
      <c r="L25" s="8"/>
      <c r="M25" s="8"/>
      <c r="N25" s="7" t="s">
        <v>184</v>
      </c>
      <c r="O25" s="7"/>
    </row>
    <row r="26" spans="1:15" ht="248.4" x14ac:dyDescent="0.3">
      <c r="A26" s="17" t="s">
        <v>106</v>
      </c>
      <c r="B26" s="17" t="s">
        <v>89</v>
      </c>
      <c r="C26" s="54"/>
      <c r="D26" s="24" t="s">
        <v>188</v>
      </c>
      <c r="E26" s="7" t="s">
        <v>383</v>
      </c>
      <c r="F26" s="9" t="s">
        <v>90</v>
      </c>
      <c r="G26" s="24" t="s">
        <v>189</v>
      </c>
      <c r="H26" s="25" t="s">
        <v>385</v>
      </c>
      <c r="I26" s="7" t="s">
        <v>190</v>
      </c>
      <c r="J26" s="8"/>
      <c r="K26" s="8"/>
      <c r="L26" s="8"/>
      <c r="M26" s="8"/>
      <c r="N26" s="7" t="s">
        <v>184</v>
      </c>
      <c r="O26" s="7"/>
    </row>
    <row r="27" spans="1:15" ht="5.25" customHeight="1" x14ac:dyDescent="0.3">
      <c r="J27" t="s">
        <v>92</v>
      </c>
    </row>
    <row r="28" spans="1:15" ht="7.5" customHeight="1" x14ac:dyDescent="0.3">
      <c r="J28" t="s">
        <v>92</v>
      </c>
    </row>
    <row r="29" spans="1:15" x14ac:dyDescent="0.3">
      <c r="C29" s="27"/>
      <c r="D29" s="28"/>
      <c r="E29" s="28"/>
      <c r="F29" s="28"/>
      <c r="G29" s="28"/>
      <c r="H29" s="29"/>
      <c r="I29" s="30"/>
      <c r="J29" s="31"/>
      <c r="K29" s="31"/>
      <c r="L29" s="31"/>
      <c r="M29" s="31"/>
      <c r="N29" s="32"/>
      <c r="O29" s="31"/>
    </row>
    <row r="30" spans="1:15" x14ac:dyDescent="0.3">
      <c r="C30" s="27"/>
      <c r="D30" s="28"/>
      <c r="E30" s="28"/>
      <c r="F30" s="28"/>
      <c r="G30" s="28"/>
      <c r="H30" s="29"/>
      <c r="I30" s="30"/>
      <c r="J30" s="31"/>
      <c r="K30" s="31"/>
      <c r="L30" s="31"/>
      <c r="M30" s="31"/>
      <c r="N30" s="32"/>
      <c r="O30" s="31"/>
    </row>
    <row r="31" spans="1:15" x14ac:dyDescent="0.3">
      <c r="C31" s="27"/>
      <c r="D31" s="28"/>
      <c r="E31" s="28"/>
      <c r="F31" s="28"/>
      <c r="G31" s="28"/>
      <c r="H31" s="29"/>
      <c r="I31" s="30"/>
      <c r="J31" s="31"/>
      <c r="K31" s="31"/>
      <c r="L31" s="31"/>
      <c r="M31" s="31"/>
      <c r="N31" s="32"/>
      <c r="O31" s="31"/>
    </row>
    <row r="33" spans="3:3" ht="18" x14ac:dyDescent="0.35">
      <c r="C33" s="33" t="s">
        <v>192</v>
      </c>
    </row>
  </sheetData>
  <mergeCells count="20">
    <mergeCell ref="A2:O2"/>
    <mergeCell ref="A3:C3"/>
    <mergeCell ref="A7:O7"/>
    <mergeCell ref="A8:C8"/>
    <mergeCell ref="A15:O15"/>
    <mergeCell ref="D8:O8"/>
    <mergeCell ref="D3:O3"/>
    <mergeCell ref="C4:C5"/>
    <mergeCell ref="D4:D5"/>
    <mergeCell ref="C9:C13"/>
    <mergeCell ref="D9:D13"/>
    <mergeCell ref="D23:O23"/>
    <mergeCell ref="A16:C16"/>
    <mergeCell ref="A22:O22"/>
    <mergeCell ref="A23:C23"/>
    <mergeCell ref="D16:O16"/>
    <mergeCell ref="C17:C20"/>
    <mergeCell ref="D17:D20"/>
    <mergeCell ref="C24:C26"/>
    <mergeCell ref="D24:D25"/>
  </mergeCells>
  <dataValidations count="1">
    <dataValidation type="list" allowBlank="1" showInputMessage="1" showErrorMessage="1" sqref="J4:K5 J9:K13 J17:K20 J24:K26">
      <formula1>"Pass,Fail"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
  <sheetViews>
    <sheetView zoomScale="90" zoomScaleNormal="90" workbookViewId="0">
      <pane ySplit="1" topLeftCell="A6" activePane="bottomLeft" state="frozen"/>
      <selection pane="bottomLeft" activeCell="E4" sqref="E4"/>
    </sheetView>
  </sheetViews>
  <sheetFormatPr defaultColWidth="8.88671875" defaultRowHeight="14.4" x14ac:dyDescent="0.3"/>
  <cols>
    <col min="3" max="3" width="12.88671875" style="1" customWidth="1"/>
    <col min="4" max="4" width="27" customWidth="1"/>
    <col min="5" max="5" width="13.88671875" customWidth="1"/>
    <col min="7" max="7" width="26.88671875" customWidth="1"/>
    <col min="8" max="8" width="48.6640625" style="2" customWidth="1"/>
    <col min="9" max="9" width="30.6640625" style="2" customWidth="1"/>
    <col min="12" max="12" width="16.6640625" customWidth="1"/>
    <col min="13" max="13" width="10.33203125" customWidth="1"/>
    <col min="14" max="14" width="13.44140625" customWidth="1"/>
    <col min="15" max="15" width="45.44140625" customWidth="1"/>
  </cols>
  <sheetData>
    <row r="1" spans="1:15" x14ac:dyDescent="0.3">
      <c r="A1" s="3" t="s">
        <v>77</v>
      </c>
      <c r="B1" s="3" t="s">
        <v>78</v>
      </c>
      <c r="C1" s="3" t="s">
        <v>1</v>
      </c>
      <c r="D1" s="3" t="s">
        <v>2</v>
      </c>
      <c r="E1" s="3" t="s">
        <v>79</v>
      </c>
      <c r="F1" s="3" t="s">
        <v>80</v>
      </c>
      <c r="G1" s="3" t="s">
        <v>81</v>
      </c>
      <c r="H1" s="4" t="s">
        <v>82</v>
      </c>
      <c r="I1" s="4" t="s">
        <v>83</v>
      </c>
      <c r="J1" s="3" t="s">
        <v>3</v>
      </c>
      <c r="K1" s="3" t="s">
        <v>84</v>
      </c>
      <c r="L1" s="3" t="s">
        <v>85</v>
      </c>
      <c r="M1" s="3" t="s">
        <v>86</v>
      </c>
      <c r="N1" s="3" t="s">
        <v>87</v>
      </c>
      <c r="O1" s="3" t="s">
        <v>4</v>
      </c>
    </row>
    <row r="2" spans="1:15" ht="18" x14ac:dyDescent="0.35">
      <c r="A2" s="50" t="s">
        <v>38</v>
      </c>
      <c r="B2" s="50"/>
      <c r="C2" s="50"/>
      <c r="D2" s="50"/>
      <c r="E2" s="50"/>
      <c r="F2" s="50"/>
      <c r="G2" s="50"/>
      <c r="H2" s="50"/>
      <c r="I2" s="50"/>
      <c r="J2" s="50"/>
      <c r="K2" s="50"/>
      <c r="L2" s="50"/>
      <c r="M2" s="50"/>
      <c r="N2" s="50"/>
      <c r="O2" s="51"/>
    </row>
    <row r="3" spans="1:15" x14ac:dyDescent="0.3">
      <c r="A3" s="41" t="s">
        <v>88</v>
      </c>
      <c r="B3" s="41"/>
      <c r="C3" s="42"/>
      <c r="D3" s="61" t="s">
        <v>193</v>
      </c>
      <c r="E3" s="62"/>
      <c r="F3" s="62"/>
      <c r="G3" s="62"/>
      <c r="H3" s="62"/>
      <c r="I3" s="62"/>
      <c r="J3" s="62"/>
      <c r="K3" s="62"/>
      <c r="L3" s="62"/>
      <c r="M3" s="62"/>
      <c r="N3" s="62"/>
      <c r="O3" s="63"/>
    </row>
    <row r="4" spans="1:15" ht="124.2" x14ac:dyDescent="0.3">
      <c r="A4" s="17" t="s">
        <v>106</v>
      </c>
      <c r="B4" s="17" t="s">
        <v>89</v>
      </c>
      <c r="C4" s="52" t="s">
        <v>37</v>
      </c>
      <c r="D4" s="48" t="s">
        <v>194</v>
      </c>
      <c r="E4" s="7" t="s">
        <v>388</v>
      </c>
      <c r="F4" s="8" t="s">
        <v>90</v>
      </c>
      <c r="G4" s="8" t="s">
        <v>195</v>
      </c>
      <c r="H4" s="7" t="s">
        <v>386</v>
      </c>
      <c r="I4" s="7" t="s">
        <v>196</v>
      </c>
      <c r="J4" s="8"/>
      <c r="K4" s="8"/>
      <c r="L4" s="8"/>
      <c r="M4" s="8"/>
      <c r="N4" s="7" t="s">
        <v>197</v>
      </c>
      <c r="O4" s="7" t="s">
        <v>91</v>
      </c>
    </row>
    <row r="5" spans="1:15" ht="82.8" x14ac:dyDescent="0.3">
      <c r="A5" s="17" t="s">
        <v>106</v>
      </c>
      <c r="B5" s="17" t="s">
        <v>89</v>
      </c>
      <c r="C5" s="53"/>
      <c r="D5" s="49"/>
      <c r="E5" s="7" t="s">
        <v>388</v>
      </c>
      <c r="F5" s="8" t="s">
        <v>94</v>
      </c>
      <c r="G5" s="8" t="s">
        <v>198</v>
      </c>
      <c r="H5" s="7" t="s">
        <v>199</v>
      </c>
      <c r="I5" s="7" t="s">
        <v>200</v>
      </c>
      <c r="J5" s="8"/>
      <c r="K5" s="8"/>
      <c r="L5" s="8"/>
      <c r="M5" s="8"/>
      <c r="N5" s="7" t="s">
        <v>197</v>
      </c>
      <c r="O5" s="7" t="s">
        <v>91</v>
      </c>
    </row>
    <row r="6" spans="1:15" ht="124.2" x14ac:dyDescent="0.3">
      <c r="A6" s="17" t="s">
        <v>106</v>
      </c>
      <c r="B6" s="17" t="s">
        <v>89</v>
      </c>
      <c r="C6" s="53"/>
      <c r="D6" s="49"/>
      <c r="E6" s="7" t="s">
        <v>388</v>
      </c>
      <c r="F6" s="8" t="s">
        <v>96</v>
      </c>
      <c r="G6" s="8" t="s">
        <v>201</v>
      </c>
      <c r="H6" s="7" t="s">
        <v>387</v>
      </c>
      <c r="I6" s="7" t="s">
        <v>202</v>
      </c>
      <c r="J6" s="8"/>
      <c r="K6" s="8"/>
      <c r="L6" s="8"/>
      <c r="M6" s="8"/>
      <c r="N6" s="7" t="s">
        <v>203</v>
      </c>
      <c r="O6" s="7" t="s">
        <v>91</v>
      </c>
    </row>
    <row r="7" spans="1:15" ht="96.6" x14ac:dyDescent="0.3">
      <c r="A7" s="17" t="s">
        <v>106</v>
      </c>
      <c r="B7" s="17" t="s">
        <v>89</v>
      </c>
      <c r="C7" s="54"/>
      <c r="D7" s="55"/>
      <c r="E7" s="7" t="s">
        <v>388</v>
      </c>
      <c r="F7" s="8" t="s">
        <v>97</v>
      </c>
      <c r="G7" s="8" t="s">
        <v>204</v>
      </c>
      <c r="H7" s="7" t="s">
        <v>205</v>
      </c>
      <c r="I7" s="7" t="s">
        <v>206</v>
      </c>
      <c r="J7" s="8"/>
      <c r="K7" s="8"/>
      <c r="L7" s="8"/>
      <c r="M7" s="8"/>
      <c r="N7" s="7" t="s">
        <v>207</v>
      </c>
      <c r="O7" s="7" t="s">
        <v>91</v>
      </c>
    </row>
    <row r="8" spans="1:15" ht="6" customHeight="1" x14ac:dyDescent="0.3">
      <c r="J8" t="s">
        <v>92</v>
      </c>
    </row>
  </sheetData>
  <dataConsolidate/>
  <mergeCells count="5">
    <mergeCell ref="A2:O2"/>
    <mergeCell ref="A3:C3"/>
    <mergeCell ref="D3:O3"/>
    <mergeCell ref="C4:C7"/>
    <mergeCell ref="D4:D7"/>
  </mergeCells>
  <dataValidations count="2">
    <dataValidation type="list" allowBlank="1" showInputMessage="1" showErrorMessage="1" sqref="K4:K7 J1 J3:J1048576">
      <formula1>"Pass,Fail"</formula1>
    </dataValidation>
    <dataValidation type="list" allowBlank="1" showInputMessage="1" showErrorMessage="1" sqref="M4:M7">
      <formula1>"New,Retest"</formula1>
    </dataValidation>
  </dataValidations>
  <pageMargins left="0.25" right="0.25"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
  <sheetViews>
    <sheetView zoomScale="80" zoomScaleNormal="80" workbookViewId="0">
      <pane ySplit="1" topLeftCell="A31" activePane="bottomLeft" state="frozen"/>
      <selection pane="bottomLeft" activeCell="E34" sqref="E34"/>
    </sheetView>
  </sheetViews>
  <sheetFormatPr defaultColWidth="8.88671875" defaultRowHeight="14.4" x14ac:dyDescent="0.3"/>
  <cols>
    <col min="3" max="3" width="12.88671875" style="1" customWidth="1"/>
    <col min="4" max="4" width="27" customWidth="1"/>
    <col min="5" max="5" width="13.88671875" style="2" customWidth="1"/>
    <col min="7" max="7" width="26.88671875" customWidth="1"/>
    <col min="8" max="8" width="62.44140625" style="2" customWidth="1"/>
    <col min="9" max="9" width="30.6640625" style="2" customWidth="1"/>
    <col min="12" max="12" width="16.6640625" customWidth="1"/>
    <col min="13" max="13" width="10.33203125" customWidth="1"/>
    <col min="14" max="14" width="13.109375" customWidth="1"/>
    <col min="15" max="15" width="42.109375" style="2" customWidth="1"/>
  </cols>
  <sheetData>
    <row r="1" spans="1:15" x14ac:dyDescent="0.3">
      <c r="A1" s="3" t="s">
        <v>77</v>
      </c>
      <c r="B1" s="3" t="s">
        <v>78</v>
      </c>
      <c r="C1" s="3" t="s">
        <v>1</v>
      </c>
      <c r="D1" s="3" t="s">
        <v>2</v>
      </c>
      <c r="E1" s="4" t="s">
        <v>79</v>
      </c>
      <c r="F1" s="3" t="s">
        <v>80</v>
      </c>
      <c r="G1" s="3" t="s">
        <v>81</v>
      </c>
      <c r="H1" s="4" t="s">
        <v>82</v>
      </c>
      <c r="I1" s="4" t="s">
        <v>83</v>
      </c>
      <c r="J1" s="3" t="s">
        <v>3</v>
      </c>
      <c r="K1" s="3" t="s">
        <v>84</v>
      </c>
      <c r="L1" s="3" t="s">
        <v>85</v>
      </c>
      <c r="M1" s="3" t="s">
        <v>86</v>
      </c>
      <c r="N1" s="3" t="s">
        <v>87</v>
      </c>
      <c r="O1" s="4" t="s">
        <v>4</v>
      </c>
    </row>
    <row r="2" spans="1:15" ht="18" x14ac:dyDescent="0.35">
      <c r="A2" s="50" t="s">
        <v>43</v>
      </c>
      <c r="B2" s="50"/>
      <c r="C2" s="50"/>
      <c r="D2" s="50"/>
      <c r="E2" s="50"/>
      <c r="F2" s="50"/>
      <c r="G2" s="50"/>
      <c r="H2" s="50"/>
      <c r="I2" s="50"/>
      <c r="J2" s="50"/>
      <c r="K2" s="50"/>
      <c r="L2" s="50"/>
      <c r="M2" s="50"/>
      <c r="N2" s="50"/>
      <c r="O2" s="51"/>
    </row>
    <row r="3" spans="1:15" x14ac:dyDescent="0.3">
      <c r="A3" s="41" t="s">
        <v>88</v>
      </c>
      <c r="B3" s="41"/>
      <c r="C3" s="42"/>
      <c r="D3" s="47" t="s">
        <v>208</v>
      </c>
      <c r="E3" s="47"/>
      <c r="F3" s="47"/>
      <c r="G3" s="47"/>
      <c r="H3" s="47"/>
      <c r="I3" s="47"/>
      <c r="J3" s="47"/>
      <c r="K3" s="47"/>
      <c r="L3" s="47"/>
      <c r="M3" s="47"/>
      <c r="N3" s="47"/>
      <c r="O3" s="47"/>
    </row>
    <row r="4" spans="1:15" ht="115.2" x14ac:dyDescent="0.3">
      <c r="A4" s="17" t="s">
        <v>106</v>
      </c>
      <c r="B4" s="38" t="s">
        <v>89</v>
      </c>
      <c r="C4" s="52" t="s">
        <v>42</v>
      </c>
      <c r="D4" s="48" t="s">
        <v>209</v>
      </c>
      <c r="E4" s="7" t="s">
        <v>383</v>
      </c>
      <c r="F4" s="14" t="s">
        <v>90</v>
      </c>
      <c r="G4" s="14" t="s">
        <v>210</v>
      </c>
      <c r="H4" s="13" t="s">
        <v>211</v>
      </c>
      <c r="I4" s="15" t="s">
        <v>212</v>
      </c>
      <c r="J4" s="8"/>
      <c r="K4" s="8"/>
      <c r="L4" s="8"/>
      <c r="M4" s="8"/>
      <c r="N4" s="7"/>
      <c r="O4" s="7" t="s">
        <v>91</v>
      </c>
    </row>
    <row r="5" spans="1:15" ht="193.2" x14ac:dyDescent="0.3">
      <c r="A5" s="17" t="s">
        <v>106</v>
      </c>
      <c r="B5" s="38" t="s">
        <v>89</v>
      </c>
      <c r="C5" s="53"/>
      <c r="D5" s="49"/>
      <c r="E5" s="7" t="s">
        <v>388</v>
      </c>
      <c r="F5" s="8" t="s">
        <v>94</v>
      </c>
      <c r="G5" s="8" t="s">
        <v>213</v>
      </c>
      <c r="H5" s="7" t="s">
        <v>389</v>
      </c>
      <c r="I5" s="7" t="s">
        <v>214</v>
      </c>
      <c r="J5" s="8"/>
      <c r="K5" s="8"/>
      <c r="L5" s="8"/>
      <c r="M5" s="8"/>
      <c r="N5" s="7" t="s">
        <v>207</v>
      </c>
      <c r="O5" s="7" t="s">
        <v>91</v>
      </c>
    </row>
    <row r="6" spans="1:15" ht="69" x14ac:dyDescent="0.3">
      <c r="A6" s="17" t="s">
        <v>106</v>
      </c>
      <c r="B6" s="38" t="s">
        <v>89</v>
      </c>
      <c r="C6" s="53"/>
      <c r="D6" s="49"/>
      <c r="E6" s="7" t="s">
        <v>388</v>
      </c>
      <c r="F6" s="8" t="s">
        <v>96</v>
      </c>
      <c r="G6" s="8" t="s">
        <v>215</v>
      </c>
      <c r="H6" s="7" t="s">
        <v>216</v>
      </c>
      <c r="I6" s="7" t="s">
        <v>217</v>
      </c>
      <c r="J6" s="8"/>
      <c r="K6" s="8"/>
      <c r="L6" s="8"/>
      <c r="M6" s="8"/>
      <c r="N6" s="7" t="s">
        <v>218</v>
      </c>
      <c r="O6" s="7" t="s">
        <v>93</v>
      </c>
    </row>
    <row r="7" spans="1:15" ht="82.8" x14ac:dyDescent="0.3">
      <c r="A7" s="17" t="s">
        <v>106</v>
      </c>
      <c r="B7" s="38" t="s">
        <v>89</v>
      </c>
      <c r="C7" s="53"/>
      <c r="D7" s="49"/>
      <c r="E7" s="7" t="s">
        <v>381</v>
      </c>
      <c r="F7" s="8" t="s">
        <v>97</v>
      </c>
      <c r="G7" s="8" t="s">
        <v>219</v>
      </c>
      <c r="H7" s="7" t="s">
        <v>220</v>
      </c>
      <c r="I7" s="7" t="s">
        <v>221</v>
      </c>
      <c r="J7" s="8"/>
      <c r="K7" s="8"/>
      <c r="L7" s="8"/>
      <c r="M7" s="8"/>
      <c r="N7" s="7" t="s">
        <v>124</v>
      </c>
      <c r="O7" s="7" t="s">
        <v>93</v>
      </c>
    </row>
    <row r="8" spans="1:15" ht="96.6" x14ac:dyDescent="0.3">
      <c r="A8" s="17" t="s">
        <v>106</v>
      </c>
      <c r="B8" s="38" t="s">
        <v>89</v>
      </c>
      <c r="C8" s="53"/>
      <c r="D8" s="49"/>
      <c r="E8" s="7" t="s">
        <v>381</v>
      </c>
      <c r="F8" s="8" t="s">
        <v>99</v>
      </c>
      <c r="G8" s="8" t="s">
        <v>222</v>
      </c>
      <c r="H8" s="7" t="s">
        <v>223</v>
      </c>
      <c r="I8" s="7" t="s">
        <v>224</v>
      </c>
      <c r="J8" s="8"/>
      <c r="L8" s="8"/>
      <c r="M8" s="8"/>
      <c r="N8" s="7" t="s">
        <v>124</v>
      </c>
      <c r="O8" s="7" t="s">
        <v>91</v>
      </c>
    </row>
    <row r="9" spans="1:15" ht="138" x14ac:dyDescent="0.3">
      <c r="A9" s="17" t="s">
        <v>106</v>
      </c>
      <c r="B9" s="38" t="s">
        <v>89</v>
      </c>
      <c r="C9" s="53"/>
      <c r="D9" s="49"/>
      <c r="E9" s="7" t="s">
        <v>381</v>
      </c>
      <c r="F9" s="8" t="s">
        <v>102</v>
      </c>
      <c r="G9" s="8" t="s">
        <v>225</v>
      </c>
      <c r="H9" s="7" t="s">
        <v>226</v>
      </c>
      <c r="I9" s="7" t="s">
        <v>227</v>
      </c>
      <c r="J9" s="8"/>
      <c r="K9" s="8"/>
      <c r="L9" s="8"/>
      <c r="M9" s="8"/>
      <c r="N9" s="7" t="s">
        <v>124</v>
      </c>
      <c r="O9" s="7" t="s">
        <v>91</v>
      </c>
    </row>
    <row r="10" spans="1:15" ht="82.8" x14ac:dyDescent="0.3">
      <c r="A10" s="17" t="s">
        <v>106</v>
      </c>
      <c r="B10" s="38" t="s">
        <v>89</v>
      </c>
      <c r="C10" s="53"/>
      <c r="D10" s="49"/>
      <c r="E10" s="7" t="s">
        <v>394</v>
      </c>
      <c r="F10" s="8" t="s">
        <v>103</v>
      </c>
      <c r="G10" s="8" t="s">
        <v>228</v>
      </c>
      <c r="H10" s="7" t="s">
        <v>390</v>
      </c>
      <c r="I10" s="7" t="s">
        <v>229</v>
      </c>
      <c r="J10" s="8"/>
      <c r="K10" s="8"/>
      <c r="L10" s="8"/>
      <c r="M10" s="8"/>
      <c r="N10" s="7" t="s">
        <v>230</v>
      </c>
      <c r="O10" s="7" t="s">
        <v>93</v>
      </c>
    </row>
    <row r="11" spans="1:15" ht="124.2" x14ac:dyDescent="0.3">
      <c r="A11" s="17" t="s">
        <v>106</v>
      </c>
      <c r="B11" s="38" t="s">
        <v>89</v>
      </c>
      <c r="C11" s="54"/>
      <c r="D11" s="55"/>
      <c r="E11" s="7" t="s">
        <v>394</v>
      </c>
      <c r="F11" s="8" t="s">
        <v>231</v>
      </c>
      <c r="G11" s="8" t="s">
        <v>232</v>
      </c>
      <c r="H11" s="7" t="s">
        <v>233</v>
      </c>
      <c r="I11" s="7" t="s">
        <v>234</v>
      </c>
      <c r="J11" s="8"/>
      <c r="K11" s="8"/>
      <c r="L11" s="8"/>
      <c r="M11" s="8"/>
      <c r="N11" s="7" t="s">
        <v>235</v>
      </c>
      <c r="O11" s="7" t="s">
        <v>93</v>
      </c>
    </row>
    <row r="12" spans="1:15" ht="6" customHeight="1" x14ac:dyDescent="0.3">
      <c r="J12" t="s">
        <v>236</v>
      </c>
    </row>
    <row r="13" spans="1:15" ht="18" x14ac:dyDescent="0.35">
      <c r="A13" s="43" t="s">
        <v>45</v>
      </c>
      <c r="B13" s="43"/>
      <c r="C13" s="43"/>
      <c r="D13" s="43"/>
      <c r="E13" s="43"/>
      <c r="F13" s="43"/>
      <c r="G13" s="43"/>
      <c r="H13" s="43"/>
      <c r="I13" s="43"/>
      <c r="J13" s="43"/>
      <c r="K13" s="43"/>
      <c r="L13" s="43"/>
      <c r="M13" s="43"/>
      <c r="N13" s="43"/>
      <c r="O13" s="44"/>
    </row>
    <row r="14" spans="1:15" x14ac:dyDescent="0.3">
      <c r="A14" s="41" t="s">
        <v>88</v>
      </c>
      <c r="B14" s="41"/>
      <c r="C14" s="42"/>
      <c r="D14" s="47" t="s">
        <v>237</v>
      </c>
      <c r="E14" s="47"/>
      <c r="F14" s="47"/>
      <c r="G14" s="47"/>
      <c r="H14" s="47"/>
      <c r="I14" s="47"/>
      <c r="J14" s="47"/>
      <c r="K14" s="47"/>
      <c r="L14" s="47"/>
      <c r="M14" s="47"/>
      <c r="N14" s="47"/>
      <c r="O14" s="47"/>
    </row>
    <row r="15" spans="1:15" ht="144" x14ac:dyDescent="0.3">
      <c r="A15" s="17" t="s">
        <v>106</v>
      </c>
      <c r="B15" s="17" t="s">
        <v>89</v>
      </c>
      <c r="C15" s="52" t="s">
        <v>44</v>
      </c>
      <c r="D15" s="48" t="s">
        <v>238</v>
      </c>
      <c r="E15" s="7" t="s">
        <v>388</v>
      </c>
      <c r="F15" s="14" t="s">
        <v>90</v>
      </c>
      <c r="G15" s="15" t="s">
        <v>239</v>
      </c>
      <c r="H15" s="13" t="s">
        <v>391</v>
      </c>
      <c r="I15" s="15" t="s">
        <v>240</v>
      </c>
      <c r="J15" s="8"/>
      <c r="K15" s="8"/>
      <c r="L15" s="8"/>
      <c r="M15" s="8"/>
      <c r="N15" s="7" t="s">
        <v>241</v>
      </c>
      <c r="O15" s="7" t="s">
        <v>91</v>
      </c>
    </row>
    <row r="16" spans="1:15" ht="115.2" x14ac:dyDescent="0.3">
      <c r="A16" s="17" t="s">
        <v>106</v>
      </c>
      <c r="B16" s="17" t="s">
        <v>89</v>
      </c>
      <c r="C16" s="53"/>
      <c r="D16" s="49"/>
      <c r="E16" s="7" t="s">
        <v>388</v>
      </c>
      <c r="F16" s="15" t="s">
        <v>242</v>
      </c>
      <c r="G16" s="15" t="s">
        <v>243</v>
      </c>
      <c r="H16" s="15" t="s">
        <v>244</v>
      </c>
      <c r="I16" s="15" t="s">
        <v>240</v>
      </c>
      <c r="J16" s="8"/>
      <c r="K16" s="8"/>
      <c r="L16" s="8"/>
      <c r="M16" s="8"/>
      <c r="N16" s="7" t="s">
        <v>218</v>
      </c>
      <c r="O16" s="7" t="s">
        <v>91</v>
      </c>
    </row>
    <row r="17" spans="1:15" ht="201.6" x14ac:dyDescent="0.3">
      <c r="A17" s="17" t="s">
        <v>106</v>
      </c>
      <c r="B17" s="17" t="s">
        <v>89</v>
      </c>
      <c r="C17" s="53"/>
      <c r="D17" s="49"/>
      <c r="E17" s="7" t="s">
        <v>394</v>
      </c>
      <c r="F17" s="8" t="s">
        <v>94</v>
      </c>
      <c r="G17" s="15" t="s">
        <v>245</v>
      </c>
      <c r="H17" s="15" t="s">
        <v>392</v>
      </c>
      <c r="I17" s="15" t="s">
        <v>246</v>
      </c>
      <c r="J17" s="8"/>
      <c r="K17" s="8"/>
      <c r="L17" s="8"/>
      <c r="M17" s="8"/>
      <c r="N17" s="7" t="s">
        <v>247</v>
      </c>
      <c r="O17" s="7" t="s">
        <v>93</v>
      </c>
    </row>
    <row r="18" spans="1:15" ht="6" customHeight="1" x14ac:dyDescent="0.3">
      <c r="J18" t="s">
        <v>236</v>
      </c>
    </row>
    <row r="19" spans="1:15" ht="18" x14ac:dyDescent="0.35">
      <c r="A19" s="43" t="s">
        <v>248</v>
      </c>
      <c r="B19" s="43"/>
      <c r="C19" s="43"/>
      <c r="D19" s="43"/>
      <c r="E19" s="43"/>
      <c r="F19" s="43"/>
      <c r="G19" s="43"/>
      <c r="H19" s="43"/>
      <c r="I19" s="43"/>
      <c r="J19" s="43"/>
      <c r="K19" s="43"/>
      <c r="L19" s="43"/>
      <c r="M19" s="43"/>
      <c r="N19" s="43"/>
      <c r="O19" s="44"/>
    </row>
    <row r="20" spans="1:15" x14ac:dyDescent="0.3">
      <c r="A20" s="41" t="s">
        <v>88</v>
      </c>
      <c r="B20" s="41"/>
      <c r="C20" s="42"/>
      <c r="D20" s="47" t="s">
        <v>249</v>
      </c>
      <c r="E20" s="47"/>
      <c r="F20" s="47"/>
      <c r="G20" s="47"/>
      <c r="H20" s="47"/>
      <c r="I20" s="47"/>
      <c r="J20" s="47"/>
      <c r="K20" s="47"/>
      <c r="L20" s="47"/>
      <c r="M20" s="47"/>
      <c r="N20" s="47"/>
      <c r="O20" s="47"/>
    </row>
    <row r="21" spans="1:15" ht="165.6" x14ac:dyDescent="0.3">
      <c r="A21" s="17" t="s">
        <v>106</v>
      </c>
      <c r="B21" s="17" t="s">
        <v>89</v>
      </c>
      <c r="C21" s="52" t="s">
        <v>46</v>
      </c>
      <c r="D21" s="48" t="s">
        <v>250</v>
      </c>
      <c r="E21" s="7" t="s">
        <v>388</v>
      </c>
      <c r="F21" s="8" t="s">
        <v>90</v>
      </c>
      <c r="G21" s="8" t="s">
        <v>252</v>
      </c>
      <c r="H21" s="7" t="s">
        <v>395</v>
      </c>
      <c r="I21" s="7" t="s">
        <v>253</v>
      </c>
      <c r="J21" s="8"/>
      <c r="K21" s="8"/>
      <c r="L21" s="8"/>
      <c r="M21" s="8"/>
      <c r="N21" s="7" t="s">
        <v>254</v>
      </c>
      <c r="O21" s="7" t="s">
        <v>93</v>
      </c>
    </row>
    <row r="22" spans="1:15" ht="179.4" x14ac:dyDescent="0.3">
      <c r="A22" s="17" t="s">
        <v>106</v>
      </c>
      <c r="B22" s="17" t="s">
        <v>89</v>
      </c>
      <c r="C22" s="53"/>
      <c r="D22" s="49"/>
      <c r="E22" s="7" t="s">
        <v>388</v>
      </c>
      <c r="F22" s="8" t="s">
        <v>94</v>
      </c>
      <c r="G22" s="8" t="s">
        <v>255</v>
      </c>
      <c r="H22" s="7" t="s">
        <v>256</v>
      </c>
      <c r="I22" s="7" t="s">
        <v>257</v>
      </c>
      <c r="J22" s="8"/>
      <c r="K22" s="8"/>
      <c r="L22" s="8"/>
      <c r="M22" s="8"/>
      <c r="N22" s="7" t="s">
        <v>258</v>
      </c>
      <c r="O22" s="7" t="s">
        <v>93</v>
      </c>
    </row>
    <row r="23" spans="1:15" ht="96.6" x14ac:dyDescent="0.3">
      <c r="A23" s="17" t="s">
        <v>106</v>
      </c>
      <c r="B23" s="17" t="s">
        <v>89</v>
      </c>
      <c r="C23" s="53"/>
      <c r="D23" s="49"/>
      <c r="E23" s="7" t="s">
        <v>388</v>
      </c>
      <c r="F23" s="8" t="s">
        <v>96</v>
      </c>
      <c r="G23" s="8" t="s">
        <v>259</v>
      </c>
      <c r="H23" s="7" t="s">
        <v>260</v>
      </c>
      <c r="I23" s="7" t="s">
        <v>261</v>
      </c>
      <c r="J23" s="8"/>
      <c r="L23" s="8"/>
      <c r="M23" s="8"/>
      <c r="N23" s="7"/>
      <c r="O23" s="7" t="s">
        <v>91</v>
      </c>
    </row>
    <row r="24" spans="1:15" ht="165.6" x14ac:dyDescent="0.3">
      <c r="A24" s="17" t="s">
        <v>106</v>
      </c>
      <c r="B24" s="17" t="s">
        <v>89</v>
      </c>
      <c r="C24" s="53"/>
      <c r="D24" s="49"/>
      <c r="E24" s="7" t="s">
        <v>381</v>
      </c>
      <c r="F24" s="8" t="s">
        <v>97</v>
      </c>
      <c r="G24" s="8" t="s">
        <v>262</v>
      </c>
      <c r="H24" s="7" t="s">
        <v>263</v>
      </c>
      <c r="I24" s="7" t="s">
        <v>264</v>
      </c>
      <c r="J24" s="8"/>
      <c r="K24" s="8"/>
      <c r="L24" s="8"/>
      <c r="M24" s="8"/>
      <c r="N24" s="7" t="s">
        <v>127</v>
      </c>
      <c r="O24" s="7" t="s">
        <v>93</v>
      </c>
    </row>
    <row r="25" spans="1:15" ht="151.80000000000001" x14ac:dyDescent="0.3">
      <c r="A25" s="17" t="s">
        <v>106</v>
      </c>
      <c r="B25" s="17" t="s">
        <v>89</v>
      </c>
      <c r="C25" s="53"/>
      <c r="D25" s="49"/>
      <c r="E25" s="7" t="s">
        <v>383</v>
      </c>
      <c r="F25" s="8" t="s">
        <v>99</v>
      </c>
      <c r="G25" s="8" t="s">
        <v>265</v>
      </c>
      <c r="H25" s="7" t="s">
        <v>266</v>
      </c>
      <c r="I25" s="7" t="s">
        <v>267</v>
      </c>
      <c r="J25" s="8"/>
      <c r="K25" s="5"/>
      <c r="L25" s="8"/>
      <c r="M25" s="8"/>
      <c r="N25" s="7" t="s">
        <v>268</v>
      </c>
      <c r="O25" s="7" t="s">
        <v>93</v>
      </c>
    </row>
    <row r="26" spans="1:15" ht="82.8" x14ac:dyDescent="0.3">
      <c r="A26" s="17" t="s">
        <v>106</v>
      </c>
      <c r="B26" s="17" t="s">
        <v>89</v>
      </c>
      <c r="C26" s="54"/>
      <c r="D26" s="55"/>
      <c r="E26" s="7" t="s">
        <v>383</v>
      </c>
      <c r="F26" s="8" t="s">
        <v>102</v>
      </c>
      <c r="G26" s="8" t="s">
        <v>269</v>
      </c>
      <c r="H26" s="7" t="s">
        <v>396</v>
      </c>
      <c r="I26" s="7" t="s">
        <v>264</v>
      </c>
      <c r="J26" s="8"/>
      <c r="K26" s="8"/>
      <c r="L26" s="8"/>
      <c r="M26" s="8"/>
      <c r="N26" s="7" t="s">
        <v>270</v>
      </c>
      <c r="O26" s="7" t="s">
        <v>93</v>
      </c>
    </row>
    <row r="27" spans="1:15" ht="6" customHeight="1" x14ac:dyDescent="0.3">
      <c r="J27" t="s">
        <v>236</v>
      </c>
    </row>
    <row r="28" spans="1:15" ht="18" x14ac:dyDescent="0.35">
      <c r="A28" s="43" t="s">
        <v>271</v>
      </c>
      <c r="B28" s="43"/>
      <c r="C28" s="43"/>
      <c r="D28" s="43"/>
      <c r="E28" s="43"/>
      <c r="F28" s="43"/>
      <c r="G28" s="43"/>
      <c r="H28" s="43"/>
      <c r="I28" s="43"/>
      <c r="J28" s="43"/>
      <c r="K28" s="43"/>
      <c r="L28" s="43"/>
      <c r="M28" s="43"/>
      <c r="N28" s="43"/>
      <c r="O28" s="44"/>
    </row>
    <row r="29" spans="1:15" x14ac:dyDescent="0.3">
      <c r="A29" s="41" t="s">
        <v>88</v>
      </c>
      <c r="B29" s="41"/>
      <c r="C29" s="42"/>
      <c r="D29" s="47" t="s">
        <v>272</v>
      </c>
      <c r="E29" s="47"/>
      <c r="F29" s="47"/>
      <c r="G29" s="47"/>
      <c r="H29" s="47"/>
      <c r="I29" s="47"/>
      <c r="J29" s="47"/>
      <c r="K29" s="47"/>
      <c r="L29" s="47"/>
      <c r="M29" s="47"/>
      <c r="N29" s="47"/>
      <c r="O29" s="47"/>
    </row>
    <row r="30" spans="1:15" ht="179.4" x14ac:dyDescent="0.3">
      <c r="A30" s="17" t="s">
        <v>106</v>
      </c>
      <c r="B30" s="17" t="s">
        <v>89</v>
      </c>
      <c r="C30" s="52" t="s">
        <v>48</v>
      </c>
      <c r="D30" s="48" t="s">
        <v>273</v>
      </c>
      <c r="E30" s="7" t="s">
        <v>388</v>
      </c>
      <c r="F30" s="8" t="s">
        <v>90</v>
      </c>
      <c r="G30" s="8" t="s">
        <v>252</v>
      </c>
      <c r="H30" s="7" t="s">
        <v>397</v>
      </c>
      <c r="I30" s="7" t="s">
        <v>274</v>
      </c>
      <c r="J30" s="8"/>
      <c r="K30" s="8"/>
      <c r="L30" s="8"/>
      <c r="M30" s="8"/>
      <c r="N30" s="7" t="s">
        <v>254</v>
      </c>
      <c r="O30" s="7" t="s">
        <v>93</v>
      </c>
    </row>
    <row r="31" spans="1:15" ht="193.2" x14ac:dyDescent="0.3">
      <c r="A31" s="17" t="s">
        <v>106</v>
      </c>
      <c r="B31" s="17" t="s">
        <v>89</v>
      </c>
      <c r="C31" s="53"/>
      <c r="D31" s="49"/>
      <c r="E31" s="7" t="s">
        <v>388</v>
      </c>
      <c r="F31" s="8" t="s">
        <v>94</v>
      </c>
      <c r="G31" s="8" t="s">
        <v>255</v>
      </c>
      <c r="H31" s="7" t="s">
        <v>275</v>
      </c>
      <c r="I31" s="7" t="s">
        <v>276</v>
      </c>
      <c r="J31" s="8"/>
      <c r="K31" s="8"/>
      <c r="L31" s="8"/>
      <c r="M31" s="8"/>
      <c r="N31" s="7" t="s">
        <v>258</v>
      </c>
      <c r="O31" s="7" t="s">
        <v>93</v>
      </c>
    </row>
    <row r="32" spans="1:15" ht="96.6" x14ac:dyDescent="0.3">
      <c r="A32" s="17" t="s">
        <v>106</v>
      </c>
      <c r="B32" s="17" t="s">
        <v>89</v>
      </c>
      <c r="C32" s="53"/>
      <c r="D32" s="49"/>
      <c r="E32" s="7" t="s">
        <v>388</v>
      </c>
      <c r="F32" s="8" t="s">
        <v>96</v>
      </c>
      <c r="G32" s="8" t="s">
        <v>259</v>
      </c>
      <c r="H32" s="7" t="s">
        <v>260</v>
      </c>
      <c r="I32" s="7" t="s">
        <v>261</v>
      </c>
      <c r="J32" s="8"/>
      <c r="L32" s="8"/>
      <c r="M32" s="8"/>
      <c r="N32" s="7"/>
      <c r="O32" s="7" t="s">
        <v>91</v>
      </c>
    </row>
    <row r="33" spans="1:15" ht="165.6" x14ac:dyDescent="0.3">
      <c r="A33" s="17" t="s">
        <v>106</v>
      </c>
      <c r="B33" s="17" t="s">
        <v>89</v>
      </c>
      <c r="C33" s="53"/>
      <c r="D33" s="49"/>
      <c r="E33" s="7" t="s">
        <v>381</v>
      </c>
      <c r="F33" s="8" t="s">
        <v>97</v>
      </c>
      <c r="G33" s="8" t="s">
        <v>262</v>
      </c>
      <c r="H33" s="7" t="s">
        <v>277</v>
      </c>
      <c r="I33" s="7" t="s">
        <v>264</v>
      </c>
      <c r="J33" s="8"/>
      <c r="K33" s="8"/>
      <c r="L33" s="8"/>
      <c r="M33" s="8"/>
      <c r="N33" s="7" t="s">
        <v>127</v>
      </c>
      <c r="O33" s="7" t="s">
        <v>93</v>
      </c>
    </row>
    <row r="34" spans="1:15" ht="151.80000000000001" x14ac:dyDescent="0.3">
      <c r="A34" s="17" t="s">
        <v>106</v>
      </c>
      <c r="B34" s="17" t="s">
        <v>89</v>
      </c>
      <c r="C34" s="53"/>
      <c r="D34" s="49"/>
      <c r="E34" s="7" t="s">
        <v>383</v>
      </c>
      <c r="F34" s="8" t="s">
        <v>99</v>
      </c>
      <c r="G34" s="8" t="s">
        <v>265</v>
      </c>
      <c r="H34" s="7" t="s">
        <v>278</v>
      </c>
      <c r="I34" s="7" t="s">
        <v>267</v>
      </c>
      <c r="J34" s="8"/>
      <c r="K34" s="8"/>
      <c r="L34" s="8"/>
      <c r="M34" s="8"/>
      <c r="N34" s="7" t="s">
        <v>268</v>
      </c>
      <c r="O34" s="7" t="s">
        <v>93</v>
      </c>
    </row>
    <row r="35" spans="1:15" ht="165.6" x14ac:dyDescent="0.3">
      <c r="A35" s="17" t="s">
        <v>106</v>
      </c>
      <c r="B35" s="17" t="s">
        <v>89</v>
      </c>
      <c r="C35" s="53"/>
      <c r="D35" s="49"/>
      <c r="E35" s="7" t="s">
        <v>388</v>
      </c>
      <c r="F35" s="8" t="s">
        <v>102</v>
      </c>
      <c r="G35" s="8" t="s">
        <v>279</v>
      </c>
      <c r="H35" s="7" t="s">
        <v>280</v>
      </c>
      <c r="I35" s="7" t="s">
        <v>281</v>
      </c>
      <c r="J35" s="8"/>
      <c r="K35" s="8"/>
      <c r="L35" s="8"/>
      <c r="M35" s="8"/>
      <c r="N35" s="7" t="s">
        <v>218</v>
      </c>
      <c r="O35" s="7" t="s">
        <v>93</v>
      </c>
    </row>
    <row r="36" spans="1:15" ht="82.8" x14ac:dyDescent="0.3">
      <c r="A36" s="17" t="s">
        <v>106</v>
      </c>
      <c r="B36" s="17" t="s">
        <v>89</v>
      </c>
      <c r="C36" s="53"/>
      <c r="D36" s="49"/>
      <c r="E36" s="7" t="s">
        <v>381</v>
      </c>
      <c r="F36" s="8" t="s">
        <v>103</v>
      </c>
      <c r="G36" s="8" t="s">
        <v>219</v>
      </c>
      <c r="H36" s="7" t="s">
        <v>282</v>
      </c>
      <c r="I36" s="7" t="s">
        <v>283</v>
      </c>
      <c r="J36" s="8"/>
      <c r="K36" s="8"/>
      <c r="L36" s="8"/>
      <c r="M36" s="8"/>
      <c r="N36" s="7" t="s">
        <v>124</v>
      </c>
      <c r="O36" s="7" t="s">
        <v>93</v>
      </c>
    </row>
    <row r="37" spans="1:15" ht="82.8" x14ac:dyDescent="0.3">
      <c r="A37" s="17" t="s">
        <v>106</v>
      </c>
      <c r="B37" s="17" t="s">
        <v>89</v>
      </c>
      <c r="C37" s="53"/>
      <c r="D37" s="49"/>
      <c r="E37" s="7" t="s">
        <v>381</v>
      </c>
      <c r="F37" s="8" t="s">
        <v>231</v>
      </c>
      <c r="G37" s="8" t="s">
        <v>222</v>
      </c>
      <c r="H37" s="7" t="s">
        <v>398</v>
      </c>
      <c r="I37" s="7" t="s">
        <v>224</v>
      </c>
      <c r="J37" s="8"/>
      <c r="K37" s="8"/>
      <c r="L37" s="8"/>
      <c r="M37" s="8"/>
      <c r="N37" s="7"/>
      <c r="O37" s="7" t="s">
        <v>91</v>
      </c>
    </row>
    <row r="38" spans="1:15" ht="138" x14ac:dyDescent="0.3">
      <c r="A38" s="17" t="s">
        <v>106</v>
      </c>
      <c r="B38" s="17" t="s">
        <v>89</v>
      </c>
      <c r="C38" s="53"/>
      <c r="D38" s="49"/>
      <c r="E38" s="7" t="s">
        <v>381</v>
      </c>
      <c r="F38" s="8" t="s">
        <v>284</v>
      </c>
      <c r="G38" s="8" t="s">
        <v>225</v>
      </c>
      <c r="H38" s="7" t="s">
        <v>399</v>
      </c>
      <c r="I38" s="7" t="s">
        <v>227</v>
      </c>
      <c r="J38" s="8"/>
      <c r="K38" s="8"/>
      <c r="L38" s="8"/>
      <c r="M38" s="8"/>
      <c r="N38" s="7"/>
      <c r="O38" s="7" t="s">
        <v>91</v>
      </c>
    </row>
    <row r="39" spans="1:15" ht="110.4" x14ac:dyDescent="0.3">
      <c r="A39" s="17" t="s">
        <v>106</v>
      </c>
      <c r="B39" s="17" t="s">
        <v>89</v>
      </c>
      <c r="C39" s="53"/>
      <c r="D39" s="49"/>
      <c r="E39" s="7" t="s">
        <v>394</v>
      </c>
      <c r="F39" s="8" t="s">
        <v>285</v>
      </c>
      <c r="G39" s="8" t="s">
        <v>286</v>
      </c>
      <c r="H39" s="7" t="s">
        <v>400</v>
      </c>
      <c r="I39" s="7" t="s">
        <v>287</v>
      </c>
      <c r="J39" s="8"/>
      <c r="K39" s="17"/>
      <c r="L39" s="8"/>
      <c r="M39" s="8"/>
      <c r="N39" s="7" t="s">
        <v>230</v>
      </c>
      <c r="O39" s="7" t="s">
        <v>93</v>
      </c>
    </row>
    <row r="40" spans="1:15" ht="165.6" x14ac:dyDescent="0.3">
      <c r="A40" s="17" t="s">
        <v>106</v>
      </c>
      <c r="B40" s="17" t="s">
        <v>89</v>
      </c>
      <c r="C40" s="54"/>
      <c r="D40" s="55"/>
      <c r="E40" s="7" t="s">
        <v>394</v>
      </c>
      <c r="F40" s="8" t="s">
        <v>288</v>
      </c>
      <c r="G40" s="8" t="s">
        <v>232</v>
      </c>
      <c r="H40" s="7" t="s">
        <v>289</v>
      </c>
      <c r="I40" s="7" t="s">
        <v>290</v>
      </c>
      <c r="J40" s="8"/>
      <c r="K40" s="17"/>
      <c r="L40" s="8"/>
      <c r="M40" s="8"/>
      <c r="N40" s="7"/>
      <c r="O40" s="7" t="s">
        <v>93</v>
      </c>
    </row>
    <row r="41" spans="1:15" ht="6" customHeight="1" x14ac:dyDescent="0.3">
      <c r="J41" t="s">
        <v>236</v>
      </c>
    </row>
  </sheetData>
  <dataConsolidate/>
  <mergeCells count="20">
    <mergeCell ref="A2:O2"/>
    <mergeCell ref="A3:C3"/>
    <mergeCell ref="A13:O13"/>
    <mergeCell ref="A14:C14"/>
    <mergeCell ref="A19:O19"/>
    <mergeCell ref="C15:C17"/>
    <mergeCell ref="D15:D17"/>
    <mergeCell ref="D3:O3"/>
    <mergeCell ref="C4:C11"/>
    <mergeCell ref="D4:D11"/>
    <mergeCell ref="D14:O14"/>
    <mergeCell ref="D29:O29"/>
    <mergeCell ref="D20:O20"/>
    <mergeCell ref="C21:C26"/>
    <mergeCell ref="D21:D26"/>
    <mergeCell ref="C30:C40"/>
    <mergeCell ref="D30:D40"/>
    <mergeCell ref="A20:C20"/>
    <mergeCell ref="A28:O28"/>
    <mergeCell ref="A29:C29"/>
  </mergeCells>
  <dataValidations count="2">
    <dataValidation type="list" allowBlank="1" showInputMessage="1" showErrorMessage="1" sqref="M21:M26 M4:M11 M30:M40 M15:M17">
      <formula1>"New,Retest"</formula1>
    </dataValidation>
    <dataValidation type="list" allowBlank="1" showInputMessage="1" showErrorMessage="1" sqref="J21:J26 J4:J11 J30:J40 K11 K21:K22 K4:K7 K26 K30:K31 K35:K38 K15:K16 J15:J17">
      <formula1>"Pass,Fail"</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2"/>
  <sheetViews>
    <sheetView zoomScale="69" zoomScaleNormal="69" workbookViewId="0">
      <pane ySplit="1" topLeftCell="A29" activePane="bottomLeft" state="frozen"/>
      <selection pane="bottomLeft" activeCell="H31" sqref="H31"/>
    </sheetView>
  </sheetViews>
  <sheetFormatPr defaultColWidth="8.88671875" defaultRowHeight="14.4" x14ac:dyDescent="0.3"/>
  <cols>
    <col min="3" max="3" width="12.88671875" style="1" customWidth="1"/>
    <col min="4" max="4" width="27" customWidth="1"/>
    <col min="5" max="5" width="13.88671875" style="2" customWidth="1"/>
    <col min="7" max="7" width="26.88671875" customWidth="1"/>
    <col min="8" max="8" width="73.6640625" style="2" bestFit="1" customWidth="1"/>
    <col min="9" max="9" width="30.6640625" style="2" customWidth="1"/>
    <col min="12" max="12" width="16.6640625" customWidth="1"/>
    <col min="13" max="13" width="10.33203125" customWidth="1"/>
    <col min="14" max="14" width="13.109375" customWidth="1"/>
    <col min="15" max="15" width="42.109375" style="2" customWidth="1"/>
  </cols>
  <sheetData>
    <row r="1" spans="1:15" x14ac:dyDescent="0.3">
      <c r="A1" s="3" t="s">
        <v>77</v>
      </c>
      <c r="B1" s="3" t="s">
        <v>291</v>
      </c>
      <c r="C1" s="3" t="s">
        <v>1</v>
      </c>
      <c r="D1" s="3" t="s">
        <v>2</v>
      </c>
      <c r="E1" s="4" t="s">
        <v>79</v>
      </c>
      <c r="F1" s="3" t="s">
        <v>80</v>
      </c>
      <c r="G1" s="3" t="s">
        <v>81</v>
      </c>
      <c r="H1" s="4" t="s">
        <v>82</v>
      </c>
      <c r="I1" s="4" t="s">
        <v>83</v>
      </c>
      <c r="J1" s="3" t="s">
        <v>3</v>
      </c>
      <c r="K1" s="3" t="s">
        <v>84</v>
      </c>
      <c r="L1" s="3" t="s">
        <v>85</v>
      </c>
      <c r="M1" s="3" t="s">
        <v>86</v>
      </c>
      <c r="N1" s="3" t="s">
        <v>87</v>
      </c>
      <c r="O1" s="4" t="s">
        <v>4</v>
      </c>
    </row>
    <row r="2" spans="1:15" ht="18" x14ac:dyDescent="0.35">
      <c r="A2" s="50" t="s">
        <v>54</v>
      </c>
      <c r="B2" s="50"/>
      <c r="C2" s="50"/>
      <c r="D2" s="50"/>
      <c r="E2" s="50"/>
      <c r="F2" s="50"/>
      <c r="G2" s="50"/>
      <c r="H2" s="50"/>
      <c r="I2" s="50"/>
      <c r="J2" s="50"/>
      <c r="K2" s="50"/>
      <c r="L2" s="50"/>
      <c r="M2" s="50"/>
      <c r="N2" s="50"/>
      <c r="O2" s="51"/>
    </row>
    <row r="3" spans="1:15" x14ac:dyDescent="0.3">
      <c r="A3" s="41" t="s">
        <v>88</v>
      </c>
      <c r="B3" s="41"/>
      <c r="C3" s="42"/>
      <c r="D3" s="47" t="s">
        <v>292</v>
      </c>
      <c r="E3" s="47"/>
      <c r="F3" s="47"/>
      <c r="G3" s="47"/>
      <c r="H3" s="47"/>
      <c r="I3" s="47"/>
      <c r="J3" s="47"/>
      <c r="K3" s="47"/>
      <c r="L3" s="47"/>
      <c r="M3" s="47"/>
      <c r="N3" s="47"/>
      <c r="O3" s="47"/>
    </row>
    <row r="4" spans="1:15" ht="183" customHeight="1" x14ac:dyDescent="0.3">
      <c r="A4" s="17" t="s">
        <v>106</v>
      </c>
      <c r="B4" s="17" t="s">
        <v>89</v>
      </c>
      <c r="C4" s="26" t="s">
        <v>53</v>
      </c>
      <c r="D4" s="6" t="s">
        <v>293</v>
      </c>
      <c r="E4" s="7" t="s">
        <v>376</v>
      </c>
      <c r="F4" s="8" t="s">
        <v>90</v>
      </c>
      <c r="G4" s="8" t="s">
        <v>293</v>
      </c>
      <c r="H4" s="7" t="s">
        <v>393</v>
      </c>
      <c r="I4" s="7" t="s">
        <v>294</v>
      </c>
      <c r="J4" s="8"/>
      <c r="K4" s="8"/>
      <c r="L4" s="8"/>
      <c r="M4" s="8"/>
      <c r="N4" s="7" t="s">
        <v>295</v>
      </c>
      <c r="O4" s="7" t="s">
        <v>91</v>
      </c>
    </row>
    <row r="5" spans="1:15" ht="8.1" customHeight="1" x14ac:dyDescent="0.3">
      <c r="J5" t="s">
        <v>92</v>
      </c>
      <c r="K5" s="8"/>
      <c r="O5" s="7"/>
    </row>
    <row r="6" spans="1:15" ht="18" x14ac:dyDescent="0.35">
      <c r="A6" s="43" t="s">
        <v>56</v>
      </c>
      <c r="B6" s="43"/>
      <c r="C6" s="43"/>
      <c r="D6" s="43"/>
      <c r="E6" s="43"/>
      <c r="F6" s="43"/>
      <c r="G6" s="43"/>
      <c r="H6" s="43"/>
      <c r="I6" s="43"/>
      <c r="J6" s="43"/>
      <c r="K6" s="43"/>
      <c r="L6" s="43"/>
      <c r="M6" s="43"/>
      <c r="N6" s="43"/>
      <c r="O6" s="44"/>
    </row>
    <row r="7" spans="1:15" x14ac:dyDescent="0.3">
      <c r="A7" s="41" t="s">
        <v>88</v>
      </c>
      <c r="B7" s="41"/>
      <c r="C7" s="42"/>
      <c r="D7" s="47" t="s">
        <v>303</v>
      </c>
      <c r="E7" s="47"/>
      <c r="F7" s="47"/>
      <c r="G7" s="47"/>
      <c r="H7" s="47"/>
      <c r="I7" s="47"/>
      <c r="J7" s="47"/>
      <c r="K7" s="47"/>
      <c r="L7" s="47"/>
      <c r="M7" s="47"/>
      <c r="N7" s="47"/>
      <c r="O7" s="47"/>
    </row>
    <row r="8" spans="1:15" ht="124.2" x14ac:dyDescent="0.3">
      <c r="A8" s="17" t="s">
        <v>106</v>
      </c>
      <c r="B8" s="17" t="s">
        <v>89</v>
      </c>
      <c r="C8" s="52" t="s">
        <v>55</v>
      </c>
      <c r="D8" s="48" t="s">
        <v>304</v>
      </c>
      <c r="E8" s="7" t="s">
        <v>383</v>
      </c>
      <c r="F8" s="8" t="s">
        <v>90</v>
      </c>
      <c r="G8" s="8" t="s">
        <v>305</v>
      </c>
      <c r="H8" s="7" t="s">
        <v>401</v>
      </c>
      <c r="I8" s="7" t="s">
        <v>306</v>
      </c>
      <c r="J8" s="8"/>
      <c r="K8" s="17"/>
      <c r="L8" s="8"/>
      <c r="M8" s="8"/>
      <c r="N8" s="7" t="s">
        <v>307</v>
      </c>
      <c r="O8" s="7" t="s">
        <v>93</v>
      </c>
    </row>
    <row r="9" spans="1:15" ht="193.2" x14ac:dyDescent="0.3">
      <c r="A9" s="17" t="s">
        <v>106</v>
      </c>
      <c r="B9" s="17" t="s">
        <v>89</v>
      </c>
      <c r="C9" s="53"/>
      <c r="D9" s="49"/>
      <c r="E9" s="7" t="s">
        <v>404</v>
      </c>
      <c r="F9" s="8" t="s">
        <v>94</v>
      </c>
      <c r="G9" s="8" t="s">
        <v>308</v>
      </c>
      <c r="H9" s="7" t="s">
        <v>403</v>
      </c>
      <c r="I9" s="7" t="s">
        <v>309</v>
      </c>
      <c r="J9" s="8"/>
      <c r="L9" s="8"/>
      <c r="M9" s="8"/>
      <c r="N9" s="7" t="s">
        <v>310</v>
      </c>
      <c r="O9" s="7" t="s">
        <v>93</v>
      </c>
    </row>
    <row r="10" spans="1:15" ht="193.2" x14ac:dyDescent="0.3">
      <c r="A10" s="17" t="s">
        <v>106</v>
      </c>
      <c r="B10" s="17" t="s">
        <v>89</v>
      </c>
      <c r="C10" s="54"/>
      <c r="D10" s="55"/>
      <c r="E10" s="7" t="s">
        <v>404</v>
      </c>
      <c r="F10" s="8" t="s">
        <v>96</v>
      </c>
      <c r="G10" s="8" t="s">
        <v>311</v>
      </c>
      <c r="H10" s="7" t="s">
        <v>402</v>
      </c>
      <c r="I10" s="7" t="s">
        <v>312</v>
      </c>
      <c r="J10" s="8"/>
      <c r="K10" s="8"/>
      <c r="L10" s="8"/>
      <c r="M10" s="8"/>
      <c r="N10" s="7" t="s">
        <v>307</v>
      </c>
      <c r="O10" s="7" t="s">
        <v>93</v>
      </c>
    </row>
    <row r="11" spans="1:15" ht="9.6" customHeight="1" x14ac:dyDescent="0.3">
      <c r="J11" t="s">
        <v>92</v>
      </c>
    </row>
    <row r="12" spans="1:15" ht="18" x14ac:dyDescent="0.35">
      <c r="A12" s="43" t="s">
        <v>58</v>
      </c>
      <c r="B12" s="43"/>
      <c r="C12" s="43"/>
      <c r="D12" s="43"/>
      <c r="E12" s="43"/>
      <c r="F12" s="43"/>
      <c r="G12" s="43"/>
      <c r="H12" s="43"/>
      <c r="I12" s="43"/>
      <c r="J12" s="43"/>
      <c r="K12" s="43"/>
      <c r="L12" s="43"/>
      <c r="M12" s="43"/>
      <c r="N12" s="43"/>
      <c r="O12" s="44"/>
    </row>
    <row r="13" spans="1:15" x14ac:dyDescent="0.3">
      <c r="A13" s="41" t="s">
        <v>88</v>
      </c>
      <c r="B13" s="41"/>
      <c r="C13" s="42"/>
      <c r="D13" s="47" t="s">
        <v>313</v>
      </c>
      <c r="E13" s="47"/>
      <c r="F13" s="47"/>
      <c r="G13" s="47"/>
      <c r="H13" s="47"/>
      <c r="I13" s="47"/>
      <c r="J13" s="47"/>
      <c r="K13" s="47"/>
      <c r="L13" s="47"/>
      <c r="M13" s="47"/>
      <c r="N13" s="47"/>
      <c r="O13" s="47"/>
    </row>
    <row r="14" spans="1:15" ht="151.80000000000001" x14ac:dyDescent="0.3">
      <c r="A14" s="17" t="s">
        <v>106</v>
      </c>
      <c r="B14" s="17" t="s">
        <v>89</v>
      </c>
      <c r="C14" s="52" t="s">
        <v>57</v>
      </c>
      <c r="D14" s="48" t="s">
        <v>314</v>
      </c>
      <c r="E14" s="7" t="s">
        <v>376</v>
      </c>
      <c r="F14" s="8" t="s">
        <v>90</v>
      </c>
      <c r="G14" s="8" t="s">
        <v>191</v>
      </c>
      <c r="H14" s="7" t="s">
        <v>405</v>
      </c>
      <c r="I14" s="7" t="s">
        <v>98</v>
      </c>
      <c r="J14" s="8"/>
      <c r="K14" s="8"/>
      <c r="L14" s="8"/>
      <c r="M14" s="8"/>
      <c r="N14" s="7" t="s">
        <v>296</v>
      </c>
      <c r="O14" s="7" t="s">
        <v>93</v>
      </c>
    </row>
    <row r="15" spans="1:15" ht="110.4" x14ac:dyDescent="0.3">
      <c r="A15" s="17" t="s">
        <v>106</v>
      </c>
      <c r="B15" s="17" t="s">
        <v>89</v>
      </c>
      <c r="C15" s="53"/>
      <c r="D15" s="49"/>
      <c r="E15" s="7" t="s">
        <v>381</v>
      </c>
      <c r="F15" s="8" t="s">
        <v>94</v>
      </c>
      <c r="G15" s="8" t="s">
        <v>297</v>
      </c>
      <c r="H15" s="7" t="s">
        <v>100</v>
      </c>
      <c r="I15" s="7" t="s">
        <v>101</v>
      </c>
      <c r="J15" s="8"/>
      <c r="K15" s="8"/>
      <c r="L15" s="8"/>
      <c r="M15" s="8"/>
      <c r="N15" s="7" t="s">
        <v>127</v>
      </c>
      <c r="O15" s="7" t="s">
        <v>93</v>
      </c>
    </row>
    <row r="16" spans="1:15" ht="124.2" x14ac:dyDescent="0.3">
      <c r="A16" s="17" t="s">
        <v>106</v>
      </c>
      <c r="B16" s="17" t="s">
        <v>89</v>
      </c>
      <c r="C16" s="53"/>
      <c r="D16" s="49"/>
      <c r="E16" s="7" t="s">
        <v>404</v>
      </c>
      <c r="F16" s="8" t="s">
        <v>96</v>
      </c>
      <c r="G16" s="8" t="s">
        <v>298</v>
      </c>
      <c r="H16" s="7" t="s">
        <v>299</v>
      </c>
      <c r="I16" s="7" t="s">
        <v>315</v>
      </c>
      <c r="J16" s="8"/>
      <c r="K16" s="8"/>
      <c r="L16" s="8"/>
      <c r="M16" s="8"/>
      <c r="N16" s="7" t="s">
        <v>300</v>
      </c>
      <c r="O16" s="7" t="s">
        <v>91</v>
      </c>
    </row>
    <row r="17" spans="1:15" ht="96.6" x14ac:dyDescent="0.3">
      <c r="A17" s="17" t="s">
        <v>106</v>
      </c>
      <c r="B17" s="17" t="s">
        <v>89</v>
      </c>
      <c r="C17" s="54"/>
      <c r="D17" s="55"/>
      <c r="E17" s="7" t="s">
        <v>404</v>
      </c>
      <c r="F17" s="8" t="s">
        <v>97</v>
      </c>
      <c r="G17" s="8" t="s">
        <v>301</v>
      </c>
      <c r="H17" s="7" t="s">
        <v>316</v>
      </c>
      <c r="I17" s="7" t="s">
        <v>317</v>
      </c>
      <c r="J17" s="8"/>
      <c r="K17" s="8"/>
      <c r="L17" s="8"/>
      <c r="M17" s="8"/>
      <c r="N17" s="7" t="s">
        <v>302</v>
      </c>
      <c r="O17" s="7" t="s">
        <v>93</v>
      </c>
    </row>
    <row r="18" spans="1:15" x14ac:dyDescent="0.3">
      <c r="J18" t="s">
        <v>92</v>
      </c>
    </row>
    <row r="19" spans="1:15" ht="18" x14ac:dyDescent="0.35">
      <c r="A19" s="43" t="s">
        <v>60</v>
      </c>
      <c r="B19" s="43"/>
      <c r="C19" s="43"/>
      <c r="D19" s="43"/>
      <c r="E19" s="43"/>
      <c r="F19" s="43"/>
      <c r="G19" s="43"/>
      <c r="H19" s="43"/>
      <c r="I19" s="43"/>
      <c r="J19" s="43"/>
      <c r="K19" s="43"/>
      <c r="L19" s="43"/>
      <c r="M19" s="43"/>
      <c r="N19" s="43"/>
      <c r="O19" s="44"/>
    </row>
    <row r="20" spans="1:15" x14ac:dyDescent="0.3">
      <c r="A20" s="41" t="s">
        <v>88</v>
      </c>
      <c r="B20" s="41"/>
      <c r="C20" s="42"/>
      <c r="D20" s="47" t="s">
        <v>318</v>
      </c>
      <c r="E20" s="47"/>
      <c r="F20" s="47"/>
      <c r="G20" s="47"/>
      <c r="H20" s="47"/>
      <c r="I20" s="47"/>
      <c r="J20" s="47"/>
      <c r="K20" s="47"/>
      <c r="L20" s="47"/>
      <c r="M20" s="47"/>
      <c r="N20" s="47"/>
      <c r="O20" s="47"/>
    </row>
    <row r="21" spans="1:15" ht="179.4" x14ac:dyDescent="0.3">
      <c r="A21" s="17" t="s">
        <v>106</v>
      </c>
      <c r="B21" s="17" t="s">
        <v>89</v>
      </c>
      <c r="C21" s="52" t="s">
        <v>59</v>
      </c>
      <c r="D21" s="48" t="s">
        <v>95</v>
      </c>
      <c r="E21" s="7" t="s">
        <v>376</v>
      </c>
      <c r="F21" s="8" t="s">
        <v>90</v>
      </c>
      <c r="G21" s="8" t="s">
        <v>314</v>
      </c>
      <c r="H21" s="7" t="s">
        <v>406</v>
      </c>
      <c r="I21" s="7" t="s">
        <v>319</v>
      </c>
      <c r="J21" s="8"/>
      <c r="K21" s="8"/>
      <c r="L21" s="8"/>
      <c r="M21" s="8"/>
      <c r="N21" s="7" t="s">
        <v>320</v>
      </c>
      <c r="O21" s="7" t="s">
        <v>93</v>
      </c>
    </row>
    <row r="22" spans="1:15" ht="96.6" x14ac:dyDescent="0.3">
      <c r="A22" s="17" t="s">
        <v>106</v>
      </c>
      <c r="B22" s="17" t="s">
        <v>89</v>
      </c>
      <c r="C22" s="53"/>
      <c r="D22" s="49"/>
      <c r="E22" s="7" t="s">
        <v>381</v>
      </c>
      <c r="F22" s="8" t="s">
        <v>94</v>
      </c>
      <c r="G22" s="8" t="s">
        <v>297</v>
      </c>
      <c r="H22" s="7" t="s">
        <v>321</v>
      </c>
      <c r="I22" s="7" t="s">
        <v>322</v>
      </c>
      <c r="J22" s="8"/>
      <c r="K22" s="8"/>
      <c r="L22" s="8"/>
      <c r="M22" s="8"/>
      <c r="N22" s="7" t="s">
        <v>127</v>
      </c>
      <c r="O22" s="7" t="s">
        <v>93</v>
      </c>
    </row>
    <row r="23" spans="1:15" ht="96.6" x14ac:dyDescent="0.3">
      <c r="A23" s="17" t="s">
        <v>106</v>
      </c>
      <c r="B23" s="17" t="s">
        <v>89</v>
      </c>
      <c r="C23" s="53"/>
      <c r="D23" s="49"/>
      <c r="E23" s="7" t="s">
        <v>404</v>
      </c>
      <c r="F23" s="8" t="s">
        <v>96</v>
      </c>
      <c r="G23" s="8" t="s">
        <v>298</v>
      </c>
      <c r="H23" s="7" t="s">
        <v>323</v>
      </c>
      <c r="I23" s="7" t="s">
        <v>324</v>
      </c>
      <c r="J23" s="8"/>
      <c r="K23" s="8"/>
      <c r="L23" s="8"/>
      <c r="M23" s="8"/>
      <c r="N23" s="7" t="s">
        <v>300</v>
      </c>
      <c r="O23" s="7" t="s">
        <v>91</v>
      </c>
    </row>
    <row r="24" spans="1:15" ht="96.6" x14ac:dyDescent="0.3">
      <c r="A24" s="17" t="s">
        <v>106</v>
      </c>
      <c r="B24" s="17" t="s">
        <v>89</v>
      </c>
      <c r="C24" s="54"/>
      <c r="D24" s="55"/>
      <c r="E24" s="7" t="s">
        <v>404</v>
      </c>
      <c r="F24" s="8" t="s">
        <v>97</v>
      </c>
      <c r="G24" s="8" t="s">
        <v>301</v>
      </c>
      <c r="H24" s="7" t="s">
        <v>316</v>
      </c>
      <c r="I24" s="7" t="s">
        <v>325</v>
      </c>
      <c r="J24" s="8"/>
      <c r="K24" s="8"/>
      <c r="L24" s="8"/>
      <c r="M24" s="8"/>
      <c r="N24" s="7" t="s">
        <v>302</v>
      </c>
      <c r="O24" s="7" t="s">
        <v>93</v>
      </c>
    </row>
    <row r="25" spans="1:15" x14ac:dyDescent="0.3">
      <c r="J25" t="s">
        <v>92</v>
      </c>
      <c r="K25" s="8"/>
    </row>
    <row r="26" spans="1:15" ht="18" x14ac:dyDescent="0.35">
      <c r="A26" s="43" t="s">
        <v>326</v>
      </c>
      <c r="B26" s="43"/>
      <c r="C26" s="43"/>
      <c r="D26" s="43"/>
      <c r="E26" s="43"/>
      <c r="F26" s="43"/>
      <c r="G26" s="43"/>
      <c r="H26" s="43"/>
      <c r="I26" s="43"/>
      <c r="J26" s="43"/>
      <c r="K26" s="43"/>
      <c r="L26" s="43"/>
      <c r="M26" s="43"/>
      <c r="N26" s="43"/>
      <c r="O26" s="44"/>
    </row>
    <row r="27" spans="1:15" x14ac:dyDescent="0.3">
      <c r="A27" s="41" t="s">
        <v>88</v>
      </c>
      <c r="B27" s="41"/>
      <c r="C27" s="42"/>
      <c r="D27" s="47" t="s">
        <v>327</v>
      </c>
      <c r="E27" s="47"/>
      <c r="F27" s="47"/>
      <c r="G27" s="47"/>
      <c r="H27" s="47"/>
      <c r="I27" s="47"/>
      <c r="J27" s="47"/>
      <c r="K27" s="47"/>
      <c r="L27" s="47"/>
      <c r="M27" s="47"/>
      <c r="N27" s="47"/>
      <c r="O27" s="47"/>
    </row>
    <row r="28" spans="1:15" ht="82.8" x14ac:dyDescent="0.3">
      <c r="A28" s="17" t="s">
        <v>106</v>
      </c>
      <c r="B28" s="17" t="s">
        <v>89</v>
      </c>
      <c r="C28" s="52" t="s">
        <v>61</v>
      </c>
      <c r="D28" s="48" t="s">
        <v>328</v>
      </c>
      <c r="E28" s="7" t="s">
        <v>376</v>
      </c>
      <c r="F28" s="7" t="s">
        <v>90</v>
      </c>
      <c r="G28" s="7" t="s">
        <v>329</v>
      </c>
      <c r="H28" s="7" t="s">
        <v>407</v>
      </c>
      <c r="I28" s="7" t="s">
        <v>330</v>
      </c>
      <c r="J28" s="8"/>
      <c r="K28" s="17"/>
      <c r="L28" s="8"/>
      <c r="M28" s="8"/>
      <c r="N28" s="7" t="s">
        <v>258</v>
      </c>
      <c r="O28" s="7" t="s">
        <v>93</v>
      </c>
    </row>
    <row r="29" spans="1:15" ht="124.2" x14ac:dyDescent="0.3">
      <c r="A29" s="17" t="s">
        <v>106</v>
      </c>
      <c r="B29" s="17" t="s">
        <v>89</v>
      </c>
      <c r="C29" s="53"/>
      <c r="D29" s="49"/>
      <c r="E29" s="7" t="s">
        <v>381</v>
      </c>
      <c r="F29" s="7" t="s">
        <v>94</v>
      </c>
      <c r="G29" s="7" t="s">
        <v>331</v>
      </c>
      <c r="H29" s="7" t="s">
        <v>408</v>
      </c>
      <c r="I29" s="7" t="s">
        <v>332</v>
      </c>
      <c r="J29" s="8"/>
      <c r="K29" s="17"/>
      <c r="L29" s="8"/>
      <c r="M29" s="8"/>
      <c r="N29" s="7" t="s">
        <v>124</v>
      </c>
      <c r="O29" s="7" t="s">
        <v>93</v>
      </c>
    </row>
    <row r="30" spans="1:15" ht="124.2" x14ac:dyDescent="0.3">
      <c r="A30" s="17" t="s">
        <v>106</v>
      </c>
      <c r="B30" s="17" t="s">
        <v>89</v>
      </c>
      <c r="C30" s="53"/>
      <c r="D30" s="49"/>
      <c r="E30" s="7" t="s">
        <v>404</v>
      </c>
      <c r="F30" s="7" t="s">
        <v>96</v>
      </c>
      <c r="G30" s="7" t="s">
        <v>333</v>
      </c>
      <c r="H30" s="7" t="s">
        <v>334</v>
      </c>
      <c r="I30" s="7" t="s">
        <v>335</v>
      </c>
      <c r="J30" s="8"/>
      <c r="K30" s="17"/>
      <c r="L30" s="8"/>
      <c r="M30" s="8"/>
      <c r="N30" s="7" t="s">
        <v>336</v>
      </c>
      <c r="O30" s="7" t="s">
        <v>93</v>
      </c>
    </row>
    <row r="31" spans="1:15" ht="262.2" x14ac:dyDescent="0.3">
      <c r="A31" s="17" t="s">
        <v>106</v>
      </c>
      <c r="B31" s="17" t="s">
        <v>89</v>
      </c>
      <c r="C31" s="53"/>
      <c r="D31" s="49"/>
      <c r="E31" s="7" t="s">
        <v>383</v>
      </c>
      <c r="F31" s="7" t="s">
        <v>337</v>
      </c>
      <c r="G31" s="7" t="s">
        <v>338</v>
      </c>
      <c r="H31" s="7" t="s">
        <v>339</v>
      </c>
      <c r="I31" s="7" t="s">
        <v>340</v>
      </c>
      <c r="J31" s="8"/>
      <c r="K31" s="17"/>
      <c r="L31" s="8"/>
      <c r="M31" s="8"/>
      <c r="N31" s="7" t="s">
        <v>241</v>
      </c>
      <c r="O31" s="7" t="s">
        <v>93</v>
      </c>
    </row>
    <row r="32" spans="1:15" ht="110.4" x14ac:dyDescent="0.3">
      <c r="A32" s="17" t="s">
        <v>106</v>
      </c>
      <c r="B32" s="17" t="s">
        <v>89</v>
      </c>
      <c r="C32" s="54"/>
      <c r="D32" s="55"/>
      <c r="E32" s="7" t="s">
        <v>404</v>
      </c>
      <c r="F32" s="7" t="s">
        <v>341</v>
      </c>
      <c r="G32" s="7" t="s">
        <v>342</v>
      </c>
      <c r="H32" s="7" t="s">
        <v>343</v>
      </c>
      <c r="I32" s="7" t="s">
        <v>344</v>
      </c>
      <c r="J32" s="8"/>
      <c r="K32" s="17"/>
      <c r="L32" s="8"/>
      <c r="M32" s="8"/>
      <c r="N32" s="7"/>
      <c r="O32" s="7" t="s">
        <v>93</v>
      </c>
    </row>
  </sheetData>
  <dataConsolidate/>
  <mergeCells count="23">
    <mergeCell ref="A2:O2"/>
    <mergeCell ref="A3:C3"/>
    <mergeCell ref="D3:O3"/>
    <mergeCell ref="D7:O7"/>
    <mergeCell ref="A6:O6"/>
    <mergeCell ref="A7:C7"/>
    <mergeCell ref="C14:C17"/>
    <mergeCell ref="D14:D17"/>
    <mergeCell ref="D21:D24"/>
    <mergeCell ref="C21:C24"/>
    <mergeCell ref="D20:O20"/>
    <mergeCell ref="A12:O12"/>
    <mergeCell ref="A13:C13"/>
    <mergeCell ref="A19:O19"/>
    <mergeCell ref="A20:C20"/>
    <mergeCell ref="D13:O13"/>
    <mergeCell ref="C8:C10"/>
    <mergeCell ref="D8:D10"/>
    <mergeCell ref="C28:C32"/>
    <mergeCell ref="D28:D32"/>
    <mergeCell ref="D27:O27"/>
    <mergeCell ref="A26:O26"/>
    <mergeCell ref="A27:C27"/>
  </mergeCells>
  <dataValidations count="2">
    <dataValidation type="list" allowBlank="1" showInputMessage="1" showErrorMessage="1" sqref="M4 M14:M17 M21:M24 M28:M32 M8:M10">
      <formula1>"New,Retest"</formula1>
    </dataValidation>
    <dataValidation type="list" allowBlank="1" showInputMessage="1" showErrorMessage="1" sqref="J14:J17 J21:J24 J28:J32 J4 K7 K16:K17 K21 J8:J10 K4:K5 K25">
      <formula1>"Pass,Fail"</formula1>
    </dataValidation>
  </dataValidations>
  <pageMargins left="0.7" right="0.7" top="0.75" bottom="0.75" header="0.3" footer="0.3"/>
  <pageSetup scale="71" fitToHeight="2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8"/>
  <sheetViews>
    <sheetView zoomScaleNormal="100" workbookViewId="0">
      <pane ySplit="1" topLeftCell="A10" activePane="bottomLeft" state="frozen"/>
      <selection pane="bottomLeft" activeCell="A12" sqref="A12:XFD19"/>
    </sheetView>
  </sheetViews>
  <sheetFormatPr defaultColWidth="8.88671875" defaultRowHeight="14.4" x14ac:dyDescent="0.3"/>
  <cols>
    <col min="3" max="3" width="12.88671875" style="1" customWidth="1"/>
    <col min="4" max="4" width="27" customWidth="1"/>
    <col min="5" max="5" width="13.88671875" style="2" customWidth="1"/>
    <col min="7" max="7" width="26.88671875" customWidth="1"/>
    <col min="8" max="8" width="51.109375" style="2" customWidth="1"/>
    <col min="9" max="9" width="30.6640625" style="2" customWidth="1"/>
    <col min="12" max="12" width="16.6640625" customWidth="1"/>
    <col min="13" max="13" width="10.33203125" customWidth="1"/>
    <col min="14" max="14" width="13.109375" customWidth="1"/>
    <col min="15" max="15" width="42.109375" style="2" customWidth="1"/>
  </cols>
  <sheetData>
    <row r="1" spans="1:15" x14ac:dyDescent="0.3">
      <c r="A1" s="3" t="s">
        <v>77</v>
      </c>
      <c r="B1" s="3" t="s">
        <v>78</v>
      </c>
      <c r="C1" s="3" t="s">
        <v>1</v>
      </c>
      <c r="D1" s="3" t="s">
        <v>2</v>
      </c>
      <c r="E1" s="4" t="s">
        <v>79</v>
      </c>
      <c r="F1" s="3" t="s">
        <v>80</v>
      </c>
      <c r="G1" s="3" t="s">
        <v>81</v>
      </c>
      <c r="H1" s="4" t="s">
        <v>82</v>
      </c>
      <c r="I1" s="4" t="s">
        <v>83</v>
      </c>
      <c r="J1" s="3" t="s">
        <v>3</v>
      </c>
      <c r="K1" s="3" t="s">
        <v>84</v>
      </c>
      <c r="L1" s="3" t="s">
        <v>85</v>
      </c>
      <c r="M1" s="3" t="s">
        <v>86</v>
      </c>
      <c r="N1" s="3" t="s">
        <v>87</v>
      </c>
      <c r="O1" s="4" t="s">
        <v>4</v>
      </c>
    </row>
    <row r="2" spans="1:15" ht="18" x14ac:dyDescent="0.35">
      <c r="A2" s="50" t="s">
        <v>67</v>
      </c>
      <c r="B2" s="50"/>
      <c r="C2" s="50"/>
      <c r="D2" s="50"/>
      <c r="E2" s="50"/>
      <c r="F2" s="50"/>
      <c r="G2" s="50"/>
      <c r="H2" s="50"/>
      <c r="I2" s="50"/>
      <c r="J2" s="50"/>
      <c r="K2" s="50"/>
      <c r="L2" s="50"/>
      <c r="M2" s="50"/>
      <c r="N2" s="50"/>
      <c r="O2" s="51"/>
    </row>
    <row r="3" spans="1:15" x14ac:dyDescent="0.3">
      <c r="A3" s="41" t="s">
        <v>88</v>
      </c>
      <c r="B3" s="41"/>
      <c r="C3" s="42"/>
      <c r="D3" s="47" t="s">
        <v>345</v>
      </c>
      <c r="E3" s="47"/>
      <c r="F3" s="47"/>
      <c r="G3" s="47"/>
      <c r="H3" s="47"/>
      <c r="I3" s="47"/>
      <c r="J3" s="47"/>
      <c r="K3" s="47"/>
      <c r="L3" s="47"/>
      <c r="M3" s="47"/>
      <c r="N3" s="47"/>
      <c r="O3" s="47"/>
    </row>
    <row r="4" spans="1:15" ht="262.2" x14ac:dyDescent="0.3">
      <c r="A4" s="17" t="s">
        <v>106</v>
      </c>
      <c r="B4" s="17" t="s">
        <v>89</v>
      </c>
      <c r="C4" s="52" t="s">
        <v>66</v>
      </c>
      <c r="D4" s="48" t="s">
        <v>346</v>
      </c>
      <c r="E4" s="7" t="s">
        <v>411</v>
      </c>
      <c r="F4" s="8" t="s">
        <v>90</v>
      </c>
      <c r="G4" s="7" t="s">
        <v>347</v>
      </c>
      <c r="H4" s="7" t="s">
        <v>348</v>
      </c>
      <c r="I4" s="7" t="s">
        <v>349</v>
      </c>
      <c r="J4" s="8"/>
      <c r="K4" s="8"/>
      <c r="L4" s="8"/>
      <c r="M4" s="8"/>
      <c r="N4" s="7" t="s">
        <v>350</v>
      </c>
      <c r="O4" s="7" t="s">
        <v>91</v>
      </c>
    </row>
    <row r="5" spans="1:15" ht="138" x14ac:dyDescent="0.3">
      <c r="A5" s="17" t="s">
        <v>106</v>
      </c>
      <c r="B5" s="17" t="s">
        <v>89</v>
      </c>
      <c r="C5" s="53"/>
      <c r="D5" s="49"/>
      <c r="E5" s="7" t="s">
        <v>411</v>
      </c>
      <c r="F5" s="8" t="s">
        <v>94</v>
      </c>
      <c r="G5" s="7" t="s">
        <v>351</v>
      </c>
      <c r="H5" s="7" t="s">
        <v>412</v>
      </c>
      <c r="I5" s="7" t="s">
        <v>352</v>
      </c>
      <c r="J5" s="8"/>
      <c r="K5" s="8"/>
      <c r="L5" s="8"/>
      <c r="M5" s="8"/>
      <c r="N5" s="7" t="s">
        <v>353</v>
      </c>
      <c r="O5" s="7" t="s">
        <v>91</v>
      </c>
    </row>
    <row r="6" spans="1:15" ht="151.80000000000001" x14ac:dyDescent="0.3">
      <c r="A6" s="17" t="s">
        <v>106</v>
      </c>
      <c r="B6" s="17" t="s">
        <v>89</v>
      </c>
      <c r="C6" s="53"/>
      <c r="D6" s="49"/>
      <c r="E6" s="7" t="s">
        <v>411</v>
      </c>
      <c r="F6" s="8" t="s">
        <v>96</v>
      </c>
      <c r="G6" s="7" t="s">
        <v>354</v>
      </c>
      <c r="H6" s="7" t="s">
        <v>413</v>
      </c>
      <c r="I6" s="7" t="s">
        <v>355</v>
      </c>
      <c r="J6" s="8"/>
      <c r="K6" s="8"/>
      <c r="L6" s="8"/>
      <c r="M6" s="8"/>
      <c r="N6" s="7" t="s">
        <v>356</v>
      </c>
      <c r="O6" s="7" t="s">
        <v>93</v>
      </c>
    </row>
    <row r="7" spans="1:15" ht="138" x14ac:dyDescent="0.3">
      <c r="A7" s="17" t="s">
        <v>106</v>
      </c>
      <c r="B7" s="17" t="s">
        <v>89</v>
      </c>
      <c r="C7" s="53"/>
      <c r="D7" s="49"/>
      <c r="E7" s="7" t="s">
        <v>411</v>
      </c>
      <c r="F7" s="8" t="s">
        <v>97</v>
      </c>
      <c r="G7" s="8" t="s">
        <v>357</v>
      </c>
      <c r="H7" s="7" t="s">
        <v>414</v>
      </c>
      <c r="I7" s="7" t="s">
        <v>358</v>
      </c>
      <c r="J7" s="8"/>
      <c r="K7" s="8"/>
      <c r="L7" s="8"/>
      <c r="M7" s="8"/>
      <c r="N7" s="7" t="s">
        <v>359</v>
      </c>
      <c r="O7" s="7" t="s">
        <v>93</v>
      </c>
    </row>
    <row r="8" spans="1:15" ht="289.8" x14ac:dyDescent="0.3">
      <c r="A8" s="17" t="s">
        <v>106</v>
      </c>
      <c r="B8" s="17" t="s">
        <v>89</v>
      </c>
      <c r="C8" s="53"/>
      <c r="D8" s="49"/>
      <c r="E8" s="7" t="s">
        <v>411</v>
      </c>
      <c r="F8" s="8" t="s">
        <v>99</v>
      </c>
      <c r="G8" s="8" t="s">
        <v>360</v>
      </c>
      <c r="H8" s="7" t="s">
        <v>415</v>
      </c>
      <c r="I8" s="7" t="s">
        <v>361</v>
      </c>
      <c r="J8" s="8"/>
      <c r="L8" s="8"/>
      <c r="M8" s="8"/>
      <c r="N8" s="7" t="s">
        <v>362</v>
      </c>
      <c r="O8" s="7" t="s">
        <v>91</v>
      </c>
    </row>
    <row r="9" spans="1:15" ht="317.39999999999998" x14ac:dyDescent="0.3">
      <c r="A9" s="17" t="s">
        <v>106</v>
      </c>
      <c r="B9" s="17" t="s">
        <v>89</v>
      </c>
      <c r="C9" s="53"/>
      <c r="D9" s="49"/>
      <c r="E9" s="7" t="s">
        <v>411</v>
      </c>
      <c r="F9" s="8" t="s">
        <v>102</v>
      </c>
      <c r="G9" s="8" t="s">
        <v>363</v>
      </c>
      <c r="H9" s="10" t="s">
        <v>364</v>
      </c>
      <c r="I9" s="7" t="s">
        <v>365</v>
      </c>
      <c r="J9" s="8"/>
      <c r="K9" s="8"/>
      <c r="L9" s="8"/>
      <c r="M9" s="8"/>
      <c r="N9" s="7" t="s">
        <v>366</v>
      </c>
      <c r="O9" s="7" t="s">
        <v>91</v>
      </c>
    </row>
    <row r="10" spans="1:15" ht="69" x14ac:dyDescent="0.3">
      <c r="A10" s="17" t="s">
        <v>106</v>
      </c>
      <c r="B10" s="17" t="s">
        <v>89</v>
      </c>
      <c r="C10" s="54"/>
      <c r="D10" s="55"/>
      <c r="E10" s="7" t="s">
        <v>411</v>
      </c>
      <c r="F10" s="8" t="s">
        <v>103</v>
      </c>
      <c r="G10" s="8" t="s">
        <v>367</v>
      </c>
      <c r="H10" s="7" t="s">
        <v>368</v>
      </c>
      <c r="I10" s="7" t="s">
        <v>369</v>
      </c>
      <c r="J10" s="8"/>
      <c r="L10" s="8"/>
      <c r="M10" s="8"/>
      <c r="N10" s="7"/>
      <c r="O10" s="7" t="s">
        <v>93</v>
      </c>
    </row>
    <row r="11" spans="1:15" ht="6" customHeight="1" x14ac:dyDescent="0.3">
      <c r="J11" t="s">
        <v>92</v>
      </c>
    </row>
    <row r="12" spans="1:15" x14ac:dyDescent="0.3">
      <c r="K12" s="8"/>
    </row>
    <row r="13" spans="1:15" x14ac:dyDescent="0.3">
      <c r="K13" s="8"/>
    </row>
    <row r="14" spans="1:15" x14ac:dyDescent="0.3">
      <c r="K14" s="8"/>
    </row>
    <row r="15" spans="1:15" x14ac:dyDescent="0.3">
      <c r="K15" s="8"/>
    </row>
    <row r="16" spans="1:15" x14ac:dyDescent="0.3">
      <c r="K16" s="8"/>
    </row>
    <row r="19" spans="11:11" x14ac:dyDescent="0.3">
      <c r="K19" s="8"/>
    </row>
    <row r="20" spans="11:11" x14ac:dyDescent="0.3">
      <c r="K20" s="8"/>
    </row>
    <row r="21" spans="11:11" x14ac:dyDescent="0.3">
      <c r="K21" s="8"/>
    </row>
    <row r="22" spans="11:11" x14ac:dyDescent="0.3">
      <c r="K22" s="8"/>
    </row>
    <row r="23" spans="11:11" x14ac:dyDescent="0.3">
      <c r="K23" s="8"/>
    </row>
    <row r="24" spans="11:11" x14ac:dyDescent="0.3">
      <c r="K24" s="19"/>
    </row>
    <row r="25" spans="11:11" x14ac:dyDescent="0.3">
      <c r="K25" s="18"/>
    </row>
    <row r="28" spans="11:11" x14ac:dyDescent="0.3">
      <c r="K28" s="17"/>
    </row>
    <row r="29" spans="11:11" x14ac:dyDescent="0.3">
      <c r="K29" s="17"/>
    </row>
    <row r="30" spans="11:11" x14ac:dyDescent="0.3">
      <c r="K30" s="17"/>
    </row>
    <row r="31" spans="11:11" x14ac:dyDescent="0.3">
      <c r="K31" s="17"/>
    </row>
    <row r="32" spans="11:11" x14ac:dyDescent="0.3">
      <c r="K32" s="17"/>
    </row>
    <row r="33" spans="11:11" x14ac:dyDescent="0.3">
      <c r="K33" s="17"/>
    </row>
    <row r="37" spans="11:11" x14ac:dyDescent="0.3">
      <c r="K37" s="17"/>
    </row>
    <row r="38" spans="11:11" x14ac:dyDescent="0.3">
      <c r="K38" s="17"/>
    </row>
    <row r="39" spans="11:11" x14ac:dyDescent="0.3">
      <c r="K39" s="17"/>
    </row>
    <row r="40" spans="11:11" x14ac:dyDescent="0.3">
      <c r="K40" s="17"/>
    </row>
    <row r="41" spans="11:11" x14ac:dyDescent="0.3">
      <c r="K41" s="17"/>
    </row>
    <row r="45" spans="11:11" x14ac:dyDescent="0.3">
      <c r="K45" s="17"/>
    </row>
    <row r="46" spans="11:11" x14ac:dyDescent="0.3">
      <c r="K46" s="17"/>
    </row>
    <row r="47" spans="11:11" x14ac:dyDescent="0.3">
      <c r="K47" s="17"/>
    </row>
    <row r="48" spans="11:11" x14ac:dyDescent="0.3">
      <c r="K48" s="17"/>
    </row>
  </sheetData>
  <dataConsolidate/>
  <mergeCells count="5">
    <mergeCell ref="A2:O2"/>
    <mergeCell ref="A3:C3"/>
    <mergeCell ref="D3:O3"/>
    <mergeCell ref="D4:D10"/>
    <mergeCell ref="C4:C10"/>
  </mergeCells>
  <dataValidations count="2">
    <dataValidation type="list" allowBlank="1" showInputMessage="1" showErrorMessage="1" sqref="J4:J10 K11 K4:K7 K12 K16:K17 K21:K24">
      <formula1>"Pass,Fail"</formula1>
    </dataValidation>
    <dataValidation type="list" allowBlank="1" showInputMessage="1" showErrorMessage="1" sqref="M4:M10">
      <formula1>"New,Retest"</formula1>
    </dataValidation>
  </dataValidations>
  <pageMargins left="0.7" right="0.7" top="0.75" bottom="0.75" header="0.3" footer="0.3"/>
  <pageSetup scale="71" fitToHeight="1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8"/>
  <sheetViews>
    <sheetView workbookViewId="0">
      <pane ySplit="1" topLeftCell="A5" activePane="bottomLeft" state="frozen"/>
      <selection pane="bottomLeft" activeCell="A10" sqref="A10:XFD17"/>
    </sheetView>
  </sheetViews>
  <sheetFormatPr defaultColWidth="8.88671875" defaultRowHeight="14.4" x14ac:dyDescent="0.3"/>
  <cols>
    <col min="3" max="3" width="12.88671875" style="1" customWidth="1"/>
    <col min="4" max="4" width="27" customWidth="1"/>
    <col min="5" max="5" width="13.88671875" style="2" customWidth="1"/>
    <col min="7" max="7" width="26.88671875" customWidth="1"/>
    <col min="8" max="8" width="51.109375" style="2" customWidth="1"/>
    <col min="9" max="9" width="30.6640625" style="2" customWidth="1"/>
    <col min="12" max="12" width="16.6640625" customWidth="1"/>
    <col min="13" max="13" width="10.33203125" customWidth="1"/>
    <col min="14" max="14" width="13.109375" customWidth="1"/>
    <col min="15" max="15" width="42.109375" style="2" customWidth="1"/>
  </cols>
  <sheetData>
    <row r="1" spans="1:15" x14ac:dyDescent="0.3">
      <c r="A1" s="3" t="s">
        <v>77</v>
      </c>
      <c r="B1" s="3" t="s">
        <v>78</v>
      </c>
      <c r="C1" s="3" t="s">
        <v>1</v>
      </c>
      <c r="D1" s="3" t="s">
        <v>2</v>
      </c>
      <c r="E1" s="4" t="s">
        <v>79</v>
      </c>
      <c r="F1" s="3" t="s">
        <v>80</v>
      </c>
      <c r="G1" s="3" t="s">
        <v>81</v>
      </c>
      <c r="H1" s="4" t="s">
        <v>82</v>
      </c>
      <c r="I1" s="4" t="s">
        <v>83</v>
      </c>
      <c r="J1" s="3" t="s">
        <v>3</v>
      </c>
      <c r="K1" s="3" t="s">
        <v>84</v>
      </c>
      <c r="L1" s="3" t="s">
        <v>85</v>
      </c>
      <c r="M1" s="3" t="s">
        <v>86</v>
      </c>
      <c r="N1" s="3" t="s">
        <v>87</v>
      </c>
      <c r="O1" s="4" t="s">
        <v>4</v>
      </c>
    </row>
    <row r="2" spans="1:15" ht="18" x14ac:dyDescent="0.35">
      <c r="A2" s="50" t="s">
        <v>72</v>
      </c>
      <c r="B2" s="50"/>
      <c r="C2" s="50"/>
      <c r="D2" s="50"/>
      <c r="E2" s="50"/>
      <c r="F2" s="50"/>
      <c r="G2" s="50"/>
      <c r="H2" s="50"/>
      <c r="I2" s="50"/>
      <c r="J2" s="50"/>
      <c r="K2" s="50"/>
      <c r="L2" s="50"/>
      <c r="M2" s="50"/>
      <c r="N2" s="50"/>
      <c r="O2" s="51"/>
    </row>
    <row r="3" spans="1:15" x14ac:dyDescent="0.3">
      <c r="A3" s="41" t="s">
        <v>88</v>
      </c>
      <c r="B3" s="41"/>
      <c r="C3" s="42"/>
      <c r="D3" s="47" t="s">
        <v>370</v>
      </c>
      <c r="E3" s="47"/>
      <c r="F3" s="47"/>
      <c r="G3" s="47"/>
      <c r="H3" s="47"/>
      <c r="I3" s="47"/>
      <c r="J3" s="47"/>
      <c r="K3" s="47"/>
      <c r="L3" s="47"/>
      <c r="M3" s="47"/>
      <c r="N3" s="47"/>
      <c r="O3" s="47"/>
    </row>
    <row r="4" spans="1:15" ht="151.80000000000001" x14ac:dyDescent="0.3">
      <c r="A4" s="17" t="s">
        <v>106</v>
      </c>
      <c r="B4" s="17" t="s">
        <v>89</v>
      </c>
      <c r="C4" s="26" t="s">
        <v>71</v>
      </c>
      <c r="D4" s="6" t="s">
        <v>371</v>
      </c>
      <c r="E4" s="7" t="s">
        <v>251</v>
      </c>
      <c r="F4" s="8" t="s">
        <v>90</v>
      </c>
      <c r="G4" s="8" t="s">
        <v>252</v>
      </c>
      <c r="H4" s="7" t="s">
        <v>409</v>
      </c>
      <c r="I4" s="7" t="s">
        <v>372</v>
      </c>
      <c r="J4" s="8"/>
      <c r="K4" s="8"/>
      <c r="L4" s="8"/>
      <c r="M4" s="8"/>
      <c r="N4" s="7" t="s">
        <v>254</v>
      </c>
      <c r="O4" s="7" t="s">
        <v>91</v>
      </c>
    </row>
    <row r="5" spans="1:15" ht="6" customHeight="1" x14ac:dyDescent="0.3">
      <c r="J5" t="s">
        <v>92</v>
      </c>
      <c r="K5" s="8"/>
    </row>
    <row r="6" spans="1:15" ht="18" x14ac:dyDescent="0.35">
      <c r="A6" s="43" t="s">
        <v>74</v>
      </c>
      <c r="B6" s="43"/>
      <c r="C6" s="43"/>
      <c r="D6" s="43"/>
      <c r="E6" s="43"/>
      <c r="F6" s="43"/>
      <c r="G6" s="43"/>
      <c r="H6" s="43"/>
      <c r="I6" s="43"/>
      <c r="J6" s="43"/>
      <c r="K6" s="43"/>
      <c r="L6" s="43"/>
      <c r="M6" s="43"/>
      <c r="N6" s="43"/>
      <c r="O6" s="44"/>
    </row>
    <row r="7" spans="1:15" x14ac:dyDescent="0.3">
      <c r="A7" s="41" t="s">
        <v>88</v>
      </c>
      <c r="B7" s="41"/>
      <c r="C7" s="42"/>
      <c r="D7" s="47" t="s">
        <v>373</v>
      </c>
      <c r="E7" s="47"/>
      <c r="F7" s="47"/>
      <c r="G7" s="47"/>
      <c r="H7" s="47"/>
      <c r="I7" s="47"/>
      <c r="J7" s="47"/>
      <c r="K7" s="47"/>
      <c r="L7" s="47"/>
      <c r="M7" s="47"/>
      <c r="N7" s="47"/>
      <c r="O7" s="47"/>
    </row>
    <row r="8" spans="1:15" ht="165.6" x14ac:dyDescent="0.3">
      <c r="A8" s="17" t="s">
        <v>106</v>
      </c>
      <c r="B8" s="17" t="s">
        <v>89</v>
      </c>
      <c r="C8" s="39" t="s">
        <v>73</v>
      </c>
      <c r="D8" s="12" t="s">
        <v>371</v>
      </c>
      <c r="E8" s="10" t="s">
        <v>251</v>
      </c>
      <c r="F8" s="11" t="s">
        <v>90</v>
      </c>
      <c r="G8" s="11" t="s">
        <v>374</v>
      </c>
      <c r="H8" s="10" t="s">
        <v>410</v>
      </c>
      <c r="I8" s="10" t="s">
        <v>375</v>
      </c>
      <c r="J8" s="8"/>
      <c r="L8" s="8"/>
      <c r="M8" s="8"/>
      <c r="N8" s="7" t="s">
        <v>254</v>
      </c>
      <c r="O8" s="7" t="s">
        <v>91</v>
      </c>
    </row>
    <row r="9" spans="1:15" ht="6" customHeight="1" x14ac:dyDescent="0.3">
      <c r="J9" t="s">
        <v>92</v>
      </c>
      <c r="K9" s="8"/>
    </row>
    <row r="12" spans="1:15" x14ac:dyDescent="0.3">
      <c r="K12" s="8"/>
    </row>
    <row r="13" spans="1:15" x14ac:dyDescent="0.3">
      <c r="K13" s="8"/>
    </row>
    <row r="14" spans="1:15" x14ac:dyDescent="0.3">
      <c r="K14" s="8"/>
    </row>
    <row r="15" spans="1:15" x14ac:dyDescent="0.3">
      <c r="K15" s="8"/>
    </row>
    <row r="16" spans="1:15" x14ac:dyDescent="0.3">
      <c r="K16" s="8"/>
    </row>
    <row r="19" spans="11:11" customFormat="1" x14ac:dyDescent="0.3">
      <c r="K19" s="8"/>
    </row>
    <row r="20" spans="11:11" customFormat="1" x14ac:dyDescent="0.3">
      <c r="K20" s="8"/>
    </row>
    <row r="21" spans="11:11" customFormat="1" x14ac:dyDescent="0.3">
      <c r="K21" s="8"/>
    </row>
    <row r="22" spans="11:11" customFormat="1" x14ac:dyDescent="0.3">
      <c r="K22" s="8"/>
    </row>
    <row r="23" spans="11:11" customFormat="1" x14ac:dyDescent="0.3">
      <c r="K23" s="8"/>
    </row>
    <row r="24" spans="11:11" customFormat="1" x14ac:dyDescent="0.3">
      <c r="K24" s="19"/>
    </row>
    <row r="25" spans="11:11" customFormat="1" x14ac:dyDescent="0.3">
      <c r="K25" s="18"/>
    </row>
    <row r="28" spans="11:11" customFormat="1" x14ac:dyDescent="0.3">
      <c r="K28" s="17"/>
    </row>
    <row r="29" spans="11:11" customFormat="1" x14ac:dyDescent="0.3">
      <c r="K29" s="17"/>
    </row>
    <row r="30" spans="11:11" customFormat="1" x14ac:dyDescent="0.3">
      <c r="K30" s="17"/>
    </row>
    <row r="31" spans="11:11" customFormat="1" x14ac:dyDescent="0.3">
      <c r="K31" s="17"/>
    </row>
    <row r="32" spans="11:11" customFormat="1" x14ac:dyDescent="0.3">
      <c r="K32" s="17"/>
    </row>
    <row r="33" spans="11:11" customFormat="1" x14ac:dyDescent="0.3">
      <c r="K33" s="17"/>
    </row>
    <row r="37" spans="11:11" customFormat="1" x14ac:dyDescent="0.3">
      <c r="K37" s="17"/>
    </row>
    <row r="38" spans="11:11" customFormat="1" x14ac:dyDescent="0.3">
      <c r="K38" s="17"/>
    </row>
    <row r="39" spans="11:11" customFormat="1" x14ac:dyDescent="0.3">
      <c r="K39" s="17"/>
    </row>
    <row r="40" spans="11:11" customFormat="1" x14ac:dyDescent="0.3">
      <c r="K40" s="17"/>
    </row>
    <row r="41" spans="11:11" customFormat="1" x14ac:dyDescent="0.3">
      <c r="K41" s="17"/>
    </row>
    <row r="45" spans="11:11" customFormat="1" x14ac:dyDescent="0.3">
      <c r="K45" s="17"/>
    </row>
    <row r="46" spans="11:11" customFormat="1" x14ac:dyDescent="0.3">
      <c r="K46" s="17"/>
    </row>
    <row r="47" spans="11:11" customFormat="1" x14ac:dyDescent="0.3">
      <c r="K47" s="17"/>
    </row>
    <row r="48" spans="11:11" customFormat="1" x14ac:dyDescent="0.3">
      <c r="K48" s="17"/>
    </row>
  </sheetData>
  <dataConsolidate/>
  <mergeCells count="6">
    <mergeCell ref="D3:O3"/>
    <mergeCell ref="D7:O7"/>
    <mergeCell ref="A2:O2"/>
    <mergeCell ref="A3:C3"/>
    <mergeCell ref="A6:O6"/>
    <mergeCell ref="A7:C7"/>
  </mergeCells>
  <dataValidations count="2">
    <dataValidation type="list" allowBlank="1" showInputMessage="1" showErrorMessage="1" sqref="M4 M8">
      <formula1>"New,Retest"</formula1>
    </dataValidation>
    <dataValidation type="list" allowBlank="1" showInputMessage="1" showErrorMessage="1" sqref="J4 J8 K21:K24 K12 K16:K17 K4:K5 K7">
      <formula1>"Pass,Fail"</formula1>
    </dataValidation>
  </dataValidations>
  <pageMargins left="0.7" right="0.7" top="0.75" bottom="0.75" header="0.3" footer="0.3"/>
  <pageSetup scale="71" fitToHeight="1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7A4CC1AF2026409A6E39D9D04101A0" ma:contentTypeVersion="10" ma:contentTypeDescription="Create a new document." ma:contentTypeScope="" ma:versionID="9b155abda69d8a5f8a375e79177ba22c">
  <xsd:schema xmlns:xsd="http://www.w3.org/2001/XMLSchema" xmlns:xs="http://www.w3.org/2001/XMLSchema" xmlns:p="http://schemas.microsoft.com/office/2006/metadata/properties" xmlns:ns1="http://schemas.microsoft.com/sharepoint/v3" xmlns:ns2="e293ce31-67a4-4125-8330-80282ab27cbe" xmlns:ns3="6d12afd6-76fb-4d3e-b207-d43aeb8216c2" targetNamespace="http://schemas.microsoft.com/office/2006/metadata/properties" ma:root="true" ma:fieldsID="d52267e3328c36d1df1f47a997ada39b" ns1:_="" ns2:_="" ns3:_="">
    <xsd:import namespace="http://schemas.microsoft.com/sharepoint/v3"/>
    <xsd:import namespace="e293ce31-67a4-4125-8330-80282ab27cbe"/>
    <xsd:import namespace="6d12afd6-76fb-4d3e-b207-d43aeb8216c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EventHashCode" minOccurs="0"/>
                <xsd:element ref="ns3:MediaServiceGenerationTime" minOccurs="0"/>
                <xsd:element ref="ns3:MediaServiceAutoKeyPoints" minOccurs="0"/>
                <xsd:element ref="ns3:MediaServiceKeyPoint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93ce31-67a4-4125-8330-80282ab27cb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2afd6-76fb-4d3e-b207-d43aeb8216c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e293ce31-67a4-4125-8330-80282ab27cbe">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9ADA66-7DF3-478E-A253-D1D223D000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293ce31-67a4-4125-8330-80282ab27cbe"/>
    <ds:schemaRef ds:uri="6d12afd6-76fb-4d3e-b207-d43aeb8216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9E8140-7D95-4425-8125-DB04A4AAF93A}">
  <ds:schemaRefs>
    <ds:schemaRef ds:uri="http://schemas.microsoft.com/office/2006/metadata/properties"/>
    <ds:schemaRef ds:uri="http://schemas.microsoft.com/office/infopath/2007/PartnerControls"/>
    <ds:schemaRef ds:uri="e293ce31-67a4-4125-8330-80282ab27cbe"/>
    <ds:schemaRef ds:uri="http://schemas.microsoft.com/sharepoint/v3"/>
  </ds:schemaRefs>
</ds:datastoreItem>
</file>

<file path=customXml/itemProps3.xml><?xml version="1.0" encoding="utf-8"?>
<ds:datastoreItem xmlns:ds="http://schemas.openxmlformats.org/officeDocument/2006/customXml" ds:itemID="{7C1E2CB8-60B8-44BE-9FC4-556AA1D6C1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30</vt:i4>
      </vt:variant>
    </vt:vector>
  </HeadingPairs>
  <TitlesOfParts>
    <vt:vector size="38" baseType="lpstr">
      <vt:lpstr>Summary</vt:lpstr>
      <vt:lpstr>Design to Build</vt:lpstr>
      <vt:lpstr>Record to Report</vt:lpstr>
      <vt:lpstr>Lead to Quote</vt:lpstr>
      <vt:lpstr>Order to Cash_Return to Credit</vt:lpstr>
      <vt:lpstr>Procure to Pay_Return to Debit</vt:lpstr>
      <vt:lpstr>Marketing to ROI</vt:lpstr>
      <vt:lpstr>Call to Resolution</vt:lpstr>
      <vt:lpstr>_C2R01</vt:lpstr>
      <vt:lpstr>_C2R02</vt:lpstr>
      <vt:lpstr>_R2C01</vt:lpstr>
      <vt:lpstr>_R2C02</vt:lpstr>
      <vt:lpstr>_R2R01</vt:lpstr>
      <vt:lpstr>_R2R02</vt:lpstr>
      <vt:lpstr>_R2R03</vt:lpstr>
      <vt:lpstr>_R2R05</vt:lpstr>
      <vt:lpstr>_R2R06</vt:lpstr>
      <vt:lpstr>D2B_CUS01</vt:lpstr>
      <vt:lpstr>D2B01</vt:lpstr>
      <vt:lpstr>D2B02</vt:lpstr>
      <vt:lpstr>D2B03</vt:lpstr>
      <vt:lpstr>D2B04</vt:lpstr>
      <vt:lpstr>D2B05</vt:lpstr>
      <vt:lpstr>D2B10</vt:lpstr>
      <vt:lpstr>L2Q01</vt:lpstr>
      <vt:lpstr>M2R01</vt:lpstr>
      <vt:lpstr>O2C01</vt:lpstr>
      <vt:lpstr>O2C02</vt:lpstr>
      <vt:lpstr>P2P01</vt:lpstr>
      <vt:lpstr>P2P04</vt:lpstr>
      <vt:lpstr>P2P05</vt:lpstr>
      <vt:lpstr>P2P06</vt:lpstr>
      <vt:lpstr>P2P09</vt:lpstr>
      <vt:lpstr>'Call to Resolution'!Print_Area</vt:lpstr>
      <vt:lpstr>'Design to Build'!Print_Area</vt:lpstr>
      <vt:lpstr>'Lead to Quote'!Print_Area</vt:lpstr>
      <vt:lpstr>'Marketing to ROI'!Print_Area</vt:lpstr>
      <vt:lpstr>'Procure to Pay_Return to Debit'!Print_Area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Steffen, Cheryl</dc:creator>
  <cp:keywords/>
  <dc:description/>
  <cp:lastModifiedBy>paapr</cp:lastModifiedBy>
  <cp:revision/>
  <dcterms:created xsi:type="dcterms:W3CDTF">2016-02-25T18:27:02Z</dcterms:created>
  <dcterms:modified xsi:type="dcterms:W3CDTF">2023-02-17T11:04:23Z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0x010100247A4CC1AF2026409A6E39D9D04101A0</vt:lpwstr>
  </property>
  <property fmtid="{D5CDD505-2E9C-101B-9397-08002B2CF9AE}" pid="3" name="Order">
    <vt:r8>937200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ies>
</file>