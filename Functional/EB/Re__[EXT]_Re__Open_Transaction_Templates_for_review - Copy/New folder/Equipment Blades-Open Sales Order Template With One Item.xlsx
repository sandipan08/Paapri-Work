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New folder\"/>
    </mc:Choice>
  </mc:AlternateContent>
  <bookViews>
    <workbookView xWindow="0" yWindow="0" windowWidth="23040" windowHeight="9264" activeTab="1"/>
  </bookViews>
  <sheets>
    <sheet name="Field Restrictions" sheetId="2" r:id="rId1"/>
    <sheet name="SalesOrderTemplate" sheetId="4" r:id="rId2"/>
  </sheets>
  <definedNames>
    <definedName name="_xlnm._FilterDatabase" localSheetId="1" hidden="1">SalesOrderTemplate!$A$1:$AQ$84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2" i="4" l="1"/>
  <c r="W83" i="4"/>
  <c r="W84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3" i="4"/>
  <c r="W4" i="4"/>
  <c r="W5" i="4"/>
  <c r="W6" i="4"/>
  <c r="W7" i="4"/>
  <c r="W2" i="4"/>
</calcChain>
</file>

<file path=xl/sharedStrings.xml><?xml version="1.0" encoding="utf-8"?>
<sst xmlns="http://schemas.openxmlformats.org/spreadsheetml/2006/main" count="500" uniqueCount="298">
  <si>
    <t>tranId</t>
  </si>
  <si>
    <t>customFormRef</t>
  </si>
  <si>
    <t>customerRef</t>
  </si>
  <si>
    <t>tranDate</t>
  </si>
  <si>
    <t>currencyRef</t>
  </si>
  <si>
    <t>toBePrinted</t>
  </si>
  <si>
    <t>toBeEmailed</t>
  </si>
  <si>
    <t>email</t>
  </si>
  <si>
    <t>toBeFaxed</t>
  </si>
  <si>
    <t>fax</t>
  </si>
  <si>
    <t>memo</t>
  </si>
  <si>
    <t>shipMethodRef</t>
  </si>
  <si>
    <t>shipDate</t>
  </si>
  <si>
    <t>shipCost</t>
  </si>
  <si>
    <t>FOB</t>
  </si>
  <si>
    <t>customerMessageRef</t>
  </si>
  <si>
    <t>salesRepRef</t>
  </si>
  <si>
    <t>termsRef</t>
  </si>
  <si>
    <t>departmentRef</t>
  </si>
  <si>
    <t>classRef</t>
  </si>
  <si>
    <t>locationRef</t>
  </si>
  <si>
    <t>isTaxable</t>
  </si>
  <si>
    <t>itemLine_itemRef</t>
  </si>
  <si>
    <t>itemLine_quantity</t>
  </si>
  <si>
    <t>itemLine_salesPrice</t>
  </si>
  <si>
    <t>itemLine_amount</t>
  </si>
  <si>
    <t>itemLine_description</t>
  </si>
  <si>
    <t>itemLine_isTaxable</t>
  </si>
  <si>
    <t>itemLine_priceLevelRef</t>
  </si>
  <si>
    <t>itemLine_departmentRef</t>
  </si>
  <si>
    <t>itemLine_classRef</t>
  </si>
  <si>
    <t>itemLine_locationRef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</si>
  <si>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</si>
  <si>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</si>
  <si>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</si>
  <si>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</si>
  <si>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</si>
  <si>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</si>
  <si>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</si>
  <si>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</si>
  <si>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</si>
  <si>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shipAttention</t>
  </si>
  <si>
    <t>shipAddressee</t>
  </si>
  <si>
    <t>shipAddr1</t>
  </si>
  <si>
    <t>shipAddr2</t>
  </si>
  <si>
    <t>shipCity</t>
  </si>
  <si>
    <t>shipState</t>
  </si>
  <si>
    <t>shipZip</t>
  </si>
  <si>
    <t>shipCountry</t>
  </si>
  <si>
    <t>shipPhone</t>
  </si>
  <si>
    <t>contractStartDate</t>
  </si>
  <si>
    <t>renewalDate</t>
  </si>
  <si>
    <t>itemLine_revRecScheduleRef</t>
  </si>
  <si>
    <t>itemLine_revRecStartDate</t>
  </si>
  <si>
    <t>itemLine_revRecEndDate</t>
  </si>
  <si>
    <t>Alpha Numeric</t>
  </si>
  <si>
    <t>List</t>
  </si>
  <si>
    <t>Customer</t>
  </si>
  <si>
    <t>Date</t>
  </si>
  <si>
    <t>Currency</t>
  </si>
  <si>
    <t>mm/dd/yyyy</t>
  </si>
  <si>
    <t>Department</t>
  </si>
  <si>
    <t>Class</t>
  </si>
  <si>
    <t>Location</t>
  </si>
  <si>
    <t>Start Date</t>
  </si>
  <si>
    <t>End Date</t>
  </si>
  <si>
    <t>PO#</t>
  </si>
  <si>
    <t>excludeCommissions</t>
  </si>
  <si>
    <t>Boolean</t>
  </si>
  <si>
    <t>TRUE/FALSE</t>
  </si>
  <si>
    <t>String</t>
  </si>
  <si>
    <t>salesEffectiveDate</t>
  </si>
  <si>
    <t>Sales Effective Date</t>
  </si>
  <si>
    <t>exchangeRate</t>
  </si>
  <si>
    <t xml:space="preserve">Exchange Rate </t>
  </si>
  <si>
    <t>Decimal Number</t>
  </si>
  <si>
    <t>To Be Printed</t>
  </si>
  <si>
    <t>To Be E-mailed</t>
  </si>
  <si>
    <t>E-Mail</t>
  </si>
  <si>
    <t xml:space="preserve">To Be Faxed </t>
  </si>
  <si>
    <t>Fax</t>
  </si>
  <si>
    <t>Number</t>
  </si>
  <si>
    <t>Numbers</t>
  </si>
  <si>
    <t>Ship Date</t>
  </si>
  <si>
    <t>Sales Rep</t>
  </si>
  <si>
    <t>MM/DD/YYYY</t>
  </si>
  <si>
    <t>discount-discountItemRef</t>
  </si>
  <si>
    <t>discount-discountRate</t>
  </si>
  <si>
    <t>discount-discountTotal</t>
  </si>
  <si>
    <t>tax-taxItemRef</t>
  </si>
  <si>
    <t>tax-taxRate</t>
  </si>
  <si>
    <t>tax-taxTotal</t>
  </si>
  <si>
    <t>Rate</t>
  </si>
  <si>
    <t>Tax</t>
  </si>
  <si>
    <t>Decimal</t>
  </si>
  <si>
    <t>Item</t>
  </si>
  <si>
    <t>Quantity</t>
  </si>
  <si>
    <t>Description</t>
  </si>
  <si>
    <t>Price Level</t>
  </si>
  <si>
    <t>Integer</t>
  </si>
  <si>
    <t>Order #</t>
  </si>
  <si>
    <t>revRecScheduleRef</t>
  </si>
  <si>
    <t>revRecStartDate</t>
  </si>
  <si>
    <t>revRecEndDate</t>
  </si>
  <si>
    <t>postingPeriodRef</t>
  </si>
  <si>
    <t>mmm yyyy</t>
  </si>
  <si>
    <t>integer</t>
  </si>
  <si>
    <t>leadSourceRef</t>
  </si>
  <si>
    <t>Field Name</t>
  </si>
  <si>
    <t>Data Type</t>
  </si>
  <si>
    <t>Character Limit</t>
  </si>
  <si>
    <t>Status</t>
  </si>
  <si>
    <t>Opportunity</t>
  </si>
  <si>
    <t>Units</t>
  </si>
  <si>
    <t>ExternalID</t>
  </si>
  <si>
    <t>Serial/Lot Numbers</t>
  </si>
  <si>
    <t>Discount Item</t>
  </si>
  <si>
    <t>Shipping Carrier</t>
  </si>
  <si>
    <t xml:space="preserve">Shipping Method </t>
  </si>
  <si>
    <t>Ship Complete</t>
  </si>
  <si>
    <t>Ship to Select</t>
  </si>
  <si>
    <t>Taxable</t>
  </si>
  <si>
    <t>Tax Item</t>
  </si>
  <si>
    <t>Tax Rate</t>
  </si>
  <si>
    <t>Pending Fulfillment</t>
  </si>
  <si>
    <t>Bill to Select</t>
  </si>
  <si>
    <t>Alexander Welding IA</t>
  </si>
  <si>
    <t>Brian</t>
  </si>
  <si>
    <t>CAS 372081A1</t>
  </si>
  <si>
    <t>Anderson Livestock NE</t>
  </si>
  <si>
    <t>DAN</t>
  </si>
  <si>
    <t>CAT 1955124-6X8</t>
  </si>
  <si>
    <t>Arkansas DOT</t>
  </si>
  <si>
    <t>SH-920-461730</t>
  </si>
  <si>
    <t>Brandon Fisher</t>
  </si>
  <si>
    <t>CAT 1359541</t>
  </si>
  <si>
    <t>Chestnut Farms SD</t>
  </si>
  <si>
    <t>D61243</t>
  </si>
  <si>
    <t>Christensen Feedlot</t>
  </si>
  <si>
    <t>D6414</t>
  </si>
  <si>
    <t>City of Aurora SD</t>
  </si>
  <si>
    <t>D57740</t>
  </si>
  <si>
    <t>City of Box Elder SD</t>
  </si>
  <si>
    <t>Roads</t>
  </si>
  <si>
    <t>SSADP36</t>
  </si>
  <si>
    <t>City of Brookings</t>
  </si>
  <si>
    <t>CAT 5D9559</t>
  </si>
  <si>
    <t>JD T157492</t>
  </si>
  <si>
    <t>City of Spearfish</t>
  </si>
  <si>
    <t>PBB6814444</t>
  </si>
  <si>
    <t>Concrete Supply of Iowa</t>
  </si>
  <si>
    <t>L180 Matt</t>
  </si>
  <si>
    <t>V 11082666</t>
  </si>
  <si>
    <t>D &amp; L Digging</t>
  </si>
  <si>
    <t>CAT 9W2452</t>
  </si>
  <si>
    <t>Dallas County IA</t>
  </si>
  <si>
    <t>CIJT874875-ACI</t>
  </si>
  <si>
    <t>Dawson County NE</t>
  </si>
  <si>
    <t>CAT 5D9732</t>
  </si>
  <si>
    <t>DeKalb County IN</t>
  </si>
  <si>
    <t>SH-122-361971</t>
  </si>
  <si>
    <t>Dewey Stovall</t>
  </si>
  <si>
    <t>DIH 1209131H1</t>
  </si>
  <si>
    <t>Eben Welding and Repaif LLC</t>
  </si>
  <si>
    <t>CAT 4T2967</t>
  </si>
  <si>
    <t>CAT 4T2967CD</t>
  </si>
  <si>
    <t>Egbers Flighting NE</t>
  </si>
  <si>
    <t>CAT 7D4508</t>
  </si>
  <si>
    <t>Eldon Semmen</t>
  </si>
  <si>
    <t>LIU D52321</t>
  </si>
  <si>
    <t>Garfield County OK</t>
  </si>
  <si>
    <t>Final Pass Refurbished</t>
  </si>
  <si>
    <t>GMA Mining USA MT</t>
  </si>
  <si>
    <t>JD T198126HA</t>
  </si>
  <si>
    <t>Goodes Construction TX</t>
  </si>
  <si>
    <t>D9549</t>
  </si>
  <si>
    <t>Granberg Landscaping</t>
  </si>
  <si>
    <t>D54581</t>
  </si>
  <si>
    <t>CAT 8E4567</t>
  </si>
  <si>
    <t>Hammink Dairy</t>
  </si>
  <si>
    <t>JCB 547/37801</t>
  </si>
  <si>
    <t>Heath Heiman</t>
  </si>
  <si>
    <t>D57258</t>
  </si>
  <si>
    <t>Hinesburg Sand &amp; Gravel</t>
  </si>
  <si>
    <t>CAT 1U0762</t>
  </si>
  <si>
    <t>Horton Supply MO</t>
  </si>
  <si>
    <t>JD T101939-11</t>
  </si>
  <si>
    <t>Hubel Iron NE</t>
  </si>
  <si>
    <t>HYU 61LM-00310A</t>
  </si>
  <si>
    <t>Ida County Hwy</t>
  </si>
  <si>
    <t>CIJT874845</t>
  </si>
  <si>
    <t>J&amp;J Earthworks</t>
  </si>
  <si>
    <t>CAT 1955124PB-6X8</t>
  </si>
  <si>
    <t>Jones Contractors TN</t>
  </si>
  <si>
    <t>CAT 2296958</t>
  </si>
  <si>
    <t>Kellen Excavating</t>
  </si>
  <si>
    <t>KOM 424815A140</t>
  </si>
  <si>
    <t>BOB 6718008</t>
  </si>
  <si>
    <t>Kenosha County WI</t>
  </si>
  <si>
    <t>N-78536PBN-3</t>
  </si>
  <si>
    <t>Kirkman Farms IA</t>
  </si>
  <si>
    <t>HYU 61LN-00311W</t>
  </si>
  <si>
    <t>Lake States Cattle</t>
  </si>
  <si>
    <t>CAS 327539A1</t>
  </si>
  <si>
    <t>Lakin Dairy KS</t>
  </si>
  <si>
    <t>CAT 4T2966CD</t>
  </si>
  <si>
    <t>Loiseau Construction</t>
  </si>
  <si>
    <t>L-47</t>
  </si>
  <si>
    <t>V 11081066</t>
  </si>
  <si>
    <t>Lone Star Stone</t>
  </si>
  <si>
    <t>BUC X231084</t>
  </si>
  <si>
    <t>Lorens Garage IL</t>
  </si>
  <si>
    <t>D42555</t>
  </si>
  <si>
    <t>Low Life Construction</t>
  </si>
  <si>
    <t>DBFB 3/4 x 8 x 8.5</t>
  </si>
  <si>
    <t>Matt Arbeiter</t>
  </si>
  <si>
    <t>CAT 5D9554</t>
  </si>
  <si>
    <t>MDS Manufacturing Company</t>
  </si>
  <si>
    <t>MDS 190-0349111</t>
  </si>
  <si>
    <t>MDS 190-0591</t>
  </si>
  <si>
    <t>Meadowvale Dairy IA</t>
  </si>
  <si>
    <t>Jason</t>
  </si>
  <si>
    <t>D61425</t>
  </si>
  <si>
    <t>Mellette County SD</t>
  </si>
  <si>
    <t>SH-122-454420</t>
  </si>
  <si>
    <t>Michigan CAT</t>
  </si>
  <si>
    <t>TI D59290</t>
  </si>
  <si>
    <t>Milk Unlimited IA</t>
  </si>
  <si>
    <t>Kelly</t>
  </si>
  <si>
    <t>NH 86577171</t>
  </si>
  <si>
    <t>Morton County KS</t>
  </si>
  <si>
    <t>D61424</t>
  </si>
  <si>
    <t>Mueller Pallet</t>
  </si>
  <si>
    <t>Northern Con Agg, LLP</t>
  </si>
  <si>
    <t>Becky</t>
  </si>
  <si>
    <t>CAT 9W1375</t>
  </si>
  <si>
    <t>O'Reilly Auto Parts St. Roberts MO</t>
  </si>
  <si>
    <t>CAS 8500177</t>
  </si>
  <si>
    <t>Oneida County Highway Department WI</t>
  </si>
  <si>
    <t>N-34648PBN-12</t>
  </si>
  <si>
    <t>Pease Creek Colony</t>
  </si>
  <si>
    <t>Mike</t>
  </si>
  <si>
    <t>KOM 418815A120</t>
  </si>
  <si>
    <t>Plymouth Dairy Farms IA</t>
  </si>
  <si>
    <t>BOB D20344</t>
  </si>
  <si>
    <t>POET Chancellor</t>
  </si>
  <si>
    <t>CASE 621G</t>
  </si>
  <si>
    <t>ROC RE161111LW</t>
  </si>
  <si>
    <t>Prairie States Trucking</t>
  </si>
  <si>
    <t>CAT 1359397PB</t>
  </si>
  <si>
    <t>Precise Weld Services SC</t>
  </si>
  <si>
    <t>D60743</t>
  </si>
  <si>
    <t>Pudenz Farms IA</t>
  </si>
  <si>
    <t>Renner Equipment</t>
  </si>
  <si>
    <t>CJ Stock</t>
  </si>
  <si>
    <t>JD W44540HT</t>
  </si>
  <si>
    <t>Richarz Repair IA</t>
  </si>
  <si>
    <t>V 11156585</t>
  </si>
  <si>
    <t>RMD Drainage and Excavation</t>
  </si>
  <si>
    <t>Aaron JD 750K</t>
  </si>
  <si>
    <t>JD T204082</t>
  </si>
  <si>
    <t>Rounds Construction</t>
  </si>
  <si>
    <t>Unit 57</t>
  </si>
  <si>
    <t>D44588</t>
  </si>
  <si>
    <t>Unit 66</t>
  </si>
  <si>
    <t>Unit 58</t>
  </si>
  <si>
    <t>D43218</t>
  </si>
  <si>
    <t>Unit 59</t>
  </si>
  <si>
    <t>Rozeboon, Gaylon</t>
  </si>
  <si>
    <t>D49917</t>
  </si>
  <si>
    <t>Scafani Engineering &amp; Construction CA</t>
  </si>
  <si>
    <t>ID 505902A4800B</t>
  </si>
  <si>
    <t>D61447</t>
  </si>
  <si>
    <t>Shane Garloff</t>
  </si>
  <si>
    <t>D57767</t>
  </si>
  <si>
    <t>Sioux Jerseys IA</t>
  </si>
  <si>
    <t>Fabian</t>
  </si>
  <si>
    <t>JRB B25760-10</t>
  </si>
  <si>
    <t>Skivys Repair IA</t>
  </si>
  <si>
    <t>BIT EQB 3FT STANDARD BOARD 3/4P</t>
  </si>
  <si>
    <t>SM Equipment Sales</t>
  </si>
  <si>
    <t>V 11081051</t>
  </si>
  <si>
    <t>SoDak Services SD</t>
  </si>
  <si>
    <t>SD 16120830</t>
  </si>
  <si>
    <t>Spielman Excavating</t>
  </si>
  <si>
    <t>KOM 419815A110</t>
  </si>
  <si>
    <t>T's Custom Repair</t>
  </si>
  <si>
    <t>JD T101939</t>
  </si>
  <si>
    <t>Taz Recycling IL</t>
  </si>
  <si>
    <t>Tri Cross Dairy</t>
  </si>
  <si>
    <t>Steve</t>
  </si>
  <si>
    <t>CAT 1104711JM</t>
  </si>
  <si>
    <t>Vandrovec Brothers</t>
  </si>
  <si>
    <t>Vaness Dairy</t>
  </si>
  <si>
    <t>JD T354508</t>
  </si>
  <si>
    <t>Wellington Township</t>
  </si>
  <si>
    <t>Mark</t>
  </si>
  <si>
    <t>itemLine_Totalamount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</si>
</sst>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/dd/yy;@"/>
  </numFmts>
  <fonts count="22" x14ac:knownFonts="1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1" applyNumberFormat="0" applyAlignment="0" applyProtection="0"/>
    <xf numFmtId="0" fontId="6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7" fillId="4" borderId="7" applyNumberFormat="0" applyFont="0" applyAlignment="0" applyProtection="0"/>
    <xf numFmtId="0" fontId="16" fillId="15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 applyFill="1" applyBorder="1"/>
    <xf numFmtId="0" fontId="21" fillId="0" borderId="0" xfId="0" applyFont="1" applyFill="1" applyBorder="1"/>
    <xf numFmtId="0" fontId="21" fillId="0" borderId="0" xfId="0" applyFont="1" applyFill="1" applyAlignment="1"/>
    <xf numFmtId="0" fontId="21" fillId="0" borderId="0" xfId="0" applyFont="1" applyAlignment="1">
      <alignment wrapText="1"/>
    </xf>
    <xf numFmtId="0" fontId="21" fillId="0" borderId="0" xfId="0" applyFont="1" applyFill="1"/>
    <xf numFmtId="0" fontId="21" fillId="18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7" fillId="0" borderId="10" xfId="0" applyFont="1" applyFill="1" applyBorder="1" applyAlignment="1">
      <alignment horizontal="center" wrapText="1"/>
    </xf>
    <xf numFmtId="0" fontId="0" fillId="0" borderId="0" xfId="0" applyFill="1"/>
    <xf numFmtId="0" fontId="21" fillId="0" borderId="0" xfId="0" applyFont="1" applyFill="1"/>
    <xf numFmtId="0" fontId="7" fillId="0" borderId="0" xfId="0" applyFont="1" applyFill="1"/>
    <xf numFmtId="0" fontId="20" fillId="0" borderId="0" xfId="0" applyFont="1" applyFill="1" applyAlignment="1"/>
    <xf numFmtId="14" fontId="0" fillId="0" borderId="0" xfId="0" applyNumberFormat="1" applyFill="1"/>
    <xf numFmtId="0" fontId="0" fillId="0" borderId="0" xfId="0" applyFont="1" applyFill="1"/>
    <xf numFmtId="165" fontId="20" fillId="0" borderId="0" xfId="0" applyNumberFormat="1" applyFont="1" applyFill="1" applyBorder="1"/>
    <xf numFmtId="165" fontId="0" fillId="0" borderId="0" xfId="0" applyNumberFormat="1" applyFill="1"/>
    <xf numFmtId="14" fontId="7" fillId="0" borderId="0" xfId="0" applyNumberFormat="1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6CC0F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workbookViewId="0">
      <selection activeCell="F16" sqref="F16"/>
    </sheetView>
  </sheetViews>
  <sheetFormatPr defaultRowHeight="13.2" x14ac:dyDescent="0.25"/>
  <cols>
    <col min="1" max="1" width="25.5546875" bestFit="1" customWidth="1"/>
    <col min="2" max="2" width="14.88671875" bestFit="1" customWidth="1"/>
    <col min="3" max="3" width="15.109375" bestFit="1" customWidth="1"/>
  </cols>
  <sheetData>
    <row r="1" spans="1:3" x14ac:dyDescent="0.25">
      <c r="A1" s="6" t="s">
        <v>108</v>
      </c>
      <c r="B1" s="6" t="s">
        <v>109</v>
      </c>
      <c r="C1" s="6" t="s">
        <v>110</v>
      </c>
    </row>
    <row r="2" spans="1:3" x14ac:dyDescent="0.25">
      <c r="A2" s="7" t="s">
        <v>0</v>
      </c>
      <c r="B2" s="7" t="s">
        <v>55</v>
      </c>
      <c r="C2" s="7">
        <v>15</v>
      </c>
    </row>
    <row r="3" spans="1:3" x14ac:dyDescent="0.25">
      <c r="A3" s="7" t="s">
        <v>1</v>
      </c>
      <c r="B3" s="7" t="s">
        <v>56</v>
      </c>
      <c r="C3" s="7" t="s">
        <v>56</v>
      </c>
    </row>
    <row r="4" spans="1:3" x14ac:dyDescent="0.25">
      <c r="A4" s="7" t="s">
        <v>2</v>
      </c>
      <c r="B4" s="7" t="s">
        <v>56</v>
      </c>
      <c r="C4" s="7" t="s">
        <v>56</v>
      </c>
    </row>
    <row r="5" spans="1:3" x14ac:dyDescent="0.25">
      <c r="A5" s="7" t="s">
        <v>3</v>
      </c>
      <c r="B5" s="7" t="s">
        <v>58</v>
      </c>
      <c r="C5" s="7" t="s">
        <v>60</v>
      </c>
    </row>
    <row r="6" spans="1:3" x14ac:dyDescent="0.25">
      <c r="A6" s="8" t="s">
        <v>104</v>
      </c>
      <c r="B6" s="7" t="s">
        <v>56</v>
      </c>
      <c r="C6" s="7" t="s">
        <v>105</v>
      </c>
    </row>
    <row r="7" spans="1:3" x14ac:dyDescent="0.25">
      <c r="A7" s="7" t="s">
        <v>4</v>
      </c>
      <c r="B7" s="7" t="s">
        <v>56</v>
      </c>
      <c r="C7" s="7" t="s">
        <v>56</v>
      </c>
    </row>
    <row r="8" spans="1:3" x14ac:dyDescent="0.25">
      <c r="A8" s="7" t="s">
        <v>73</v>
      </c>
      <c r="B8" s="7" t="s">
        <v>75</v>
      </c>
      <c r="C8" s="7"/>
    </row>
    <row r="9" spans="1:3" x14ac:dyDescent="0.25">
      <c r="A9" s="9" t="s">
        <v>17</v>
      </c>
      <c r="B9" s="7" t="s">
        <v>56</v>
      </c>
      <c r="C9" s="7" t="s">
        <v>56</v>
      </c>
    </row>
    <row r="10" spans="1:3" x14ac:dyDescent="0.25">
      <c r="A10" s="7" t="s">
        <v>107</v>
      </c>
      <c r="B10" s="7" t="s">
        <v>56</v>
      </c>
      <c r="C10" s="7" t="s">
        <v>56</v>
      </c>
    </row>
    <row r="11" spans="1:3" x14ac:dyDescent="0.25">
      <c r="A11" s="7" t="s">
        <v>66</v>
      </c>
      <c r="B11" s="7" t="s">
        <v>106</v>
      </c>
      <c r="C11" s="7" t="s">
        <v>106</v>
      </c>
    </row>
    <row r="12" spans="1:3" x14ac:dyDescent="0.25">
      <c r="A12" s="7" t="s">
        <v>67</v>
      </c>
      <c r="B12" s="7" t="s">
        <v>68</v>
      </c>
      <c r="C12" s="7" t="s">
        <v>69</v>
      </c>
    </row>
    <row r="13" spans="1:3" x14ac:dyDescent="0.25">
      <c r="A13" s="7" t="s">
        <v>10</v>
      </c>
      <c r="B13" s="7" t="s">
        <v>70</v>
      </c>
      <c r="C13" s="7">
        <v>999</v>
      </c>
    </row>
    <row r="14" spans="1:3" x14ac:dyDescent="0.25">
      <c r="A14" s="7" t="s">
        <v>71</v>
      </c>
      <c r="B14" s="7" t="s">
        <v>58</v>
      </c>
      <c r="C14" s="7" t="s">
        <v>60</v>
      </c>
    </row>
    <row r="15" spans="1:3" x14ac:dyDescent="0.25">
      <c r="A15" s="7" t="s">
        <v>5</v>
      </c>
      <c r="B15" s="7" t="s">
        <v>68</v>
      </c>
      <c r="C15" s="7" t="s">
        <v>69</v>
      </c>
    </row>
    <row r="16" spans="1:3" x14ac:dyDescent="0.25">
      <c r="A16" s="7" t="s">
        <v>6</v>
      </c>
      <c r="B16" s="7" t="s">
        <v>68</v>
      </c>
      <c r="C16" s="7" t="s">
        <v>69</v>
      </c>
    </row>
    <row r="17" spans="1:3" x14ac:dyDescent="0.25">
      <c r="A17" s="7" t="s">
        <v>7</v>
      </c>
      <c r="B17" s="7" t="s">
        <v>55</v>
      </c>
      <c r="C17" s="7">
        <v>64</v>
      </c>
    </row>
    <row r="18" spans="1:3" x14ac:dyDescent="0.25">
      <c r="A18" s="7" t="s">
        <v>8</v>
      </c>
      <c r="B18" s="7" t="s">
        <v>68</v>
      </c>
      <c r="C18" s="7" t="s">
        <v>69</v>
      </c>
    </row>
    <row r="19" spans="1:3" x14ac:dyDescent="0.25">
      <c r="A19" s="7" t="s">
        <v>9</v>
      </c>
      <c r="B19" s="7" t="s">
        <v>81</v>
      </c>
      <c r="C19" s="7">
        <v>21</v>
      </c>
    </row>
    <row r="20" spans="1:3" x14ac:dyDescent="0.25">
      <c r="A20" s="7" t="s">
        <v>32</v>
      </c>
      <c r="B20" s="10" t="s">
        <v>70</v>
      </c>
      <c r="C20" s="7">
        <v>83</v>
      </c>
    </row>
    <row r="21" spans="1:3" x14ac:dyDescent="0.25">
      <c r="A21" s="7" t="s">
        <v>33</v>
      </c>
      <c r="B21" s="10" t="s">
        <v>70</v>
      </c>
      <c r="C21" s="7">
        <v>83</v>
      </c>
    </row>
    <row r="22" spans="1:3" x14ac:dyDescent="0.25">
      <c r="A22" s="7" t="s">
        <v>34</v>
      </c>
      <c r="B22" s="10" t="s">
        <v>70</v>
      </c>
      <c r="C22" s="7">
        <v>150</v>
      </c>
    </row>
    <row r="23" spans="1:3" x14ac:dyDescent="0.25">
      <c r="A23" s="7" t="s">
        <v>35</v>
      </c>
      <c r="B23" s="10" t="s">
        <v>70</v>
      </c>
      <c r="C23" s="7">
        <v>150</v>
      </c>
    </row>
    <row r="24" spans="1:3" x14ac:dyDescent="0.25">
      <c r="A24" s="7" t="s">
        <v>36</v>
      </c>
      <c r="B24" s="10" t="s">
        <v>70</v>
      </c>
      <c r="C24" s="7"/>
    </row>
    <row r="25" spans="1:3" x14ac:dyDescent="0.25">
      <c r="A25" s="7" t="s">
        <v>37</v>
      </c>
      <c r="B25" s="10" t="s">
        <v>70</v>
      </c>
      <c r="C25" s="7"/>
    </row>
    <row r="26" spans="1:3" x14ac:dyDescent="0.25">
      <c r="A26" s="7" t="s">
        <v>38</v>
      </c>
      <c r="B26" s="10" t="s">
        <v>70</v>
      </c>
      <c r="C26" s="7"/>
    </row>
    <row r="27" spans="1:3" x14ac:dyDescent="0.25">
      <c r="A27" s="7" t="s">
        <v>39</v>
      </c>
      <c r="B27" s="7" t="s">
        <v>56</v>
      </c>
      <c r="C27" s="7" t="s">
        <v>56</v>
      </c>
    </row>
    <row r="28" spans="1:3" x14ac:dyDescent="0.25">
      <c r="A28" s="7" t="s">
        <v>40</v>
      </c>
      <c r="B28" s="10" t="s">
        <v>82</v>
      </c>
      <c r="C28" s="7">
        <v>21</v>
      </c>
    </row>
    <row r="29" spans="1:3" x14ac:dyDescent="0.25">
      <c r="A29" s="7" t="s">
        <v>41</v>
      </c>
      <c r="B29" s="10" t="s">
        <v>70</v>
      </c>
      <c r="C29" s="7">
        <v>83</v>
      </c>
    </row>
    <row r="30" spans="1:3" x14ac:dyDescent="0.25">
      <c r="A30" s="7" t="s">
        <v>42</v>
      </c>
      <c r="B30" s="10" t="s">
        <v>70</v>
      </c>
      <c r="C30" s="7">
        <v>83</v>
      </c>
    </row>
    <row r="31" spans="1:3" x14ac:dyDescent="0.25">
      <c r="A31" s="7" t="s">
        <v>43</v>
      </c>
      <c r="B31" s="10" t="s">
        <v>70</v>
      </c>
      <c r="C31" s="7">
        <v>150</v>
      </c>
    </row>
    <row r="32" spans="1:3" x14ac:dyDescent="0.25">
      <c r="A32" s="7" t="s">
        <v>44</v>
      </c>
      <c r="B32" s="10" t="s">
        <v>70</v>
      </c>
      <c r="C32" s="7">
        <v>150</v>
      </c>
    </row>
    <row r="33" spans="1:3" x14ac:dyDescent="0.25">
      <c r="A33" s="7" t="s">
        <v>45</v>
      </c>
      <c r="B33" s="10" t="s">
        <v>70</v>
      </c>
      <c r="C33" s="7"/>
    </row>
    <row r="34" spans="1:3" x14ac:dyDescent="0.25">
      <c r="A34" s="7" t="s">
        <v>46</v>
      </c>
      <c r="B34" s="10" t="s">
        <v>70</v>
      </c>
      <c r="C34" s="7"/>
    </row>
    <row r="35" spans="1:3" x14ac:dyDescent="0.25">
      <c r="A35" s="7" t="s">
        <v>47</v>
      </c>
      <c r="B35" s="10" t="s">
        <v>70</v>
      </c>
      <c r="C35" s="7"/>
    </row>
    <row r="36" spans="1:3" x14ac:dyDescent="0.25">
      <c r="A36" s="7" t="s">
        <v>48</v>
      </c>
      <c r="B36" s="7" t="s">
        <v>56</v>
      </c>
      <c r="C36" s="7" t="s">
        <v>56</v>
      </c>
    </row>
    <row r="37" spans="1:3" x14ac:dyDescent="0.25">
      <c r="A37" s="7" t="s">
        <v>49</v>
      </c>
      <c r="B37" s="10" t="s">
        <v>82</v>
      </c>
      <c r="C37" s="7">
        <v>21</v>
      </c>
    </row>
    <row r="38" spans="1:3" x14ac:dyDescent="0.25">
      <c r="A38" s="7" t="s">
        <v>11</v>
      </c>
      <c r="B38" s="7" t="s">
        <v>56</v>
      </c>
      <c r="C38" s="7" t="s">
        <v>56</v>
      </c>
    </row>
    <row r="39" spans="1:3" x14ac:dyDescent="0.25">
      <c r="A39" s="7" t="s">
        <v>12</v>
      </c>
      <c r="B39" s="7" t="s">
        <v>58</v>
      </c>
      <c r="C39" s="7" t="s">
        <v>85</v>
      </c>
    </row>
    <row r="40" spans="1:3" x14ac:dyDescent="0.25">
      <c r="A40" s="7" t="s">
        <v>50</v>
      </c>
      <c r="B40" s="7" t="s">
        <v>58</v>
      </c>
      <c r="C40" s="7" t="s">
        <v>85</v>
      </c>
    </row>
    <row r="41" spans="1:3" x14ac:dyDescent="0.25">
      <c r="A41" s="7" t="s">
        <v>51</v>
      </c>
      <c r="B41" s="7" t="s">
        <v>58</v>
      </c>
      <c r="C41" s="7" t="s">
        <v>85</v>
      </c>
    </row>
    <row r="42" spans="1:3" x14ac:dyDescent="0.25">
      <c r="A42" s="7" t="s">
        <v>13</v>
      </c>
      <c r="B42" s="7" t="s">
        <v>81</v>
      </c>
      <c r="C42" s="7"/>
    </row>
    <row r="43" spans="1:3" x14ac:dyDescent="0.25">
      <c r="A43" s="7" t="s">
        <v>14</v>
      </c>
      <c r="B43" s="7" t="s">
        <v>70</v>
      </c>
      <c r="C43" s="7"/>
    </row>
    <row r="44" spans="1:3" x14ac:dyDescent="0.25">
      <c r="A44" s="7" t="s">
        <v>15</v>
      </c>
      <c r="B44" s="7" t="s">
        <v>56</v>
      </c>
      <c r="C44" s="7" t="s">
        <v>56</v>
      </c>
    </row>
    <row r="45" spans="1:3" x14ac:dyDescent="0.25">
      <c r="A45" s="7" t="s">
        <v>16</v>
      </c>
      <c r="B45" s="7" t="s">
        <v>56</v>
      </c>
      <c r="C45" s="7" t="s">
        <v>56</v>
      </c>
    </row>
    <row r="46" spans="1:3" x14ac:dyDescent="0.25">
      <c r="A46" s="7" t="s">
        <v>18</v>
      </c>
      <c r="B46" s="7" t="s">
        <v>56</v>
      </c>
      <c r="C46" s="7" t="s">
        <v>56</v>
      </c>
    </row>
    <row r="47" spans="1:3" x14ac:dyDescent="0.25">
      <c r="A47" s="7" t="s">
        <v>19</v>
      </c>
      <c r="B47" s="7" t="s">
        <v>56</v>
      </c>
      <c r="C47" s="7" t="s">
        <v>56</v>
      </c>
    </row>
    <row r="48" spans="1:3" x14ac:dyDescent="0.25">
      <c r="A48" s="7" t="s">
        <v>20</v>
      </c>
      <c r="B48" s="7" t="s">
        <v>56</v>
      </c>
      <c r="C48" s="7" t="s">
        <v>56</v>
      </c>
    </row>
    <row r="49" spans="1:3" x14ac:dyDescent="0.25">
      <c r="A49" s="7" t="s">
        <v>21</v>
      </c>
      <c r="B49" s="7" t="s">
        <v>68</v>
      </c>
      <c r="C49" s="7" t="s">
        <v>69</v>
      </c>
    </row>
    <row r="50" spans="1:3" x14ac:dyDescent="0.25">
      <c r="A50" s="7" t="s">
        <v>86</v>
      </c>
      <c r="B50" s="7" t="s">
        <v>56</v>
      </c>
      <c r="C50" s="7" t="s">
        <v>56</v>
      </c>
    </row>
    <row r="51" spans="1:3" x14ac:dyDescent="0.25">
      <c r="A51" s="7" t="s">
        <v>87</v>
      </c>
      <c r="B51" s="7" t="s">
        <v>94</v>
      </c>
      <c r="C51" s="7" t="s">
        <v>94</v>
      </c>
    </row>
    <row r="52" spans="1:3" x14ac:dyDescent="0.25">
      <c r="A52" s="7" t="s">
        <v>88</v>
      </c>
      <c r="B52" s="7" t="s">
        <v>94</v>
      </c>
      <c r="C52" s="7" t="s">
        <v>94</v>
      </c>
    </row>
    <row r="53" spans="1:3" x14ac:dyDescent="0.25">
      <c r="A53" s="7" t="s">
        <v>89</v>
      </c>
      <c r="B53" s="7" t="s">
        <v>56</v>
      </c>
      <c r="C53" s="7" t="s">
        <v>56</v>
      </c>
    </row>
    <row r="54" spans="1:3" x14ac:dyDescent="0.25">
      <c r="A54" s="7" t="s">
        <v>90</v>
      </c>
      <c r="B54" s="7" t="s">
        <v>94</v>
      </c>
      <c r="C54" s="7" t="s">
        <v>94</v>
      </c>
    </row>
    <row r="55" spans="1:3" x14ac:dyDescent="0.25">
      <c r="A55" s="7" t="s">
        <v>91</v>
      </c>
      <c r="B55" s="7" t="s">
        <v>94</v>
      </c>
      <c r="C55" s="7" t="s">
        <v>94</v>
      </c>
    </row>
    <row r="56" spans="1:3" x14ac:dyDescent="0.25">
      <c r="A56" s="7" t="s">
        <v>101</v>
      </c>
      <c r="B56" s="7" t="s">
        <v>56</v>
      </c>
      <c r="C56" s="7" t="s">
        <v>56</v>
      </c>
    </row>
    <row r="57" spans="1:3" x14ac:dyDescent="0.25">
      <c r="A57" s="7" t="s">
        <v>102</v>
      </c>
      <c r="B57" s="7" t="s">
        <v>58</v>
      </c>
      <c r="C57" s="7" t="s">
        <v>60</v>
      </c>
    </row>
    <row r="58" spans="1:3" x14ac:dyDescent="0.25">
      <c r="A58" s="7" t="s">
        <v>103</v>
      </c>
      <c r="B58" s="7" t="s">
        <v>58</v>
      </c>
      <c r="C58" s="7" t="s">
        <v>60</v>
      </c>
    </row>
    <row r="59" spans="1:3" x14ac:dyDescent="0.25">
      <c r="A59" s="7" t="s">
        <v>22</v>
      </c>
      <c r="B59" s="7" t="s">
        <v>56</v>
      </c>
      <c r="C59" s="7" t="s">
        <v>56</v>
      </c>
    </row>
    <row r="60" spans="1:3" x14ac:dyDescent="0.25">
      <c r="A60" s="7" t="s">
        <v>23</v>
      </c>
      <c r="B60" s="7" t="s">
        <v>99</v>
      </c>
      <c r="C60" s="7" t="s">
        <v>99</v>
      </c>
    </row>
    <row r="61" spans="1:3" x14ac:dyDescent="0.25">
      <c r="A61" s="7" t="s">
        <v>24</v>
      </c>
      <c r="B61" s="7" t="s">
        <v>94</v>
      </c>
      <c r="C61" s="7" t="s">
        <v>94</v>
      </c>
    </row>
    <row r="62" spans="1:3" x14ac:dyDescent="0.25">
      <c r="A62" s="7" t="s">
        <v>25</v>
      </c>
      <c r="B62" s="7" t="s">
        <v>94</v>
      </c>
      <c r="C62" s="7" t="s">
        <v>94</v>
      </c>
    </row>
    <row r="63" spans="1:3" x14ac:dyDescent="0.25">
      <c r="A63" s="7" t="s">
        <v>26</v>
      </c>
      <c r="B63" s="7" t="s">
        <v>70</v>
      </c>
      <c r="C63" s="7">
        <v>999</v>
      </c>
    </row>
    <row r="64" spans="1:3" x14ac:dyDescent="0.25">
      <c r="A64" s="7" t="s">
        <v>27</v>
      </c>
      <c r="B64" s="7" t="s">
        <v>68</v>
      </c>
      <c r="C64" s="7" t="s">
        <v>69</v>
      </c>
    </row>
    <row r="65" spans="1:3" x14ac:dyDescent="0.25">
      <c r="A65" s="7" t="s">
        <v>28</v>
      </c>
      <c r="B65" s="7" t="s">
        <v>56</v>
      </c>
      <c r="C65" s="7" t="s">
        <v>56</v>
      </c>
    </row>
    <row r="66" spans="1:3" x14ac:dyDescent="0.25">
      <c r="A66" s="7" t="s">
        <v>29</v>
      </c>
      <c r="B66" s="7" t="s">
        <v>56</v>
      </c>
      <c r="C66" s="7" t="s">
        <v>56</v>
      </c>
    </row>
    <row r="67" spans="1:3" x14ac:dyDescent="0.25">
      <c r="A67" s="7" t="s">
        <v>30</v>
      </c>
      <c r="B67" s="7" t="s">
        <v>56</v>
      </c>
      <c r="C67" s="7" t="s">
        <v>56</v>
      </c>
    </row>
    <row r="68" spans="1:3" x14ac:dyDescent="0.25">
      <c r="A68" s="7" t="s">
        <v>31</v>
      </c>
      <c r="B68" s="7" t="s">
        <v>56</v>
      </c>
      <c r="C68" s="7" t="s">
        <v>56</v>
      </c>
    </row>
    <row r="69" spans="1:3" x14ac:dyDescent="0.25">
      <c r="A69" s="7" t="s">
        <v>52</v>
      </c>
      <c r="B69" s="7" t="s">
        <v>56</v>
      </c>
      <c r="C69" s="7" t="s">
        <v>56</v>
      </c>
    </row>
    <row r="70" spans="1:3" x14ac:dyDescent="0.25">
      <c r="A70" s="7" t="s">
        <v>53</v>
      </c>
      <c r="B70" s="7" t="s">
        <v>58</v>
      </c>
      <c r="C70" s="7" t="s">
        <v>85</v>
      </c>
    </row>
    <row r="71" spans="1:3" x14ac:dyDescent="0.25">
      <c r="A71" s="7" t="s">
        <v>54</v>
      </c>
      <c r="B71" s="7" t="s">
        <v>58</v>
      </c>
      <c r="C71" s="7" t="s">
        <v>85</v>
      </c>
    </row>
    <row r="72" spans="1:3" x14ac:dyDescent="0.25">
      <c r="A72" s="4"/>
      <c r="B72" s="5"/>
      <c r="C72" s="5"/>
    </row>
    <row r="73" spans="1:3" x14ac:dyDescent="0.25">
      <c r="A73" s="4"/>
      <c r="B73" s="5"/>
      <c r="C73" s="5"/>
    </row>
    <row r="74" spans="1:3" x14ac:dyDescent="0.25">
      <c r="A74" s="4"/>
      <c r="B74" s="5"/>
      <c r="C74" s="5"/>
    </row>
    <row r="75" spans="1:3" x14ac:dyDescent="0.25">
      <c r="A75" s="4"/>
      <c r="B75" s="5"/>
      <c r="C75" s="5"/>
    </row>
    <row r="76" spans="1:3" x14ac:dyDescent="0.25">
      <c r="A76" s="4"/>
      <c r="B76" s="5"/>
      <c r="C76" s="5"/>
    </row>
    <row r="77" spans="1:3" x14ac:dyDescent="0.25">
      <c r="A77" s="4"/>
      <c r="B77" s="5"/>
      <c r="C77" s="5"/>
    </row>
    <row r="78" spans="1:3" x14ac:dyDescent="0.25">
      <c r="A78" s="4"/>
      <c r="B78" s="5"/>
      <c r="C78" s="5"/>
    </row>
    <row r="79" spans="1:3" x14ac:dyDescent="0.25">
      <c r="A79" s="4"/>
      <c r="B79" s="5"/>
      <c r="C79" s="5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4"/>
  <sheetViews>
    <sheetView tabSelected="1" zoomScale="90" zoomScaleNormal="90" workbookViewId="0">
      <selection activeCell="W9" sqref="W9"/>
    </sheetView>
  </sheetViews>
  <sheetFormatPr defaultColWidth="31.109375" defaultRowHeight="13.2" x14ac:dyDescent="0.25"/>
  <cols>
    <col min="1" max="1" width="28.6640625" style="11" bestFit="1" customWidth="1"/>
    <col min="2" max="2" width="31" style="11" bestFit="1" customWidth="1"/>
    <col min="3" max="3" width="38.44140625" style="11" bestFit="1" customWidth="1"/>
    <col min="4" max="4" width="30.33203125" style="18" bestFit="1" customWidth="1"/>
    <col min="5" max="6" width="30.33203125" style="11" hidden="1" customWidth="1"/>
    <col min="7" max="7" width="29.88671875" style="11" hidden="1" customWidth="1"/>
    <col min="8" max="8" width="29" style="11" hidden="1" customWidth="1"/>
    <col min="9" max="9" width="29.88671875" style="11" hidden="1" customWidth="1"/>
    <col min="10" max="10" width="30.88671875" style="11" hidden="1" customWidth="1"/>
    <col min="11" max="11" width="30.109375" style="13" hidden="1" customWidth="1"/>
    <col min="12" max="12" width="30.33203125" style="11" hidden="1" customWidth="1"/>
    <col min="13" max="13" width="29" style="11" hidden="1" customWidth="1"/>
    <col min="14" max="14" width="31.109375" style="11" hidden="1" customWidth="1"/>
    <col min="15" max="15" width="30.88671875" style="11" hidden="1" customWidth="1"/>
    <col min="16" max="16" width="30.6640625" style="11" hidden="1" customWidth="1"/>
    <col min="17" max="17" width="29" style="11" hidden="1" customWidth="1"/>
    <col min="18" max="18" width="31" style="11" bestFit="1" customWidth="1"/>
    <col min="19" max="19" width="18.6640625" style="11" bestFit="1" customWidth="1"/>
    <col min="20" max="20" width="27.6640625" style="3" customWidth="1"/>
    <col min="21" max="21" width="28.33203125" style="3" customWidth="1"/>
    <col min="22" max="22" width="28.44140625" style="11" bestFit="1" customWidth="1"/>
    <col min="23" max="24" width="27.88671875" style="11" customWidth="1"/>
    <col min="25" max="25" width="28.33203125" style="11" customWidth="1"/>
    <col min="26" max="26" width="23.88671875" style="11" customWidth="1"/>
    <col min="27" max="27" width="27.44140625" style="11" customWidth="1"/>
    <col min="28" max="28" width="30.33203125" style="11" customWidth="1"/>
    <col min="29" max="29" width="30.6640625" style="11" customWidth="1"/>
    <col min="30" max="31" width="33.33203125" style="11" customWidth="1"/>
    <col min="32" max="33" width="31.109375" style="11" customWidth="1"/>
    <col min="34" max="34" width="30.88671875" style="11" customWidth="1"/>
    <col min="35" max="38" width="30.5546875" style="11" customWidth="1"/>
    <col min="39" max="39" width="23" style="11" customWidth="1"/>
    <col min="40" max="40" width="26.109375" style="11" customWidth="1"/>
    <col min="41" max="41" width="30.44140625" style="11" customWidth="1"/>
    <col min="42" max="42" width="26.109375" style="11" customWidth="1"/>
    <col min="43" max="43" width="30.44140625" style="11" customWidth="1"/>
    <col min="44" max="16384" width="31.109375" style="11"/>
  </cols>
  <sheetData>
    <row r="1" spans="1:43" x14ac:dyDescent="0.25">
      <c r="A1" s="14" t="s">
        <v>114</v>
      </c>
      <c r="B1" s="1" t="s">
        <v>100</v>
      </c>
      <c r="C1" s="1" t="s">
        <v>57</v>
      </c>
      <c r="D1" s="17" t="s">
        <v>58</v>
      </c>
      <c r="E1" s="1" t="s">
        <v>111</v>
      </c>
      <c r="F1" s="2" t="s">
        <v>64</v>
      </c>
      <c r="G1" s="2" t="s">
        <v>65</v>
      </c>
      <c r="H1" s="2" t="s">
        <v>66</v>
      </c>
      <c r="I1" s="2" t="s">
        <v>10</v>
      </c>
      <c r="J1" s="2" t="s">
        <v>84</v>
      </c>
      <c r="K1" s="12" t="s">
        <v>112</v>
      </c>
      <c r="L1" s="2" t="s">
        <v>72</v>
      </c>
      <c r="M1" s="2" t="s">
        <v>61</v>
      </c>
      <c r="N1" s="2" t="s">
        <v>62</v>
      </c>
      <c r="O1" s="2" t="s">
        <v>63</v>
      </c>
      <c r="P1" s="2" t="s">
        <v>116</v>
      </c>
      <c r="Q1" s="2" t="s">
        <v>92</v>
      </c>
      <c r="R1" s="1" t="s">
        <v>95</v>
      </c>
      <c r="S1" s="1" t="s">
        <v>96</v>
      </c>
      <c r="T1" s="3" t="s">
        <v>115</v>
      </c>
      <c r="U1" s="3" t="s">
        <v>113</v>
      </c>
      <c r="V1" s="1" t="s">
        <v>92</v>
      </c>
      <c r="W1" s="2" t="s">
        <v>25</v>
      </c>
      <c r="X1" s="2" t="s">
        <v>297</v>
      </c>
      <c r="Y1" s="2" t="s">
        <v>97</v>
      </c>
      <c r="Z1" s="2" t="s">
        <v>93</v>
      </c>
      <c r="AA1" s="2" t="s">
        <v>98</v>
      </c>
      <c r="AB1" s="2" t="s">
        <v>83</v>
      </c>
      <c r="AC1" s="2" t="s">
        <v>117</v>
      </c>
      <c r="AD1" s="2" t="s">
        <v>118</v>
      </c>
      <c r="AE1" s="2" t="s">
        <v>119</v>
      </c>
      <c r="AF1" s="2" t="s">
        <v>120</v>
      </c>
      <c r="AG1" s="2" t="s">
        <v>125</v>
      </c>
      <c r="AH1" s="2" t="s">
        <v>59</v>
      </c>
      <c r="AI1" s="2" t="s">
        <v>74</v>
      </c>
      <c r="AJ1" s="2" t="s">
        <v>121</v>
      </c>
      <c r="AK1" s="2" t="s">
        <v>122</v>
      </c>
      <c r="AL1" s="2" t="s">
        <v>123</v>
      </c>
      <c r="AM1" s="2" t="s">
        <v>76</v>
      </c>
      <c r="AN1" s="2" t="s">
        <v>77</v>
      </c>
      <c r="AO1" s="2" t="s">
        <v>78</v>
      </c>
      <c r="AP1" s="2" t="s">
        <v>79</v>
      </c>
      <c r="AQ1" s="2" t="s">
        <v>80</v>
      </c>
    </row>
    <row r="2" spans="1:43" x14ac:dyDescent="0.25">
      <c r="A2" s="11">
        <v>5557</v>
      </c>
      <c r="B2" s="11">
        <v>5557</v>
      </c>
      <c r="C2" s="11" t="s">
        <v>126</v>
      </c>
      <c r="D2" s="18">
        <v>44846</v>
      </c>
      <c r="E2" s="13" t="s">
        <v>124</v>
      </c>
      <c r="H2" s="13" t="s">
        <v>127</v>
      </c>
      <c r="R2" s="11" t="s">
        <v>128</v>
      </c>
      <c r="S2" s="11">
        <v>1</v>
      </c>
      <c r="V2" s="11">
        <v>450.21</v>
      </c>
      <c r="W2" s="11">
        <f>V2*S2</f>
        <v>450.21</v>
      </c>
      <c r="X2" s="11">
        <v>1156.0500000000002</v>
      </c>
    </row>
    <row r="3" spans="1:43" x14ac:dyDescent="0.25">
      <c r="A3" s="11">
        <v>5428</v>
      </c>
      <c r="B3" s="11">
        <v>5428</v>
      </c>
      <c r="C3" s="11" t="s">
        <v>129</v>
      </c>
      <c r="D3" s="18">
        <v>44825</v>
      </c>
      <c r="E3" s="13" t="s">
        <v>124</v>
      </c>
      <c r="H3" s="13" t="s">
        <v>130</v>
      </c>
      <c r="R3" s="11" t="s">
        <v>131</v>
      </c>
      <c r="S3" s="11">
        <v>1</v>
      </c>
      <c r="V3" s="11">
        <v>410</v>
      </c>
      <c r="W3" s="11">
        <f t="shared" ref="W3:W16" si="0">V3*S3</f>
        <v>410</v>
      </c>
      <c r="X3" s="11">
        <v>429.69000000000005</v>
      </c>
    </row>
    <row r="4" spans="1:43" x14ac:dyDescent="0.25">
      <c r="A4" s="11">
        <v>4141</v>
      </c>
      <c r="B4" s="11">
        <v>4141</v>
      </c>
      <c r="C4" s="11" t="s">
        <v>132</v>
      </c>
      <c r="D4" s="18">
        <v>44607</v>
      </c>
      <c r="E4" s="13" t="s">
        <v>124</v>
      </c>
      <c r="R4" s="11" t="s">
        <v>133</v>
      </c>
      <c r="S4" s="11">
        <v>2</v>
      </c>
      <c r="V4" s="11">
        <v>357</v>
      </c>
      <c r="W4" s="11">
        <f t="shared" si="0"/>
        <v>714</v>
      </c>
      <c r="X4" s="11">
        <v>1923.25</v>
      </c>
    </row>
    <row r="5" spans="1:43" x14ac:dyDescent="0.25">
      <c r="A5" s="11">
        <v>5257</v>
      </c>
      <c r="B5" s="11">
        <v>5257</v>
      </c>
      <c r="C5" s="11" t="s">
        <v>134</v>
      </c>
      <c r="D5" s="18">
        <v>44796</v>
      </c>
      <c r="E5" s="13" t="s">
        <v>124</v>
      </c>
      <c r="R5" s="11" t="s">
        <v>135</v>
      </c>
      <c r="S5" s="11">
        <v>1</v>
      </c>
      <c r="V5" s="11">
        <v>336</v>
      </c>
      <c r="W5" s="11">
        <f t="shared" si="0"/>
        <v>336</v>
      </c>
      <c r="X5" s="11">
        <v>336</v>
      </c>
    </row>
    <row r="6" spans="1:43" x14ac:dyDescent="0.25">
      <c r="A6" s="11">
        <v>5206</v>
      </c>
      <c r="B6" s="11">
        <v>5206</v>
      </c>
      <c r="C6" s="11" t="s">
        <v>136</v>
      </c>
      <c r="D6" s="18">
        <v>44788</v>
      </c>
      <c r="E6" s="13" t="s">
        <v>124</v>
      </c>
      <c r="R6" s="11" t="s">
        <v>137</v>
      </c>
      <c r="S6" s="11">
        <v>1</v>
      </c>
      <c r="V6" s="11">
        <v>1100</v>
      </c>
      <c r="W6" s="11">
        <f t="shared" si="0"/>
        <v>1100</v>
      </c>
      <c r="X6" s="11">
        <v>1178.2860000000001</v>
      </c>
    </row>
    <row r="7" spans="1:43" x14ac:dyDescent="0.25">
      <c r="A7" s="11">
        <v>5412</v>
      </c>
      <c r="B7" s="11">
        <v>5412</v>
      </c>
      <c r="C7" s="11" t="s">
        <v>138</v>
      </c>
      <c r="D7" s="18">
        <v>44823</v>
      </c>
      <c r="E7" s="13" t="s">
        <v>124</v>
      </c>
      <c r="R7" s="11" t="s">
        <v>139</v>
      </c>
      <c r="S7" s="11">
        <v>1</v>
      </c>
      <c r="V7" s="11">
        <v>422.75</v>
      </c>
      <c r="W7" s="11">
        <f t="shared" si="0"/>
        <v>422.75</v>
      </c>
      <c r="X7" s="11">
        <v>457.77</v>
      </c>
    </row>
    <row r="8" spans="1:43" x14ac:dyDescent="0.25">
      <c r="A8" s="11">
        <v>5572</v>
      </c>
      <c r="B8" s="11">
        <v>5572</v>
      </c>
      <c r="C8" s="11" t="s">
        <v>140</v>
      </c>
      <c r="D8" s="18">
        <v>44852</v>
      </c>
      <c r="E8" s="13" t="s">
        <v>124</v>
      </c>
      <c r="R8" s="11" t="s">
        <v>141</v>
      </c>
      <c r="S8" s="11">
        <v>2</v>
      </c>
      <c r="V8" s="11">
        <v>652.82000000000005</v>
      </c>
      <c r="W8" s="11">
        <f t="shared" si="0"/>
        <v>1305.6400000000001</v>
      </c>
      <c r="X8" s="11">
        <v>1305.6400000000001</v>
      </c>
    </row>
    <row r="9" spans="1:43" x14ac:dyDescent="0.25">
      <c r="A9" s="11">
        <v>5401</v>
      </c>
      <c r="B9" s="11">
        <v>5401</v>
      </c>
      <c r="C9" s="16" t="s">
        <v>142</v>
      </c>
      <c r="D9" s="18">
        <v>44819</v>
      </c>
      <c r="E9" s="13" t="s">
        <v>124</v>
      </c>
      <c r="H9" s="13" t="s">
        <v>143</v>
      </c>
      <c r="R9" s="11" t="s">
        <v>144</v>
      </c>
      <c r="S9" s="11">
        <v>1</v>
      </c>
      <c r="V9" s="11">
        <v>81</v>
      </c>
      <c r="W9" s="11">
        <f t="shared" si="0"/>
        <v>81</v>
      </c>
      <c r="X9" s="11">
        <v>6029.99</v>
      </c>
    </row>
    <row r="10" spans="1:43" x14ac:dyDescent="0.25">
      <c r="A10" s="11">
        <v>5564</v>
      </c>
      <c r="B10" s="11">
        <v>5564</v>
      </c>
      <c r="C10" s="16" t="s">
        <v>145</v>
      </c>
      <c r="D10" s="18">
        <v>44848</v>
      </c>
      <c r="E10" s="13" t="s">
        <v>124</v>
      </c>
      <c r="R10" s="11" t="s">
        <v>146</v>
      </c>
      <c r="S10" s="11">
        <v>40</v>
      </c>
      <c r="V10" s="11">
        <v>148.97</v>
      </c>
      <c r="W10" s="11">
        <f t="shared" si="0"/>
        <v>5958.8</v>
      </c>
      <c r="X10" s="11">
        <v>27686.780000000006</v>
      </c>
    </row>
    <row r="11" spans="1:43" x14ac:dyDescent="0.25">
      <c r="A11" s="11">
        <v>5565</v>
      </c>
      <c r="B11" s="11">
        <v>5565</v>
      </c>
      <c r="C11" s="16" t="s">
        <v>145</v>
      </c>
      <c r="D11" s="18">
        <v>44848</v>
      </c>
      <c r="E11" s="13" t="s">
        <v>124</v>
      </c>
      <c r="R11" s="11" t="s">
        <v>147</v>
      </c>
      <c r="S11" s="11">
        <v>2</v>
      </c>
      <c r="V11" s="11">
        <v>391.43</v>
      </c>
      <c r="W11" s="11">
        <f t="shared" si="0"/>
        <v>782.86</v>
      </c>
      <c r="X11" s="11">
        <v>1038.42</v>
      </c>
    </row>
    <row r="12" spans="1:43" x14ac:dyDescent="0.25">
      <c r="A12" s="11">
        <v>5556</v>
      </c>
      <c r="B12" s="11">
        <v>5556</v>
      </c>
      <c r="C12" s="16" t="s">
        <v>148</v>
      </c>
      <c r="D12" s="18">
        <v>44846</v>
      </c>
      <c r="E12" s="13" t="s">
        <v>124</v>
      </c>
      <c r="R12" s="11" t="s">
        <v>149</v>
      </c>
      <c r="S12" s="11">
        <v>4</v>
      </c>
      <c r="V12" s="11">
        <v>333</v>
      </c>
      <c r="W12" s="11">
        <f t="shared" si="0"/>
        <v>1332</v>
      </c>
      <c r="X12" s="11">
        <v>1332</v>
      </c>
    </row>
    <row r="13" spans="1:43" x14ac:dyDescent="0.25">
      <c r="A13" s="11">
        <v>5524</v>
      </c>
      <c r="B13" s="11">
        <v>5524</v>
      </c>
      <c r="C13" s="16" t="s">
        <v>150</v>
      </c>
      <c r="D13" s="18">
        <v>44840</v>
      </c>
      <c r="E13" s="13" t="s">
        <v>124</v>
      </c>
      <c r="H13" s="11" t="s">
        <v>151</v>
      </c>
      <c r="R13" s="11" t="s">
        <v>152</v>
      </c>
      <c r="S13" s="11">
        <v>1</v>
      </c>
      <c r="V13" s="11">
        <v>1242.3</v>
      </c>
      <c r="W13" s="11">
        <f t="shared" si="0"/>
        <v>1242.3</v>
      </c>
      <c r="X13" s="11">
        <v>3732.5999999999995</v>
      </c>
    </row>
    <row r="14" spans="1:43" x14ac:dyDescent="0.25">
      <c r="A14" s="11">
        <v>5534</v>
      </c>
      <c r="B14" s="11">
        <v>5534</v>
      </c>
      <c r="C14" s="16" t="s">
        <v>153</v>
      </c>
      <c r="D14" s="18">
        <v>44844</v>
      </c>
      <c r="E14" s="13" t="s">
        <v>124</v>
      </c>
      <c r="R14" s="11" t="s">
        <v>154</v>
      </c>
      <c r="S14" s="11">
        <v>1</v>
      </c>
      <c r="V14" s="11">
        <v>215.36</v>
      </c>
      <c r="W14" s="11">
        <f t="shared" si="0"/>
        <v>215.36</v>
      </c>
      <c r="X14" s="11">
        <v>482.18</v>
      </c>
    </row>
    <row r="15" spans="1:43" x14ac:dyDescent="0.25">
      <c r="A15" s="11">
        <v>5573</v>
      </c>
      <c r="B15" s="11">
        <v>5573</v>
      </c>
      <c r="C15" s="16" t="s">
        <v>155</v>
      </c>
      <c r="D15" s="18">
        <v>44852</v>
      </c>
      <c r="E15" s="13" t="s">
        <v>124</v>
      </c>
      <c r="R15" s="11" t="s">
        <v>156</v>
      </c>
      <c r="S15" s="11">
        <v>12</v>
      </c>
      <c r="V15" s="11">
        <v>740</v>
      </c>
      <c r="W15" s="11">
        <f t="shared" si="0"/>
        <v>8880</v>
      </c>
      <c r="X15" s="11">
        <v>8960</v>
      </c>
    </row>
    <row r="16" spans="1:43" x14ac:dyDescent="0.25">
      <c r="A16" s="11">
        <v>5390</v>
      </c>
      <c r="B16" s="11">
        <v>5390</v>
      </c>
      <c r="C16" s="16" t="s">
        <v>157</v>
      </c>
      <c r="D16" s="18">
        <v>44818</v>
      </c>
      <c r="E16" s="13" t="s">
        <v>124</v>
      </c>
      <c r="R16" s="11" t="s">
        <v>158</v>
      </c>
      <c r="S16" s="11">
        <v>300</v>
      </c>
      <c r="V16" s="11">
        <v>161.69</v>
      </c>
      <c r="W16" s="11">
        <f t="shared" si="0"/>
        <v>48507</v>
      </c>
      <c r="X16" s="11">
        <v>48507</v>
      </c>
    </row>
    <row r="17" spans="1:24" x14ac:dyDescent="0.25">
      <c r="A17" s="11">
        <v>5548</v>
      </c>
      <c r="B17" s="11">
        <v>5548</v>
      </c>
      <c r="C17" s="16" t="s">
        <v>159</v>
      </c>
      <c r="D17" s="18">
        <v>44846</v>
      </c>
      <c r="E17" s="13" t="s">
        <v>124</v>
      </c>
      <c r="R17" s="11" t="s">
        <v>160</v>
      </c>
      <c r="S17" s="11">
        <v>8</v>
      </c>
      <c r="V17" s="11">
        <v>108.75</v>
      </c>
      <c r="W17" s="11">
        <f t="shared" ref="W17:W28" si="1">V17*S17</f>
        <v>870</v>
      </c>
      <c r="X17" s="11">
        <v>2695.57</v>
      </c>
    </row>
    <row r="18" spans="1:24" x14ac:dyDescent="0.25">
      <c r="A18" s="11">
        <v>5578</v>
      </c>
      <c r="B18" s="11">
        <v>5578</v>
      </c>
      <c r="C18" s="16" t="s">
        <v>161</v>
      </c>
      <c r="D18" s="18">
        <v>44852</v>
      </c>
      <c r="E18" s="13" t="s">
        <v>124</v>
      </c>
      <c r="R18" s="11" t="s">
        <v>162</v>
      </c>
      <c r="S18" s="11">
        <v>1</v>
      </c>
      <c r="V18" s="11">
        <v>123.6</v>
      </c>
      <c r="W18" s="11">
        <f t="shared" si="1"/>
        <v>123.6</v>
      </c>
      <c r="X18" s="11">
        <v>398.5</v>
      </c>
    </row>
    <row r="19" spans="1:24" x14ac:dyDescent="0.25">
      <c r="A19" s="11">
        <v>5576</v>
      </c>
      <c r="B19" s="11">
        <v>5576</v>
      </c>
      <c r="C19" s="16" t="s">
        <v>163</v>
      </c>
      <c r="D19" s="18">
        <v>44852</v>
      </c>
      <c r="E19" s="13" t="s">
        <v>124</v>
      </c>
      <c r="R19" s="11" t="s">
        <v>164</v>
      </c>
      <c r="S19" s="11">
        <v>2</v>
      </c>
      <c r="V19" s="11">
        <v>178.38</v>
      </c>
      <c r="W19" s="11">
        <f t="shared" si="1"/>
        <v>356.76</v>
      </c>
      <c r="X19" s="11">
        <v>629.98</v>
      </c>
    </row>
    <row r="20" spans="1:24" x14ac:dyDescent="0.25">
      <c r="A20" s="11">
        <v>5416</v>
      </c>
      <c r="B20" s="11">
        <v>5416</v>
      </c>
      <c r="C20" s="16" t="s">
        <v>166</v>
      </c>
      <c r="D20" s="18">
        <v>44824</v>
      </c>
      <c r="E20" s="13" t="s">
        <v>124</v>
      </c>
      <c r="R20" s="11" t="s">
        <v>167</v>
      </c>
      <c r="S20" s="11">
        <v>6</v>
      </c>
      <c r="V20" s="11">
        <v>120</v>
      </c>
      <c r="W20" s="11">
        <f t="shared" si="1"/>
        <v>720</v>
      </c>
      <c r="X20" s="11">
        <v>2607.14</v>
      </c>
    </row>
    <row r="21" spans="1:24" x14ac:dyDescent="0.25">
      <c r="A21" s="11">
        <v>5255</v>
      </c>
      <c r="B21" s="11">
        <v>5255</v>
      </c>
      <c r="C21" s="15" t="s">
        <v>168</v>
      </c>
      <c r="D21" s="18">
        <v>44795</v>
      </c>
      <c r="E21" s="13" t="s">
        <v>124</v>
      </c>
      <c r="R21" s="11" t="s">
        <v>169</v>
      </c>
      <c r="S21" s="11">
        <v>2</v>
      </c>
      <c r="V21" s="11">
        <v>196.7</v>
      </c>
      <c r="W21" s="11">
        <f t="shared" si="1"/>
        <v>393.4</v>
      </c>
      <c r="X21" s="11">
        <v>980.83999999999992</v>
      </c>
    </row>
    <row r="22" spans="1:24" x14ac:dyDescent="0.25">
      <c r="A22" s="11">
        <v>5476</v>
      </c>
      <c r="B22" s="11">
        <v>5476</v>
      </c>
      <c r="C22" s="15" t="s">
        <v>170</v>
      </c>
      <c r="D22" s="18">
        <v>44832</v>
      </c>
      <c r="E22" s="13" t="s">
        <v>124</v>
      </c>
      <c r="R22" s="11" t="s">
        <v>171</v>
      </c>
      <c r="S22" s="11">
        <v>1</v>
      </c>
      <c r="V22" s="11">
        <v>18500</v>
      </c>
      <c r="W22" s="11">
        <f t="shared" si="1"/>
        <v>18500</v>
      </c>
      <c r="X22" s="11">
        <v>19950</v>
      </c>
    </row>
    <row r="23" spans="1:24" x14ac:dyDescent="0.25">
      <c r="A23" s="11">
        <v>5478</v>
      </c>
      <c r="B23" s="11">
        <v>5478</v>
      </c>
      <c r="C23" s="15" t="s">
        <v>172</v>
      </c>
      <c r="D23" s="18">
        <v>44832</v>
      </c>
      <c r="E23" s="13" t="s">
        <v>124</v>
      </c>
      <c r="R23" s="11" t="s">
        <v>173</v>
      </c>
      <c r="S23" s="11">
        <v>3</v>
      </c>
      <c r="V23" s="11">
        <v>1847.2</v>
      </c>
      <c r="W23" s="11">
        <f t="shared" si="1"/>
        <v>5541.6</v>
      </c>
      <c r="X23" s="11">
        <v>14620.480000000001</v>
      </c>
    </row>
    <row r="24" spans="1:24" x14ac:dyDescent="0.25">
      <c r="A24" s="11">
        <v>5501</v>
      </c>
      <c r="B24" s="11">
        <v>5501</v>
      </c>
      <c r="C24" s="15" t="s">
        <v>174</v>
      </c>
      <c r="D24" s="18">
        <v>44837</v>
      </c>
      <c r="E24" s="13" t="s">
        <v>124</v>
      </c>
      <c r="R24" s="11" t="s">
        <v>175</v>
      </c>
      <c r="S24" s="11">
        <v>1</v>
      </c>
      <c r="V24" s="11">
        <v>486.83</v>
      </c>
      <c r="W24" s="11">
        <f t="shared" si="1"/>
        <v>486.83</v>
      </c>
      <c r="X24" s="11">
        <v>708.77</v>
      </c>
    </row>
    <row r="25" spans="1:24" x14ac:dyDescent="0.25">
      <c r="A25" s="11">
        <v>4816</v>
      </c>
      <c r="B25" s="11">
        <v>4816</v>
      </c>
      <c r="C25" s="15" t="s">
        <v>176</v>
      </c>
      <c r="D25" s="18">
        <v>44707</v>
      </c>
      <c r="E25" s="13" t="s">
        <v>124</v>
      </c>
      <c r="R25" s="11" t="s">
        <v>177</v>
      </c>
      <c r="S25" s="11">
        <v>1</v>
      </c>
      <c r="V25" s="11">
        <v>250</v>
      </c>
      <c r="W25" s="11">
        <f t="shared" si="1"/>
        <v>250</v>
      </c>
      <c r="X25" s="11">
        <v>343.6</v>
      </c>
    </row>
    <row r="26" spans="1:24" x14ac:dyDescent="0.25">
      <c r="A26" s="11">
        <v>5055</v>
      </c>
      <c r="B26" s="11">
        <v>5055</v>
      </c>
      <c r="C26" s="15" t="s">
        <v>179</v>
      </c>
      <c r="D26" s="18">
        <v>44756</v>
      </c>
      <c r="E26" s="13" t="s">
        <v>124</v>
      </c>
      <c r="R26" s="11" t="s">
        <v>180</v>
      </c>
      <c r="S26" s="11">
        <v>1</v>
      </c>
      <c r="V26" s="11">
        <v>495.1</v>
      </c>
      <c r="W26" s="11">
        <f t="shared" si="1"/>
        <v>495.1</v>
      </c>
      <c r="X26" s="11">
        <v>517.34</v>
      </c>
    </row>
    <row r="27" spans="1:24" x14ac:dyDescent="0.25">
      <c r="A27" s="11">
        <v>5446</v>
      </c>
      <c r="B27" s="11">
        <v>5446</v>
      </c>
      <c r="C27" s="15" t="s">
        <v>181</v>
      </c>
      <c r="D27" s="18">
        <v>44826</v>
      </c>
      <c r="E27" s="13" t="s">
        <v>124</v>
      </c>
      <c r="R27" s="11" t="s">
        <v>182</v>
      </c>
      <c r="S27" s="11">
        <v>2</v>
      </c>
      <c r="V27" s="11">
        <v>361.57</v>
      </c>
      <c r="W27" s="11">
        <f t="shared" si="1"/>
        <v>723.14</v>
      </c>
      <c r="X27" s="11">
        <v>899.06000000000006</v>
      </c>
    </row>
    <row r="28" spans="1:24" x14ac:dyDescent="0.25">
      <c r="A28" s="11">
        <v>5563</v>
      </c>
      <c r="B28" s="11">
        <v>5563</v>
      </c>
      <c r="C28" s="15" t="s">
        <v>183</v>
      </c>
      <c r="D28" s="18">
        <v>44847</v>
      </c>
      <c r="E28" s="13" t="s">
        <v>124</v>
      </c>
      <c r="R28" s="11" t="s">
        <v>184</v>
      </c>
      <c r="S28" s="11">
        <v>6</v>
      </c>
      <c r="V28" s="11">
        <v>521.07000000000005</v>
      </c>
      <c r="W28" s="11">
        <f t="shared" si="1"/>
        <v>3126.42</v>
      </c>
      <c r="X28" s="11">
        <v>13871.12</v>
      </c>
    </row>
    <row r="29" spans="1:24" x14ac:dyDescent="0.25">
      <c r="A29" s="11">
        <v>5533</v>
      </c>
      <c r="B29" s="11">
        <v>5533</v>
      </c>
      <c r="C29" s="15" t="s">
        <v>185</v>
      </c>
      <c r="D29" s="18">
        <v>44841</v>
      </c>
      <c r="E29" s="13" t="s">
        <v>124</v>
      </c>
      <c r="R29" s="11" t="s">
        <v>186</v>
      </c>
      <c r="S29" s="11">
        <v>2</v>
      </c>
      <c r="V29" s="11">
        <v>438.29</v>
      </c>
      <c r="W29" s="11">
        <f t="shared" ref="W29:W46" si="2">V29*S29</f>
        <v>876.58</v>
      </c>
      <c r="X29" s="11">
        <v>1355.68</v>
      </c>
    </row>
    <row r="30" spans="1:24" x14ac:dyDescent="0.25">
      <c r="A30" s="11">
        <v>4977</v>
      </c>
      <c r="B30" s="11">
        <v>4977</v>
      </c>
      <c r="C30" s="15" t="s">
        <v>187</v>
      </c>
      <c r="D30" s="18">
        <v>44740</v>
      </c>
      <c r="E30" s="13" t="s">
        <v>124</v>
      </c>
      <c r="R30" s="11" t="s">
        <v>188</v>
      </c>
      <c r="S30" s="11">
        <v>1</v>
      </c>
      <c r="V30" s="11">
        <v>887.39</v>
      </c>
      <c r="W30" s="11">
        <f t="shared" si="2"/>
        <v>887.39</v>
      </c>
      <c r="X30" s="11">
        <v>1724.9899999999998</v>
      </c>
    </row>
    <row r="31" spans="1:24" x14ac:dyDescent="0.25">
      <c r="A31" s="11">
        <v>5521</v>
      </c>
      <c r="B31" s="11">
        <v>5521</v>
      </c>
      <c r="C31" s="15" t="s">
        <v>189</v>
      </c>
      <c r="D31" s="18">
        <v>44839</v>
      </c>
      <c r="E31" s="13" t="s">
        <v>124</v>
      </c>
      <c r="R31" s="11" t="s">
        <v>190</v>
      </c>
      <c r="S31" s="11">
        <v>12</v>
      </c>
      <c r="V31" s="11">
        <v>460</v>
      </c>
      <c r="W31" s="11">
        <f t="shared" si="2"/>
        <v>5520</v>
      </c>
      <c r="X31" s="11">
        <v>6435</v>
      </c>
    </row>
    <row r="32" spans="1:24" x14ac:dyDescent="0.25">
      <c r="A32" s="11">
        <v>5469</v>
      </c>
      <c r="B32" s="11">
        <v>5469</v>
      </c>
      <c r="C32" s="15" t="s">
        <v>191</v>
      </c>
      <c r="D32" s="18">
        <v>44831</v>
      </c>
      <c r="E32" s="13" t="s">
        <v>124</v>
      </c>
      <c r="R32" s="11" t="s">
        <v>192</v>
      </c>
      <c r="S32" s="11">
        <v>6</v>
      </c>
      <c r="V32" s="11">
        <v>357.93</v>
      </c>
      <c r="W32" s="11">
        <f t="shared" si="2"/>
        <v>2147.58</v>
      </c>
      <c r="X32" s="11">
        <v>2300.7000000000003</v>
      </c>
    </row>
    <row r="33" spans="1:24" x14ac:dyDescent="0.25">
      <c r="A33" s="11">
        <v>5571</v>
      </c>
      <c r="B33" s="11">
        <v>5571</v>
      </c>
      <c r="C33" s="15" t="s">
        <v>193</v>
      </c>
      <c r="D33" s="18">
        <v>44851</v>
      </c>
      <c r="E33" s="13" t="s">
        <v>124</v>
      </c>
      <c r="R33" s="11" t="s">
        <v>194</v>
      </c>
      <c r="S33" s="11">
        <v>4</v>
      </c>
      <c r="V33" s="11">
        <v>393.07</v>
      </c>
      <c r="W33" s="11">
        <f t="shared" si="2"/>
        <v>1572.28</v>
      </c>
      <c r="X33" s="11">
        <v>2582.62</v>
      </c>
    </row>
    <row r="34" spans="1:24" x14ac:dyDescent="0.25">
      <c r="A34" s="11">
        <v>5362</v>
      </c>
      <c r="B34" s="11">
        <v>5362</v>
      </c>
      <c r="C34" s="15" t="s">
        <v>195</v>
      </c>
      <c r="D34" s="18">
        <v>44812</v>
      </c>
      <c r="E34" s="13" t="s">
        <v>124</v>
      </c>
      <c r="R34" s="11" t="s">
        <v>196</v>
      </c>
      <c r="S34" s="11">
        <v>1</v>
      </c>
      <c r="V34" s="11">
        <v>707.1</v>
      </c>
      <c r="W34" s="11">
        <f t="shared" si="2"/>
        <v>707.1</v>
      </c>
      <c r="X34" s="11">
        <v>1303</v>
      </c>
    </row>
    <row r="35" spans="1:24" x14ac:dyDescent="0.25">
      <c r="A35" s="11">
        <v>5363</v>
      </c>
      <c r="B35" s="11">
        <v>5363</v>
      </c>
      <c r="C35" s="15" t="s">
        <v>195</v>
      </c>
      <c r="D35" s="18">
        <v>44812</v>
      </c>
      <c r="E35" s="13" t="s">
        <v>124</v>
      </c>
      <c r="R35" s="11" t="s">
        <v>197</v>
      </c>
      <c r="S35" s="11">
        <v>1</v>
      </c>
      <c r="V35" s="11">
        <v>320.2</v>
      </c>
      <c r="W35" s="11">
        <f t="shared" si="2"/>
        <v>320.2</v>
      </c>
      <c r="X35" s="11">
        <v>338.76</v>
      </c>
    </row>
    <row r="36" spans="1:24" x14ac:dyDescent="0.25">
      <c r="A36" s="11">
        <v>5361</v>
      </c>
      <c r="B36" s="11">
        <v>5361</v>
      </c>
      <c r="C36" s="15" t="s">
        <v>198</v>
      </c>
      <c r="D36" s="18">
        <v>44812</v>
      </c>
      <c r="E36" s="13" t="s">
        <v>124</v>
      </c>
      <c r="R36" s="11" t="s">
        <v>199</v>
      </c>
      <c r="S36" s="11">
        <v>20</v>
      </c>
      <c r="V36" s="11">
        <v>160.5</v>
      </c>
      <c r="W36" s="11">
        <f t="shared" si="2"/>
        <v>3210</v>
      </c>
      <c r="X36" s="11">
        <v>17655</v>
      </c>
    </row>
    <row r="37" spans="1:24" x14ac:dyDescent="0.25">
      <c r="A37" s="11">
        <v>5506</v>
      </c>
      <c r="B37" s="11">
        <v>5506</v>
      </c>
      <c r="C37" s="15" t="s">
        <v>200</v>
      </c>
      <c r="D37" s="18">
        <v>44837</v>
      </c>
      <c r="E37" s="13" t="s">
        <v>124</v>
      </c>
      <c r="R37" s="11" t="s">
        <v>201</v>
      </c>
      <c r="S37" s="11">
        <v>2</v>
      </c>
      <c r="V37" s="11">
        <v>1515.56</v>
      </c>
      <c r="W37" s="11">
        <f t="shared" si="2"/>
        <v>3031.12</v>
      </c>
      <c r="X37" s="11">
        <v>5747.9599999999991</v>
      </c>
    </row>
    <row r="38" spans="1:24" x14ac:dyDescent="0.25">
      <c r="A38" s="11">
        <v>5555</v>
      </c>
      <c r="B38" s="11">
        <v>5555</v>
      </c>
      <c r="C38" s="15" t="s">
        <v>202</v>
      </c>
      <c r="D38" s="18">
        <v>44846</v>
      </c>
      <c r="E38" s="13" t="s">
        <v>124</v>
      </c>
      <c r="R38" s="11" t="s">
        <v>203</v>
      </c>
      <c r="S38" s="11">
        <v>1</v>
      </c>
      <c r="V38" s="11">
        <v>575.49</v>
      </c>
      <c r="W38" s="11">
        <f t="shared" si="2"/>
        <v>575.49</v>
      </c>
      <c r="X38" s="11">
        <v>620.85</v>
      </c>
    </row>
    <row r="39" spans="1:24" x14ac:dyDescent="0.25">
      <c r="A39" s="11">
        <v>4988</v>
      </c>
      <c r="B39" s="11">
        <v>4988</v>
      </c>
      <c r="C39" s="15" t="s">
        <v>204</v>
      </c>
      <c r="D39" s="18">
        <v>44741</v>
      </c>
      <c r="E39" s="13" t="s">
        <v>124</v>
      </c>
      <c r="R39" s="11" t="s">
        <v>205</v>
      </c>
      <c r="S39" s="11">
        <v>10</v>
      </c>
      <c r="V39" s="11">
        <v>288</v>
      </c>
      <c r="W39" s="11">
        <f t="shared" si="2"/>
        <v>2880</v>
      </c>
      <c r="X39" s="11">
        <v>10530.75</v>
      </c>
    </row>
    <row r="40" spans="1:24" x14ac:dyDescent="0.25">
      <c r="A40" s="11">
        <v>5492</v>
      </c>
      <c r="B40" s="11">
        <v>5492</v>
      </c>
      <c r="C40" s="15" t="s">
        <v>206</v>
      </c>
      <c r="D40" s="18">
        <v>44834</v>
      </c>
      <c r="E40" s="13" t="s">
        <v>124</v>
      </c>
      <c r="H40" s="11" t="s">
        <v>207</v>
      </c>
      <c r="R40" s="11" t="s">
        <v>208</v>
      </c>
      <c r="S40" s="11">
        <v>1</v>
      </c>
      <c r="V40" s="11">
        <v>1441.61</v>
      </c>
      <c r="W40" s="11">
        <f t="shared" si="2"/>
        <v>1441.61</v>
      </c>
      <c r="X40" s="11">
        <v>3739.87</v>
      </c>
    </row>
    <row r="41" spans="1:24" x14ac:dyDescent="0.25">
      <c r="A41" s="11">
        <v>5560</v>
      </c>
      <c r="B41" s="11">
        <v>5560</v>
      </c>
      <c r="C41" s="15" t="s">
        <v>209</v>
      </c>
      <c r="D41" s="18">
        <v>44846</v>
      </c>
      <c r="E41" s="13" t="s">
        <v>124</v>
      </c>
      <c r="R41" s="11" t="s">
        <v>210</v>
      </c>
      <c r="S41" s="11">
        <v>1</v>
      </c>
      <c r="V41" s="11">
        <v>345.53</v>
      </c>
      <c r="W41" s="11">
        <f t="shared" si="2"/>
        <v>345.53</v>
      </c>
      <c r="X41" s="11">
        <v>530.46</v>
      </c>
    </row>
    <row r="42" spans="1:24" x14ac:dyDescent="0.25">
      <c r="A42" s="11">
        <v>5493</v>
      </c>
      <c r="B42" s="11">
        <v>5493</v>
      </c>
      <c r="C42" s="15" t="s">
        <v>211</v>
      </c>
      <c r="D42" s="18">
        <v>44834</v>
      </c>
      <c r="E42" s="13" t="s">
        <v>124</v>
      </c>
      <c r="R42" s="11" t="s">
        <v>212</v>
      </c>
      <c r="S42" s="11">
        <v>1</v>
      </c>
      <c r="V42" s="11">
        <v>330.99</v>
      </c>
      <c r="W42" s="11">
        <f t="shared" si="2"/>
        <v>330.99</v>
      </c>
      <c r="X42" s="11">
        <v>428.09000000000003</v>
      </c>
    </row>
    <row r="43" spans="1:24" x14ac:dyDescent="0.25">
      <c r="A43" s="11">
        <v>5558</v>
      </c>
      <c r="B43" s="11">
        <v>5558</v>
      </c>
      <c r="C43" s="15" t="s">
        <v>213</v>
      </c>
      <c r="D43" s="18">
        <v>44846</v>
      </c>
      <c r="E43" s="13" t="s">
        <v>124</v>
      </c>
      <c r="R43" s="11" t="s">
        <v>214</v>
      </c>
      <c r="S43" s="11">
        <v>2</v>
      </c>
      <c r="V43" s="11">
        <v>105.89</v>
      </c>
      <c r="W43" s="11">
        <f t="shared" si="2"/>
        <v>211.78</v>
      </c>
      <c r="X43" s="11">
        <v>211.78</v>
      </c>
    </row>
    <row r="44" spans="1:24" x14ac:dyDescent="0.25">
      <c r="A44" s="11">
        <v>5491</v>
      </c>
      <c r="B44" s="11">
        <v>5491</v>
      </c>
      <c r="C44" s="15" t="s">
        <v>215</v>
      </c>
      <c r="D44" s="18">
        <v>44834</v>
      </c>
      <c r="E44" s="13" t="s">
        <v>124</v>
      </c>
      <c r="R44" s="11" t="s">
        <v>216</v>
      </c>
      <c r="S44" s="11">
        <v>2</v>
      </c>
      <c r="V44" s="11">
        <v>168</v>
      </c>
      <c r="W44" s="11">
        <f t="shared" si="2"/>
        <v>336</v>
      </c>
      <c r="X44" s="11">
        <v>374.78</v>
      </c>
    </row>
    <row r="45" spans="1:24" x14ac:dyDescent="0.25">
      <c r="A45" s="11">
        <v>5145</v>
      </c>
      <c r="B45" s="11">
        <v>5145</v>
      </c>
      <c r="C45" s="15" t="s">
        <v>217</v>
      </c>
      <c r="D45" s="18">
        <v>44775</v>
      </c>
      <c r="E45" s="13" t="s">
        <v>124</v>
      </c>
      <c r="H45" s="11">
        <v>21216</v>
      </c>
      <c r="R45" s="11" t="s">
        <v>218</v>
      </c>
      <c r="S45" s="11">
        <v>24</v>
      </c>
      <c r="V45" s="11">
        <v>123.4</v>
      </c>
      <c r="W45" s="11">
        <f t="shared" si="2"/>
        <v>2961.6000000000004</v>
      </c>
      <c r="X45" s="11">
        <v>2961.6000000000004</v>
      </c>
    </row>
    <row r="46" spans="1:24" x14ac:dyDescent="0.25">
      <c r="A46" s="11">
        <v>5419</v>
      </c>
      <c r="B46" s="11">
        <v>5419</v>
      </c>
      <c r="C46" s="15" t="s">
        <v>217</v>
      </c>
      <c r="D46" s="18">
        <v>44824</v>
      </c>
      <c r="E46" s="13" t="s">
        <v>124</v>
      </c>
      <c r="H46" s="11">
        <v>21610</v>
      </c>
      <c r="R46" s="11" t="s">
        <v>219</v>
      </c>
      <c r="S46" s="11">
        <v>2</v>
      </c>
      <c r="V46" s="11">
        <v>190.76</v>
      </c>
      <c r="W46" s="11">
        <f t="shared" si="2"/>
        <v>381.52</v>
      </c>
      <c r="X46" s="11">
        <v>763.04</v>
      </c>
    </row>
    <row r="47" spans="1:24" x14ac:dyDescent="0.25">
      <c r="A47" s="11">
        <v>5475</v>
      </c>
      <c r="B47" s="11">
        <v>5475</v>
      </c>
      <c r="C47" s="15" t="s">
        <v>220</v>
      </c>
      <c r="D47" s="18">
        <v>44832</v>
      </c>
      <c r="E47" s="13" t="s">
        <v>124</v>
      </c>
      <c r="H47" s="11" t="s">
        <v>221</v>
      </c>
      <c r="R47" s="11" t="s">
        <v>222</v>
      </c>
      <c r="S47" s="11">
        <v>1</v>
      </c>
      <c r="V47" s="11">
        <v>1156.78</v>
      </c>
      <c r="W47" s="11">
        <f t="shared" ref="W47:W54" si="3">V47*S47</f>
        <v>1156.78</v>
      </c>
      <c r="X47" s="11">
        <v>1251.6999999999998</v>
      </c>
    </row>
    <row r="48" spans="1:24" x14ac:dyDescent="0.25">
      <c r="A48" s="11">
        <v>5580</v>
      </c>
      <c r="B48" s="11">
        <v>5580</v>
      </c>
      <c r="C48" s="15" t="s">
        <v>223</v>
      </c>
      <c r="D48" s="18">
        <v>44852</v>
      </c>
      <c r="E48" s="13" t="s">
        <v>124</v>
      </c>
      <c r="R48" s="11" t="s">
        <v>224</v>
      </c>
      <c r="S48" s="11">
        <v>60</v>
      </c>
      <c r="V48" s="11">
        <v>126</v>
      </c>
      <c r="W48" s="11">
        <f t="shared" si="3"/>
        <v>7560</v>
      </c>
      <c r="X48" s="11">
        <v>7560</v>
      </c>
    </row>
    <row r="49" spans="1:24" x14ac:dyDescent="0.25">
      <c r="A49" s="11">
        <v>5431</v>
      </c>
      <c r="B49" s="11">
        <v>5431</v>
      </c>
      <c r="C49" s="15" t="s">
        <v>225</v>
      </c>
      <c r="D49" s="18">
        <v>44825</v>
      </c>
      <c r="E49" s="13" t="s">
        <v>124</v>
      </c>
      <c r="H49" s="11">
        <v>1204723</v>
      </c>
      <c r="R49" s="11" t="s">
        <v>226</v>
      </c>
      <c r="S49" s="11">
        <v>3</v>
      </c>
      <c r="V49" s="11">
        <v>743.82</v>
      </c>
      <c r="W49" s="11">
        <f t="shared" si="3"/>
        <v>2231.46</v>
      </c>
      <c r="X49" s="11">
        <v>3642.66</v>
      </c>
    </row>
    <row r="50" spans="1:24" x14ac:dyDescent="0.25">
      <c r="A50" s="11">
        <v>5405</v>
      </c>
      <c r="B50" s="11">
        <v>5405</v>
      </c>
      <c r="C50" s="15" t="s">
        <v>227</v>
      </c>
      <c r="D50" s="18">
        <v>44820</v>
      </c>
      <c r="E50" s="13" t="s">
        <v>124</v>
      </c>
      <c r="H50" s="11" t="s">
        <v>228</v>
      </c>
      <c r="R50" s="11" t="s">
        <v>229</v>
      </c>
      <c r="S50" s="11">
        <v>1</v>
      </c>
      <c r="V50" s="11">
        <v>424.37</v>
      </c>
      <c r="W50" s="11">
        <f t="shared" si="3"/>
        <v>424.37</v>
      </c>
      <c r="X50" s="11">
        <v>445.25</v>
      </c>
    </row>
    <row r="51" spans="1:24" x14ac:dyDescent="0.25">
      <c r="A51" s="11">
        <v>5471</v>
      </c>
      <c r="B51" s="11">
        <v>5471</v>
      </c>
      <c r="C51" s="15" t="s">
        <v>230</v>
      </c>
      <c r="D51" s="18">
        <v>44831</v>
      </c>
      <c r="E51" s="13" t="s">
        <v>124</v>
      </c>
      <c r="R51" s="11" t="s">
        <v>231</v>
      </c>
      <c r="S51" s="11">
        <v>60</v>
      </c>
      <c r="V51" s="11">
        <v>184</v>
      </c>
      <c r="W51" s="11">
        <f t="shared" si="3"/>
        <v>11040</v>
      </c>
      <c r="X51" s="11">
        <v>11040</v>
      </c>
    </row>
    <row r="52" spans="1:24" x14ac:dyDescent="0.25">
      <c r="A52" s="11">
        <v>5482</v>
      </c>
      <c r="B52" s="11">
        <v>5482</v>
      </c>
      <c r="C52" s="19" t="s">
        <v>232</v>
      </c>
      <c r="D52" s="18">
        <v>44833</v>
      </c>
      <c r="E52" s="13" t="s">
        <v>124</v>
      </c>
      <c r="R52" s="11" t="s">
        <v>178</v>
      </c>
      <c r="S52" s="11">
        <v>2</v>
      </c>
      <c r="V52" s="11">
        <v>291.37</v>
      </c>
      <c r="W52" s="11">
        <f t="shared" si="3"/>
        <v>582.74</v>
      </c>
      <c r="X52" s="11">
        <v>845.06000000000006</v>
      </c>
    </row>
    <row r="53" spans="1:24" x14ac:dyDescent="0.25">
      <c r="A53" s="11">
        <v>5460</v>
      </c>
      <c r="B53" s="11">
        <v>5460</v>
      </c>
      <c r="C53" s="19" t="s">
        <v>233</v>
      </c>
      <c r="D53" s="18">
        <v>44830</v>
      </c>
      <c r="E53" s="13" t="s">
        <v>124</v>
      </c>
      <c r="H53" s="13" t="s">
        <v>234</v>
      </c>
      <c r="R53" s="11" t="s">
        <v>235</v>
      </c>
      <c r="S53" s="11">
        <v>2</v>
      </c>
      <c r="V53" s="11">
        <v>693.5</v>
      </c>
      <c r="W53" s="11">
        <f t="shared" si="3"/>
        <v>1387</v>
      </c>
      <c r="X53" s="11">
        <v>2051.02</v>
      </c>
    </row>
    <row r="54" spans="1:24" x14ac:dyDescent="0.25">
      <c r="A54" s="11">
        <v>5239</v>
      </c>
      <c r="B54" s="11">
        <v>5239</v>
      </c>
      <c r="C54" s="19" t="s">
        <v>236</v>
      </c>
      <c r="D54" s="18">
        <v>44791</v>
      </c>
      <c r="E54" s="13" t="s">
        <v>124</v>
      </c>
      <c r="R54" s="11" t="s">
        <v>237</v>
      </c>
      <c r="S54" s="11">
        <v>1</v>
      </c>
      <c r="V54" s="11">
        <v>588.83000000000004</v>
      </c>
      <c r="W54" s="11">
        <f t="shared" si="3"/>
        <v>588.83000000000004</v>
      </c>
      <c r="X54" s="11">
        <v>25744.290000000008</v>
      </c>
    </row>
    <row r="55" spans="1:24" x14ac:dyDescent="0.25">
      <c r="A55" s="11">
        <v>5340</v>
      </c>
      <c r="B55" s="11">
        <v>5340</v>
      </c>
      <c r="C55" s="19" t="s">
        <v>238</v>
      </c>
      <c r="D55" s="18">
        <v>44806</v>
      </c>
      <c r="E55" s="13" t="s">
        <v>124</v>
      </c>
      <c r="H55" s="11">
        <v>10075</v>
      </c>
      <c r="R55" s="11" t="s">
        <v>239</v>
      </c>
      <c r="S55" s="11">
        <v>76</v>
      </c>
      <c r="V55" s="11">
        <v>207.47</v>
      </c>
      <c r="W55" s="11">
        <f t="shared" ref="W55:W74" si="4">V55*S55</f>
        <v>15767.72</v>
      </c>
      <c r="X55" s="11">
        <v>16545.77</v>
      </c>
    </row>
    <row r="56" spans="1:24" x14ac:dyDescent="0.25">
      <c r="A56" s="11">
        <v>5250</v>
      </c>
      <c r="B56" s="11">
        <v>5250</v>
      </c>
      <c r="C56" s="19" t="s">
        <v>240</v>
      </c>
      <c r="D56" s="18">
        <v>44795</v>
      </c>
      <c r="E56" s="13" t="s">
        <v>124</v>
      </c>
      <c r="H56" s="13" t="s">
        <v>241</v>
      </c>
      <c r="R56" s="11" t="s">
        <v>242</v>
      </c>
      <c r="S56" s="11">
        <v>4</v>
      </c>
      <c r="V56" s="11">
        <v>417.92</v>
      </c>
      <c r="W56" s="11">
        <f t="shared" si="4"/>
        <v>1671.68</v>
      </c>
      <c r="X56" s="11">
        <v>1756.48</v>
      </c>
    </row>
    <row r="57" spans="1:24" x14ac:dyDescent="0.25">
      <c r="A57" s="11">
        <v>5502</v>
      </c>
      <c r="B57" s="11">
        <v>5502</v>
      </c>
      <c r="C57" s="19" t="s">
        <v>243</v>
      </c>
      <c r="D57" s="18">
        <v>44837</v>
      </c>
      <c r="E57" s="13" t="s">
        <v>124</v>
      </c>
      <c r="R57" s="11" t="s">
        <v>244</v>
      </c>
      <c r="S57" s="11">
        <v>1</v>
      </c>
      <c r="V57" s="11">
        <v>391.28</v>
      </c>
      <c r="W57" s="11">
        <f t="shared" si="4"/>
        <v>391.28</v>
      </c>
      <c r="X57" s="11">
        <v>409.84</v>
      </c>
    </row>
    <row r="58" spans="1:24" x14ac:dyDescent="0.25">
      <c r="A58" s="11">
        <v>5320</v>
      </c>
      <c r="B58" s="11">
        <v>5320</v>
      </c>
      <c r="C58" s="19" t="s">
        <v>245</v>
      </c>
      <c r="D58" s="18">
        <v>44805</v>
      </c>
      <c r="E58" s="13" t="s">
        <v>124</v>
      </c>
      <c r="H58" s="13" t="s">
        <v>246</v>
      </c>
      <c r="R58" s="11" t="s">
        <v>247</v>
      </c>
      <c r="S58" s="11">
        <v>2</v>
      </c>
      <c r="V58" s="11">
        <v>548.4</v>
      </c>
      <c r="W58" s="11">
        <f t="shared" si="4"/>
        <v>1096.8</v>
      </c>
      <c r="X58" s="11">
        <v>1870.02</v>
      </c>
    </row>
    <row r="59" spans="1:24" x14ac:dyDescent="0.25">
      <c r="A59" s="11">
        <v>5237</v>
      </c>
      <c r="B59" s="11">
        <v>5237</v>
      </c>
      <c r="C59" s="19" t="s">
        <v>248</v>
      </c>
      <c r="D59" s="18">
        <v>44791</v>
      </c>
      <c r="E59" s="13" t="s">
        <v>124</v>
      </c>
      <c r="R59" s="11" t="s">
        <v>249</v>
      </c>
      <c r="S59" s="11">
        <v>1</v>
      </c>
      <c r="V59" s="11">
        <v>204.95</v>
      </c>
      <c r="W59" s="11">
        <f t="shared" si="4"/>
        <v>204.95</v>
      </c>
      <c r="X59" s="11">
        <v>230.47</v>
      </c>
    </row>
    <row r="60" spans="1:24" x14ac:dyDescent="0.25">
      <c r="A60" s="11">
        <v>5399</v>
      </c>
      <c r="B60" s="11">
        <v>5399</v>
      </c>
      <c r="C60" s="19" t="s">
        <v>250</v>
      </c>
      <c r="D60" s="18">
        <v>44819</v>
      </c>
      <c r="E60" s="13" t="s">
        <v>124</v>
      </c>
      <c r="R60" s="11" t="s">
        <v>251</v>
      </c>
      <c r="S60" s="11">
        <v>8</v>
      </c>
      <c r="V60" s="11">
        <v>213.51</v>
      </c>
      <c r="W60" s="11">
        <f t="shared" si="4"/>
        <v>1708.08</v>
      </c>
      <c r="X60" s="11">
        <v>1759.32</v>
      </c>
    </row>
    <row r="61" spans="1:24" x14ac:dyDescent="0.25">
      <c r="A61" s="11">
        <v>5519</v>
      </c>
      <c r="B61" s="11">
        <v>5519</v>
      </c>
      <c r="C61" s="19" t="s">
        <v>252</v>
      </c>
      <c r="D61" s="18">
        <v>44839</v>
      </c>
      <c r="E61" s="13" t="s">
        <v>124</v>
      </c>
      <c r="R61" s="11" t="s">
        <v>165</v>
      </c>
      <c r="S61" s="11">
        <v>1</v>
      </c>
      <c r="V61" s="11">
        <v>200</v>
      </c>
      <c r="W61" s="11">
        <f t="shared" si="4"/>
        <v>200</v>
      </c>
      <c r="X61" s="11">
        <v>220.88</v>
      </c>
    </row>
    <row r="62" spans="1:24" x14ac:dyDescent="0.25">
      <c r="A62" s="11">
        <v>4804</v>
      </c>
      <c r="B62" s="11">
        <v>4804</v>
      </c>
      <c r="C62" s="19" t="s">
        <v>253</v>
      </c>
      <c r="D62" s="18">
        <v>44705</v>
      </c>
      <c r="E62" s="13" t="s">
        <v>124</v>
      </c>
      <c r="H62" s="13" t="s">
        <v>254</v>
      </c>
      <c r="R62" s="11" t="s">
        <v>255</v>
      </c>
      <c r="S62" s="11">
        <v>2</v>
      </c>
      <c r="V62" s="11">
        <v>421</v>
      </c>
      <c r="W62" s="11">
        <f t="shared" si="4"/>
        <v>842</v>
      </c>
      <c r="X62" s="11">
        <v>842</v>
      </c>
    </row>
    <row r="63" spans="1:24" x14ac:dyDescent="0.25">
      <c r="A63" s="11">
        <v>5101</v>
      </c>
      <c r="B63" s="11">
        <v>5101</v>
      </c>
      <c r="C63" s="19" t="s">
        <v>256</v>
      </c>
      <c r="D63" s="18">
        <v>44764</v>
      </c>
      <c r="E63" s="13" t="s">
        <v>124</v>
      </c>
      <c r="H63" s="11">
        <v>27529</v>
      </c>
      <c r="R63" s="11" t="s">
        <v>257</v>
      </c>
      <c r="S63" s="11">
        <v>1</v>
      </c>
      <c r="V63" s="11">
        <v>529.39</v>
      </c>
      <c r="W63" s="11">
        <f t="shared" si="4"/>
        <v>529.39</v>
      </c>
      <c r="X63" s="11">
        <v>1027.53</v>
      </c>
    </row>
    <row r="64" spans="1:24" x14ac:dyDescent="0.25">
      <c r="A64" s="11">
        <v>5480</v>
      </c>
      <c r="B64" s="11">
        <v>5480</v>
      </c>
      <c r="C64" s="19" t="s">
        <v>258</v>
      </c>
      <c r="D64" s="18">
        <v>44832</v>
      </c>
      <c r="E64" s="13" t="s">
        <v>124</v>
      </c>
      <c r="H64" s="13" t="s">
        <v>259</v>
      </c>
      <c r="R64" s="11" t="s">
        <v>260</v>
      </c>
      <c r="S64" s="11">
        <v>1</v>
      </c>
      <c r="V64" s="11">
        <v>181.95</v>
      </c>
      <c r="W64" s="11">
        <f t="shared" si="4"/>
        <v>181.95</v>
      </c>
      <c r="X64" s="11">
        <v>874.67000000000007</v>
      </c>
    </row>
    <row r="65" spans="1:24" x14ac:dyDescent="0.25">
      <c r="A65" s="11">
        <v>5347</v>
      </c>
      <c r="B65" s="11">
        <v>5347</v>
      </c>
      <c r="C65" s="19" t="s">
        <v>261</v>
      </c>
      <c r="D65" s="18">
        <v>44811</v>
      </c>
      <c r="E65" s="13" t="s">
        <v>124</v>
      </c>
      <c r="H65" s="13" t="s">
        <v>262</v>
      </c>
      <c r="R65" s="11" t="s">
        <v>263</v>
      </c>
      <c r="S65" s="11">
        <v>17</v>
      </c>
      <c r="V65" s="11">
        <v>82.24</v>
      </c>
      <c r="W65" s="11">
        <f t="shared" si="4"/>
        <v>1398.08</v>
      </c>
      <c r="X65" s="11">
        <v>1398.08</v>
      </c>
    </row>
    <row r="66" spans="1:24" x14ac:dyDescent="0.25">
      <c r="A66" s="11">
        <v>5348</v>
      </c>
      <c r="B66" s="11">
        <v>5348</v>
      </c>
      <c r="C66" s="19" t="s">
        <v>261</v>
      </c>
      <c r="D66" s="18">
        <v>44811</v>
      </c>
      <c r="E66" s="13" t="s">
        <v>124</v>
      </c>
      <c r="H66" s="13" t="s">
        <v>264</v>
      </c>
      <c r="R66" s="11" t="s">
        <v>263</v>
      </c>
      <c r="S66" s="11">
        <v>18</v>
      </c>
      <c r="V66" s="11">
        <v>82.24</v>
      </c>
      <c r="W66" s="11">
        <f t="shared" si="4"/>
        <v>1480.32</v>
      </c>
      <c r="X66" s="11">
        <v>1480.32</v>
      </c>
    </row>
    <row r="67" spans="1:24" x14ac:dyDescent="0.25">
      <c r="A67" s="11">
        <v>5349</v>
      </c>
      <c r="B67" s="11">
        <v>5349</v>
      </c>
      <c r="C67" s="19" t="s">
        <v>261</v>
      </c>
      <c r="D67" s="18">
        <v>44811</v>
      </c>
      <c r="E67" s="13" t="s">
        <v>124</v>
      </c>
      <c r="H67" s="13" t="s">
        <v>265</v>
      </c>
      <c r="R67" s="11" t="s">
        <v>266</v>
      </c>
      <c r="S67" s="11">
        <v>18</v>
      </c>
      <c r="V67" s="11">
        <v>87.92</v>
      </c>
      <c r="W67" s="11">
        <f t="shared" si="4"/>
        <v>1582.56</v>
      </c>
      <c r="X67" s="11">
        <v>1582.56</v>
      </c>
    </row>
    <row r="68" spans="1:24" x14ac:dyDescent="0.25">
      <c r="A68" s="11">
        <v>5350</v>
      </c>
      <c r="B68" s="11">
        <v>5350</v>
      </c>
      <c r="C68" s="19" t="s">
        <v>261</v>
      </c>
      <c r="D68" s="18">
        <v>44811</v>
      </c>
      <c r="E68" s="13" t="s">
        <v>124</v>
      </c>
      <c r="H68" s="13" t="s">
        <v>267</v>
      </c>
      <c r="R68" s="11" t="s">
        <v>266</v>
      </c>
      <c r="S68" s="11">
        <v>18</v>
      </c>
      <c r="V68" s="11">
        <v>87.92</v>
      </c>
      <c r="W68" s="11">
        <f t="shared" si="4"/>
        <v>1582.56</v>
      </c>
      <c r="X68" s="11">
        <v>1582.56</v>
      </c>
    </row>
    <row r="69" spans="1:24" x14ac:dyDescent="0.25">
      <c r="A69" s="11">
        <v>5275</v>
      </c>
      <c r="B69" s="11">
        <v>5275</v>
      </c>
      <c r="C69" s="19" t="s">
        <v>268</v>
      </c>
      <c r="D69" s="18">
        <v>44798</v>
      </c>
      <c r="E69" s="13" t="s">
        <v>124</v>
      </c>
      <c r="R69" s="11" t="s">
        <v>269</v>
      </c>
      <c r="S69" s="11">
        <v>1</v>
      </c>
      <c r="V69" s="11">
        <v>348.75</v>
      </c>
      <c r="W69" s="11">
        <f t="shared" si="4"/>
        <v>348.75</v>
      </c>
      <c r="X69" s="11">
        <v>817.43000000000006</v>
      </c>
    </row>
    <row r="70" spans="1:24" x14ac:dyDescent="0.25">
      <c r="A70" s="11">
        <v>5494</v>
      </c>
      <c r="B70" s="11">
        <v>5494</v>
      </c>
      <c r="C70" s="19" t="s">
        <v>270</v>
      </c>
      <c r="D70" s="18">
        <v>44807</v>
      </c>
      <c r="E70" s="13" t="s">
        <v>124</v>
      </c>
      <c r="R70" s="11" t="s">
        <v>271</v>
      </c>
      <c r="S70" s="11">
        <v>1</v>
      </c>
      <c r="V70" s="11">
        <v>410.94</v>
      </c>
      <c r="W70" s="11">
        <f t="shared" si="4"/>
        <v>410.94</v>
      </c>
      <c r="X70" s="11">
        <v>504.46</v>
      </c>
    </row>
    <row r="71" spans="1:24" x14ac:dyDescent="0.25">
      <c r="A71" s="11">
        <v>5523</v>
      </c>
      <c r="B71" s="11">
        <v>5523</v>
      </c>
      <c r="C71" s="19" t="s">
        <v>270</v>
      </c>
      <c r="D71" s="18">
        <v>44840</v>
      </c>
      <c r="E71" s="13" t="s">
        <v>124</v>
      </c>
      <c r="R71" s="11" t="s">
        <v>272</v>
      </c>
      <c r="S71" s="11">
        <v>1</v>
      </c>
      <c r="V71" s="11">
        <v>372.92</v>
      </c>
      <c r="W71" s="11">
        <f t="shared" si="4"/>
        <v>372.92</v>
      </c>
      <c r="X71" s="11">
        <v>470.28999999999996</v>
      </c>
    </row>
    <row r="72" spans="1:24" x14ac:dyDescent="0.25">
      <c r="A72" s="11">
        <v>5119</v>
      </c>
      <c r="B72" s="11">
        <v>5119</v>
      </c>
      <c r="C72" s="19" t="s">
        <v>273</v>
      </c>
      <c r="D72" s="18">
        <v>44768</v>
      </c>
      <c r="E72" s="13" t="s">
        <v>124</v>
      </c>
      <c r="R72" s="11" t="s">
        <v>274</v>
      </c>
      <c r="S72" s="11">
        <v>1</v>
      </c>
      <c r="V72" s="11">
        <v>0</v>
      </c>
      <c r="W72" s="11">
        <f t="shared" si="4"/>
        <v>0</v>
      </c>
      <c r="X72" s="11">
        <v>0</v>
      </c>
    </row>
    <row r="73" spans="1:24" x14ac:dyDescent="0.25">
      <c r="A73" s="11">
        <v>5028</v>
      </c>
      <c r="B73" s="11">
        <v>5028</v>
      </c>
      <c r="C73" s="19" t="s">
        <v>275</v>
      </c>
      <c r="D73" s="18">
        <v>44750</v>
      </c>
      <c r="E73" s="13" t="s">
        <v>124</v>
      </c>
      <c r="H73" s="13" t="s">
        <v>276</v>
      </c>
      <c r="R73" s="11" t="s">
        <v>277</v>
      </c>
      <c r="S73" s="11">
        <v>1</v>
      </c>
      <c r="V73" s="11">
        <v>620.02</v>
      </c>
      <c r="W73" s="11">
        <f t="shared" si="4"/>
        <v>620.02</v>
      </c>
      <c r="X73" s="11">
        <v>1441.7599999999998</v>
      </c>
    </row>
    <row r="74" spans="1:24" x14ac:dyDescent="0.25">
      <c r="A74" s="11">
        <v>5582</v>
      </c>
      <c r="B74" s="11">
        <v>5582</v>
      </c>
      <c r="C74" s="19" t="s">
        <v>278</v>
      </c>
      <c r="D74" s="18">
        <v>44853</v>
      </c>
      <c r="E74" s="13" t="s">
        <v>124</v>
      </c>
      <c r="R74" s="11" t="s">
        <v>279</v>
      </c>
      <c r="S74" s="11">
        <v>2</v>
      </c>
      <c r="V74" s="11">
        <v>585</v>
      </c>
      <c r="W74" s="11">
        <f t="shared" si="4"/>
        <v>1170</v>
      </c>
      <c r="X74" s="11">
        <v>5486.88</v>
      </c>
    </row>
    <row r="75" spans="1:24" x14ac:dyDescent="0.25">
      <c r="A75" s="11">
        <v>5561</v>
      </c>
      <c r="B75" s="11">
        <v>5561</v>
      </c>
      <c r="C75" s="19" t="s">
        <v>280</v>
      </c>
      <c r="D75" s="18">
        <v>44846</v>
      </c>
      <c r="E75" s="13" t="s">
        <v>124</v>
      </c>
      <c r="R75" s="16" t="s">
        <v>281</v>
      </c>
      <c r="S75" s="11">
        <v>1</v>
      </c>
      <c r="V75" s="11">
        <v>775.6</v>
      </c>
      <c r="W75" s="11">
        <f t="shared" ref="W75:W81" si="5">V75*S75</f>
        <v>775.6</v>
      </c>
      <c r="X75" s="11">
        <v>2909.2849999999999</v>
      </c>
    </row>
    <row r="76" spans="1:24" x14ac:dyDescent="0.25">
      <c r="A76" s="11">
        <v>5454</v>
      </c>
      <c r="B76" s="11">
        <v>5454</v>
      </c>
      <c r="C76" s="19" t="s">
        <v>282</v>
      </c>
      <c r="D76" s="18">
        <v>44827</v>
      </c>
      <c r="E76" s="13" t="s">
        <v>124</v>
      </c>
      <c r="R76" s="11" t="s">
        <v>283</v>
      </c>
      <c r="S76" s="11">
        <v>2</v>
      </c>
      <c r="V76" s="11">
        <v>92.37</v>
      </c>
      <c r="W76" s="11">
        <f t="shared" si="5"/>
        <v>184.74</v>
      </c>
      <c r="X76" s="11">
        <v>224.74</v>
      </c>
    </row>
    <row r="77" spans="1:24" x14ac:dyDescent="0.25">
      <c r="A77" s="11">
        <v>3643</v>
      </c>
      <c r="B77" s="11">
        <v>3643</v>
      </c>
      <c r="C77" s="19" t="s">
        <v>284</v>
      </c>
      <c r="D77" s="18">
        <v>44543</v>
      </c>
      <c r="E77" s="13" t="s">
        <v>124</v>
      </c>
      <c r="R77" s="11" t="s">
        <v>285</v>
      </c>
      <c r="S77" s="11">
        <v>1</v>
      </c>
      <c r="V77" s="11">
        <v>522.35</v>
      </c>
      <c r="W77" s="11">
        <f t="shared" si="5"/>
        <v>522.35</v>
      </c>
      <c r="X77" s="11">
        <v>962.33</v>
      </c>
    </row>
    <row r="78" spans="1:24" x14ac:dyDescent="0.25">
      <c r="A78" s="11">
        <v>5429</v>
      </c>
      <c r="B78" s="11">
        <v>5429</v>
      </c>
      <c r="C78" s="19" t="s">
        <v>286</v>
      </c>
      <c r="D78" s="18">
        <v>44825</v>
      </c>
      <c r="E78" s="13" t="s">
        <v>124</v>
      </c>
      <c r="R78" s="11" t="s">
        <v>287</v>
      </c>
      <c r="S78" s="11">
        <v>2</v>
      </c>
      <c r="V78" s="11">
        <v>401.23</v>
      </c>
      <c r="W78" s="11">
        <f t="shared" si="5"/>
        <v>802.46</v>
      </c>
      <c r="X78" s="11">
        <v>1299.79952</v>
      </c>
    </row>
    <row r="79" spans="1:24" x14ac:dyDescent="0.25">
      <c r="A79" s="11">
        <v>5430</v>
      </c>
      <c r="B79" s="11">
        <v>5430</v>
      </c>
      <c r="C79" s="19" t="s">
        <v>286</v>
      </c>
      <c r="D79" s="18">
        <v>44825</v>
      </c>
      <c r="E79" s="13" t="s">
        <v>124</v>
      </c>
      <c r="R79" s="11" t="s">
        <v>186</v>
      </c>
      <c r="S79" s="11">
        <v>2</v>
      </c>
      <c r="V79" s="11">
        <v>500.9</v>
      </c>
      <c r="W79" s="11">
        <f t="shared" si="5"/>
        <v>1001.8</v>
      </c>
      <c r="X79" s="11">
        <v>1634.5195200000001</v>
      </c>
    </row>
    <row r="80" spans="1:24" x14ac:dyDescent="0.25">
      <c r="A80" s="11">
        <v>5542</v>
      </c>
      <c r="B80" s="11">
        <v>5542</v>
      </c>
      <c r="C80" s="19" t="s">
        <v>288</v>
      </c>
      <c r="D80" s="18">
        <v>44845</v>
      </c>
      <c r="E80" s="13" t="s">
        <v>124</v>
      </c>
      <c r="R80" s="11" t="s">
        <v>281</v>
      </c>
      <c r="S80" s="11">
        <v>2</v>
      </c>
      <c r="V80" s="11">
        <v>674.92</v>
      </c>
      <c r="W80" s="11">
        <f t="shared" si="5"/>
        <v>1349.84</v>
      </c>
      <c r="X80" s="11">
        <v>3581.6199999999994</v>
      </c>
    </row>
    <row r="81" spans="1:24" x14ac:dyDescent="0.25">
      <c r="A81" s="11">
        <v>5513</v>
      </c>
      <c r="B81" s="11">
        <v>5513</v>
      </c>
      <c r="C81" s="19" t="s">
        <v>289</v>
      </c>
      <c r="D81" s="18">
        <v>44839</v>
      </c>
      <c r="E81" s="13" t="s">
        <v>124</v>
      </c>
      <c r="H81" s="13" t="s">
        <v>290</v>
      </c>
      <c r="R81" s="11" t="s">
        <v>291</v>
      </c>
      <c r="S81" s="11">
        <v>4</v>
      </c>
      <c r="V81" s="11">
        <v>573.78</v>
      </c>
      <c r="W81" s="11">
        <f t="shared" si="5"/>
        <v>2295.12</v>
      </c>
      <c r="X81" s="11">
        <v>4475.18</v>
      </c>
    </row>
    <row r="82" spans="1:24" x14ac:dyDescent="0.25">
      <c r="A82" s="11">
        <v>5474</v>
      </c>
      <c r="B82" s="11">
        <v>5474</v>
      </c>
      <c r="C82" s="19" t="s">
        <v>292</v>
      </c>
      <c r="D82" s="18">
        <v>44831</v>
      </c>
      <c r="E82" s="13" t="s">
        <v>124</v>
      </c>
      <c r="H82" s="13"/>
      <c r="R82" s="11" t="s">
        <v>287</v>
      </c>
      <c r="S82" s="11">
        <v>2</v>
      </c>
      <c r="V82" s="11">
        <v>345.68</v>
      </c>
      <c r="W82" s="11">
        <f t="shared" ref="W82:W84" si="6">V82*S82</f>
        <v>691.36</v>
      </c>
      <c r="X82" s="11">
        <v>1224.9795200000001</v>
      </c>
    </row>
    <row r="83" spans="1:24" x14ac:dyDescent="0.25">
      <c r="A83" s="11">
        <v>5579</v>
      </c>
      <c r="B83" s="11">
        <v>5579</v>
      </c>
      <c r="C83" s="19" t="s">
        <v>293</v>
      </c>
      <c r="D83" s="18">
        <v>44852</v>
      </c>
      <c r="E83" s="13" t="s">
        <v>124</v>
      </c>
      <c r="R83" s="11" t="s">
        <v>294</v>
      </c>
      <c r="S83" s="11">
        <v>4</v>
      </c>
      <c r="V83" s="11">
        <v>433.9</v>
      </c>
      <c r="W83" s="11">
        <f t="shared" si="6"/>
        <v>1735.6</v>
      </c>
      <c r="X83" s="11">
        <v>2369.3200000000002</v>
      </c>
    </row>
    <row r="84" spans="1:24" x14ac:dyDescent="0.25">
      <c r="A84" s="11">
        <v>4876</v>
      </c>
      <c r="B84" s="11">
        <v>4876</v>
      </c>
      <c r="C84" s="19" t="s">
        <v>295</v>
      </c>
      <c r="D84" s="18">
        <v>44720</v>
      </c>
      <c r="E84" s="13" t="s">
        <v>124</v>
      </c>
      <c r="H84" s="13" t="s">
        <v>296</v>
      </c>
      <c r="R84" s="11" t="s">
        <v>156</v>
      </c>
      <c r="S84" s="11">
        <v>8</v>
      </c>
      <c r="V84" s="11">
        <v>660</v>
      </c>
      <c r="W84" s="11">
        <f t="shared" si="6"/>
        <v>5280</v>
      </c>
      <c r="X84" s="11">
        <v>5280</v>
      </c>
    </row>
  </sheetData>
  <autoFilter ref="A1:AQ84"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SalesOrderTemplate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2010-06-23T16:07:50Z</dcterms:created>
  <dcterms:modified xsi:type="dcterms:W3CDTF">2022-10-25T15:12:08Z</dcterms:modified>
</cp:coreProperties>
</file>