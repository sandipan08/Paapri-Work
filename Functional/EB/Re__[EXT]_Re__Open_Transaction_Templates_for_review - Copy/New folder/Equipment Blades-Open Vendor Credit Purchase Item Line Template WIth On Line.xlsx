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\Functional\EB\Re__[EXT]_Re__Open_Transaction_Templates_for_review - Copy\New folder\"/>
    </mc:Choice>
  </mc:AlternateContent>
  <bookViews>
    <workbookView xWindow="0" yWindow="0" windowWidth="23040" windowHeight="9264"/>
  </bookViews>
  <sheets>
    <sheet name="Vendor Credit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" i="1" l="1"/>
  <c r="R14" i="1" s="1"/>
  <c r="Q4" i="1"/>
  <c r="R4" i="1" s="1"/>
  <c r="Q5" i="1"/>
  <c r="R5" i="1" s="1"/>
  <c r="Q6" i="1"/>
  <c r="R6" i="1" s="1"/>
  <c r="Q7" i="1"/>
  <c r="R7" i="1" s="1"/>
  <c r="Q8" i="1"/>
  <c r="R8" i="1" s="1"/>
  <c r="Q9" i="1"/>
  <c r="R9" i="1" s="1"/>
  <c r="Q10" i="1"/>
  <c r="R10" i="1" s="1"/>
  <c r="Q11" i="1"/>
  <c r="R11" i="1" s="1"/>
  <c r="Q12" i="1"/>
  <c r="R12" i="1" s="1"/>
  <c r="Q13" i="1"/>
  <c r="R13" i="1" s="1"/>
  <c r="Q3" i="1"/>
  <c r="R3" i="1" s="1"/>
  <c r="Q2" i="1"/>
  <c r="R2" i="1" s="1"/>
</calcChain>
</file>

<file path=xl/sharedStrings.xml><?xml version="1.0" encoding="utf-8"?>
<sst xmlns="http://schemas.openxmlformats.org/spreadsheetml/2006/main" count="79" uniqueCount="41">
  <si>
    <t>Auto Apply</t>
  </si>
  <si>
    <t>ExternalID</t>
  </si>
  <si>
    <t>Reference No.</t>
  </si>
  <si>
    <t>Posting Period</t>
  </si>
  <si>
    <t>Vendor</t>
  </si>
  <si>
    <t>Date</t>
  </si>
  <si>
    <t>Exchange Rate</t>
  </si>
  <si>
    <t>Currency</t>
  </si>
  <si>
    <t>Memo</t>
  </si>
  <si>
    <t>Item</t>
  </si>
  <si>
    <t>Quantity</t>
  </si>
  <si>
    <t>Serial/Lot Numbers</t>
  </si>
  <si>
    <t>Units</t>
  </si>
  <si>
    <t>Rate</t>
  </si>
  <si>
    <t>Description</t>
  </si>
  <si>
    <t>Payment</t>
  </si>
  <si>
    <t>Apply</t>
  </si>
  <si>
    <t>Black Cat Blade Inc</t>
  </si>
  <si>
    <t>CM-117551</t>
  </si>
  <si>
    <t>USA</t>
  </si>
  <si>
    <t>Olofsfors Sharq</t>
  </si>
  <si>
    <t>ITR America</t>
  </si>
  <si>
    <t>I819724</t>
  </si>
  <si>
    <t>CM-115722</t>
  </si>
  <si>
    <t>CM-115729</t>
  </si>
  <si>
    <t>I896755</t>
  </si>
  <si>
    <t>CM-116410</t>
  </si>
  <si>
    <t>CM-116486</t>
  </si>
  <si>
    <t>CM-115626</t>
  </si>
  <si>
    <t>CM-116520</t>
  </si>
  <si>
    <t>Oct 2022</t>
  </si>
  <si>
    <t>Aug 2022</t>
  </si>
  <si>
    <t>Jan 2020</t>
  </si>
  <si>
    <t>Feb 2020</t>
  </si>
  <si>
    <t>Jun 2020</t>
  </si>
  <si>
    <t>Oct 2020</t>
  </si>
  <si>
    <t>Feb 2021</t>
  </si>
  <si>
    <t>Apr 2021</t>
  </si>
  <si>
    <t>Feb 2022</t>
  </si>
  <si>
    <t>Amount_Sum</t>
  </si>
  <si>
    <t>AP Opening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</si>
</sst>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Fill="1" applyAlignment="1"/>
    <xf numFmtId="0" fontId="2" fillId="0" borderId="0" xfId="0" applyFont="1" applyFill="1" applyAlignment="1">
      <alignment vertical="top" wrapText="1"/>
    </xf>
    <xf numFmtId="0" fontId="3" fillId="0" borderId="0" xfId="0" applyFont="1" applyFill="1" applyAlignment="1">
      <alignment vertical="top" wrapText="1"/>
    </xf>
    <xf numFmtId="0" fontId="4" fillId="0" borderId="0" xfId="0" applyFont="1"/>
    <xf numFmtId="0" fontId="1" fillId="0" borderId="0" xfId="0" applyFont="1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 applyFill="1" applyBorder="1" applyAlignment="1">
      <alignment vertical="top"/>
    </xf>
    <xf numFmtId="0" fontId="5" fillId="0" borderId="0" xfId="0" applyFont="1" applyFill="1" applyAlignment="1">
      <alignment vertical="top" wrapText="1"/>
    </xf>
    <xf numFmtId="14" fontId="3" fillId="0" borderId="0" xfId="0" applyNumberFormat="1" applyFont="1" applyFill="1" applyAlignment="1">
      <alignment vertical="top" wrapText="1"/>
    </xf>
    <xf numFmtId="49" fontId="3" fillId="0" borderId="0" xfId="0" applyNumberFormat="1" applyFont="1" applyFill="1" applyAlignment="1">
      <alignment vertical="top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"/>
  <sheetViews>
    <sheetView tabSelected="1" topLeftCell="J1" workbookViewId="0">
      <selection activeCell="K12" sqref="K12"/>
    </sheetView>
  </sheetViews>
  <sheetFormatPr defaultColWidth="23.33203125" defaultRowHeight="14.25" customHeight="1" x14ac:dyDescent="0.3"/>
  <cols>
    <col min="1" max="3" width="23.33203125" style="3"/>
    <col min="4" max="5" width="23.33203125" style="4"/>
    <col min="6" max="6" width="24.6640625" style="3" bestFit="1" customWidth="1"/>
    <col min="7" max="7" width="29.109375" style="3" bestFit="1" customWidth="1"/>
    <col min="8" max="8" width="23.33203125" style="3" customWidth="1"/>
    <col min="9" max="9" width="23.33203125" customWidth="1"/>
    <col min="10" max="11" width="23.33203125" style="3"/>
    <col min="12" max="13" width="23.33203125" style="3" customWidth="1"/>
    <col min="14" max="14" width="23.33203125" style="3"/>
    <col min="15" max="16" width="23.33203125" style="3" customWidth="1"/>
    <col min="17" max="17" width="44.6640625" style="7" customWidth="1"/>
    <col min="18" max="18" width="36" style="7" customWidth="1"/>
  </cols>
  <sheetData>
    <row r="1" spans="1:18" ht="14.25" customHeight="1" x14ac:dyDescent="0.3">
      <c r="A1" s="1" t="s">
        <v>1</v>
      </c>
      <c r="B1" s="2" t="s">
        <v>2</v>
      </c>
      <c r="C1" s="2" t="s">
        <v>4</v>
      </c>
      <c r="D1" s="8" t="s">
        <v>7</v>
      </c>
      <c r="E1" s="8" t="s">
        <v>6</v>
      </c>
      <c r="F1" s="2" t="s">
        <v>5</v>
      </c>
      <c r="G1" s="9" t="s">
        <v>3</v>
      </c>
      <c r="H1" s="3" t="s">
        <v>8</v>
      </c>
      <c r="I1" s="5" t="s">
        <v>0</v>
      </c>
      <c r="J1" s="2" t="s">
        <v>9</v>
      </c>
      <c r="K1" s="2" t="s">
        <v>10</v>
      </c>
      <c r="L1" s="3" t="s">
        <v>11</v>
      </c>
      <c r="M1" s="3" t="s">
        <v>12</v>
      </c>
      <c r="N1" s="2" t="s">
        <v>13</v>
      </c>
      <c r="O1" s="3" t="s">
        <v>39</v>
      </c>
      <c r="P1" s="3" t="s">
        <v>14</v>
      </c>
      <c r="Q1" s="6" t="s">
        <v>16</v>
      </c>
      <c r="R1" s="6" t="s">
        <v>15</v>
      </c>
    </row>
    <row r="2" spans="1:18" ht="14.25" customHeight="1" x14ac:dyDescent="0.3">
      <c r="A2" s="3">
        <v>62734</v>
      </c>
      <c r="B2" s="3" t="s">
        <v>18</v>
      </c>
      <c r="C2" s="3" t="s">
        <v>17</v>
      </c>
      <c r="D2" s="4" t="s">
        <v>19</v>
      </c>
      <c r="E2" s="4">
        <v>1</v>
      </c>
      <c r="F2" s="10">
        <v>44851</v>
      </c>
      <c r="G2" s="11" t="s">
        <v>30</v>
      </c>
      <c r="J2" s="3" t="s">
        <v>40</v>
      </c>
      <c r="K2" s="3">
        <v>1</v>
      </c>
      <c r="N2" s="3">
        <v>175.69</v>
      </c>
      <c r="O2" s="3">
        <v>175.69</v>
      </c>
      <c r="Q2" s="7">
        <f>K2*N2</f>
        <v>175.69</v>
      </c>
      <c r="R2" s="7">
        <f>Q2</f>
        <v>175.69</v>
      </c>
    </row>
    <row r="3" spans="1:18" ht="14.25" customHeight="1" x14ac:dyDescent="0.3">
      <c r="A3" s="3">
        <v>60919</v>
      </c>
      <c r="B3" s="3">
        <v>902085</v>
      </c>
      <c r="C3" s="3" t="s">
        <v>20</v>
      </c>
      <c r="D3" s="4" t="s">
        <v>19</v>
      </c>
      <c r="E3" s="4">
        <v>1</v>
      </c>
      <c r="F3" s="10">
        <v>44803</v>
      </c>
      <c r="G3" s="11" t="s">
        <v>31</v>
      </c>
      <c r="J3" s="3" t="s">
        <v>40</v>
      </c>
      <c r="K3" s="3">
        <v>2</v>
      </c>
      <c r="N3" s="3">
        <v>47.64</v>
      </c>
      <c r="O3" s="3">
        <v>95.28</v>
      </c>
      <c r="Q3" s="7">
        <f>K3*N3</f>
        <v>95.28</v>
      </c>
      <c r="R3" s="7">
        <f t="shared" ref="R3:R14" si="0">Q3</f>
        <v>95.28</v>
      </c>
    </row>
    <row r="4" spans="1:18" ht="14.25" customHeight="1" x14ac:dyDescent="0.3">
      <c r="A4" s="3">
        <v>29608</v>
      </c>
      <c r="B4" s="3" t="s">
        <v>22</v>
      </c>
      <c r="C4" s="3" t="s">
        <v>21</v>
      </c>
      <c r="D4" s="4" t="s">
        <v>19</v>
      </c>
      <c r="E4" s="4">
        <v>1</v>
      </c>
      <c r="F4" s="10">
        <v>43857</v>
      </c>
      <c r="G4" s="11" t="s">
        <v>32</v>
      </c>
      <c r="J4" s="3" t="s">
        <v>40</v>
      </c>
      <c r="K4" s="3">
        <v>2</v>
      </c>
      <c r="N4" s="3">
        <v>138.19</v>
      </c>
      <c r="O4" s="3">
        <v>276.38</v>
      </c>
      <c r="Q4" s="7">
        <f>K4*N4</f>
        <v>276.38</v>
      </c>
      <c r="R4" s="7">
        <f t="shared" si="0"/>
        <v>276.38</v>
      </c>
    </row>
    <row r="5" spans="1:18" ht="14.25" customHeight="1" x14ac:dyDescent="0.3">
      <c r="A5" s="3">
        <v>28860</v>
      </c>
      <c r="B5" s="3" t="s">
        <v>23</v>
      </c>
      <c r="C5" s="3" t="s">
        <v>17</v>
      </c>
      <c r="D5" s="4" t="s">
        <v>19</v>
      </c>
      <c r="E5" s="4">
        <v>1</v>
      </c>
      <c r="F5" s="10">
        <v>43888</v>
      </c>
      <c r="G5" s="11" t="s">
        <v>33</v>
      </c>
      <c r="J5" s="3" t="s">
        <v>40</v>
      </c>
      <c r="K5" s="3">
        <v>1</v>
      </c>
      <c r="N5" s="3">
        <v>152.91</v>
      </c>
      <c r="O5" s="3">
        <v>152.91</v>
      </c>
      <c r="Q5" s="7">
        <f>K5*N5</f>
        <v>152.91</v>
      </c>
      <c r="R5" s="7">
        <f t="shared" si="0"/>
        <v>152.91</v>
      </c>
    </row>
    <row r="6" spans="1:18" ht="14.25" customHeight="1" x14ac:dyDescent="0.3">
      <c r="A6" s="3">
        <v>28861</v>
      </c>
      <c r="B6" s="3" t="s">
        <v>24</v>
      </c>
      <c r="C6" s="3" t="s">
        <v>17</v>
      </c>
      <c r="D6" s="4" t="s">
        <v>19</v>
      </c>
      <c r="E6" s="4">
        <v>1</v>
      </c>
      <c r="F6" s="10">
        <v>43888</v>
      </c>
      <c r="G6" s="11" t="s">
        <v>33</v>
      </c>
      <c r="J6" s="3" t="s">
        <v>40</v>
      </c>
      <c r="K6" s="3">
        <v>1</v>
      </c>
      <c r="N6" s="3">
        <v>49.54</v>
      </c>
      <c r="O6" s="3">
        <v>49.54</v>
      </c>
      <c r="Q6" s="7">
        <f>K6*N6</f>
        <v>49.54</v>
      </c>
      <c r="R6" s="7">
        <f t="shared" si="0"/>
        <v>49.54</v>
      </c>
    </row>
    <row r="7" spans="1:18" ht="14.25" customHeight="1" x14ac:dyDescent="0.3">
      <c r="A7" s="3">
        <v>32355</v>
      </c>
      <c r="B7" s="3">
        <v>115959</v>
      </c>
      <c r="C7" s="3" t="s">
        <v>17</v>
      </c>
      <c r="D7" s="4" t="s">
        <v>19</v>
      </c>
      <c r="E7" s="4">
        <v>1</v>
      </c>
      <c r="F7" s="10">
        <v>44011</v>
      </c>
      <c r="G7" s="11" t="s">
        <v>34</v>
      </c>
      <c r="J7" s="3" t="s">
        <v>40</v>
      </c>
      <c r="K7" s="3">
        <v>160</v>
      </c>
      <c r="N7" s="3">
        <v>3.32</v>
      </c>
      <c r="O7" s="3">
        <v>531.19999999999993</v>
      </c>
      <c r="Q7" s="7">
        <f>K7*N7</f>
        <v>531.19999999999993</v>
      </c>
      <c r="R7" s="7">
        <f t="shared" si="0"/>
        <v>531.19999999999993</v>
      </c>
    </row>
    <row r="8" spans="1:18" ht="14.25" customHeight="1" x14ac:dyDescent="0.3">
      <c r="A8" s="3">
        <v>34796</v>
      </c>
      <c r="B8" s="3" t="s">
        <v>25</v>
      </c>
      <c r="C8" s="3" t="s">
        <v>21</v>
      </c>
      <c r="D8" s="4" t="s">
        <v>19</v>
      </c>
      <c r="E8" s="4">
        <v>1</v>
      </c>
      <c r="F8" s="10">
        <v>44118</v>
      </c>
      <c r="G8" s="11" t="s">
        <v>35</v>
      </c>
      <c r="J8" s="3" t="s">
        <v>40</v>
      </c>
      <c r="K8" s="3">
        <v>1</v>
      </c>
      <c r="N8" s="3">
        <v>138.22999999999999</v>
      </c>
      <c r="O8" s="3">
        <v>138.22999999999999</v>
      </c>
      <c r="Q8" s="7">
        <f>K8*N8</f>
        <v>138.22999999999999</v>
      </c>
      <c r="R8" s="7">
        <f t="shared" si="0"/>
        <v>138.22999999999999</v>
      </c>
    </row>
    <row r="9" spans="1:18" ht="14.25" customHeight="1" x14ac:dyDescent="0.3">
      <c r="A9" s="3">
        <v>39722</v>
      </c>
      <c r="B9" s="3" t="s">
        <v>26</v>
      </c>
      <c r="C9" s="3" t="s">
        <v>17</v>
      </c>
      <c r="D9" s="4" t="s">
        <v>19</v>
      </c>
      <c r="E9" s="4">
        <v>1</v>
      </c>
      <c r="F9" s="10">
        <v>44251</v>
      </c>
      <c r="G9" s="11" t="s">
        <v>36</v>
      </c>
      <c r="J9" s="3" t="s">
        <v>40</v>
      </c>
      <c r="K9" s="3">
        <v>1</v>
      </c>
      <c r="N9" s="3">
        <v>88.22</v>
      </c>
      <c r="O9" s="3">
        <v>88.22</v>
      </c>
      <c r="Q9" s="7">
        <f>K9*N9</f>
        <v>88.22</v>
      </c>
      <c r="R9" s="7">
        <f t="shared" si="0"/>
        <v>88.22</v>
      </c>
    </row>
    <row r="10" spans="1:18" ht="14.25" customHeight="1" x14ac:dyDescent="0.3">
      <c r="A10" s="3">
        <v>41516</v>
      </c>
      <c r="B10" s="3" t="s">
        <v>27</v>
      </c>
      <c r="C10" s="3" t="s">
        <v>17</v>
      </c>
      <c r="D10" s="4" t="s">
        <v>19</v>
      </c>
      <c r="E10" s="4">
        <v>1</v>
      </c>
      <c r="F10" s="10">
        <v>44294</v>
      </c>
      <c r="G10" s="11" t="s">
        <v>37</v>
      </c>
      <c r="J10" s="3" t="s">
        <v>40</v>
      </c>
      <c r="K10" s="3">
        <v>1</v>
      </c>
      <c r="N10" s="3">
        <v>424.8</v>
      </c>
      <c r="O10" s="3">
        <v>424.8</v>
      </c>
      <c r="Q10" s="7">
        <f>K10*N10</f>
        <v>424.8</v>
      </c>
      <c r="R10" s="7">
        <f t="shared" si="0"/>
        <v>424.8</v>
      </c>
    </row>
    <row r="11" spans="1:18" ht="14.25" customHeight="1" x14ac:dyDescent="0.3">
      <c r="A11" s="3">
        <v>41733</v>
      </c>
      <c r="B11" s="3" t="s">
        <v>28</v>
      </c>
      <c r="C11" s="3" t="s">
        <v>17</v>
      </c>
      <c r="D11" s="4" t="s">
        <v>19</v>
      </c>
      <c r="E11" s="4">
        <v>1</v>
      </c>
      <c r="F11" s="10">
        <v>44300</v>
      </c>
      <c r="G11" s="11" t="s">
        <v>37</v>
      </c>
      <c r="J11" s="3" t="s">
        <v>40</v>
      </c>
      <c r="K11" s="3">
        <v>1</v>
      </c>
      <c r="N11" s="3">
        <v>658.13</v>
      </c>
      <c r="O11" s="3">
        <v>658.13</v>
      </c>
      <c r="Q11" s="7">
        <f>K11*N11</f>
        <v>658.13</v>
      </c>
      <c r="R11" s="7">
        <f t="shared" si="0"/>
        <v>658.13</v>
      </c>
    </row>
    <row r="12" spans="1:18" ht="14.25" customHeight="1" x14ac:dyDescent="0.3">
      <c r="A12" s="3">
        <v>41801</v>
      </c>
      <c r="B12" s="3" t="s">
        <v>29</v>
      </c>
      <c r="C12" s="3" t="s">
        <v>17</v>
      </c>
      <c r="D12" s="4" t="s">
        <v>19</v>
      </c>
      <c r="E12" s="4">
        <v>1</v>
      </c>
      <c r="F12" s="10">
        <v>44302</v>
      </c>
      <c r="G12" s="11" t="s">
        <v>37</v>
      </c>
      <c r="J12" s="3" t="s">
        <v>40</v>
      </c>
      <c r="K12" s="3">
        <v>12</v>
      </c>
      <c r="N12" s="3">
        <v>198.71</v>
      </c>
      <c r="O12" s="3">
        <v>2533.5500000000002</v>
      </c>
      <c r="Q12" s="7">
        <f>K12*N12</f>
        <v>2384.52</v>
      </c>
      <c r="R12" s="7">
        <f t="shared" si="0"/>
        <v>2384.52</v>
      </c>
    </row>
    <row r="13" spans="1:18" ht="14.25" customHeight="1" x14ac:dyDescent="0.3">
      <c r="A13" s="3">
        <v>52669</v>
      </c>
      <c r="B13" s="3">
        <v>901886</v>
      </c>
      <c r="C13" s="3" t="s">
        <v>20</v>
      </c>
      <c r="D13" s="4" t="s">
        <v>19</v>
      </c>
      <c r="E13" s="4">
        <v>1</v>
      </c>
      <c r="F13" s="10">
        <v>44594</v>
      </c>
      <c r="G13" s="11" t="s">
        <v>38</v>
      </c>
      <c r="J13" s="3" t="s">
        <v>40</v>
      </c>
      <c r="K13" s="3">
        <v>1</v>
      </c>
      <c r="N13" s="3">
        <v>69</v>
      </c>
      <c r="O13" s="3">
        <v>69</v>
      </c>
      <c r="Q13" s="7">
        <f>K13*N13</f>
        <v>69</v>
      </c>
      <c r="R13" s="7">
        <f t="shared" si="0"/>
        <v>69</v>
      </c>
    </row>
    <row r="14" spans="1:18" ht="14.25" customHeight="1" x14ac:dyDescent="0.3">
      <c r="A14" s="3">
        <v>52670</v>
      </c>
      <c r="B14" s="3">
        <v>901887</v>
      </c>
      <c r="C14" s="3" t="s">
        <v>20</v>
      </c>
      <c r="D14" s="4" t="s">
        <v>19</v>
      </c>
      <c r="E14" s="4">
        <v>1</v>
      </c>
      <c r="F14" s="10">
        <v>44594</v>
      </c>
      <c r="G14" s="11" t="s">
        <v>38</v>
      </c>
      <c r="J14" s="3" t="s">
        <v>40</v>
      </c>
      <c r="K14" s="3">
        <v>6</v>
      </c>
      <c r="N14" s="3">
        <v>29.22167</v>
      </c>
      <c r="O14" s="3">
        <v>829.00001999999995</v>
      </c>
      <c r="Q14" s="7">
        <f>K14*N14</f>
        <v>175.33001999999999</v>
      </c>
      <c r="R14" s="7">
        <f t="shared" si="0"/>
        <v>175.33001999999999</v>
      </c>
    </row>
  </sheetData>
  <phoneticPr fontId="6" type="noConversion"/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Credit</vt:lpstr>
    </vt:vector>
  </TitlesOfParts>
  <Company>Netsuite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isanmiguel</dc:creator>
  <cp:lastModifiedBy>paapr</cp:lastModifiedBy>
  <dcterms:created xsi:type="dcterms:W3CDTF">2011-09-13T18:19:44Z</dcterms:created>
  <dcterms:modified xsi:type="dcterms:W3CDTF">2022-10-25T12:35:27Z</dcterms:modified>
</cp:coreProperties>
</file>