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N:\NetSuite N Paapri Information\Open Transaction Templates for Go Live\"/>
    </mc:Choice>
  </mc:AlternateContent>
  <xr:revisionPtr revIDLastSave="0" documentId="13_ncr:1_{E5D25C56-B592-40DD-BAA5-F1E095F90F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ndor Cred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" l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Q32" i="1"/>
  <c r="Q21" i="1"/>
  <c r="Q22" i="1"/>
  <c r="Q23" i="1"/>
  <c r="Q24" i="1"/>
  <c r="Q25" i="1"/>
  <c r="Q26" i="1"/>
  <c r="Q27" i="1"/>
  <c r="Q28" i="1"/>
  <c r="Q29" i="1"/>
  <c r="Q30" i="1"/>
  <c r="Q31" i="1"/>
  <c r="Q33" i="1"/>
  <c r="Q20" i="1"/>
  <c r="R19" i="1"/>
  <c r="Q19" i="1"/>
</calcChain>
</file>

<file path=xl/sharedStrings.xml><?xml version="1.0" encoding="utf-8"?>
<sst xmlns="http://schemas.openxmlformats.org/spreadsheetml/2006/main" count="163" uniqueCount="108">
  <si>
    <t>Amount</t>
  </si>
  <si>
    <t>Auto Apply</t>
  </si>
  <si>
    <t>ExternalID</t>
  </si>
  <si>
    <t>memo</t>
  </si>
  <si>
    <t>Reference No.</t>
  </si>
  <si>
    <t>Posting Period</t>
  </si>
  <si>
    <t>Vendor</t>
  </si>
  <si>
    <t>Date</t>
  </si>
  <si>
    <t>Exchange Rate</t>
  </si>
  <si>
    <t>Currency</t>
  </si>
  <si>
    <t>Memo</t>
  </si>
  <si>
    <t xml:space="preserve">
This is the Unique backend Identifier. Can be copied from the Reference Number in the absence of any Unique backend identifier.</t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</si>
  <si>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Enter a vendor bill purchase number. 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</si>
  <si>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This element is a reference to a posting period that must exist in your account prior to import.
NOTE: The status of the accounting period on which this transaction will be posted should be OPEN.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</si>
  <si>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This is a reference to a Vendor record that must exist in your account prior to import (Lists &gt; Relationships &gt; Vendors).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</si>
  <si>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Enter the Date the vendor bill was created. Date should be entered in the format that is supported by your account (Setup &gt; Company &gt; General Preferences).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</si>
  <si>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Enter the exchange rate applied in this transaction. 
</t>
    </r>
    <r>
      <rPr>
        <b/>
        <sz val="10"/>
        <color indexed="10"/>
        <rFont val="Arial"/>
        <family val="2"/>
      </rPr>
      <t>NOTE: If you are using Multiple currencies, this column becomes mandatory.</t>
    </r>
    <r>
      <rPr>
        <b/>
        <sz val="10"/>
        <rFont val="Arial"/>
        <family val="2"/>
      </rPr>
      <t xml:space="preserve">
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</si>
  <si>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This is a reference to a Currency record that must exist in your account prior to import (Lists &gt; Accounting &gt; Currencies). 
</t>
    </r>
    <r>
      <rPr>
        <b/>
        <sz val="10"/>
        <color indexed="10"/>
        <rFont val="Arial"/>
        <family val="2"/>
      </rPr>
      <t>NOTE: This is mandatory if the Multi-Currency feature is enabled</t>
    </r>
  </si>
  <si>
    <r>
      <rPr>
        <b/>
        <sz val="10"/>
        <color indexed="12"/>
        <rFont val="Arial"/>
        <family val="2"/>
      </rPr>
      <t>HEADER</t>
    </r>
    <r>
      <rPr>
        <b/>
        <sz val="10"/>
        <rFont val="Arial"/>
        <family val="2"/>
      </rPr>
      <t xml:space="preserve">
Enter vendor bill memo</t>
    </r>
  </si>
  <si>
    <t>List</t>
  </si>
  <si>
    <t>Alpha Numeric</t>
  </si>
  <si>
    <t>Decimal</t>
  </si>
  <si>
    <t>String</t>
  </si>
  <si>
    <t>String Max Size 15</t>
  </si>
  <si>
    <t>mmm yyyy</t>
  </si>
  <si>
    <t>mm/dd/yyyy</t>
  </si>
  <si>
    <t>Max 21 characters</t>
  </si>
  <si>
    <t>String Max Size 999</t>
  </si>
  <si>
    <t>B-151</t>
  </si>
  <si>
    <t>Vendor ID</t>
  </si>
  <si>
    <t>ALL FIELDS MARKED IN RED ARE MANDATORY</t>
  </si>
  <si>
    <t>purchaseItemline_itemRef</t>
  </si>
  <si>
    <t>purchaseItemline_quantity</t>
  </si>
  <si>
    <t>purchaseItemline_serialNumbers</t>
  </si>
  <si>
    <t>purchaseitemline_unitsRef</t>
  </si>
  <si>
    <t>purchaseItemLine_rate</t>
  </si>
  <si>
    <t>purchaseItemLine_amount</t>
  </si>
  <si>
    <t>purchaseItemLine_description</t>
  </si>
  <si>
    <t>Item</t>
  </si>
  <si>
    <t>Quantity</t>
  </si>
  <si>
    <t>Serial/Lot Numbers</t>
  </si>
  <si>
    <t>Units</t>
  </si>
  <si>
    <t>Rate</t>
  </si>
  <si>
    <t>Description</t>
  </si>
  <si>
    <r>
      <rPr>
        <b/>
        <sz val="10"/>
        <color indexed="12"/>
        <rFont val="Arial"/>
        <family val="2"/>
      </rPr>
      <t>EXPENSES AND ITEMS &gt; Items</t>
    </r>
    <r>
      <rPr>
        <b/>
        <sz val="10"/>
        <rFont val="Arial"/>
        <family val="2"/>
      </rPr>
      <t xml:space="preserve">
This element is a reference to an item record that must exist in your account prior to import. In order to refer a child item provide the complete hierarchy in the format Parent Item Name : Child Item Name</t>
    </r>
  </si>
  <si>
    <r>
      <rPr>
        <b/>
        <sz val="10"/>
        <color indexed="12"/>
        <rFont val="Arial"/>
        <family val="2"/>
      </rPr>
      <t>EXPENSES AND ITEMS &gt; Items</t>
    </r>
    <r>
      <rPr>
        <b/>
        <sz val="10"/>
        <rFont val="Arial"/>
        <family val="2"/>
      </rPr>
      <t xml:space="preserve">
Enter the Quantity of the Item</t>
    </r>
  </si>
  <si>
    <r>
      <rPr>
        <b/>
        <sz val="10"/>
        <color indexed="12"/>
        <rFont val="Arial"/>
        <family val="2"/>
      </rPr>
      <t>EXPENSES AND ITEMS &gt; Items</t>
    </r>
    <r>
      <rPr>
        <b/>
        <sz val="10"/>
        <rFont val="Arial"/>
        <family val="2"/>
      </rPr>
      <t xml:space="preserve">
If item is serialized, enter serial number.
If item is lot-controlled, enter lot number.</t>
    </r>
  </si>
  <si>
    <r>
      <rPr>
        <b/>
        <sz val="10"/>
        <color indexed="12"/>
        <rFont val="Arial"/>
        <family val="2"/>
      </rPr>
      <t>EXPENSES AND ITEMS &gt; Items</t>
    </r>
    <r>
      <rPr>
        <b/>
        <sz val="10"/>
        <rFont val="Arial"/>
        <family val="2"/>
      </rPr>
      <t xml:space="preserve">
This is a reference to a Unit of Measure that must exist in your account prior to import.</t>
    </r>
  </si>
  <si>
    <r>
      <rPr>
        <b/>
        <sz val="10"/>
        <color indexed="12"/>
        <rFont val="Arial"/>
        <family val="2"/>
      </rPr>
      <t>EXPENSES AND ITEMS &gt; Items</t>
    </r>
    <r>
      <rPr>
        <b/>
        <sz val="10"/>
        <rFont val="Arial"/>
        <family val="2"/>
      </rPr>
      <t xml:space="preserve">
Enter the Per Unit Rate of the Item</t>
    </r>
  </si>
  <si>
    <r>
      <rPr>
        <b/>
        <sz val="10"/>
        <color indexed="12"/>
        <rFont val="Arial"/>
        <family val="2"/>
      </rPr>
      <t>EXPENSES AND ITEMS &gt; Items</t>
    </r>
    <r>
      <rPr>
        <b/>
        <sz val="10"/>
        <rFont val="Arial"/>
        <family val="2"/>
      </rPr>
      <t xml:space="preserve">
Enter the Amount of the item.</t>
    </r>
  </si>
  <si>
    <r>
      <rPr>
        <b/>
        <sz val="10"/>
        <color indexed="12"/>
        <rFont val="Arial"/>
        <family val="2"/>
      </rPr>
      <t>EXPENSES AND ITEMS &gt; Items</t>
    </r>
    <r>
      <rPr>
        <b/>
        <sz val="10"/>
        <rFont val="Arial"/>
        <family val="2"/>
      </rPr>
      <t xml:space="preserve">
Enter item description</t>
    </r>
  </si>
  <si>
    <t>Double</t>
  </si>
  <si>
    <t>STRING</t>
  </si>
  <si>
    <t>String Max Size 4000</t>
  </si>
  <si>
    <t>Item A : Item B</t>
  </si>
  <si>
    <t>Item A : Item B : Item C</t>
  </si>
  <si>
    <t>Payment</t>
  </si>
  <si>
    <t>Apply</t>
  </si>
  <si>
    <t>applyLine1_paymentAmount</t>
  </si>
  <si>
    <r>
      <rPr>
        <b/>
        <sz val="10"/>
        <color indexed="12"/>
        <rFont val="Arial"/>
        <family val="2"/>
      </rPr>
      <t>APPLY</t>
    </r>
    <r>
      <rPr>
        <b/>
        <sz val="10"/>
        <rFont val="Arial"/>
        <family val="2"/>
      </rPr>
      <t xml:space="preserve">
Reference to a vendor bill to which the amount is to be applied.</t>
    </r>
  </si>
  <si>
    <r>
      <rPr>
        <b/>
        <sz val="10"/>
        <color indexed="12"/>
        <rFont val="Arial"/>
        <family val="2"/>
      </rPr>
      <t>APPLY</t>
    </r>
    <r>
      <rPr>
        <b/>
        <sz val="10"/>
        <rFont val="Arial"/>
        <family val="2"/>
      </rPr>
      <t xml:space="preserve">
Enter the Payment amount to be applied to the respective vendor bill.</t>
    </r>
  </si>
  <si>
    <t>Trx001</t>
  </si>
  <si>
    <t>If the transaction has multiple Item Lines, repeat the Values in all the rows starting Column A (tranId) till Column Q (custom:Field Name) for all the Multiple Lines of a transactions. All values starting from Column R (purchaseItemline_itemRef) should have data for each individual Item.</t>
  </si>
  <si>
    <r>
      <rPr>
        <b/>
        <sz val="10"/>
        <color indexed="12"/>
        <rFont val="Arial"/>
        <family val="2"/>
      </rPr>
      <t>ITEM</t>
    </r>
    <r>
      <rPr>
        <b/>
        <sz val="10"/>
        <rFont val="Arial"/>
        <family val="2"/>
      </rPr>
      <t xml:space="preserve">
Enter TRUE if applied. Note apply lines should be included in the mapping
If Blank, system will automatically set this to FALSE</t>
    </r>
  </si>
  <si>
    <t>externalid</t>
  </si>
  <si>
    <t>tranid</t>
  </si>
  <si>
    <t>vendor</t>
  </si>
  <si>
    <t>currency</t>
  </si>
  <si>
    <t>exchangerate</t>
  </si>
  <si>
    <t>trandate</t>
  </si>
  <si>
    <t>postingperiod</t>
  </si>
  <si>
    <t>autoapply</t>
  </si>
  <si>
    <t>applyLine1_tranId</t>
  </si>
  <si>
    <t>Black Cat Blade Inc</t>
  </si>
  <si>
    <t>CM-117551</t>
  </si>
  <si>
    <t>USA</t>
  </si>
  <si>
    <t>Freight Costs</t>
  </si>
  <si>
    <t>Olofsfors Sharq</t>
  </si>
  <si>
    <t>SH-122-454410</t>
  </si>
  <si>
    <t>ITR America</t>
  </si>
  <si>
    <t>I819724</t>
  </si>
  <si>
    <t>CAS 372082A2</t>
  </si>
  <si>
    <t>CM-115722</t>
  </si>
  <si>
    <t>CM-115729</t>
  </si>
  <si>
    <t>Misc Parts</t>
  </si>
  <si>
    <t>BIT C855LR</t>
  </si>
  <si>
    <t>I896755</t>
  </si>
  <si>
    <t>V 11011143</t>
  </si>
  <si>
    <t>CM-116410</t>
  </si>
  <si>
    <t>CM-116486</t>
  </si>
  <si>
    <t>D34174</t>
  </si>
  <si>
    <t>CM-115626</t>
  </si>
  <si>
    <t>CM-116520</t>
  </si>
  <si>
    <t>CIJT874875-ACI</t>
  </si>
  <si>
    <t>CIJT873675-ACI</t>
  </si>
  <si>
    <t>SH-122-361951</t>
  </si>
  <si>
    <t>SH-122-454502</t>
  </si>
  <si>
    <t>SH-122-454512</t>
  </si>
  <si>
    <t>CM-116521</t>
  </si>
  <si>
    <t>Oct 2022</t>
  </si>
  <si>
    <t>Aug 2022</t>
  </si>
  <si>
    <t>Jan 2020</t>
  </si>
  <si>
    <t>Feb 2020</t>
  </si>
  <si>
    <t>Jun 2020</t>
  </si>
  <si>
    <t>Oct 2020</t>
  </si>
  <si>
    <t>Feb 2021</t>
  </si>
  <si>
    <t>Apr 2021</t>
  </si>
  <si>
    <t>Feb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</si>
</sst>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  <font>
      <b/>
      <sz val="7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Fill="1" applyAlignment="1"/>
    <xf numFmtId="0" fontId="2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5" fillId="0" borderId="0" xfId="0" applyFont="1"/>
    <xf numFmtId="0" fontId="1" fillId="0" borderId="0" xfId="0" applyFont="1"/>
    <xf numFmtId="0" fontId="3" fillId="2" borderId="0" xfId="0" applyFont="1" applyFill="1" applyAlignment="1">
      <alignment vertical="top" wrapText="1"/>
    </xf>
    <xf numFmtId="0" fontId="0" fillId="2" borderId="0" xfId="0" applyFill="1"/>
    <xf numFmtId="0" fontId="3" fillId="3" borderId="0" xfId="0" applyFont="1" applyFill="1" applyAlignment="1">
      <alignment vertical="top" wrapText="1"/>
    </xf>
    <xf numFmtId="14" fontId="3" fillId="3" borderId="0" xfId="0" applyNumberFormat="1" applyFont="1" applyFill="1" applyAlignment="1">
      <alignment vertical="top" wrapText="1"/>
    </xf>
    <xf numFmtId="0" fontId="3" fillId="3" borderId="0" xfId="0" applyFont="1" applyFill="1" applyBorder="1" applyAlignment="1">
      <alignment vertical="top" wrapText="1"/>
    </xf>
    <xf numFmtId="0" fontId="0" fillId="3" borderId="0" xfId="0" applyFill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Fill="1"/>
    <xf numFmtId="0" fontId="0" fillId="0" borderId="0" xfId="0" applyAlignment="1">
      <alignment vertical="top" wrapText="1"/>
    </xf>
    <xf numFmtId="0" fontId="6" fillId="0" borderId="0" xfId="0" applyFont="1" applyFill="1" applyBorder="1" applyAlignment="1">
      <alignment vertical="top"/>
    </xf>
    <xf numFmtId="0" fontId="6" fillId="0" borderId="0" xfId="0" applyFont="1" applyFill="1" applyAlignment="1">
      <alignment vertical="top" wrapText="1"/>
    </xf>
    <xf numFmtId="14" fontId="3" fillId="0" borderId="0" xfId="0" applyNumberFormat="1" applyFont="1" applyFill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2" fillId="0" borderId="0" xfId="0" applyFont="1" applyFill="1" applyBorder="1" applyAlignment="1">
      <alignment horizontal="left" vertical="top" wrapText="1"/>
    </xf>
    <xf numFmtId="49" fontId="3" fillId="0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workbookViewId="0">
      <selection activeCell="F18" sqref="F18"/>
    </sheetView>
  </sheetViews>
  <sheetFormatPr defaultColWidth="23.28515625" defaultRowHeight="14.25" customHeight="1" x14ac:dyDescent="0.25"/>
  <cols>
    <col min="1" max="3" width="23.28515625" style="3"/>
    <col min="4" max="5" width="23.28515625" style="7"/>
    <col min="6" max="6" width="24.7109375" style="3" bestFit="1" customWidth="1"/>
    <col min="7" max="7" width="29.140625" style="3" bestFit="1" customWidth="1"/>
    <col min="8" max="8" width="0" style="3" hidden="1" customWidth="1"/>
    <col min="9" max="9" width="0" hidden="1" customWidth="1"/>
    <col min="10" max="11" width="23.28515625" style="3"/>
    <col min="12" max="13" width="0" style="3" hidden="1" customWidth="1"/>
    <col min="14" max="14" width="23.28515625" style="3"/>
    <col min="15" max="16" width="0" style="3" hidden="1" customWidth="1"/>
    <col min="17" max="17" width="44.7109375" style="18" customWidth="1"/>
    <col min="18" max="18" width="36" style="18" customWidth="1"/>
  </cols>
  <sheetData>
    <row r="1" spans="1:18" ht="14.25" customHeight="1" x14ac:dyDescent="0.25">
      <c r="A1" s="1" t="s">
        <v>64</v>
      </c>
      <c r="B1" s="2" t="s">
        <v>65</v>
      </c>
      <c r="C1" s="2" t="s">
        <v>66</v>
      </c>
      <c r="D1" s="19" t="s">
        <v>67</v>
      </c>
      <c r="E1" s="19" t="s">
        <v>68</v>
      </c>
      <c r="F1" s="2" t="s">
        <v>69</v>
      </c>
      <c r="G1" s="20" t="s">
        <v>70</v>
      </c>
      <c r="H1" s="3" t="s">
        <v>3</v>
      </c>
      <c r="I1" s="8" t="s">
        <v>71</v>
      </c>
      <c r="J1" s="2" t="s">
        <v>31</v>
      </c>
      <c r="K1" s="2" t="s">
        <v>32</v>
      </c>
      <c r="L1" s="3" t="s">
        <v>33</v>
      </c>
      <c r="M1" s="3" t="s">
        <v>34</v>
      </c>
      <c r="N1" s="2" t="s">
        <v>35</v>
      </c>
      <c r="O1" s="3" t="s">
        <v>36</v>
      </c>
      <c r="P1" s="3" t="s">
        <v>37</v>
      </c>
      <c r="Q1" s="2" t="s">
        <v>72</v>
      </c>
      <c r="R1" s="2" t="s">
        <v>58</v>
      </c>
    </row>
    <row r="2" spans="1:18" ht="14.25" customHeight="1" x14ac:dyDescent="0.25">
      <c r="A2" s="1" t="s">
        <v>2</v>
      </c>
      <c r="B2" s="2" t="s">
        <v>4</v>
      </c>
      <c r="C2" s="2" t="s">
        <v>6</v>
      </c>
      <c r="D2" s="19" t="s">
        <v>9</v>
      </c>
      <c r="E2" s="19" t="s">
        <v>8</v>
      </c>
      <c r="F2" s="2" t="s">
        <v>7</v>
      </c>
      <c r="G2" s="20" t="s">
        <v>5</v>
      </c>
      <c r="H2" s="3" t="s">
        <v>10</v>
      </c>
      <c r="I2" s="8" t="s">
        <v>1</v>
      </c>
      <c r="J2" s="2" t="s">
        <v>38</v>
      </c>
      <c r="K2" s="2" t="s">
        <v>39</v>
      </c>
      <c r="L2" s="3" t="s">
        <v>40</v>
      </c>
      <c r="M2" s="3" t="s">
        <v>41</v>
      </c>
      <c r="N2" s="2" t="s">
        <v>42</v>
      </c>
      <c r="O2" s="3" t="s">
        <v>0</v>
      </c>
      <c r="P2" s="3" t="s">
        <v>43</v>
      </c>
      <c r="Q2" s="15" t="s">
        <v>57</v>
      </c>
      <c r="R2" s="15" t="s">
        <v>56</v>
      </c>
    </row>
    <row r="3" spans="1:18" ht="165.75" x14ac:dyDescent="0.25">
      <c r="A3" s="3" t="s">
        <v>11</v>
      </c>
      <c r="B3" s="3" t="s">
        <v>12</v>
      </c>
      <c r="C3" s="4" t="s">
        <v>14</v>
      </c>
      <c r="D3" s="4" t="s">
        <v>17</v>
      </c>
      <c r="E3" s="4" t="s">
        <v>16</v>
      </c>
      <c r="F3" s="3" t="s">
        <v>15</v>
      </c>
      <c r="G3" s="3" t="s">
        <v>13</v>
      </c>
      <c r="H3" s="3" t="s">
        <v>18</v>
      </c>
      <c r="I3" s="3" t="s">
        <v>63</v>
      </c>
      <c r="J3" s="3" t="s">
        <v>44</v>
      </c>
      <c r="K3" s="3" t="s">
        <v>45</v>
      </c>
      <c r="L3" s="3" t="s">
        <v>46</v>
      </c>
      <c r="M3" s="3" t="s">
        <v>47</v>
      </c>
      <c r="N3" s="3" t="s">
        <v>48</v>
      </c>
      <c r="O3" s="3" t="s">
        <v>49</v>
      </c>
      <c r="P3" s="3" t="s">
        <v>50</v>
      </c>
      <c r="Q3" s="16" t="s">
        <v>59</v>
      </c>
      <c r="R3" s="16" t="s">
        <v>60</v>
      </c>
    </row>
    <row r="4" spans="1:18" s="10" customFormat="1" ht="14.25" customHeight="1" x14ac:dyDescent="0.25">
      <c r="A4" s="9"/>
      <c r="B4" s="9" t="s">
        <v>20</v>
      </c>
      <c r="C4" s="9" t="s">
        <v>19</v>
      </c>
      <c r="D4" s="5" t="s">
        <v>19</v>
      </c>
      <c r="E4" s="5" t="s">
        <v>21</v>
      </c>
      <c r="F4" s="9" t="s">
        <v>7</v>
      </c>
      <c r="G4" s="9" t="s">
        <v>19</v>
      </c>
      <c r="H4" s="9" t="s">
        <v>22</v>
      </c>
      <c r="J4" s="9" t="s">
        <v>19</v>
      </c>
      <c r="K4" s="9" t="s">
        <v>51</v>
      </c>
      <c r="L4" s="9" t="s">
        <v>20</v>
      </c>
      <c r="M4" s="9" t="s">
        <v>19</v>
      </c>
      <c r="N4" s="9" t="s">
        <v>22</v>
      </c>
      <c r="O4" s="9" t="s">
        <v>51</v>
      </c>
      <c r="P4" s="9" t="s">
        <v>20</v>
      </c>
      <c r="Q4" s="9" t="s">
        <v>19</v>
      </c>
      <c r="R4" s="9" t="s">
        <v>51</v>
      </c>
    </row>
    <row r="5" spans="1:18" s="10" customFormat="1" ht="14.25" customHeight="1" x14ac:dyDescent="0.25">
      <c r="A5" s="9"/>
      <c r="B5" s="9" t="s">
        <v>23</v>
      </c>
      <c r="C5" s="9" t="s">
        <v>19</v>
      </c>
      <c r="D5" s="5" t="s">
        <v>19</v>
      </c>
      <c r="E5" s="5" t="s">
        <v>26</v>
      </c>
      <c r="F5" s="9" t="s">
        <v>25</v>
      </c>
      <c r="G5" s="9" t="s">
        <v>24</v>
      </c>
      <c r="H5" s="9" t="s">
        <v>27</v>
      </c>
      <c r="J5" s="9" t="s">
        <v>19</v>
      </c>
      <c r="K5" s="9"/>
      <c r="L5" s="9" t="s">
        <v>52</v>
      </c>
      <c r="M5" s="9" t="s">
        <v>19</v>
      </c>
      <c r="N5" s="9" t="s">
        <v>23</v>
      </c>
      <c r="O5" s="9"/>
      <c r="P5" s="9" t="s">
        <v>53</v>
      </c>
      <c r="Q5" s="9" t="s">
        <v>19</v>
      </c>
      <c r="R5" s="9" t="s">
        <v>51</v>
      </c>
    </row>
    <row r="6" spans="1:18" s="14" customFormat="1" ht="14.25" customHeight="1" x14ac:dyDescent="0.25">
      <c r="A6" s="11"/>
      <c r="B6" s="11" t="s">
        <v>28</v>
      </c>
      <c r="C6" s="11" t="s">
        <v>29</v>
      </c>
      <c r="D6" s="13"/>
      <c r="E6" s="13"/>
      <c r="F6" s="12">
        <v>39920</v>
      </c>
      <c r="G6" s="11"/>
      <c r="H6" s="11"/>
      <c r="J6" s="11" t="s">
        <v>54</v>
      </c>
      <c r="K6" s="11">
        <v>10</v>
      </c>
      <c r="L6" s="11"/>
      <c r="M6" s="11"/>
      <c r="N6" s="11">
        <v>5</v>
      </c>
      <c r="O6" s="11">
        <v>50</v>
      </c>
      <c r="P6" s="11"/>
      <c r="Q6" s="11"/>
      <c r="R6" s="11"/>
    </row>
    <row r="7" spans="1:18" s="14" customFormat="1" ht="14.25" customHeight="1" x14ac:dyDescent="0.25">
      <c r="A7" s="11"/>
      <c r="B7" s="11" t="s">
        <v>28</v>
      </c>
      <c r="C7" s="11" t="s">
        <v>29</v>
      </c>
      <c r="D7" s="13"/>
      <c r="E7" s="13"/>
      <c r="F7" s="12">
        <v>39920</v>
      </c>
      <c r="G7" s="11"/>
      <c r="H7" s="11"/>
      <c r="J7" s="11" t="s">
        <v>55</v>
      </c>
      <c r="K7" s="11">
        <v>20</v>
      </c>
      <c r="L7" s="11"/>
      <c r="M7" s="11"/>
      <c r="N7" s="11">
        <v>10</v>
      </c>
      <c r="O7" s="11">
        <v>200</v>
      </c>
      <c r="P7" s="11"/>
      <c r="Q7" s="11" t="s">
        <v>61</v>
      </c>
      <c r="R7" s="11">
        <v>100</v>
      </c>
    </row>
    <row r="8" spans="1:18" s="17" customFormat="1" ht="14.25" customHeight="1" x14ac:dyDescent="0.25">
      <c r="A8" s="6" t="s">
        <v>30</v>
      </c>
      <c r="B8" s="3"/>
      <c r="C8" s="3"/>
      <c r="D8" s="4"/>
      <c r="E8" s="4"/>
      <c r="F8" s="3"/>
      <c r="G8" s="3"/>
      <c r="H8" s="3"/>
      <c r="J8" s="3"/>
      <c r="K8" s="3"/>
      <c r="L8" s="3"/>
      <c r="M8" s="3"/>
      <c r="N8" s="3"/>
      <c r="O8" s="3"/>
      <c r="P8" s="3"/>
      <c r="Q8" s="3"/>
      <c r="R8" s="3"/>
    </row>
    <row r="9" spans="1:18" ht="14.25" customHeight="1" x14ac:dyDescent="0.25">
      <c r="A9" s="23" t="s">
        <v>62</v>
      </c>
      <c r="B9" s="6"/>
      <c r="Q9" s="3"/>
      <c r="R9" s="3"/>
    </row>
    <row r="10" spans="1:18" ht="14.25" customHeight="1" x14ac:dyDescent="0.25">
      <c r="A10" s="23"/>
      <c r="Q10" s="3"/>
      <c r="R10" s="3"/>
    </row>
    <row r="11" spans="1:18" ht="14.25" customHeight="1" x14ac:dyDescent="0.25">
      <c r="A11" s="23"/>
      <c r="Q11" s="3"/>
      <c r="R11" s="3"/>
    </row>
    <row r="12" spans="1:18" ht="14.25" customHeight="1" x14ac:dyDescent="0.25">
      <c r="A12" s="23"/>
      <c r="Q12" s="3"/>
      <c r="R12" s="3"/>
    </row>
    <row r="13" spans="1:18" ht="14.25" customHeight="1" x14ac:dyDescent="0.25">
      <c r="A13" s="23"/>
    </row>
    <row r="14" spans="1:18" ht="14.25" customHeight="1" x14ac:dyDescent="0.25">
      <c r="A14" s="23"/>
    </row>
    <row r="15" spans="1:18" ht="14.25" customHeight="1" x14ac:dyDescent="0.25">
      <c r="A15" s="23"/>
    </row>
    <row r="16" spans="1:18" ht="0.75" customHeight="1" x14ac:dyDescent="0.25">
      <c r="A16" s="23"/>
    </row>
    <row r="17" spans="1:18" ht="90.75" x14ac:dyDescent="0.25">
      <c r="A17" s="23"/>
      <c r="G17" s="22"/>
    </row>
    <row r="18" spans="1:18" ht="47.25" customHeight="1" x14ac:dyDescent="0.25">
      <c r="A18" s="23"/>
    </row>
    <row r="19" spans="1:18" ht="14.25" customHeight="1" x14ac:dyDescent="0.25">
      <c r="A19" s="3">
        <v>62734</v>
      </c>
      <c r="B19" s="3" t="s">
        <v>74</v>
      </c>
      <c r="C19" s="3" t="s">
        <v>73</v>
      </c>
      <c r="D19" s="7" t="s">
        <v>75</v>
      </c>
      <c r="E19" s="7">
        <v>1</v>
      </c>
      <c r="F19" s="21">
        <v>44851</v>
      </c>
      <c r="G19" s="24" t="s">
        <v>99</v>
      </c>
      <c r="J19" s="3" t="s">
        <v>76</v>
      </c>
      <c r="K19" s="3">
        <v>1</v>
      </c>
      <c r="N19" s="3">
        <v>175.69</v>
      </c>
      <c r="Q19" s="18">
        <f>K19*N19</f>
        <v>175.69</v>
      </c>
      <c r="R19" s="18">
        <f>Q19</f>
        <v>175.69</v>
      </c>
    </row>
    <row r="20" spans="1:18" ht="14.25" customHeight="1" x14ac:dyDescent="0.25">
      <c r="A20" s="3">
        <v>60919</v>
      </c>
      <c r="B20" s="3">
        <v>902085</v>
      </c>
      <c r="C20" s="3" t="s">
        <v>77</v>
      </c>
      <c r="D20" s="7" t="s">
        <v>75</v>
      </c>
      <c r="E20" s="7">
        <v>1</v>
      </c>
      <c r="F20" s="21">
        <v>44803</v>
      </c>
      <c r="G20" s="24" t="s">
        <v>100</v>
      </c>
      <c r="J20" s="3" t="s">
        <v>78</v>
      </c>
      <c r="K20" s="3">
        <v>2</v>
      </c>
      <c r="N20" s="3">
        <v>47.64</v>
      </c>
      <c r="Q20" s="18">
        <f>K20*N20</f>
        <v>95.28</v>
      </c>
      <c r="R20" s="18">
        <f t="shared" ref="R20:R33" si="0">Q20</f>
        <v>95.28</v>
      </c>
    </row>
    <row r="21" spans="1:18" ht="14.25" customHeight="1" x14ac:dyDescent="0.25">
      <c r="A21" s="3">
        <v>29608</v>
      </c>
      <c r="B21" s="3" t="s">
        <v>80</v>
      </c>
      <c r="C21" s="3" t="s">
        <v>79</v>
      </c>
      <c r="D21" s="7" t="s">
        <v>75</v>
      </c>
      <c r="E21" s="7">
        <v>1</v>
      </c>
      <c r="F21" s="21">
        <v>43857</v>
      </c>
      <c r="G21" s="24" t="s">
        <v>101</v>
      </c>
      <c r="J21" s="3" t="s">
        <v>81</v>
      </c>
      <c r="K21" s="3">
        <v>2</v>
      </c>
      <c r="N21" s="3">
        <v>138.19</v>
      </c>
      <c r="Q21" s="18">
        <f t="shared" ref="Q21:Q33" si="1">K21*N21</f>
        <v>276.38</v>
      </c>
      <c r="R21" s="18">
        <f t="shared" si="0"/>
        <v>276.38</v>
      </c>
    </row>
    <row r="22" spans="1:18" ht="14.25" customHeight="1" x14ac:dyDescent="0.25">
      <c r="A22" s="3">
        <v>28860</v>
      </c>
      <c r="B22" s="3" t="s">
        <v>82</v>
      </c>
      <c r="C22" s="3" t="s">
        <v>73</v>
      </c>
      <c r="D22" s="7" t="s">
        <v>75</v>
      </c>
      <c r="E22" s="7">
        <v>1</v>
      </c>
      <c r="F22" s="21">
        <v>43888</v>
      </c>
      <c r="G22" s="24" t="s">
        <v>102</v>
      </c>
      <c r="J22" s="3" t="s">
        <v>76</v>
      </c>
      <c r="K22" s="3">
        <v>1</v>
      </c>
      <c r="N22" s="3">
        <v>152.91</v>
      </c>
      <c r="Q22" s="18">
        <f t="shared" si="1"/>
        <v>152.91</v>
      </c>
      <c r="R22" s="18">
        <f t="shared" si="0"/>
        <v>152.91</v>
      </c>
    </row>
    <row r="23" spans="1:18" ht="14.25" customHeight="1" x14ac:dyDescent="0.25">
      <c r="A23" s="3">
        <v>28861</v>
      </c>
      <c r="B23" s="3" t="s">
        <v>83</v>
      </c>
      <c r="C23" s="3" t="s">
        <v>73</v>
      </c>
      <c r="D23" s="7" t="s">
        <v>75</v>
      </c>
      <c r="E23" s="7">
        <v>1</v>
      </c>
      <c r="F23" s="21">
        <v>43888</v>
      </c>
      <c r="G23" s="24" t="s">
        <v>102</v>
      </c>
      <c r="J23" s="3" t="s">
        <v>84</v>
      </c>
      <c r="K23" s="3">
        <v>1</v>
      </c>
      <c r="N23" s="3">
        <v>49.54</v>
      </c>
      <c r="Q23" s="18">
        <f t="shared" si="1"/>
        <v>49.54</v>
      </c>
      <c r="R23" s="18">
        <f t="shared" si="0"/>
        <v>49.54</v>
      </c>
    </row>
    <row r="24" spans="1:18" ht="14.25" customHeight="1" x14ac:dyDescent="0.25">
      <c r="A24" s="3">
        <v>32355</v>
      </c>
      <c r="B24" s="3">
        <v>115959</v>
      </c>
      <c r="C24" s="3" t="s">
        <v>73</v>
      </c>
      <c r="D24" s="7" t="s">
        <v>75</v>
      </c>
      <c r="E24" s="7">
        <v>1</v>
      </c>
      <c r="F24" s="21">
        <v>44011</v>
      </c>
      <c r="G24" s="24" t="s">
        <v>103</v>
      </c>
      <c r="J24" s="3" t="s">
        <v>85</v>
      </c>
      <c r="K24" s="3">
        <v>160</v>
      </c>
      <c r="N24" s="3">
        <v>3.32</v>
      </c>
      <c r="Q24" s="18">
        <f t="shared" si="1"/>
        <v>531.19999999999993</v>
      </c>
      <c r="R24" s="18">
        <f t="shared" si="0"/>
        <v>531.19999999999993</v>
      </c>
    </row>
    <row r="25" spans="1:18" ht="14.25" customHeight="1" x14ac:dyDescent="0.25">
      <c r="A25" s="3">
        <v>34796</v>
      </c>
      <c r="B25" s="3" t="s">
        <v>86</v>
      </c>
      <c r="C25" s="3" t="s">
        <v>79</v>
      </c>
      <c r="D25" s="7" t="s">
        <v>75</v>
      </c>
      <c r="E25" s="7">
        <v>1</v>
      </c>
      <c r="F25" s="21">
        <v>44118</v>
      </c>
      <c r="G25" s="24" t="s">
        <v>104</v>
      </c>
      <c r="J25" s="3" t="s">
        <v>87</v>
      </c>
      <c r="K25" s="3">
        <v>1</v>
      </c>
      <c r="N25" s="3">
        <v>138.22999999999999</v>
      </c>
      <c r="Q25" s="18">
        <f t="shared" si="1"/>
        <v>138.22999999999999</v>
      </c>
      <c r="R25" s="18">
        <f t="shared" si="0"/>
        <v>138.22999999999999</v>
      </c>
    </row>
    <row r="26" spans="1:18" ht="14.25" customHeight="1" x14ac:dyDescent="0.25">
      <c r="A26" s="3">
        <v>39722</v>
      </c>
      <c r="B26" s="3" t="s">
        <v>88</v>
      </c>
      <c r="C26" s="3" t="s">
        <v>73</v>
      </c>
      <c r="D26" s="7" t="s">
        <v>75</v>
      </c>
      <c r="E26" s="7">
        <v>1</v>
      </c>
      <c r="F26" s="21">
        <v>44251</v>
      </c>
      <c r="G26" s="24" t="s">
        <v>105</v>
      </c>
      <c r="J26" s="3" t="s">
        <v>84</v>
      </c>
      <c r="K26" s="3">
        <v>1</v>
      </c>
      <c r="N26" s="3">
        <v>88.22</v>
      </c>
      <c r="Q26" s="18">
        <f t="shared" si="1"/>
        <v>88.22</v>
      </c>
      <c r="R26" s="18">
        <f t="shared" si="0"/>
        <v>88.22</v>
      </c>
    </row>
    <row r="27" spans="1:18" ht="14.25" customHeight="1" x14ac:dyDescent="0.25">
      <c r="A27" s="3">
        <v>41516</v>
      </c>
      <c r="B27" s="3" t="s">
        <v>89</v>
      </c>
      <c r="C27" s="3" t="s">
        <v>73</v>
      </c>
      <c r="D27" s="7" t="s">
        <v>75</v>
      </c>
      <c r="E27" s="7">
        <v>1</v>
      </c>
      <c r="F27" s="21">
        <v>44294</v>
      </c>
      <c r="G27" s="24" t="s">
        <v>106</v>
      </c>
      <c r="J27" s="3" t="s">
        <v>90</v>
      </c>
      <c r="K27" s="3">
        <v>1</v>
      </c>
      <c r="N27" s="3">
        <v>424.8</v>
      </c>
      <c r="Q27" s="18">
        <f t="shared" si="1"/>
        <v>424.8</v>
      </c>
      <c r="R27" s="18">
        <f t="shared" si="0"/>
        <v>424.8</v>
      </c>
    </row>
    <row r="28" spans="1:18" ht="14.25" customHeight="1" x14ac:dyDescent="0.25">
      <c r="A28" s="3">
        <v>41733</v>
      </c>
      <c r="B28" s="3" t="s">
        <v>91</v>
      </c>
      <c r="C28" s="3" t="s">
        <v>73</v>
      </c>
      <c r="D28" s="7" t="s">
        <v>75</v>
      </c>
      <c r="E28" s="7">
        <v>1</v>
      </c>
      <c r="F28" s="21">
        <v>44300</v>
      </c>
      <c r="G28" s="24" t="s">
        <v>106</v>
      </c>
      <c r="J28" s="3" t="s">
        <v>84</v>
      </c>
      <c r="K28" s="3">
        <v>1</v>
      </c>
      <c r="N28" s="3">
        <v>658.13</v>
      </c>
      <c r="Q28" s="18">
        <f t="shared" si="1"/>
        <v>658.13</v>
      </c>
      <c r="R28" s="18">
        <f t="shared" si="0"/>
        <v>658.13</v>
      </c>
    </row>
    <row r="29" spans="1:18" ht="14.25" customHeight="1" x14ac:dyDescent="0.25">
      <c r="A29" s="3">
        <v>41801</v>
      </c>
      <c r="B29" s="3" t="s">
        <v>92</v>
      </c>
      <c r="C29" s="3" t="s">
        <v>73</v>
      </c>
      <c r="D29" s="7" t="s">
        <v>75</v>
      </c>
      <c r="E29" s="7">
        <v>1</v>
      </c>
      <c r="F29" s="21">
        <v>44302</v>
      </c>
      <c r="G29" s="24" t="s">
        <v>106</v>
      </c>
      <c r="J29" s="3" t="s">
        <v>93</v>
      </c>
      <c r="K29" s="3">
        <v>12</v>
      </c>
      <c r="N29" s="3">
        <v>198.71</v>
      </c>
      <c r="Q29" s="18">
        <f t="shared" si="1"/>
        <v>2384.52</v>
      </c>
      <c r="R29" s="18">
        <f t="shared" si="0"/>
        <v>2384.52</v>
      </c>
    </row>
    <row r="30" spans="1:18" ht="14.25" customHeight="1" x14ac:dyDescent="0.25">
      <c r="A30" s="3">
        <v>41801</v>
      </c>
      <c r="B30" s="3" t="s">
        <v>98</v>
      </c>
      <c r="C30" s="3" t="s">
        <v>73</v>
      </c>
      <c r="D30" s="7" t="s">
        <v>75</v>
      </c>
      <c r="E30" s="7">
        <v>1</v>
      </c>
      <c r="F30" s="21">
        <v>44303</v>
      </c>
      <c r="G30" s="24" t="s">
        <v>106</v>
      </c>
      <c r="J30" s="3" t="s">
        <v>94</v>
      </c>
      <c r="K30" s="3">
        <v>1</v>
      </c>
      <c r="N30" s="3">
        <v>149.03</v>
      </c>
      <c r="Q30" s="18">
        <f t="shared" si="1"/>
        <v>149.03</v>
      </c>
      <c r="R30" s="18">
        <f t="shared" si="0"/>
        <v>149.03</v>
      </c>
    </row>
    <row r="31" spans="1:18" ht="14.25" customHeight="1" x14ac:dyDescent="0.25">
      <c r="A31" s="3">
        <v>52669</v>
      </c>
      <c r="B31" s="3">
        <v>901886</v>
      </c>
      <c r="C31" s="3" t="s">
        <v>77</v>
      </c>
      <c r="D31" s="7" t="s">
        <v>75</v>
      </c>
      <c r="E31" s="7">
        <v>1</v>
      </c>
      <c r="F31" s="21">
        <v>44594</v>
      </c>
      <c r="G31" s="24" t="s">
        <v>107</v>
      </c>
      <c r="J31" s="3" t="s">
        <v>95</v>
      </c>
      <c r="K31" s="3">
        <v>1</v>
      </c>
      <c r="N31" s="3">
        <v>69</v>
      </c>
      <c r="Q31" s="18">
        <f t="shared" si="1"/>
        <v>69</v>
      </c>
      <c r="R31" s="18">
        <f t="shared" si="0"/>
        <v>69</v>
      </c>
    </row>
    <row r="32" spans="1:18" ht="14.25" customHeight="1" x14ac:dyDescent="0.25">
      <c r="A32" s="3">
        <v>52670</v>
      </c>
      <c r="B32" s="3">
        <v>901887</v>
      </c>
      <c r="C32" s="3" t="s">
        <v>77</v>
      </c>
      <c r="D32" s="7" t="s">
        <v>75</v>
      </c>
      <c r="E32" s="7">
        <v>1</v>
      </c>
      <c r="F32" s="21">
        <v>44594</v>
      </c>
      <c r="G32" s="24" t="s">
        <v>107</v>
      </c>
      <c r="J32" s="3" t="s">
        <v>96</v>
      </c>
      <c r="K32" s="3">
        <v>6</v>
      </c>
      <c r="N32" s="3">
        <v>29.22167</v>
      </c>
      <c r="Q32" s="18">
        <f>K32*N32</f>
        <v>175.33001999999999</v>
      </c>
      <c r="R32" s="18">
        <f t="shared" si="0"/>
        <v>175.33001999999999</v>
      </c>
    </row>
    <row r="33" spans="1:18" ht="14.25" customHeight="1" x14ac:dyDescent="0.25">
      <c r="A33" s="3">
        <v>52670</v>
      </c>
      <c r="B33" s="3">
        <v>901887</v>
      </c>
      <c r="C33" s="3" t="s">
        <v>77</v>
      </c>
      <c r="D33" s="7" t="s">
        <v>75</v>
      </c>
      <c r="E33" s="7">
        <v>1</v>
      </c>
      <c r="F33" s="21">
        <v>44595</v>
      </c>
      <c r="G33" s="24" t="s">
        <v>107</v>
      </c>
      <c r="J33" s="3" t="s">
        <v>97</v>
      </c>
      <c r="K33" s="3">
        <v>18</v>
      </c>
      <c r="N33" s="3">
        <v>36.314999999999998</v>
      </c>
      <c r="Q33" s="18">
        <f t="shared" si="1"/>
        <v>653.66999999999996</v>
      </c>
      <c r="R33" s="18">
        <f t="shared" si="0"/>
        <v>653.66999999999996</v>
      </c>
    </row>
  </sheetData>
  <mergeCells count="1">
    <mergeCell ref="A9:A18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Credit</vt:lpstr>
    </vt:vector>
  </TitlesOfParts>
  <Company>Netsuite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isanmiguel</dc:creator>
  <cp:lastModifiedBy>EQB2</cp:lastModifiedBy>
  <dcterms:created xsi:type="dcterms:W3CDTF">2011-09-13T18:19:44Z</dcterms:created>
  <dcterms:modified xsi:type="dcterms:W3CDTF">2022-10-19T17:24:15Z</dcterms:modified>
</cp:coreProperties>
</file>