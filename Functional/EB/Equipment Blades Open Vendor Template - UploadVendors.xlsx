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"/>
    </mc:Choice>
  </mc:AlternateContent>
  <bookViews>
    <workbookView xWindow="0" yWindow="0" windowWidth="23040" windowHeight="9264"/>
  </bookViews>
  <sheets>
    <sheet name="VendorTemplat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8" i="1" l="1"/>
  <c r="P13" i="1"/>
  <c r="P15" i="1"/>
  <c r="P20" i="1"/>
  <c r="P21" i="1"/>
  <c r="P30" i="1"/>
  <c r="P31" i="1"/>
  <c r="P32" i="1"/>
  <c r="P33" i="1"/>
  <c r="P35" i="1"/>
  <c r="P38" i="1"/>
  <c r="P39" i="1"/>
  <c r="P40" i="1"/>
  <c r="P41" i="1"/>
  <c r="P42" i="1"/>
  <c r="O4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Y4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G43" i="1"/>
  <c r="G3" i="1"/>
  <c r="G5" i="1"/>
  <c r="G6" i="1"/>
  <c r="G7" i="1"/>
  <c r="G8" i="1"/>
  <c r="G9" i="1"/>
  <c r="G10" i="1"/>
  <c r="G11" i="1"/>
  <c r="G13" i="1"/>
  <c r="G14" i="1"/>
  <c r="G15" i="1"/>
  <c r="G16" i="1"/>
  <c r="G17" i="1"/>
  <c r="G19" i="1"/>
  <c r="G20" i="1"/>
  <c r="G21" i="1"/>
  <c r="G22" i="1"/>
  <c r="G23" i="1"/>
  <c r="G25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</calcChain>
</file>

<file path=xl/sharedStrings.xml><?xml version="1.0" encoding="utf-8"?>
<sst xmlns="http://schemas.openxmlformats.org/spreadsheetml/2006/main" count="369" uniqueCount="211">
  <si>
    <t>salutation</t>
  </si>
  <si>
    <t>email</t>
  </si>
  <si>
    <t>phone</t>
  </si>
  <si>
    <t>fax</t>
  </si>
  <si>
    <t>address1_addressName</t>
  </si>
  <si>
    <t>address1_attention</t>
  </si>
  <si>
    <t>address1_addressee</t>
  </si>
  <si>
    <t>address1_line1</t>
  </si>
  <si>
    <t>address1_line2</t>
  </si>
  <si>
    <t>address1_city</t>
  </si>
  <si>
    <t>address1_state</t>
  </si>
  <si>
    <t>address1_zipCode</t>
  </si>
  <si>
    <t>address1_country</t>
  </si>
  <si>
    <t>address1_phone</t>
  </si>
  <si>
    <t>address1_defaultBilling</t>
  </si>
  <si>
    <t>address1_defaultShipping</t>
  </si>
  <si>
    <t>Vendor ID</t>
  </si>
  <si>
    <t>Individual</t>
  </si>
  <si>
    <t>First Name</t>
  </si>
  <si>
    <t>Middle Name</t>
  </si>
  <si>
    <t>Last Name</t>
  </si>
  <si>
    <t>Email</t>
  </si>
  <si>
    <t>Phone</t>
  </si>
  <si>
    <t>Fax</t>
  </si>
  <si>
    <t>Terms</t>
  </si>
  <si>
    <t>Legal Name</t>
  </si>
  <si>
    <t>entityid</t>
  </si>
  <si>
    <t>isperson</t>
  </si>
  <si>
    <t>firstname</t>
  </si>
  <si>
    <t>middlename</t>
  </si>
  <si>
    <t>lastname</t>
  </si>
  <si>
    <t>companyname</t>
  </si>
  <si>
    <t>legalname</t>
  </si>
  <si>
    <t>terms</t>
  </si>
  <si>
    <t>Mr./Ms.</t>
  </si>
  <si>
    <t>Vendor Name</t>
  </si>
  <si>
    <t>Label 1</t>
  </si>
  <si>
    <t>Attention 1</t>
  </si>
  <si>
    <t xml:space="preserve">Addressee 1 </t>
  </si>
  <si>
    <t xml:space="preserve">Phone 1 </t>
  </si>
  <si>
    <t>Address 1 Line 1</t>
  </si>
  <si>
    <t>Address 1 Line 2</t>
  </si>
  <si>
    <t xml:space="preserve">City 1 </t>
  </si>
  <si>
    <t xml:space="preserve">Province/State 1 </t>
  </si>
  <si>
    <t xml:space="preserve">Postal Code/Zip 1 </t>
  </si>
  <si>
    <t xml:space="preserve">Country 1 </t>
  </si>
  <si>
    <t xml:space="preserve">Default Shipping 1 </t>
  </si>
  <si>
    <t xml:space="preserve">Default Billing 1 </t>
  </si>
  <si>
    <t xml:space="preserve"> </t>
  </si>
  <si>
    <t>subsidiary</t>
  </si>
  <si>
    <t>includechildern</t>
  </si>
  <si>
    <t>Include Childern</t>
  </si>
  <si>
    <t>currency</t>
  </si>
  <si>
    <t>Net 30</t>
  </si>
  <si>
    <t>United States</t>
  </si>
  <si>
    <t>5J Design LLC</t>
  </si>
  <si>
    <t>Adam Tesch</t>
  </si>
  <si>
    <t>American Crane &amp; Tractor</t>
  </si>
  <si>
    <t>Assam Law</t>
  </si>
  <si>
    <t>Auten Accounting Solutions</t>
  </si>
  <si>
    <t>Batey and Sanders</t>
  </si>
  <si>
    <t>Battler Armor Designs LLC</t>
  </si>
  <si>
    <t>Bee International Trade LLC</t>
  </si>
  <si>
    <t>Bill's Sprinkler &amp; Sod</t>
  </si>
  <si>
    <t>Bill Verzani</t>
  </si>
  <si>
    <t>Border States Welding LLc</t>
  </si>
  <si>
    <t>Camrose Industry</t>
  </si>
  <si>
    <t>Cass Metal Craft</t>
  </si>
  <si>
    <t>DeWitt Mackall Crounse &amp; Moore SC</t>
  </si>
  <si>
    <t>Don Johnson Construction</t>
  </si>
  <si>
    <t>Douglas Wire</t>
  </si>
  <si>
    <t>Drysen's Animation</t>
  </si>
  <si>
    <t>Dura Tuff</t>
  </si>
  <si>
    <t>Dymax</t>
  </si>
  <si>
    <t>First and Ten Design, Inc.</t>
  </si>
  <si>
    <t>Fonders Keepers</t>
  </si>
  <si>
    <t>Gene Stucky</t>
  </si>
  <si>
    <t>Hofer Cleaning LLC</t>
  </si>
  <si>
    <t>Joe Fischer</t>
  </si>
  <si>
    <t>John</t>
  </si>
  <si>
    <t>John Narigon</t>
  </si>
  <si>
    <t>Jolene Burggraff</t>
  </si>
  <si>
    <t>Legacy Law Firm</t>
  </si>
  <si>
    <t>May Wes</t>
  </si>
  <si>
    <t>Meyerink Farm Service</t>
  </si>
  <si>
    <t>Nordik Blades</t>
  </si>
  <si>
    <t>Olofsfors Inc.</t>
  </si>
  <si>
    <t>R and R Snow Removal LLC</t>
  </si>
  <si>
    <t>Rubber Edge</t>
  </si>
  <si>
    <t>Sioux City Fabrication &amp; Machine LLC</t>
  </si>
  <si>
    <t>SnowyBluff LLC</t>
  </si>
  <si>
    <t>Trek, Inc</t>
  </si>
  <si>
    <t>Trojan Tracks</t>
  </si>
  <si>
    <t>Warner Plastics</t>
  </si>
  <si>
    <t>Weller Tractor Salvage</t>
  </si>
  <si>
    <t>XCal Tools</t>
  </si>
  <si>
    <t>Zoom Info</t>
  </si>
  <si>
    <t>Adam</t>
  </si>
  <si>
    <t>Tesch</t>
  </si>
  <si>
    <t>Bill</t>
  </si>
  <si>
    <t>Verzani</t>
  </si>
  <si>
    <t>Douglas</t>
  </si>
  <si>
    <t>Wire</t>
  </si>
  <si>
    <t>Gene</t>
  </si>
  <si>
    <t>Stucky</t>
  </si>
  <si>
    <t>Joe</t>
  </si>
  <si>
    <t>Fischer</t>
  </si>
  <si>
    <t>Narigon</t>
  </si>
  <si>
    <t>Jolene</t>
  </si>
  <si>
    <t>Burggraff</t>
  </si>
  <si>
    <t>256-442-3491</t>
  </si>
  <si>
    <t>605-633-0617</t>
  </si>
  <si>
    <t>218-335-2336</t>
  </si>
  <si>
    <t>801-973-8900</t>
  </si>
  <si>
    <t>785-456-2081</t>
  </si>
  <si>
    <t>320-587-0760</t>
  </si>
  <si>
    <t>605-337-2621</t>
  </si>
  <si>
    <t>(819) 879-0047</t>
  </si>
  <si>
    <t>519-754-2190</t>
  </si>
  <si>
    <t>732-363-7663</t>
  </si>
  <si>
    <t>763-546-0414</t>
  </si>
  <si>
    <t>604-826-8832</t>
  </si>
  <si>
    <t>515-289-2404</t>
  </si>
  <si>
    <t>1-800-255-9325</t>
  </si>
  <si>
    <t>(412)770-7749</t>
  </si>
  <si>
    <t>2329 N Career Ave, Ste 217</t>
  </si>
  <si>
    <t>PO Box 122</t>
  </si>
  <si>
    <t>2200 State Line Road</t>
  </si>
  <si>
    <t>3200 W 49th St</t>
  </si>
  <si>
    <t>312 S Conklin Ave</t>
  </si>
  <si>
    <t>61 TJ Batey Drive</t>
  </si>
  <si>
    <t>102 Industrial Drive</t>
  </si>
  <si>
    <t>745 Atlantic Ave,</t>
  </si>
  <si>
    <t>201 N Harlem , Ste 1</t>
  </si>
  <si>
    <t>1561 Lake Ave</t>
  </si>
  <si>
    <t>16950 400 Ave</t>
  </si>
  <si>
    <t>901 Marquette Ave, Ste 1400</t>
  </si>
  <si>
    <t>8600 E 38th St</t>
  </si>
  <si>
    <t>326 E 8th St, Suite 108</t>
  </si>
  <si>
    <t>4513 W Oregon St</t>
  </si>
  <si>
    <t>3055 South 1030 West</t>
  </si>
  <si>
    <t>PO Box 297</t>
  </si>
  <si>
    <t>3006 E Marson Dr</t>
  </si>
  <si>
    <t>16416 280th Street</t>
  </si>
  <si>
    <t>27055 Sunset Blvd #7</t>
  </si>
  <si>
    <t>46771 248th St</t>
  </si>
  <si>
    <t>7404 S Bitterroot Place</t>
  </si>
  <si>
    <t>120 Eastgate Drive Po Box 7</t>
  </si>
  <si>
    <t>451 Rue de l'Amiante</t>
  </si>
  <si>
    <t>121 Roy Blvd. Unit #4</t>
  </si>
  <si>
    <t>801 Almond Ave</t>
  </si>
  <si>
    <t>1545 Lake Wood Rd</t>
  </si>
  <si>
    <t>1300 W 1st Street</t>
  </si>
  <si>
    <t>7809 S Pinewood Ave</t>
  </si>
  <si>
    <t>7370 NW Sixth Drive</t>
  </si>
  <si>
    <t>200 SW 40Th Ave.</t>
  </si>
  <si>
    <t>22941 487th Ave</t>
  </si>
  <si>
    <t>6511 160th St NW</t>
  </si>
  <si>
    <t>3512 W 74th St.</t>
  </si>
  <si>
    <t>135 W Brian St</t>
  </si>
  <si>
    <t>24406 482nd Ave</t>
  </si>
  <si>
    <t>36794 SD HWY44</t>
  </si>
  <si>
    <t>9865 10th Ave North</t>
  </si>
  <si>
    <t>PO Box 695</t>
  </si>
  <si>
    <t>258 Kappa Drive</t>
  </si>
  <si>
    <t>SD</t>
  </si>
  <si>
    <t>IA</t>
  </si>
  <si>
    <t>KS</t>
  </si>
  <si>
    <t>AL</t>
  </si>
  <si>
    <t>Batesville</t>
  </si>
  <si>
    <t>AR</t>
  </si>
  <si>
    <t>MA</t>
  </si>
  <si>
    <t>NE</t>
  </si>
  <si>
    <t>MN</t>
  </si>
  <si>
    <t>UT</t>
  </si>
  <si>
    <t>QC</t>
  </si>
  <si>
    <t>J1T4V8</t>
  </si>
  <si>
    <t>ON</t>
  </si>
  <si>
    <t>3R 7K1</t>
  </si>
  <si>
    <t>NJ</t>
  </si>
  <si>
    <t>WA</t>
  </si>
  <si>
    <t>PA</t>
  </si>
  <si>
    <t>Sioux Falls</t>
  </si>
  <si>
    <t>Larchwood</t>
  </si>
  <si>
    <t>Kansas City</t>
  </si>
  <si>
    <t>Rainbow City</t>
  </si>
  <si>
    <t>Boston</t>
  </si>
  <si>
    <t>South Sioux City</t>
  </si>
  <si>
    <t>Flandreau</t>
  </si>
  <si>
    <t>Frankfort</t>
  </si>
  <si>
    <t>Cass Lake</t>
  </si>
  <si>
    <t>Minneapolis</t>
  </si>
  <si>
    <t>Salt Lake City</t>
  </si>
  <si>
    <t>Wamego</t>
  </si>
  <si>
    <t>Lennox</t>
  </si>
  <si>
    <t>Tea</t>
  </si>
  <si>
    <t>Dell Rapids</t>
  </si>
  <si>
    <t>Hutchinson</t>
  </si>
  <si>
    <t>Platte</t>
  </si>
  <si>
    <t>Asbestos</t>
  </si>
  <si>
    <t>Brantford</t>
  </si>
  <si>
    <t>Harrisburg</t>
  </si>
  <si>
    <t>Toms River</t>
  </si>
  <si>
    <t>Sioux City</t>
  </si>
  <si>
    <t>Plymouth</t>
  </si>
  <si>
    <t>Lynden</t>
  </si>
  <si>
    <t>Ankeny</t>
  </si>
  <si>
    <t>Great Bend</t>
  </si>
  <si>
    <t>Pittsburgh</t>
  </si>
  <si>
    <t>Canada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</si>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</sst>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1" applyNumberFormat="0" applyAlignment="0" applyProtection="0"/>
    <xf numFmtId="0" fontId="7" fillId="16" borderId="2" applyNumberFormat="0" applyAlignment="0" applyProtection="0"/>
    <xf numFmtId="0" fontId="8" fillId="0" borderId="0" applyNumberFormat="0" applyFill="0" applyBorder="0" applyAlignment="0" applyProtection="0"/>
    <xf numFmtId="0" fontId="9" fillId="17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7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4" borderId="7" applyNumberFormat="0" applyFont="0" applyAlignment="0" applyProtection="0"/>
    <xf numFmtId="0" fontId="17" fillId="15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21" fillId="0" borderId="0" xfId="0" applyFont="1" applyFill="1" applyAlignment="1">
      <alignment wrapText="1"/>
    </xf>
    <xf numFmtId="0" fontId="22" fillId="0" borderId="0" xfId="0" applyFont="1" applyFill="1" applyAlignment="1">
      <alignment wrapText="1"/>
    </xf>
    <xf numFmtId="0" fontId="22" fillId="0" borderId="0" xfId="0" applyFont="1" applyFill="1"/>
    <xf numFmtId="0" fontId="21" fillId="0" borderId="0" xfId="0" applyFont="1" applyFill="1"/>
    <xf numFmtId="0" fontId="23" fillId="0" borderId="0" xfId="0" applyFont="1" applyFill="1" applyAlignment="1">
      <alignment wrapText="1"/>
    </xf>
    <xf numFmtId="0" fontId="23" fillId="0" borderId="0" xfId="0" applyFont="1" applyFill="1"/>
    <xf numFmtId="0" fontId="1" fillId="0" borderId="0" xfId="0" applyFont="1"/>
    <xf numFmtId="0" fontId="0" fillId="18" borderId="0" xfId="0" applyFill="1"/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 10" xfId="37"/>
    <cellStyle name="Normal 2 11" xfId="38"/>
    <cellStyle name="Normal 2 2" xfId="39"/>
    <cellStyle name="Normal 2 3" xfId="40"/>
    <cellStyle name="Normal 2 4" xfId="41"/>
    <cellStyle name="Normal 2 6" xfId="42"/>
    <cellStyle name="Normal 2 7" xfId="43"/>
    <cellStyle name="Normal 2 8" xfId="44"/>
    <cellStyle name="Normal 2 9" xfId="45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Views>
    <sheetView tabSelected="1" topLeftCell="H1" zoomScale="90" zoomScaleNormal="90" workbookViewId="0">
      <selection activeCell="M52" sqref="M52"/>
    </sheetView>
  </sheetViews>
  <sheetFormatPr defaultColWidth="39.5546875" defaultRowHeight="13.2" x14ac:dyDescent="0.25"/>
  <cols>
    <col min="1" max="1" width="49.109375" bestFit="1" customWidth="1"/>
    <col min="2" max="2" width="35" bestFit="1" customWidth="1"/>
    <col min="3" max="3" width="41.44140625" bestFit="1" customWidth="1"/>
    <col min="4" max="4" width="40.33203125" bestFit="1" customWidth="1"/>
    <col min="5" max="5" width="41.44140625" bestFit="1" customWidth="1"/>
    <col min="6" max="6" width="40.33203125" bestFit="1" customWidth="1"/>
    <col min="7" max="7" width="46.109375" bestFit="1" customWidth="1"/>
    <col min="8" max="9" width="46.109375" customWidth="1"/>
    <col min="10" max="10" width="39.88671875" bestFit="1" customWidth="1"/>
    <col min="11" max="11" width="43.44140625" bestFit="1" customWidth="1"/>
    <col min="12" max="12" width="30.109375" bestFit="1" customWidth="1"/>
    <col min="13" max="13" width="48.6640625" bestFit="1" customWidth="1"/>
    <col min="14" max="14" width="40.33203125" bestFit="1" customWidth="1"/>
    <col min="15" max="15" width="30.5546875" bestFit="1" customWidth="1"/>
    <col min="16" max="16" width="30" style="8" bestFit="1" customWidth="1"/>
    <col min="17" max="17" width="25.6640625" bestFit="1" customWidth="1"/>
    <col min="18" max="18" width="18.5546875" bestFit="1" customWidth="1"/>
    <col min="19" max="19" width="25.33203125" bestFit="1" customWidth="1"/>
    <col min="20" max="20" width="29.6640625" bestFit="1" customWidth="1"/>
    <col min="21" max="21" width="23.88671875" bestFit="1" customWidth="1"/>
    <col min="22" max="22" width="29.6640625" bestFit="1" customWidth="1"/>
    <col min="23" max="23" width="35.88671875" bestFit="1" customWidth="1"/>
    <col min="24" max="24" width="33.44140625" bestFit="1" customWidth="1"/>
    <col min="25" max="25" width="37.44140625" bestFit="1" customWidth="1"/>
    <col min="26" max="26" width="43.5546875" bestFit="1" customWidth="1"/>
    <col min="27" max="27" width="43.5546875" customWidth="1"/>
  </cols>
  <sheetData>
    <row r="1" spans="1:27" x14ac:dyDescent="0.25">
      <c r="A1" s="2" t="s">
        <v>26</v>
      </c>
      <c r="B1" s="5" t="s">
        <v>27</v>
      </c>
      <c r="C1" s="2" t="s">
        <v>0</v>
      </c>
      <c r="D1" s="1" t="s">
        <v>28</v>
      </c>
      <c r="E1" s="2" t="s">
        <v>29</v>
      </c>
      <c r="F1" s="1" t="s">
        <v>30</v>
      </c>
      <c r="G1" s="5" t="s">
        <v>31</v>
      </c>
      <c r="H1" s="5" t="s">
        <v>49</v>
      </c>
      <c r="I1" s="5" t="s">
        <v>50</v>
      </c>
      <c r="J1" s="2" t="s">
        <v>1</v>
      </c>
      <c r="K1" s="2" t="s">
        <v>2</v>
      </c>
      <c r="L1" s="2" t="s">
        <v>3</v>
      </c>
      <c r="M1" s="1" t="s">
        <v>4</v>
      </c>
      <c r="N1" s="2" t="s">
        <v>5</v>
      </c>
      <c r="O1" s="2" t="s">
        <v>6</v>
      </c>
      <c r="P1" s="2" t="s">
        <v>13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5" t="s">
        <v>12</v>
      </c>
      <c r="W1" s="2" t="s">
        <v>15</v>
      </c>
      <c r="X1" s="2" t="s">
        <v>14</v>
      </c>
      <c r="Y1" s="2" t="s">
        <v>32</v>
      </c>
      <c r="Z1" s="2" t="s">
        <v>33</v>
      </c>
      <c r="AA1" s="2" t="s">
        <v>52</v>
      </c>
    </row>
    <row r="2" spans="1:27" x14ac:dyDescent="0.25">
      <c r="A2" s="2" t="s">
        <v>16</v>
      </c>
      <c r="B2" s="6" t="s">
        <v>17</v>
      </c>
      <c r="C2" s="3" t="s">
        <v>34</v>
      </c>
      <c r="D2" s="4" t="s">
        <v>18</v>
      </c>
      <c r="E2" s="2" t="s">
        <v>19</v>
      </c>
      <c r="F2" s="4" t="s">
        <v>20</v>
      </c>
      <c r="G2" s="6" t="s">
        <v>35</v>
      </c>
      <c r="H2" s="6" t="s">
        <v>49</v>
      </c>
      <c r="I2" s="6" t="s">
        <v>51</v>
      </c>
      <c r="J2" s="3" t="s">
        <v>21</v>
      </c>
      <c r="K2" s="3" t="s">
        <v>22</v>
      </c>
      <c r="L2" s="3" t="s">
        <v>23</v>
      </c>
      <c r="M2" s="1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5" t="s">
        <v>45</v>
      </c>
      <c r="W2" s="2" t="s">
        <v>46</v>
      </c>
      <c r="X2" s="2" t="s">
        <v>47</v>
      </c>
      <c r="Y2" s="3" t="s">
        <v>25</v>
      </c>
      <c r="Z2" s="3" t="s">
        <v>24</v>
      </c>
      <c r="AA2" s="3" t="s">
        <v>52</v>
      </c>
    </row>
    <row r="3" spans="1:27" x14ac:dyDescent="0.25">
      <c r="A3" t="s">
        <v>55</v>
      </c>
      <c r="B3" t="b">
        <v>0</v>
      </c>
      <c r="G3" t="str">
        <f t="shared" ref="G3:G10" si="0">A3</f>
        <v>5J Design LLC</v>
      </c>
      <c r="M3" t="s">
        <v>48</v>
      </c>
      <c r="O3" t="str">
        <f t="shared" ref="O3:O10" si="1">A3</f>
        <v>5J Design LLC</v>
      </c>
      <c r="P3"/>
      <c r="Q3" t="s">
        <v>125</v>
      </c>
      <c r="S3" t="s">
        <v>182</v>
      </c>
      <c r="T3" s="7" t="s">
        <v>165</v>
      </c>
      <c r="U3">
        <v>57107</v>
      </c>
      <c r="V3" t="s">
        <v>54</v>
      </c>
      <c r="X3" t="b">
        <v>1</v>
      </c>
      <c r="Y3" t="str">
        <f t="shared" ref="Y3:Y10" si="2">A3</f>
        <v>5J Design LLC</v>
      </c>
      <c r="Z3" t="s">
        <v>53</v>
      </c>
      <c r="AA3" t="s">
        <v>210</v>
      </c>
    </row>
    <row r="4" spans="1:27" x14ac:dyDescent="0.25">
      <c r="A4" t="s">
        <v>56</v>
      </c>
      <c r="B4" t="b">
        <v>1</v>
      </c>
      <c r="D4" t="s">
        <v>97</v>
      </c>
      <c r="F4" t="s">
        <v>98</v>
      </c>
      <c r="O4" t="str">
        <f t="shared" si="1"/>
        <v>Adam Tesch</v>
      </c>
      <c r="P4"/>
      <c r="Q4" t="s">
        <v>126</v>
      </c>
      <c r="S4" t="s">
        <v>183</v>
      </c>
      <c r="T4" s="7" t="s">
        <v>166</v>
      </c>
      <c r="U4">
        <v>51241</v>
      </c>
      <c r="V4" t="s">
        <v>54</v>
      </c>
      <c r="X4" t="b">
        <v>1</v>
      </c>
      <c r="Y4" t="str">
        <f t="shared" si="2"/>
        <v>Adam Tesch</v>
      </c>
      <c r="Z4" t="s">
        <v>53</v>
      </c>
      <c r="AA4" t="s">
        <v>210</v>
      </c>
    </row>
    <row r="5" spans="1:27" x14ac:dyDescent="0.25">
      <c r="A5" t="s">
        <v>57</v>
      </c>
      <c r="B5" t="b">
        <v>0</v>
      </c>
      <c r="G5" t="str">
        <f t="shared" si="0"/>
        <v>American Crane &amp; Tractor</v>
      </c>
      <c r="O5" t="str">
        <f t="shared" si="1"/>
        <v>American Crane &amp; Tractor</v>
      </c>
      <c r="P5"/>
      <c r="Q5" t="s">
        <v>127</v>
      </c>
      <c r="S5" t="s">
        <v>184</v>
      </c>
      <c r="T5" s="7" t="s">
        <v>167</v>
      </c>
      <c r="U5">
        <v>66103</v>
      </c>
      <c r="V5" t="s">
        <v>54</v>
      </c>
      <c r="X5" t="b">
        <v>1</v>
      </c>
      <c r="Y5" t="str">
        <f t="shared" si="2"/>
        <v>American Crane &amp; Tractor</v>
      </c>
      <c r="Z5" t="s">
        <v>53</v>
      </c>
      <c r="AA5" t="s">
        <v>210</v>
      </c>
    </row>
    <row r="6" spans="1:27" x14ac:dyDescent="0.25">
      <c r="A6" t="s">
        <v>58</v>
      </c>
      <c r="B6" t="b">
        <v>0</v>
      </c>
      <c r="G6" t="str">
        <f t="shared" si="0"/>
        <v>Assam Law</v>
      </c>
      <c r="O6" t="str">
        <f t="shared" si="1"/>
        <v>Assam Law</v>
      </c>
      <c r="P6"/>
      <c r="Q6" t="s">
        <v>128</v>
      </c>
      <c r="S6" t="s">
        <v>182</v>
      </c>
      <c r="T6" s="7" t="s">
        <v>165</v>
      </c>
      <c r="U6">
        <v>57106</v>
      </c>
      <c r="V6" t="s">
        <v>54</v>
      </c>
      <c r="X6" t="b">
        <v>1</v>
      </c>
      <c r="Y6" t="str">
        <f t="shared" si="2"/>
        <v>Assam Law</v>
      </c>
      <c r="Z6" t="s">
        <v>53</v>
      </c>
      <c r="AA6" t="s">
        <v>210</v>
      </c>
    </row>
    <row r="7" spans="1:27" x14ac:dyDescent="0.25">
      <c r="A7" t="s">
        <v>59</v>
      </c>
      <c r="B7" t="b">
        <v>0</v>
      </c>
      <c r="G7" t="str">
        <f t="shared" si="0"/>
        <v>Auten Accounting Solutions</v>
      </c>
      <c r="O7" t="str">
        <f t="shared" si="1"/>
        <v>Auten Accounting Solutions</v>
      </c>
      <c r="P7"/>
      <c r="Q7" t="s">
        <v>129</v>
      </c>
      <c r="S7" t="s">
        <v>182</v>
      </c>
      <c r="T7" s="7" t="s">
        <v>165</v>
      </c>
      <c r="U7">
        <v>57103</v>
      </c>
      <c r="V7" t="s">
        <v>54</v>
      </c>
      <c r="X7" t="b">
        <v>1</v>
      </c>
      <c r="Y7" t="str">
        <f t="shared" si="2"/>
        <v>Auten Accounting Solutions</v>
      </c>
      <c r="Z7" t="s">
        <v>53</v>
      </c>
      <c r="AA7" t="s">
        <v>210</v>
      </c>
    </row>
    <row r="8" spans="1:27" x14ac:dyDescent="0.25">
      <c r="A8" t="s">
        <v>60</v>
      </c>
      <c r="B8" t="b">
        <v>0</v>
      </c>
      <c r="G8" t="str">
        <f t="shared" si="0"/>
        <v>Batey and Sanders</v>
      </c>
      <c r="K8" t="s">
        <v>110</v>
      </c>
      <c r="O8" t="str">
        <f t="shared" si="1"/>
        <v>Batey and Sanders</v>
      </c>
      <c r="P8" t="str">
        <f t="shared" ref="P8" si="3">K8</f>
        <v>256-442-3491</v>
      </c>
      <c r="Q8" t="s">
        <v>130</v>
      </c>
      <c r="S8" t="s">
        <v>185</v>
      </c>
      <c r="T8" s="7" t="s">
        <v>168</v>
      </c>
      <c r="U8">
        <v>35906</v>
      </c>
      <c r="V8" t="s">
        <v>54</v>
      </c>
      <c r="X8" t="b">
        <v>1</v>
      </c>
      <c r="Y8" t="str">
        <f t="shared" si="2"/>
        <v>Batey and Sanders</v>
      </c>
      <c r="Z8" t="s">
        <v>53</v>
      </c>
      <c r="AA8" t="s">
        <v>210</v>
      </c>
    </row>
    <row r="9" spans="1:27" x14ac:dyDescent="0.25">
      <c r="A9" t="s">
        <v>61</v>
      </c>
      <c r="B9" t="b">
        <v>0</v>
      </c>
      <c r="G9" t="str">
        <f t="shared" si="0"/>
        <v>Battler Armor Designs LLC</v>
      </c>
      <c r="O9" t="str">
        <f t="shared" si="1"/>
        <v>Battler Armor Designs LLC</v>
      </c>
      <c r="P9"/>
      <c r="Q9" t="s">
        <v>131</v>
      </c>
      <c r="S9" t="s">
        <v>169</v>
      </c>
      <c r="T9" s="7" t="s">
        <v>170</v>
      </c>
      <c r="U9">
        <v>72501</v>
      </c>
      <c r="V9" t="s">
        <v>54</v>
      </c>
      <c r="X9" t="b">
        <v>1</v>
      </c>
      <c r="Y9" t="str">
        <f t="shared" si="2"/>
        <v>Battler Armor Designs LLC</v>
      </c>
      <c r="Z9" t="s">
        <v>53</v>
      </c>
      <c r="AA9" t="s">
        <v>210</v>
      </c>
    </row>
    <row r="10" spans="1:27" x14ac:dyDescent="0.25">
      <c r="A10" t="s">
        <v>62</v>
      </c>
      <c r="B10" t="b">
        <v>0</v>
      </c>
      <c r="G10" t="str">
        <f t="shared" si="0"/>
        <v>Bee International Trade LLC</v>
      </c>
      <c r="O10" t="str">
        <f t="shared" si="1"/>
        <v>Bee International Trade LLC</v>
      </c>
      <c r="P10"/>
      <c r="Q10" t="s">
        <v>132</v>
      </c>
      <c r="S10" t="s">
        <v>186</v>
      </c>
      <c r="T10" s="7" t="s">
        <v>171</v>
      </c>
      <c r="U10">
        <v>2111</v>
      </c>
      <c r="V10" t="s">
        <v>54</v>
      </c>
      <c r="X10" t="b">
        <v>1</v>
      </c>
      <c r="Y10" t="str">
        <f t="shared" si="2"/>
        <v>Bee International Trade LLC</v>
      </c>
      <c r="Z10" t="s">
        <v>53</v>
      </c>
      <c r="AA10" t="s">
        <v>210</v>
      </c>
    </row>
    <row r="11" spans="1:27" x14ac:dyDescent="0.25">
      <c r="A11" t="s">
        <v>63</v>
      </c>
      <c r="B11" t="b">
        <v>0</v>
      </c>
      <c r="G11" t="str">
        <f t="shared" ref="G11:G15" si="4">A11</f>
        <v>Bill's Sprinkler &amp; Sod</v>
      </c>
      <c r="O11" t="str">
        <f t="shared" ref="O11:O15" si="5">A11</f>
        <v>Bill's Sprinkler &amp; Sod</v>
      </c>
      <c r="P11"/>
      <c r="Q11" t="s">
        <v>133</v>
      </c>
      <c r="S11" t="s">
        <v>182</v>
      </c>
      <c r="T11" s="7" t="s">
        <v>165</v>
      </c>
      <c r="U11">
        <v>57104</v>
      </c>
      <c r="V11" t="s">
        <v>54</v>
      </c>
      <c r="X11" t="b">
        <v>1</v>
      </c>
      <c r="Y11" t="str">
        <f t="shared" ref="Y11:Y15" si="6">A11</f>
        <v>Bill's Sprinkler &amp; Sod</v>
      </c>
      <c r="Z11" t="s">
        <v>53</v>
      </c>
      <c r="AA11" t="s">
        <v>210</v>
      </c>
    </row>
    <row r="12" spans="1:27" x14ac:dyDescent="0.25">
      <c r="A12" t="s">
        <v>64</v>
      </c>
      <c r="B12" t="b">
        <v>1</v>
      </c>
      <c r="D12" t="s">
        <v>99</v>
      </c>
      <c r="F12" t="s">
        <v>100</v>
      </c>
      <c r="O12" t="str">
        <f t="shared" si="5"/>
        <v>Bill Verzani</v>
      </c>
      <c r="P12"/>
      <c r="Q12" t="s">
        <v>134</v>
      </c>
      <c r="S12" t="s">
        <v>187</v>
      </c>
      <c r="T12" s="7" t="s">
        <v>172</v>
      </c>
      <c r="U12">
        <v>68776</v>
      </c>
      <c r="V12" t="s">
        <v>54</v>
      </c>
      <c r="X12" t="b">
        <v>1</v>
      </c>
      <c r="Y12" t="str">
        <f t="shared" si="6"/>
        <v>Bill Verzani</v>
      </c>
      <c r="Z12" t="s">
        <v>53</v>
      </c>
      <c r="AA12" t="s">
        <v>210</v>
      </c>
    </row>
    <row r="13" spans="1:27" x14ac:dyDescent="0.25">
      <c r="A13" t="s">
        <v>65</v>
      </c>
      <c r="B13" t="b">
        <v>0</v>
      </c>
      <c r="G13" t="str">
        <f t="shared" si="4"/>
        <v>Border States Welding LLc</v>
      </c>
      <c r="K13" t="s">
        <v>111</v>
      </c>
      <c r="O13" t="str">
        <f t="shared" si="5"/>
        <v>Border States Welding LLc</v>
      </c>
      <c r="P13" t="str">
        <f t="shared" ref="P13:P15" si="7">K13</f>
        <v>605-633-0617</v>
      </c>
      <c r="Q13" t="s">
        <v>156</v>
      </c>
      <c r="S13" t="s">
        <v>188</v>
      </c>
      <c r="T13" s="7" t="s">
        <v>165</v>
      </c>
      <c r="U13">
        <v>57028</v>
      </c>
      <c r="V13" t="s">
        <v>54</v>
      </c>
      <c r="X13" t="b">
        <v>1</v>
      </c>
      <c r="Y13" t="str">
        <f t="shared" si="6"/>
        <v>Border States Welding LLc</v>
      </c>
      <c r="Z13" t="s">
        <v>53</v>
      </c>
      <c r="AA13" t="s">
        <v>210</v>
      </c>
    </row>
    <row r="14" spans="1:27" x14ac:dyDescent="0.25">
      <c r="A14" t="s">
        <v>66</v>
      </c>
      <c r="B14" t="b">
        <v>0</v>
      </c>
      <c r="G14" t="str">
        <f t="shared" si="4"/>
        <v>Camrose Industry</v>
      </c>
      <c r="O14" t="str">
        <f t="shared" si="5"/>
        <v>Camrose Industry</v>
      </c>
      <c r="P14"/>
      <c r="Q14" t="s">
        <v>135</v>
      </c>
      <c r="S14" t="s">
        <v>189</v>
      </c>
      <c r="T14" s="7" t="s">
        <v>165</v>
      </c>
      <c r="U14">
        <v>57106</v>
      </c>
      <c r="V14" t="s">
        <v>54</v>
      </c>
      <c r="X14" t="b">
        <v>1</v>
      </c>
      <c r="Y14" t="str">
        <f t="shared" si="6"/>
        <v>Camrose Industry</v>
      </c>
      <c r="Z14" t="s">
        <v>53</v>
      </c>
      <c r="AA14" t="s">
        <v>210</v>
      </c>
    </row>
    <row r="15" spans="1:27" x14ac:dyDescent="0.25">
      <c r="A15" t="s">
        <v>67</v>
      </c>
      <c r="B15" t="b">
        <v>0</v>
      </c>
      <c r="G15" t="str">
        <f t="shared" si="4"/>
        <v>Cass Metal Craft</v>
      </c>
      <c r="K15" t="s">
        <v>112</v>
      </c>
      <c r="O15" t="str">
        <f t="shared" si="5"/>
        <v>Cass Metal Craft</v>
      </c>
      <c r="P15" t="str">
        <f t="shared" si="7"/>
        <v>218-335-2336</v>
      </c>
      <c r="Q15" t="s">
        <v>157</v>
      </c>
      <c r="S15" t="s">
        <v>190</v>
      </c>
      <c r="T15" s="7" t="s">
        <v>173</v>
      </c>
      <c r="U15">
        <v>56633</v>
      </c>
      <c r="V15" t="s">
        <v>54</v>
      </c>
      <c r="X15" t="b">
        <v>1</v>
      </c>
      <c r="Y15" t="str">
        <f t="shared" si="6"/>
        <v>Cass Metal Craft</v>
      </c>
      <c r="Z15" t="s">
        <v>53</v>
      </c>
      <c r="AA15" t="s">
        <v>210</v>
      </c>
    </row>
    <row r="16" spans="1:27" x14ac:dyDescent="0.25">
      <c r="A16" t="s">
        <v>68</v>
      </c>
      <c r="B16" t="b">
        <v>0</v>
      </c>
      <c r="G16" t="str">
        <f t="shared" ref="G16:G21" si="8">A16</f>
        <v>DeWitt Mackall Crounse &amp; Moore SC</v>
      </c>
      <c r="O16" t="str">
        <f t="shared" ref="O16:O21" si="9">A16</f>
        <v>DeWitt Mackall Crounse &amp; Moore SC</v>
      </c>
      <c r="P16"/>
      <c r="Q16" t="s">
        <v>136</v>
      </c>
      <c r="S16" t="s">
        <v>191</v>
      </c>
      <c r="T16" s="7" t="s">
        <v>173</v>
      </c>
      <c r="U16">
        <v>55402</v>
      </c>
      <c r="V16" t="s">
        <v>54</v>
      </c>
      <c r="X16" t="b">
        <v>1</v>
      </c>
      <c r="Y16" t="str">
        <f t="shared" ref="Y16:Y21" si="10">A16</f>
        <v>DeWitt Mackall Crounse &amp; Moore SC</v>
      </c>
      <c r="Z16" t="s">
        <v>53</v>
      </c>
      <c r="AA16" t="s">
        <v>210</v>
      </c>
    </row>
    <row r="17" spans="1:27" x14ac:dyDescent="0.25">
      <c r="A17" t="s">
        <v>69</v>
      </c>
      <c r="B17" t="b">
        <v>0</v>
      </c>
      <c r="G17" t="str">
        <f t="shared" si="8"/>
        <v>Don Johnson Construction</v>
      </c>
      <c r="O17" t="str">
        <f t="shared" si="9"/>
        <v>Don Johnson Construction</v>
      </c>
      <c r="P17"/>
      <c r="Q17" t="s">
        <v>137</v>
      </c>
      <c r="S17" t="s">
        <v>182</v>
      </c>
      <c r="T17" s="7" t="s">
        <v>165</v>
      </c>
      <c r="U17">
        <v>57110</v>
      </c>
      <c r="V17" t="s">
        <v>54</v>
      </c>
      <c r="X17" t="b">
        <v>1</v>
      </c>
      <c r="Y17" t="str">
        <f t="shared" si="10"/>
        <v>Don Johnson Construction</v>
      </c>
      <c r="Z17" t="s">
        <v>53</v>
      </c>
      <c r="AA17" t="s">
        <v>210</v>
      </c>
    </row>
    <row r="18" spans="1:27" x14ac:dyDescent="0.25">
      <c r="A18" t="s">
        <v>70</v>
      </c>
      <c r="B18" t="b">
        <v>1</v>
      </c>
      <c r="D18" t="s">
        <v>101</v>
      </c>
      <c r="F18" t="s">
        <v>102</v>
      </c>
      <c r="O18" t="str">
        <f t="shared" si="9"/>
        <v>Douglas Wire</v>
      </c>
      <c r="P18"/>
      <c r="Q18" t="s">
        <v>138</v>
      </c>
      <c r="S18" t="s">
        <v>182</v>
      </c>
      <c r="T18" s="7" t="s">
        <v>165</v>
      </c>
      <c r="U18">
        <v>57103</v>
      </c>
      <c r="V18" t="s">
        <v>54</v>
      </c>
      <c r="X18" t="b">
        <v>1</v>
      </c>
      <c r="Y18" t="str">
        <f t="shared" si="10"/>
        <v>Douglas Wire</v>
      </c>
      <c r="Z18" t="s">
        <v>53</v>
      </c>
      <c r="AA18" t="s">
        <v>210</v>
      </c>
    </row>
    <row r="19" spans="1:27" x14ac:dyDescent="0.25">
      <c r="A19" t="s">
        <v>71</v>
      </c>
      <c r="B19" t="b">
        <v>0</v>
      </c>
      <c r="G19" t="str">
        <f t="shared" si="8"/>
        <v>Drysen's Animation</v>
      </c>
      <c r="O19" t="str">
        <f t="shared" si="9"/>
        <v>Drysen's Animation</v>
      </c>
      <c r="P19"/>
      <c r="Q19" t="s">
        <v>139</v>
      </c>
      <c r="S19" t="s">
        <v>182</v>
      </c>
      <c r="T19" s="7" t="s">
        <v>165</v>
      </c>
      <c r="U19">
        <v>57107</v>
      </c>
      <c r="V19" t="s">
        <v>54</v>
      </c>
      <c r="X19" t="b">
        <v>1</v>
      </c>
      <c r="Y19" t="str">
        <f t="shared" si="10"/>
        <v>Drysen's Animation</v>
      </c>
      <c r="Z19" t="s">
        <v>53</v>
      </c>
      <c r="AA19" t="s">
        <v>210</v>
      </c>
    </row>
    <row r="20" spans="1:27" x14ac:dyDescent="0.25">
      <c r="A20" t="s">
        <v>72</v>
      </c>
      <c r="B20" t="b">
        <v>0</v>
      </c>
      <c r="G20" t="str">
        <f t="shared" si="8"/>
        <v>Dura Tuff</v>
      </c>
      <c r="K20" t="s">
        <v>113</v>
      </c>
      <c r="O20" t="str">
        <f t="shared" si="9"/>
        <v>Dura Tuff</v>
      </c>
      <c r="P20" t="str">
        <f t="shared" ref="P20:P21" si="11">K20</f>
        <v>801-973-8900</v>
      </c>
      <c r="Q20" t="s">
        <v>140</v>
      </c>
      <c r="S20" t="s">
        <v>192</v>
      </c>
      <c r="T20" s="7" t="s">
        <v>174</v>
      </c>
      <c r="U20">
        <v>84119</v>
      </c>
      <c r="V20" t="s">
        <v>54</v>
      </c>
      <c r="X20" t="b">
        <v>1</v>
      </c>
      <c r="Y20" t="str">
        <f t="shared" si="10"/>
        <v>Dura Tuff</v>
      </c>
      <c r="Z20" t="s">
        <v>53</v>
      </c>
      <c r="AA20" t="s">
        <v>210</v>
      </c>
    </row>
    <row r="21" spans="1:27" x14ac:dyDescent="0.25">
      <c r="A21" t="s">
        <v>73</v>
      </c>
      <c r="B21" t="b">
        <v>0</v>
      </c>
      <c r="G21" t="str">
        <f t="shared" si="8"/>
        <v>Dymax</v>
      </c>
      <c r="K21" t="s">
        <v>114</v>
      </c>
      <c r="O21" t="str">
        <f t="shared" si="9"/>
        <v>Dymax</v>
      </c>
      <c r="P21" t="str">
        <f t="shared" si="11"/>
        <v>785-456-2081</v>
      </c>
      <c r="Q21" t="s">
        <v>141</v>
      </c>
      <c r="S21" t="s">
        <v>193</v>
      </c>
      <c r="T21" s="7" t="s">
        <v>167</v>
      </c>
      <c r="U21">
        <v>66547</v>
      </c>
      <c r="V21" t="s">
        <v>54</v>
      </c>
      <c r="X21" t="b">
        <v>1</v>
      </c>
      <c r="Y21" t="str">
        <f t="shared" si="10"/>
        <v>Dymax</v>
      </c>
      <c r="Z21" t="s">
        <v>53</v>
      </c>
      <c r="AA21" t="s">
        <v>210</v>
      </c>
    </row>
    <row r="22" spans="1:27" x14ac:dyDescent="0.25">
      <c r="A22" t="s">
        <v>74</v>
      </c>
      <c r="B22" t="b">
        <v>0</v>
      </c>
      <c r="G22" t="str">
        <f t="shared" ref="G22:G23" si="12">A22</f>
        <v>First and Ten Design, Inc.</v>
      </c>
      <c r="O22" t="str">
        <f t="shared" ref="O22:O24" si="13">A22</f>
        <v>First and Ten Design, Inc.</v>
      </c>
      <c r="P22"/>
      <c r="Q22" t="s">
        <v>142</v>
      </c>
      <c r="S22" t="s">
        <v>182</v>
      </c>
      <c r="T22" s="7" t="s">
        <v>165</v>
      </c>
      <c r="U22">
        <v>57103</v>
      </c>
      <c r="V22" t="s">
        <v>54</v>
      </c>
      <c r="X22" t="b">
        <v>1</v>
      </c>
      <c r="Y22" t="str">
        <f t="shared" ref="Y22:Y24" si="14">A22</f>
        <v>First and Ten Design, Inc.</v>
      </c>
      <c r="Z22" t="s">
        <v>53</v>
      </c>
      <c r="AA22" t="s">
        <v>210</v>
      </c>
    </row>
    <row r="23" spans="1:27" x14ac:dyDescent="0.25">
      <c r="A23" t="s">
        <v>75</v>
      </c>
      <c r="B23" t="b">
        <v>0</v>
      </c>
      <c r="G23" t="str">
        <f t="shared" si="12"/>
        <v>Fonders Keepers</v>
      </c>
      <c r="O23" t="str">
        <f t="shared" si="13"/>
        <v>Fonders Keepers</v>
      </c>
      <c r="P23"/>
      <c r="Q23" t="s">
        <v>158</v>
      </c>
      <c r="S23" t="s">
        <v>182</v>
      </c>
      <c r="T23" s="7" t="s">
        <v>165</v>
      </c>
      <c r="U23">
        <v>57108</v>
      </c>
      <c r="V23" t="s">
        <v>54</v>
      </c>
      <c r="X23" t="b">
        <v>1</v>
      </c>
      <c r="Y23" t="str">
        <f t="shared" si="14"/>
        <v>Fonders Keepers</v>
      </c>
      <c r="Z23" t="s">
        <v>53</v>
      </c>
      <c r="AA23" t="s">
        <v>210</v>
      </c>
    </row>
    <row r="24" spans="1:27" x14ac:dyDescent="0.25">
      <c r="A24" t="s">
        <v>76</v>
      </c>
      <c r="B24" t="b">
        <v>1</v>
      </c>
      <c r="D24" t="s">
        <v>103</v>
      </c>
      <c r="F24" t="s">
        <v>104</v>
      </c>
      <c r="O24" t="str">
        <f t="shared" si="13"/>
        <v>Gene Stucky</v>
      </c>
      <c r="P24"/>
      <c r="Q24" t="s">
        <v>143</v>
      </c>
      <c r="S24" t="s">
        <v>194</v>
      </c>
      <c r="T24" s="7" t="s">
        <v>165</v>
      </c>
      <c r="U24">
        <v>57039</v>
      </c>
      <c r="V24" t="s">
        <v>54</v>
      </c>
      <c r="X24" t="b">
        <v>1</v>
      </c>
      <c r="Y24" t="str">
        <f t="shared" si="14"/>
        <v>Gene Stucky</v>
      </c>
      <c r="Z24" t="s">
        <v>53</v>
      </c>
      <c r="AA24" t="s">
        <v>210</v>
      </c>
    </row>
    <row r="25" spans="1:27" x14ac:dyDescent="0.25">
      <c r="A25" t="s">
        <v>77</v>
      </c>
      <c r="B25" t="b">
        <v>0</v>
      </c>
      <c r="G25" t="str">
        <f t="shared" ref="G25:G29" si="15">A25</f>
        <v>Hofer Cleaning LLC</v>
      </c>
      <c r="O25" t="str">
        <f t="shared" ref="O25:O29" si="16">A25</f>
        <v>Hofer Cleaning LLC</v>
      </c>
      <c r="P25"/>
      <c r="Q25" t="s">
        <v>159</v>
      </c>
      <c r="S25" t="s">
        <v>195</v>
      </c>
      <c r="T25" s="7" t="s">
        <v>165</v>
      </c>
      <c r="U25">
        <v>57064</v>
      </c>
      <c r="V25" t="s">
        <v>54</v>
      </c>
      <c r="X25" t="b">
        <v>1</v>
      </c>
      <c r="Y25" t="str">
        <f t="shared" ref="Y25:Y29" si="17">A25</f>
        <v>Hofer Cleaning LLC</v>
      </c>
      <c r="Z25" t="s">
        <v>53</v>
      </c>
      <c r="AA25" t="s">
        <v>210</v>
      </c>
    </row>
    <row r="26" spans="1:27" x14ac:dyDescent="0.25">
      <c r="A26" t="s">
        <v>78</v>
      </c>
      <c r="B26" t="b">
        <v>1</v>
      </c>
      <c r="D26" t="s">
        <v>105</v>
      </c>
      <c r="F26" t="s">
        <v>106</v>
      </c>
      <c r="O26" t="str">
        <f t="shared" si="16"/>
        <v>Joe Fischer</v>
      </c>
      <c r="P26"/>
      <c r="Q26" t="s">
        <v>144</v>
      </c>
      <c r="S26" t="s">
        <v>182</v>
      </c>
      <c r="T26" s="7" t="s">
        <v>165</v>
      </c>
      <c r="U26">
        <v>57106</v>
      </c>
      <c r="V26" t="s">
        <v>54</v>
      </c>
      <c r="X26" t="b">
        <v>1</v>
      </c>
      <c r="Y26" t="str">
        <f t="shared" si="17"/>
        <v>Joe Fischer</v>
      </c>
      <c r="Z26" t="s">
        <v>53</v>
      </c>
      <c r="AA26" t="s">
        <v>210</v>
      </c>
    </row>
    <row r="27" spans="1:27" x14ac:dyDescent="0.25">
      <c r="A27" t="s">
        <v>80</v>
      </c>
      <c r="B27" t="b">
        <v>1</v>
      </c>
      <c r="D27" t="s">
        <v>79</v>
      </c>
      <c r="F27" t="s">
        <v>107</v>
      </c>
      <c r="O27" t="str">
        <f t="shared" si="16"/>
        <v>John Narigon</v>
      </c>
      <c r="P27"/>
      <c r="Q27" t="s">
        <v>160</v>
      </c>
      <c r="S27" t="s">
        <v>196</v>
      </c>
      <c r="T27" s="7" t="s">
        <v>165</v>
      </c>
      <c r="U27">
        <v>57022</v>
      </c>
      <c r="V27" t="s">
        <v>54</v>
      </c>
      <c r="X27" t="b">
        <v>1</v>
      </c>
      <c r="Y27" t="str">
        <f t="shared" si="17"/>
        <v>John Narigon</v>
      </c>
      <c r="Z27" t="s">
        <v>53</v>
      </c>
      <c r="AA27" t="s">
        <v>210</v>
      </c>
    </row>
    <row r="28" spans="1:27" x14ac:dyDescent="0.25">
      <c r="A28" t="s">
        <v>81</v>
      </c>
      <c r="B28" t="b">
        <v>1</v>
      </c>
      <c r="D28" t="s">
        <v>108</v>
      </c>
      <c r="F28" t="s">
        <v>109</v>
      </c>
      <c r="O28" t="str">
        <f t="shared" si="16"/>
        <v>Jolene Burggraff</v>
      </c>
      <c r="P28"/>
      <c r="Q28" t="s">
        <v>145</v>
      </c>
      <c r="S28" t="s">
        <v>196</v>
      </c>
      <c r="T28" s="7" t="s">
        <v>165</v>
      </c>
      <c r="U28">
        <v>57022</v>
      </c>
      <c r="V28" t="s">
        <v>54</v>
      </c>
      <c r="X28" t="b">
        <v>1</v>
      </c>
      <c r="Y28" t="str">
        <f t="shared" si="17"/>
        <v>Jolene Burggraff</v>
      </c>
      <c r="Z28" t="s">
        <v>53</v>
      </c>
      <c r="AA28" t="s">
        <v>210</v>
      </c>
    </row>
    <row r="29" spans="1:27" x14ac:dyDescent="0.25">
      <c r="A29" t="s">
        <v>82</v>
      </c>
      <c r="B29" t="b">
        <v>0</v>
      </c>
      <c r="G29" t="str">
        <f t="shared" si="15"/>
        <v>Legacy Law Firm</v>
      </c>
      <c r="O29" t="str">
        <f t="shared" si="16"/>
        <v>Legacy Law Firm</v>
      </c>
      <c r="P29"/>
      <c r="Q29" t="s">
        <v>146</v>
      </c>
      <c r="S29" t="s">
        <v>182</v>
      </c>
      <c r="T29" s="7" t="s">
        <v>165</v>
      </c>
      <c r="U29">
        <v>57108</v>
      </c>
      <c r="V29" t="s">
        <v>54</v>
      </c>
      <c r="X29" t="b">
        <v>1</v>
      </c>
      <c r="Y29" t="str">
        <f t="shared" si="17"/>
        <v>Legacy Law Firm</v>
      </c>
      <c r="Z29" t="s">
        <v>53</v>
      </c>
      <c r="AA29" t="s">
        <v>210</v>
      </c>
    </row>
    <row r="30" spans="1:27" x14ac:dyDescent="0.25">
      <c r="A30" t="s">
        <v>83</v>
      </c>
      <c r="B30" t="b">
        <v>0</v>
      </c>
      <c r="G30" t="str">
        <f t="shared" ref="G30:G32" si="18">A30</f>
        <v>May Wes</v>
      </c>
      <c r="K30" t="s">
        <v>115</v>
      </c>
      <c r="O30" t="str">
        <f t="shared" ref="O30:O32" si="19">A30</f>
        <v>May Wes</v>
      </c>
      <c r="P30" t="str">
        <f t="shared" ref="P30:P32" si="20">K30</f>
        <v>320-587-0760</v>
      </c>
      <c r="Q30" t="s">
        <v>147</v>
      </c>
      <c r="S30" t="s">
        <v>197</v>
      </c>
      <c r="T30" s="7" t="s">
        <v>173</v>
      </c>
      <c r="U30">
        <v>55350</v>
      </c>
      <c r="V30" t="s">
        <v>54</v>
      </c>
      <c r="X30" t="b">
        <v>1</v>
      </c>
      <c r="Y30" t="str">
        <f t="shared" ref="Y30:Y32" si="21">A30</f>
        <v>May Wes</v>
      </c>
      <c r="Z30" t="s">
        <v>53</v>
      </c>
      <c r="AA30" t="s">
        <v>210</v>
      </c>
    </row>
    <row r="31" spans="1:27" x14ac:dyDescent="0.25">
      <c r="A31" t="s">
        <v>84</v>
      </c>
      <c r="B31" t="b">
        <v>0</v>
      </c>
      <c r="G31" t="str">
        <f t="shared" si="18"/>
        <v>Meyerink Farm Service</v>
      </c>
      <c r="K31" t="s">
        <v>116</v>
      </c>
      <c r="O31" t="str">
        <f t="shared" si="19"/>
        <v>Meyerink Farm Service</v>
      </c>
      <c r="P31" t="str">
        <f t="shared" si="20"/>
        <v>605-337-2621</v>
      </c>
      <c r="Q31" t="s">
        <v>161</v>
      </c>
      <c r="S31" t="s">
        <v>198</v>
      </c>
      <c r="T31" s="7" t="s">
        <v>165</v>
      </c>
      <c r="U31">
        <v>57369</v>
      </c>
      <c r="V31" t="s">
        <v>54</v>
      </c>
      <c r="X31" t="b">
        <v>1</v>
      </c>
      <c r="Y31" t="str">
        <f t="shared" si="21"/>
        <v>Meyerink Farm Service</v>
      </c>
      <c r="Z31" t="s">
        <v>53</v>
      </c>
      <c r="AA31" t="s">
        <v>210</v>
      </c>
    </row>
    <row r="32" spans="1:27" x14ac:dyDescent="0.25">
      <c r="A32" t="s">
        <v>85</v>
      </c>
      <c r="B32" t="b">
        <v>0</v>
      </c>
      <c r="G32" t="str">
        <f t="shared" si="18"/>
        <v>Nordik Blades</v>
      </c>
      <c r="K32" t="s">
        <v>117</v>
      </c>
      <c r="O32" t="str">
        <f t="shared" si="19"/>
        <v>Nordik Blades</v>
      </c>
      <c r="P32" t="str">
        <f t="shared" si="20"/>
        <v>(819) 879-0047</v>
      </c>
      <c r="Q32" t="s">
        <v>148</v>
      </c>
      <c r="S32" t="s">
        <v>199</v>
      </c>
      <c r="T32" s="7" t="s">
        <v>175</v>
      </c>
      <c r="U32" s="7" t="s">
        <v>176</v>
      </c>
      <c r="V32" s="7" t="s">
        <v>209</v>
      </c>
      <c r="X32" t="b">
        <v>1</v>
      </c>
      <c r="Y32" t="str">
        <f t="shared" si="21"/>
        <v>Nordik Blades</v>
      </c>
      <c r="Z32" t="s">
        <v>53</v>
      </c>
      <c r="AA32" t="s">
        <v>210</v>
      </c>
    </row>
    <row r="33" spans="1:27" x14ac:dyDescent="0.25">
      <c r="A33" t="s">
        <v>86</v>
      </c>
      <c r="B33" t="b">
        <v>0</v>
      </c>
      <c r="G33" t="str">
        <f t="shared" ref="G33:G34" si="22">A33</f>
        <v>Olofsfors Inc.</v>
      </c>
      <c r="K33" t="s">
        <v>118</v>
      </c>
      <c r="O33" t="str">
        <f t="shared" ref="O33:O34" si="23">A33</f>
        <v>Olofsfors Inc.</v>
      </c>
      <c r="P33" t="str">
        <f t="shared" ref="P33" si="24">K33</f>
        <v>519-754-2190</v>
      </c>
      <c r="Q33" t="s">
        <v>149</v>
      </c>
      <c r="S33" t="s">
        <v>200</v>
      </c>
      <c r="T33" s="7" t="s">
        <v>177</v>
      </c>
      <c r="U33" s="7" t="s">
        <v>178</v>
      </c>
      <c r="V33" s="7" t="s">
        <v>209</v>
      </c>
      <c r="X33" t="b">
        <v>1</v>
      </c>
      <c r="Y33" t="str">
        <f t="shared" ref="Y33:Y34" si="25">A33</f>
        <v>Olofsfors Inc.</v>
      </c>
      <c r="Z33" t="s">
        <v>53</v>
      </c>
      <c r="AA33" t="s">
        <v>210</v>
      </c>
    </row>
    <row r="34" spans="1:27" x14ac:dyDescent="0.25">
      <c r="A34" t="s">
        <v>87</v>
      </c>
      <c r="B34" t="b">
        <v>0</v>
      </c>
      <c r="G34" t="str">
        <f t="shared" si="22"/>
        <v>R and R Snow Removal LLC</v>
      </c>
      <c r="O34" t="str">
        <f t="shared" si="23"/>
        <v>R and R Snow Removal LLC</v>
      </c>
      <c r="P34"/>
      <c r="Q34" t="s">
        <v>150</v>
      </c>
      <c r="S34" t="s">
        <v>201</v>
      </c>
      <c r="T34" s="7" t="s">
        <v>165</v>
      </c>
      <c r="U34">
        <v>57032</v>
      </c>
      <c r="V34" t="s">
        <v>54</v>
      </c>
      <c r="X34" t="b">
        <v>1</v>
      </c>
      <c r="Y34" t="str">
        <f t="shared" si="25"/>
        <v>R and R Snow Removal LLC</v>
      </c>
      <c r="Z34" t="s">
        <v>53</v>
      </c>
      <c r="AA34" t="s">
        <v>210</v>
      </c>
    </row>
    <row r="35" spans="1:27" x14ac:dyDescent="0.25">
      <c r="A35" t="s">
        <v>88</v>
      </c>
      <c r="B35" t="b">
        <v>0</v>
      </c>
      <c r="G35" t="str">
        <f t="shared" ref="G35:G37" si="26">A35</f>
        <v>Rubber Edge</v>
      </c>
      <c r="K35" t="s">
        <v>119</v>
      </c>
      <c r="O35" t="str">
        <f t="shared" ref="O35:O37" si="27">A35</f>
        <v>Rubber Edge</v>
      </c>
      <c r="P35" t="str">
        <f t="shared" ref="P35" si="28">K35</f>
        <v>732-363-7663</v>
      </c>
      <c r="Q35" t="s">
        <v>151</v>
      </c>
      <c r="S35" t="s">
        <v>202</v>
      </c>
      <c r="T35" s="7" t="s">
        <v>179</v>
      </c>
      <c r="U35">
        <v>8755</v>
      </c>
      <c r="V35" t="s">
        <v>54</v>
      </c>
      <c r="X35" t="b">
        <v>1</v>
      </c>
      <c r="Y35" t="str">
        <f t="shared" ref="Y35:Y37" si="29">A35</f>
        <v>Rubber Edge</v>
      </c>
      <c r="Z35" t="s">
        <v>53</v>
      </c>
      <c r="AA35" t="s">
        <v>210</v>
      </c>
    </row>
    <row r="36" spans="1:27" x14ac:dyDescent="0.25">
      <c r="A36" t="s">
        <v>89</v>
      </c>
      <c r="B36" t="b">
        <v>0</v>
      </c>
      <c r="G36" t="str">
        <f t="shared" si="26"/>
        <v>Sioux City Fabrication &amp; Machine LLC</v>
      </c>
      <c r="O36" t="str">
        <f t="shared" si="27"/>
        <v>Sioux City Fabrication &amp; Machine LLC</v>
      </c>
      <c r="P36"/>
      <c r="Q36" t="s">
        <v>152</v>
      </c>
      <c r="S36" t="s">
        <v>203</v>
      </c>
      <c r="T36" s="7" t="s">
        <v>166</v>
      </c>
      <c r="U36">
        <v>51103</v>
      </c>
      <c r="V36" t="s">
        <v>54</v>
      </c>
      <c r="X36" t="b">
        <v>1</v>
      </c>
      <c r="Y36" t="str">
        <f t="shared" si="29"/>
        <v>Sioux City Fabrication &amp; Machine LLC</v>
      </c>
      <c r="Z36" t="s">
        <v>53</v>
      </c>
      <c r="AA36" t="s">
        <v>210</v>
      </c>
    </row>
    <row r="37" spans="1:27" x14ac:dyDescent="0.25">
      <c r="A37" t="s">
        <v>90</v>
      </c>
      <c r="B37" t="b">
        <v>0</v>
      </c>
      <c r="G37" t="str">
        <f t="shared" si="26"/>
        <v>SnowyBluff LLC</v>
      </c>
      <c r="O37" t="str">
        <f t="shared" si="27"/>
        <v>SnowyBluff LLC</v>
      </c>
      <c r="P37"/>
      <c r="Q37" t="s">
        <v>153</v>
      </c>
      <c r="S37" t="s">
        <v>182</v>
      </c>
      <c r="T37" s="7" t="s">
        <v>165</v>
      </c>
      <c r="U37">
        <v>57108</v>
      </c>
      <c r="V37" t="s">
        <v>54</v>
      </c>
      <c r="X37" t="b">
        <v>1</v>
      </c>
      <c r="Y37" t="str">
        <f t="shared" si="29"/>
        <v>SnowyBluff LLC</v>
      </c>
      <c r="Z37" t="s">
        <v>53</v>
      </c>
      <c r="AA37" t="s">
        <v>210</v>
      </c>
    </row>
    <row r="38" spans="1:27" x14ac:dyDescent="0.25">
      <c r="A38" t="s">
        <v>91</v>
      </c>
      <c r="B38" t="b">
        <v>0</v>
      </c>
      <c r="G38" t="str">
        <f t="shared" ref="G38:G41" si="30">A38</f>
        <v>Trek, Inc</v>
      </c>
      <c r="K38" t="s">
        <v>120</v>
      </c>
      <c r="O38" t="str">
        <f t="shared" ref="O38:O41" si="31">A38</f>
        <v>Trek, Inc</v>
      </c>
      <c r="P38" t="str">
        <f t="shared" ref="P38:P41" si="32">K38</f>
        <v>763-546-0414</v>
      </c>
      <c r="Q38" t="s">
        <v>162</v>
      </c>
      <c r="S38" t="s">
        <v>204</v>
      </c>
      <c r="T38" s="7" t="s">
        <v>173</v>
      </c>
      <c r="U38">
        <v>55441</v>
      </c>
      <c r="V38" t="s">
        <v>54</v>
      </c>
      <c r="X38" t="b">
        <v>1</v>
      </c>
      <c r="Y38" t="str">
        <f t="shared" ref="Y38:Y41" si="33">A38</f>
        <v>Trek, Inc</v>
      </c>
      <c r="Z38" t="s">
        <v>53</v>
      </c>
      <c r="AA38" t="s">
        <v>210</v>
      </c>
    </row>
    <row r="39" spans="1:27" x14ac:dyDescent="0.25">
      <c r="A39" t="s">
        <v>92</v>
      </c>
      <c r="B39" t="b">
        <v>0</v>
      </c>
      <c r="G39" t="str">
        <f t="shared" si="30"/>
        <v>Trojan Tracks</v>
      </c>
      <c r="K39" t="s">
        <v>121</v>
      </c>
      <c r="O39" t="str">
        <f t="shared" si="31"/>
        <v>Trojan Tracks</v>
      </c>
      <c r="P39" t="str">
        <f t="shared" si="32"/>
        <v>604-826-8832</v>
      </c>
      <c r="Q39" t="s">
        <v>163</v>
      </c>
      <c r="S39" t="s">
        <v>205</v>
      </c>
      <c r="T39" s="7" t="s">
        <v>180</v>
      </c>
      <c r="U39">
        <v>98264</v>
      </c>
      <c r="V39" t="s">
        <v>54</v>
      </c>
      <c r="X39" t="b">
        <v>1</v>
      </c>
      <c r="Y39" t="str">
        <f t="shared" si="33"/>
        <v>Trojan Tracks</v>
      </c>
      <c r="Z39" t="s">
        <v>53</v>
      </c>
      <c r="AA39" t="s">
        <v>210</v>
      </c>
    </row>
    <row r="40" spans="1:27" x14ac:dyDescent="0.25">
      <c r="A40" t="s">
        <v>93</v>
      </c>
      <c r="B40" t="b">
        <v>0</v>
      </c>
      <c r="G40" t="str">
        <f t="shared" si="30"/>
        <v>Warner Plastics</v>
      </c>
      <c r="K40" t="s">
        <v>122</v>
      </c>
      <c r="O40" t="str">
        <f t="shared" si="31"/>
        <v>Warner Plastics</v>
      </c>
      <c r="P40" t="str">
        <f t="shared" si="32"/>
        <v>515-289-2404</v>
      </c>
      <c r="Q40" t="s">
        <v>154</v>
      </c>
      <c r="S40" t="s">
        <v>206</v>
      </c>
      <c r="T40" s="7" t="s">
        <v>166</v>
      </c>
      <c r="U40">
        <v>50023</v>
      </c>
      <c r="V40" t="s">
        <v>54</v>
      </c>
      <c r="X40" t="b">
        <v>1</v>
      </c>
      <c r="Y40" t="str">
        <f t="shared" si="33"/>
        <v>Warner Plastics</v>
      </c>
      <c r="Z40" t="s">
        <v>53</v>
      </c>
      <c r="AA40" t="s">
        <v>210</v>
      </c>
    </row>
    <row r="41" spans="1:27" x14ac:dyDescent="0.25">
      <c r="A41" t="s">
        <v>94</v>
      </c>
      <c r="B41" t="b">
        <v>0</v>
      </c>
      <c r="G41" t="str">
        <f t="shared" si="30"/>
        <v>Weller Tractor Salvage</v>
      </c>
      <c r="K41" t="s">
        <v>123</v>
      </c>
      <c r="O41" t="str">
        <f t="shared" si="31"/>
        <v>Weller Tractor Salvage</v>
      </c>
      <c r="P41" t="str">
        <f t="shared" si="32"/>
        <v>1-800-255-9325</v>
      </c>
      <c r="Q41" t="s">
        <v>155</v>
      </c>
      <c r="S41" t="s">
        <v>207</v>
      </c>
      <c r="T41" s="7" t="s">
        <v>167</v>
      </c>
      <c r="U41">
        <v>67530</v>
      </c>
      <c r="V41" t="s">
        <v>54</v>
      </c>
      <c r="X41" t="b">
        <v>1</v>
      </c>
      <c r="Y41" t="str">
        <f t="shared" si="33"/>
        <v>Weller Tractor Salvage</v>
      </c>
      <c r="Z41" t="s">
        <v>53</v>
      </c>
      <c r="AA41" t="s">
        <v>210</v>
      </c>
    </row>
    <row r="42" spans="1:27" x14ac:dyDescent="0.25">
      <c r="A42" t="s">
        <v>95</v>
      </c>
      <c r="B42" t="b">
        <v>0</v>
      </c>
      <c r="G42" t="str">
        <f t="shared" ref="G42" si="34">A42</f>
        <v>XCal Tools</v>
      </c>
      <c r="K42" t="s">
        <v>124</v>
      </c>
      <c r="O42" t="str">
        <f t="shared" ref="O42:O43" si="35">A42</f>
        <v>XCal Tools</v>
      </c>
      <c r="P42" t="str">
        <f t="shared" ref="P42" si="36">K42</f>
        <v>(412)770-7749</v>
      </c>
      <c r="Q42" t="s">
        <v>164</v>
      </c>
      <c r="S42" t="s">
        <v>208</v>
      </c>
      <c r="T42" s="7" t="s">
        <v>181</v>
      </c>
      <c r="U42">
        <v>15238</v>
      </c>
      <c r="V42" t="s">
        <v>54</v>
      </c>
      <c r="X42" t="b">
        <v>1</v>
      </c>
      <c r="Y42" t="str">
        <f t="shared" ref="Y42" si="37">A42</f>
        <v>XCal Tools</v>
      </c>
      <c r="Z42" t="s">
        <v>53</v>
      </c>
      <c r="AA42" t="s">
        <v>210</v>
      </c>
    </row>
    <row r="43" spans="1:27" x14ac:dyDescent="0.25">
      <c r="A43" t="s">
        <v>96</v>
      </c>
      <c r="B43" t="b">
        <v>0</v>
      </c>
      <c r="G43" t="str">
        <f t="shared" ref="G43" si="38">A43</f>
        <v>Zoom Info</v>
      </c>
      <c r="O43" t="str">
        <f t="shared" si="35"/>
        <v>Zoom Info</v>
      </c>
      <c r="P43"/>
      <c r="Y43" t="str">
        <f>A43</f>
        <v>Zoom Info</v>
      </c>
      <c r="Z43" t="s">
        <v>53</v>
      </c>
      <c r="AA43" t="s">
        <v>210</v>
      </c>
    </row>
    <row r="44" spans="1:27" x14ac:dyDescent="0.25">
      <c r="P44"/>
    </row>
    <row r="45" spans="1:27" x14ac:dyDescent="0.25">
      <c r="P45"/>
    </row>
    <row r="46" spans="1:27" x14ac:dyDescent="0.25">
      <c r="P46"/>
    </row>
  </sheetData>
  <phoneticPr fontId="2" type="noConversion"/>
  <conditionalFormatting sqref="A3:A43">
    <cfRule type="duplicateValues" dxfId="0" priority="39"/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VendorTemplate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josanchez</dc:creator>
  <cp:lastModifiedBy>paapr</cp:lastModifiedBy>
  <dcterms:created xsi:type="dcterms:W3CDTF">2010-06-23T16:17:00Z</dcterms:created>
  <dcterms:modified xsi:type="dcterms:W3CDTF">2022-10-17T08:45:47Z</dcterms:modified>
</cp:coreProperties>
</file>