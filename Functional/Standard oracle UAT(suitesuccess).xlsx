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02"/>
  <workbookPr/>
  <mc:AlternateContent xmlns:mc="http://schemas.openxmlformats.org/markup-compatibility/2006">
    <mc:Choice Requires="x15">
      <x15ac:absPath xmlns:x15ac="http://schemas.microsoft.com/office/spreadsheetml/2010/11/ac" url="https://paapri-my.sharepoint.com/personal/piyas_paapri_com/Documents/PCT OneDrive/Departments/Customer Files and Folders/NetSuite/CEM/Oracle-Paapri/"/>
    </mc:Choice>
  </mc:AlternateContent>
  <xr:revisionPtr revIDLastSave="0" documentId="8_{C9FA544F-B105-488B-846C-F32021EAD985}" xr6:coauthVersionLast="47" xr6:coauthVersionMax="47" xr10:uidLastSave="{00000000-0000-0000-0000-000000000000}"/>
  <bookViews>
    <workbookView xWindow="1860" yWindow="500" windowWidth="23120" windowHeight="13100" tabRatio="685" firstSheet="1" activeTab="1" xr2:uid="{00000000-000D-0000-FFFF-FFFF00000000}"/>
  </bookViews>
  <sheets>
    <sheet name="Summary" sheetId="8" r:id="rId1"/>
    <sheet name="Manufacturing" sheetId="10" r:id="rId2"/>
    <sheet name="Design to Build" sheetId="3" r:id="rId3"/>
    <sheet name="Record to Report" sheetId="11" r:id="rId4"/>
    <sheet name="Lead to Quote" sheetId="1" r:id="rId5"/>
    <sheet name="Order to Cash_Return to Credit" sheetId="2" r:id="rId6"/>
    <sheet name="Procure to Pay_Return to Debit" sheetId="4" r:id="rId7"/>
    <sheet name="Marketing to ROI" sheetId="5" r:id="rId8"/>
    <sheet name="Call to Resolution" sheetId="6" r:id="rId9"/>
  </sheets>
  <definedNames>
    <definedName name="_C2R_CUS01">'Call to Resolution'!$J$12:$J$16</definedName>
    <definedName name="_C2R01">'Call to Resolution'!$J$4:$J$5</definedName>
    <definedName name="_C2R02">'Call to Resolution'!$J$8:$J$9</definedName>
    <definedName name="_FA01">'Procure to Pay_Return to Debit'!$J$69:$J$71</definedName>
    <definedName name="_FA02">'Procure to Pay_Return to Debit'!$J$74:$J$75</definedName>
    <definedName name="_FA03">'Procure to Pay_Return to Debit'!$J$78:$J$81</definedName>
    <definedName name="_MFG01">Manufacturing!$J$4:$J$5</definedName>
    <definedName name="_MFG02">Manufacturing!$J$8:$J$9</definedName>
    <definedName name="_MFG03">Manufacturing!$J$12:$J$14</definedName>
    <definedName name="_MFG04">Manufacturing!$J$17:$J$18</definedName>
    <definedName name="_MFG05">Manufacturing!$J$22:$J$28</definedName>
    <definedName name="_MFG06">Manufacturing!$J$31:$J$34</definedName>
    <definedName name="_R2C01">'Order to Cash_Return to Credit'!$J$21:$J$27</definedName>
    <definedName name="_R2C02">'Order to Cash_Return to Credit'!$J$30:$J$41</definedName>
    <definedName name="_R2R_CUS01">'Record to Report'!$J$68:$J$72</definedName>
    <definedName name="_R2R01">'Record to Report'!$J$4:$J$6</definedName>
    <definedName name="_R2R02">'Record to Report'!$J$9:$J$14</definedName>
    <definedName name="_R2R03">'Record to Report'!$J$17:$J$21</definedName>
    <definedName name="_R2R04">'Record to Report'!$J$24:$J$26</definedName>
    <definedName name="_R2R05">'Record to Report'!$J$29:$J$32</definedName>
    <definedName name="_R2R06">'Record to Report'!$J$35:$J$37</definedName>
    <definedName name="_R2R07">'Record to Report'!$J$40:$J$44</definedName>
    <definedName name="_R2R08">'Record to Report'!$J$47:$J$52</definedName>
    <definedName name="_R2R09">'Record to Report'!$J$55:$J$57</definedName>
    <definedName name="_R2R10">'Record to Report'!$J$60:$J$65</definedName>
    <definedName name="D2B_CUS01">'Design to Build'!$J$46:$J$50</definedName>
    <definedName name="D2B01">'Design to Build'!$J$4:$J$5</definedName>
    <definedName name="D2B02">'Design to Build'!$J$8:$J$9</definedName>
    <definedName name="D2B03">'Design to Build'!$J$12:$J$15</definedName>
    <definedName name="D2B04">'Design to Build'!$J$18:$J$19</definedName>
    <definedName name="D2B05">'Design to Build'!$J$22:$J$23</definedName>
    <definedName name="D2B06">'Design to Build'!$J$26:$J$27</definedName>
    <definedName name="D2B07">'Design to Build'!$J$30:$J$31</definedName>
    <definedName name="D2B08">'Design to Build'!$J$34:$J$35</definedName>
    <definedName name="D2B09">'Design to Build'!$J$38:$J$39</definedName>
    <definedName name="D2B10">'Design to Build'!$J$42:$J$43</definedName>
    <definedName name="L2Q_CUS01">'Lead to Quote'!$J$29:$J$32</definedName>
    <definedName name="L2Q01">'Lead to Quote'!$J$4:$J$8</definedName>
    <definedName name="L2Q02">'Lead to Quote'!$J$11:$J$12</definedName>
    <definedName name="L2Q03">'Lead to Quote'!$J$15:$J$17</definedName>
    <definedName name="L2Q04">'Lead to Quote'!$J$20:$J$21</definedName>
    <definedName name="L2Q05">'Lead to Quote'!$J$24:$J$26</definedName>
    <definedName name="M2R_CUS01">'Marketing to ROI'!$J$14:$J$18</definedName>
    <definedName name="M2R01">'Marketing to ROI'!$J$8:$J$11</definedName>
    <definedName name="MFG_CUS01">Manufacturing!$J$37:$J$41</definedName>
    <definedName name="O2C_CUS01">'Order to Cash_Return to Credit'!$J$44:$J$48</definedName>
    <definedName name="O2C01">'Order to Cash_Return to Credit'!$J$4:$J$12</definedName>
    <definedName name="O2C02">'Order to Cash_Return to Credit'!$J$15:$J$18</definedName>
    <definedName name="P2P_CUS01">'Procure to Pay_Return to Debit'!$J$84:$J$88</definedName>
    <definedName name="P2P01">'Procure to Pay_Return to Debit'!$J$4:$J$5</definedName>
    <definedName name="P2P02">'Procure to Pay_Return to Debit'!$J$8:$J$15</definedName>
    <definedName name="P2P03">'Procure to Pay_Return to Debit'!$J$18:$J$20</definedName>
    <definedName name="P2P04">'Procure to Pay_Return to Debit'!$J$23:$J$26</definedName>
    <definedName name="P2P05">'Procure to Pay_Return to Debit'!$J$29:$J$33</definedName>
    <definedName name="P2P06">'Procure to Pay_Return to Debit'!$J$36:$J$40</definedName>
    <definedName name="P2P07">'Procure to Pay_Return to Debit'!$J$43:$J$49</definedName>
    <definedName name="P2P08">'Procure to Pay_Return to Debit'!$J$52:$J$58</definedName>
    <definedName name="P2P09">'Procure to Pay_Return to Debit'!$J$61:$J$66</definedName>
    <definedName name="_xlnm.Print_Area" localSheetId="8">'Call to Resolution'!$C:$I</definedName>
    <definedName name="_xlnm.Print_Area" localSheetId="2">'Design to Build'!$C:$I</definedName>
    <definedName name="_xlnm.Print_Area" localSheetId="4">'Lead to Quote'!$E:$I</definedName>
    <definedName name="_xlnm.Print_Area" localSheetId="1">Manufacturing!$C:$I</definedName>
    <definedName name="_xlnm.Print_Area" localSheetId="7">'Marketing to ROI'!$C:$I</definedName>
    <definedName name="_xlnm.Print_Area" localSheetId="6">'Procure to Pay_Return to Debit'!$C:$I</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2" i="8" l="1"/>
  <c r="C51" i="8"/>
  <c r="C50" i="8"/>
  <c r="C26" i="8"/>
  <c r="C25" i="8"/>
  <c r="C24" i="8"/>
  <c r="C23" i="8"/>
  <c r="C22" i="8"/>
  <c r="C21" i="8"/>
  <c r="C20" i="8"/>
  <c r="C19" i="8"/>
  <c r="C18" i="8"/>
  <c r="C17" i="8"/>
  <c r="C16" i="8"/>
  <c r="C28" i="8"/>
  <c r="C29" i="8"/>
  <c r="C30" i="8"/>
  <c r="C31" i="8"/>
  <c r="C32" i="8"/>
  <c r="C33" i="8"/>
  <c r="C35" i="8"/>
  <c r="C36" i="8"/>
  <c r="C37" i="8"/>
  <c r="C49" i="8"/>
  <c r="C48" i="8"/>
  <c r="C47" i="8"/>
  <c r="C46" i="8"/>
  <c r="C45" i="8"/>
  <c r="C44" i="8"/>
  <c r="C43" i="8"/>
  <c r="C42" i="8"/>
  <c r="C60" i="8"/>
  <c r="C59" i="8"/>
  <c r="C58" i="8"/>
  <c r="C57" i="8"/>
  <c r="C56" i="8"/>
  <c r="C61" i="8"/>
  <c r="C55" i="8"/>
  <c r="C13" i="8"/>
  <c r="C12" i="8"/>
  <c r="C11" i="8"/>
  <c r="C10" i="8"/>
  <c r="C9" i="8"/>
  <c r="C8" i="8"/>
  <c r="C67" i="8"/>
  <c r="C66" i="8"/>
  <c r="C68" i="8"/>
  <c r="C64" i="8"/>
  <c r="C63" i="8"/>
  <c r="C53" i="8"/>
  <c r="C41" i="8"/>
  <c r="C14" i="8"/>
  <c r="C7" i="8"/>
  <c r="C6" i="8"/>
  <c r="C5" i="8"/>
  <c r="C4" i="8"/>
  <c r="C39" i="8"/>
  <c r="C38" i="8"/>
</calcChain>
</file>

<file path=xl/sharedStrings.xml><?xml version="1.0" encoding="utf-8"?>
<sst xmlns="http://schemas.openxmlformats.org/spreadsheetml/2006/main" count="2199" uniqueCount="760">
  <si>
    <t>Summary of MFG Test Use Cases</t>
  </si>
  <si>
    <t>Case #</t>
  </si>
  <si>
    <t>Scenario</t>
  </si>
  <si>
    <t>Pass/Fail</t>
  </si>
  <si>
    <t>Notes</t>
  </si>
  <si>
    <t>DESIGN TO BUILD</t>
  </si>
  <si>
    <t>D2B01</t>
  </si>
  <si>
    <t>Design to Build: Create New Inventory Item</t>
  </si>
  <si>
    <t>D2B02</t>
  </si>
  <si>
    <t>Design to Build: Inventory Adjustment</t>
  </si>
  <si>
    <t>D2B03</t>
  </si>
  <si>
    <t>Design to Build: Transfer Inventory via Transfer Order</t>
  </si>
  <si>
    <t>D2B04</t>
  </si>
  <si>
    <t>Design to Build: Transfer Inventory</t>
  </si>
  <si>
    <t>D2B05</t>
  </si>
  <si>
    <t>Design to Build: Item Costing</t>
  </si>
  <si>
    <t>D2B06</t>
  </si>
  <si>
    <t>Design to Build: Build Assembly or Sub-Assembly</t>
  </si>
  <si>
    <t>D2B07</t>
  </si>
  <si>
    <t>Design to Build: Define Work Calendars</t>
  </si>
  <si>
    <t>(REMOVE FOR STD INCLUDING TESTS FROM TAB)</t>
  </si>
  <si>
    <t>D2B08</t>
  </si>
  <si>
    <t>Design to Build: Define Work Centers</t>
  </si>
  <si>
    <t>D2B09</t>
  </si>
  <si>
    <t>Design to Build: Create Cost Template</t>
  </si>
  <si>
    <t>D2B10</t>
  </si>
  <si>
    <t>Design to Build: Create Routing</t>
  </si>
  <si>
    <t>D2B_CUS01</t>
  </si>
  <si>
    <t>Design to Build: Custom: &lt;Consultant to complete this section…</t>
  </si>
  <si>
    <t>Pass/Fail formula may need to be corrected or delete this row</t>
  </si>
  <si>
    <t>RECORD TO REPORT</t>
  </si>
  <si>
    <t>R2R01</t>
  </si>
  <si>
    <t>Record to Report:  Validate Subsidiaries &amp; Segments</t>
  </si>
  <si>
    <t>R2R02</t>
  </si>
  <si>
    <t>Record to Report:  Accounting Setup</t>
  </si>
  <si>
    <t>R2R03</t>
  </si>
  <si>
    <t>Record to Report:  Validate Period Close</t>
  </si>
  <si>
    <t>R2R04</t>
  </si>
  <si>
    <t>Record to Report:  Exchange Rates</t>
  </si>
  <si>
    <t>R2R05</t>
  </si>
  <si>
    <t>Record to Report:  Journal Entry</t>
  </si>
  <si>
    <t>R2R06</t>
  </si>
  <si>
    <t>Record to Report:  Budgets</t>
  </si>
  <si>
    <t>R2R07</t>
  </si>
  <si>
    <t>Record to Report:  Reconcile Credit Card &amp; Bank Statements</t>
  </si>
  <si>
    <t>R2R08</t>
  </si>
  <si>
    <t>Record to Report:  Allocation Schedules</t>
  </si>
  <si>
    <t>R2R09</t>
  </si>
  <si>
    <t>Record to Report:  Amortization Templates</t>
  </si>
  <si>
    <t>R2R10</t>
  </si>
  <si>
    <t>Record to Report:  Intercompany Transactions</t>
  </si>
  <si>
    <t>R2R_CUS01</t>
  </si>
  <si>
    <t>Record to Report: Custom: &lt;Consultant to complete this section…</t>
  </si>
  <si>
    <t>LEAD TO QUOTE</t>
  </si>
  <si>
    <t>L2Q01</t>
  </si>
  <si>
    <t>Lead to Quote: Create and Manage Lead, Opportunity, Quote</t>
  </si>
  <si>
    <t>L2Q02</t>
  </si>
  <si>
    <t>Lead to Quote: Create Online Lead</t>
  </si>
  <si>
    <t>L2Q03</t>
  </si>
  <si>
    <t>Lead to Quote: Establish Quota</t>
  </si>
  <si>
    <t>L2Q04</t>
  </si>
  <si>
    <t>Lead to Quote: Manage Forecasts</t>
  </si>
  <si>
    <t>L2Q05</t>
  </si>
  <si>
    <t>Lead to Quote: Analyze Performance</t>
  </si>
  <si>
    <t>L2Q_CUS01</t>
  </si>
  <si>
    <t>Lead to Quote: Custom: &lt;Consultant to complete this section…</t>
  </si>
  <si>
    <t>ORDER TO CASH</t>
  </si>
  <si>
    <t>O2C01</t>
  </si>
  <si>
    <t>Order to Cash: Create Sales Order, Fulfill, Invoice</t>
  </si>
  <si>
    <t>O2C02</t>
  </si>
  <si>
    <t>Order to Cash: Customer Deposit</t>
  </si>
  <si>
    <t>R2C01</t>
  </si>
  <si>
    <t>Order to Cash: Customer Return - Credit</t>
  </si>
  <si>
    <t>R2C02</t>
  </si>
  <si>
    <t>Order to Cash: Customer Reurn - Replace</t>
  </si>
  <si>
    <t>O2C_CUS01</t>
  </si>
  <si>
    <t>Order to Cash: Custom: &lt;Consultant to complete this section…</t>
  </si>
  <si>
    <t>PROCURE TO PAY and FIXED ASSETS</t>
  </si>
  <si>
    <t>P2P01</t>
  </si>
  <si>
    <t>Procure to Pay: Create Vendor</t>
  </si>
  <si>
    <t>P2P02</t>
  </si>
  <si>
    <t>Procure to Pay: RFQ</t>
  </si>
  <si>
    <t>P2P03</t>
  </si>
  <si>
    <t>Procure to Pay: Demand Planning</t>
  </si>
  <si>
    <t>P2P04</t>
  </si>
  <si>
    <t>Procure to Pay: Vendor Prepayment</t>
  </si>
  <si>
    <t>P2P05</t>
  </si>
  <si>
    <t>Procure to Pay: Create Purchase Order</t>
  </si>
  <si>
    <t>P2P06</t>
  </si>
  <si>
    <t>Procure to Pay: Purchase Order from Order Items</t>
  </si>
  <si>
    <t>P2P07</t>
  </si>
  <si>
    <t>Procure to Pay: Blanket Purchase Order</t>
  </si>
  <si>
    <t>P2P08</t>
  </si>
  <si>
    <t>Procure to Pay: 3-Way Match</t>
  </si>
  <si>
    <t>P2P09</t>
  </si>
  <si>
    <t>Procure to Pay: Vendor Return with Fulfillment</t>
  </si>
  <si>
    <t>FA01</t>
  </si>
  <si>
    <t>Fixed Assets: Create Fixed Asset</t>
  </si>
  <si>
    <t>FA02</t>
  </si>
  <si>
    <t>Fixed Assets: Asset Depreciation</t>
  </si>
  <si>
    <t>FA03</t>
  </si>
  <si>
    <t>Fixed Assets: Asset Disposal</t>
  </si>
  <si>
    <t>P2P_CUS01</t>
  </si>
  <si>
    <t>Procure to Pay: Custom: &lt;Consultant to complete this section…</t>
  </si>
  <si>
    <t>MANUFACTURING</t>
  </si>
  <si>
    <t>MFG01</t>
  </si>
  <si>
    <t>Mfg: Create Work Order</t>
  </si>
  <si>
    <t>MFG02</t>
  </si>
  <si>
    <t>Mfg: Issue Materials</t>
  </si>
  <si>
    <t>MFG03</t>
  </si>
  <si>
    <t>Mfg: Report Production Completion</t>
  </si>
  <si>
    <t>MFG04</t>
  </si>
  <si>
    <t>Mfg: Work Order Close</t>
  </si>
  <si>
    <t>MFG05</t>
  </si>
  <si>
    <t>Mfg: Contract Manufacturing</t>
  </si>
  <si>
    <t>MFG06</t>
  </si>
  <si>
    <t>Mfg: Demand Planning</t>
  </si>
  <si>
    <t>MFG_CUS01</t>
  </si>
  <si>
    <t>Mfg: Custom: &lt;Consultant to complete this section…</t>
  </si>
  <si>
    <t>MARKETING</t>
  </si>
  <si>
    <t>M2R01</t>
  </si>
  <si>
    <t>Marketing to ROI: Manage Campaigns</t>
  </si>
  <si>
    <t>M2R_CUS01</t>
  </si>
  <si>
    <t>Marketing to ROI: Custom: &lt;Consultant to complete this section…</t>
  </si>
  <si>
    <t>CALL TO RESOLUTION</t>
  </si>
  <si>
    <t>C2R01</t>
  </si>
  <si>
    <t>Call to Resolution: Create New Case</t>
  </si>
  <si>
    <t>C2R02</t>
  </si>
  <si>
    <t>Call to Resolution: Update Existing Case</t>
  </si>
  <si>
    <t>C2R_CUS01</t>
  </si>
  <si>
    <t>Call to Resolution: Custom: &lt;Consultant to complete this section…</t>
  </si>
  <si>
    <t xml:space="preserve">Market </t>
  </si>
  <si>
    <t>Region</t>
  </si>
  <si>
    <t>Role</t>
  </si>
  <si>
    <t>Step #</t>
  </si>
  <si>
    <t>Step Name</t>
  </si>
  <si>
    <t>Step Instructions</t>
  </si>
  <si>
    <t>Verification</t>
  </si>
  <si>
    <t>Issue #</t>
  </si>
  <si>
    <t>User</t>
  </si>
  <si>
    <t>Iteration</t>
  </si>
  <si>
    <t>Transaction #</t>
  </si>
  <si>
    <t>Description:</t>
  </si>
  <si>
    <t>Manually create a work order for production</t>
  </si>
  <si>
    <t>MM</t>
  </si>
  <si>
    <t>NA</t>
  </si>
  <si>
    <t>Create Work Order</t>
  </si>
  <si>
    <t>Production Manager</t>
  </si>
  <si>
    <t>Step 1</t>
  </si>
  <si>
    <t>NOTE: prior to creating a work order validate the components have quantity on hand or do an inventory adjustment.
1. Navigate  to Transactions &gt; Manufacturing &gt; Enter Work Orders.
2. Select or enter the following information as it pertains to your business scenario:
   - Select subsidiary
   - Select assembly (or sub-assy if building to stock)
   - Enter quantity to build/assy
   - Set work order to released
3. Click Save.</t>
  </si>
  <si>
    <t xml:space="preserve">1. Work order is successfully Saved, can be found and updated.
2. Open the work order and validate the items on the Items subtab.
3. Print the BOM and validate the quantities required for each component and sub-assy (if any) are valid.
</t>
  </si>
  <si>
    <r>
      <t xml:space="preserve">Include: </t>
    </r>
    <r>
      <rPr>
        <b/>
        <sz val="10"/>
        <color rgb="FFFF0000"/>
        <rFont val="Calibri"/>
        <family val="2"/>
        <scheme val="minor"/>
      </rPr>
      <t>Work Order #</t>
    </r>
  </si>
  <si>
    <t>[Enter testing notes]</t>
  </si>
  <si>
    <t>Pass</t>
  </si>
  <si>
    <t>Mfg: Issue Components</t>
  </si>
  <si>
    <t>Issue components to the work order</t>
  </si>
  <si>
    <t>Demand Planning</t>
  </si>
  <si>
    <t>Production Operation</t>
  </si>
  <si>
    <t xml:space="preserve">Issue Components </t>
  </si>
  <si>
    <t>1. Locate the work order (most recent or enter in global search).
2. Click Issue Components button.
3. Click on the Components subtab.
4. Enter quantity if different than defaulted.
5. Click Save.</t>
  </si>
  <si>
    <t>1. Form properly saves transaction.
2. Validate the current quantity for the component items have reduced by the quantity issued.
3. Navigate to More Actions &gt; GL Impact and validate proper accounting including WIP has been recorded.</t>
  </si>
  <si>
    <r>
      <t xml:space="preserve">Include: </t>
    </r>
    <r>
      <rPr>
        <b/>
        <sz val="10"/>
        <color rgb="FFFF0000"/>
        <rFont val="Calibri"/>
        <family val="2"/>
        <scheme val="minor"/>
      </rPr>
      <t>Item, Location, and Cost</t>
    </r>
  </si>
  <si>
    <r>
      <t>[Enter testing notes</t>
    </r>
    <r>
      <rPr>
        <sz val="10"/>
        <color theme="1"/>
        <rFont val="Calibri"/>
        <family val="2"/>
        <scheme val="minor"/>
      </rPr>
      <t>]</t>
    </r>
  </si>
  <si>
    <t>Report quantity completions at the operations</t>
  </si>
  <si>
    <t>Report Quantity Completions</t>
  </si>
  <si>
    <t>Enter Completion from Work Order</t>
  </si>
  <si>
    <t>1. Locate the work order (most recent or enter in global search).
2. Click Enter Completion button.
3. Navigate to the Operation Completion section.
4. Select/Enter:
   - Select Operation from the Starting Operation field
   - Select Operation from the Ending Operation field
   - Enter a partial quantity completed at these operations (more quantity completions to be recorded in Step 2.)
   - press the TAB key
5. Review the operations subtab and note the operations that can be edited and the calculated times.  Update times if applicable to reflect actual.
6. Click Save.</t>
  </si>
  <si>
    <t>1. Work order is found.
2. Completion form opens successfully, entry of data is successful and saved.
3. Validate GL Impact has moved labor, setup and overhead costs into the proper WIP account.</t>
  </si>
  <si>
    <r>
      <t>Include:</t>
    </r>
    <r>
      <rPr>
        <sz val="10"/>
        <color rgb="FFFF0000"/>
        <rFont val="Calibri"/>
        <family val="2"/>
        <scheme val="minor"/>
      </rPr>
      <t xml:space="preserve"> </t>
    </r>
    <r>
      <rPr>
        <b/>
        <sz val="10"/>
        <color rgb="FFFF0000"/>
        <rFont val="Calibri"/>
        <family val="2"/>
        <scheme val="minor"/>
      </rPr>
      <t>Work Order # and Quantity Completed</t>
    </r>
  </si>
  <si>
    <t>Step 2</t>
  </si>
  <si>
    <t>Enter Completion from Operation Tasks</t>
  </si>
  <si>
    <t>1. Navigate to Transactions &gt; Manufacturing &gt; Manufacturing Operation Tasks.
2. Locate the Work Order operation tasks from a list, click View on the operation, and click Enter Completion button.
3. Select/Enter:
   - Select Operation from the Starting Operation field
   - Select Operation from the Ending Operation field
   - Enter a quantity completed at these operations 
   - press the TAB key
5. Review the operations subtab and note the operations that can be edited and the calculated times.  Update times if applicable to reflect actual.
6. Click Save.</t>
  </si>
  <si>
    <t>1. Work order and operations are found.
2. Completion form opens successfully, entry of data is successful and saved.
3. Validate GL Impact has moved labor, setup and overhead costs into the proper WIP account.</t>
  </si>
  <si>
    <r>
      <t xml:space="preserve">Include: </t>
    </r>
    <r>
      <rPr>
        <b/>
        <sz val="10"/>
        <color rgb="FFFF0000"/>
        <rFont val="Calibri"/>
        <family val="2"/>
        <scheme val="minor"/>
      </rPr>
      <t>Work Order # and Quantity Completed</t>
    </r>
  </si>
  <si>
    <t>Close Work Orders to finalize accounting for the order</t>
  </si>
  <si>
    <t>Purchase Order from Order Items</t>
  </si>
  <si>
    <t>Close Work Order</t>
  </si>
  <si>
    <t>1. Locate and view the Work Order.
2. Click the Close button.
3. Click Save.</t>
  </si>
  <si>
    <t>1. Work order is found, viewed, and Close successfully saves.
2. Validate the Components subtab information.
3. Validate the Routing Items subtab information.
4. Validate the GL Impact.  
5. Validate Work Order status is Closed.</t>
  </si>
  <si>
    <t>Mfg: Contract Manufacturer</t>
  </si>
  <si>
    <t>Contract Manufacturing (Turnkey or Tolling)</t>
  </si>
  <si>
    <t>Turnkey Process</t>
  </si>
  <si>
    <t>1. Does Contract Manufacturer (CM) provide all materials and labor? Follow P2P processes to provide purchase order for contract.</t>
  </si>
  <si>
    <t>Include: response to question</t>
  </si>
  <si>
    <t>Tolling: Create Work Order</t>
  </si>
  <si>
    <t>1. Navigate  to Transactions &gt; Manufacturing &gt; Enter Work Orders.
2. Select or enter the following information as it pertains to your business scenario:
   - Select subsidiary
   - Select assembly (or sub-assy if building to stock)
   - Enter quantity to build/assy
   - Set work order to released
3. Click Save.</t>
  </si>
  <si>
    <t>1. Work order is successfully Saved, can be found and updated.
2. Open the work order and validate the items on the Items subtab.
3. Print the BOM and validate the quantities required for each component and sub-assy (if any) is valid.
4. Navigate to the Operations subtab and validate each operation is correct including estimated hours.</t>
  </si>
  <si>
    <t>Supply Chain Manager</t>
  </si>
  <si>
    <t>Step 3</t>
  </si>
  <si>
    <t>Tolling: Release WO</t>
  </si>
  <si>
    <t>1. Navigate to previously created work order. Note: components need to be in the CM location.
2. Edit Work Order and select status as Released.
3. Click Save.</t>
  </si>
  <si>
    <t>1. Validate work order is found and able to edit.
2. Validate work order status is saved and now released.</t>
  </si>
  <si>
    <t>Production Operator</t>
  </si>
  <si>
    <t>Step 4</t>
  </si>
  <si>
    <t xml:space="preserve">Tolling: Generate Tolling PO </t>
  </si>
  <si>
    <t>Generate Tolling PO for Labor &amp; Parts (a PO to match contract)  
1. From the home Dashboard, click Purchase Order on the Navigation Portlet.
2. In the header section of the new Purchase Order page enter the required fields and information pertaining to your business.  Select the CM as the Vendor.
3. On the Items tab, select an Item, Location, and enter Quantity. Click the Add button on the line. Note: Ensure the location is the primary location that will be stocked and shipped to the customer.
4. Click Save.</t>
  </si>
  <si>
    <t>1. The Purchase Order form opens.  
2. Transaction successfully saved and can be found, and updated.
3. Purchase Order status is Pending Approval or Receipt.  Note: if pending approval, have PO approved prior to moving to next step.</t>
  </si>
  <si>
    <r>
      <t xml:space="preserve">Include: </t>
    </r>
    <r>
      <rPr>
        <b/>
        <sz val="10"/>
        <color rgb="FFFF0000"/>
        <rFont val="Calibri"/>
        <family val="2"/>
        <scheme val="minor"/>
      </rPr>
      <t>Purchase Order # and Items</t>
    </r>
  </si>
  <si>
    <t>Warehouse Operations</t>
  </si>
  <si>
    <t>Step 5</t>
  </si>
  <si>
    <t>Tolling: Receive Tolling PO</t>
  </si>
  <si>
    <t>1. From the home Dashboard, click on 'Orders to Receive' on the Reminders portlet.
2. On the Receive Order page, locate the Purchase Order created in Step 1 and click Receive. 
3. On the Item Receipt page, review the Item, Quantity, and Location. Once confirmed, click Save.</t>
  </si>
  <si>
    <t>1.  Receive Orders page opens.
2. Item Receipt page opens.
3. Transaction successfully saved and can be reviewed.
4.  Verify GL impact.</t>
  </si>
  <si>
    <t>Step 6</t>
  </si>
  <si>
    <t>Tolling: Complete WO</t>
  </si>
  <si>
    <r>
      <t xml:space="preserve">Include: </t>
    </r>
    <r>
      <rPr>
        <b/>
        <sz val="10"/>
        <color rgb="FFFF0000"/>
        <rFont val="Calibri"/>
        <family val="2"/>
        <scheme val="minor"/>
      </rPr>
      <t xml:space="preserve">Work Order # </t>
    </r>
  </si>
  <si>
    <t>Step 7</t>
  </si>
  <si>
    <t>Tolling: Close WO</t>
  </si>
  <si>
    <t>Calculate Demand</t>
  </si>
  <si>
    <t>1. From the home Dashboard, click Item Demand Plan on the Navigation Portlet or from Transactions menu. 
2. In the header section of the page select the following values (as an example only - adjust appropriately for your business):
     - Location: [location that stores physical inventory]
     - Projection Method: Moving Average
     - Projection Interval: Monthly
     - Projection Duration: 6
     - Historical Analysis Duration: 12
3. Check the box next to one Item in the list. (NOTE: Only items using Time Phased replenishment method will appear in the list)
4. Click Submit. (If Demand Plans Already Exist window appears, then click Overwrite Current Quantities and Submit)
5. Click the View link for Item/Location to view the Demand Plan.</t>
  </si>
  <si>
    <t>1. Item Demand Plans form opens.
2. The Item selected appears in the list for the Location selected. Last Modified Date is current date.
3. Demand Plan displays. (NOTE: Moving Average calculates demand based on historical sales. If the Item selected does not have any historical sales, then the values may be blank.)</t>
  </si>
  <si>
    <r>
      <t xml:space="preserve">Include: </t>
    </r>
    <r>
      <rPr>
        <b/>
        <sz val="10"/>
        <color rgb="FFFF0000"/>
        <rFont val="Calibri"/>
        <family val="2"/>
        <scheme val="minor"/>
      </rPr>
      <t>Item</t>
    </r>
  </si>
  <si>
    <t>Generate Supply Plan</t>
  </si>
  <si>
    <t>1. From the home Dashboard, click Item Supply Plan on the Navigation Portlet or from Transaction menu. 
2. In the header section of the page select the following values:
     - Uncheck Plan Through Distribution Network
     - Location: Select Location used in Step 1
     - Start Date: Use current date
     - End Date: Current Date + 6 months
3. Check the box next to the Item used in Step 1.
4. Click Submit.
5. In the green Confirmation bar, click the Job Status Page link to view the status of the job. If the job is In Progress, then click the Refresh button until is is Complete.
6. To view the Supply Plan, navigate to Demand Planning &gt; Run Demand Planning &gt; Item Supply Plans and locate the Item/Location in the list. Click View next to the Item/Location.</t>
  </si>
  <si>
    <t>1. Generate Item Supply Plan page opens.
2. Item Supply Plans being processed.
3. Supply Plan is caluclated.</t>
  </si>
  <si>
    <t>Custom: &lt;Consultant to complete this section for various Manufacturing processes (i.e. script, workflow, or other custom process). Otherwise, DELETE this section.&gt;</t>
  </si>
  <si>
    <t>&lt;Add description&gt;</t>
  </si>
  <si>
    <t>&lt;Enter Scenario Name&gt;</t>
  </si>
  <si>
    <t>&lt;Enter Role&gt;</t>
  </si>
  <si>
    <t>&lt;Enter Step Name&gt;</t>
  </si>
  <si>
    <t xml:space="preserve">1.
2. 
3. </t>
  </si>
  <si>
    <t xml:space="preserve">1. 
2. </t>
  </si>
  <si>
    <t xml:space="preserve">Include: </t>
  </si>
  <si>
    <t>Additional steps as needed…</t>
  </si>
  <si>
    <t>Design to Build: Create new Inventory Item</t>
  </si>
  <si>
    <t>Manually create a new Inventory Item.</t>
  </si>
  <si>
    <t>PRM</t>
  </si>
  <si>
    <t>Create new Inventory Item</t>
  </si>
  <si>
    <t>Create Item</t>
  </si>
  <si>
    <t>1. From the Home Dashboard, click on the Item Management link in the Navigation Portlet. The New Item page opens.
2. Click on Inventory Item to select the type of item.  
3. Enter the following information:
     - Item Name/Number (on page header)
     - Display Name/Code (on page header)
     - Replenishment Method (on Inventory tab)
     - Transfer Ship Price (on Inventory tab)
     - List Price - Qty 0 column (on Pricing tab)
4. Record your entry details.
5. Click Save.</t>
  </si>
  <si>
    <t>1. New item form opens successfully and allows entry.
2. Item successfully Saved, can be viewed and edited.
*Note: all items must be created before attaching to assembly items for BOM.</t>
  </si>
  <si>
    <r>
      <t xml:space="preserve">Include: </t>
    </r>
    <r>
      <rPr>
        <b/>
        <sz val="10"/>
        <color rgb="FFFF0000"/>
        <rFont val="Calibri"/>
        <family val="2"/>
        <scheme val="minor"/>
      </rPr>
      <t>Item Name/Number</t>
    </r>
  </si>
  <si>
    <t>Manually adjust inventory.</t>
  </si>
  <si>
    <t>Create Inventory Adjustment</t>
  </si>
  <si>
    <t>Adjust Inventory</t>
  </si>
  <si>
    <t>1. From the Home Dashboard, click on the Inventory Adjustment link in the Navigation Portlet. The New Item page opens. Inventory Adjustment page opens.
2. Enter required information.
3. In the header section of the page, select an Adjustment Account (this is typically an expense account).
3. On the Adjustments tab select an Item, select a valid location, and enter
     - Adjust Qty. By a number
     - Unit Cost
4. Click the Add button on the line.
5. Click Save.</t>
  </si>
  <si>
    <t xml:space="preserve">1. Inventory adjustment form opens successfully.
2. Entries are entered successfully and transaction is saved.
3. Validate item is adjusted with both cost and quantity.
4. View and validate impact on the GL.  This may require viewing the transaction from the item.
</t>
  </si>
  <si>
    <r>
      <t xml:space="preserve">Include: </t>
    </r>
    <r>
      <rPr>
        <b/>
        <sz val="10"/>
        <color rgb="FFFF0000"/>
        <rFont val="Calibri"/>
        <family val="2"/>
        <scheme val="minor"/>
      </rPr>
      <t>Inventory Adjustment Number</t>
    </r>
  </si>
  <si>
    <t>Design to Build: Transfer Inventory - Transfer Order</t>
  </si>
  <si>
    <t>Enter Transfer Order, fulfill from source and receive at destination.</t>
  </si>
  <si>
    <t>Transfer Inventory - Transfer Order</t>
  </si>
  <si>
    <t>Enter Transfer Order</t>
  </si>
  <si>
    <t>1. From the home Dashboard, click the Transfer Order link in the Navigation Portlet. 
2. In the header section of the page, select the Source Location (use Location from D2B02) and Destination Location.
3. On the Items tab select the Item used in D2B02 and enter Quantity to be transfered.
4. Click the Add button.
5. Click Save.</t>
  </si>
  <si>
    <t>1. Transfer order form opens successfully.
2. Transaction successfully Saved and can be viewed.
2. Transfer Order status is Pending Fulfillment.</t>
  </si>
  <si>
    <r>
      <t xml:space="preserve">Include: </t>
    </r>
    <r>
      <rPr>
        <b/>
        <sz val="10"/>
        <color rgb="FFFF0000"/>
        <rFont val="Calibri"/>
        <family val="2"/>
        <scheme val="minor"/>
      </rPr>
      <t>Transfer Order Number</t>
    </r>
  </si>
  <si>
    <t>Fulfill Transfer Order</t>
  </si>
  <si>
    <t>1. From the home Dashboard click Orders to Fulfill from the Reminders portlet.
2. On the Fulfill Orders page set Transaction Type to 'Transfer Order' and the Bulk Fulfill from Location to the Source Location from Step 1.
3. Click the Fulfill link for the Transfer Order created from Step 1. 
4. On the Item Fulfillment page, set Status = Shipped. Click Save.</t>
  </si>
  <si>
    <t>1. Item Fulfillment form opens.
2. Able to find the transfer order created earlier.
3. Transaction successfully Saved.</t>
  </si>
  <si>
    <r>
      <t xml:space="preserve">Include: </t>
    </r>
    <r>
      <rPr>
        <b/>
        <sz val="10"/>
        <color rgb="FFFF0000"/>
        <rFont val="Calibri"/>
        <family val="2"/>
        <scheme val="minor"/>
      </rPr>
      <t>Item Fulfillment Number</t>
    </r>
  </si>
  <si>
    <t>Receive Transfer Order</t>
  </si>
  <si>
    <t xml:space="preserve">1. From the home Dashboard click Orders to Receive from the Reminders portlet.
2. On the Receive Orders page click the Receive link for the Transfer Order created from Step 1. 
4. On the Item Receipt page, click Save.
</t>
  </si>
  <si>
    <t>1. Item Receipt page opens.
2. Transaction successfully Saved.
3. Validate quantity and any costs transfer (negative "from location" and positive "to location").</t>
  </si>
  <si>
    <r>
      <t xml:space="preserve">Include: </t>
    </r>
    <r>
      <rPr>
        <b/>
        <sz val="10"/>
        <color rgb="FFFF0000"/>
        <rFont val="Calibri"/>
        <family val="2"/>
        <scheme val="minor"/>
      </rPr>
      <t>Item Receipt Number</t>
    </r>
  </si>
  <si>
    <t>Design to Build: Inventory Transfer</t>
  </si>
  <si>
    <t>Manually enter a single inventory transfer.</t>
  </si>
  <si>
    <t>Inventory Transfer</t>
  </si>
  <si>
    <t>Enter Inventory Transfer</t>
  </si>
  <si>
    <t>1. Navigate to Inventory &gt; Inventory &gt; Transfer Inventory. Inventory Transfer page opens.
2. In the header section of the page select the From Location and To Location.
3. On the Items tab select the item used in D2B02 and enter Qty. To Transfer = 1.
4. Click the Add button on the line.
5. Click Save.</t>
  </si>
  <si>
    <t xml:space="preserve">1. Case successfully Saved.
2. Item Quantity on Hand has been reduced by 1 at the From Location and increased by 1 at the To Location. </t>
  </si>
  <si>
    <r>
      <t xml:space="preserve">Include: </t>
    </r>
    <r>
      <rPr>
        <b/>
        <sz val="10"/>
        <color rgb="FFFF0000"/>
        <rFont val="Calibri"/>
        <family val="2"/>
        <scheme val="minor"/>
      </rPr>
      <t>Inventory Transfer Number</t>
    </r>
  </si>
  <si>
    <t>Update Inventory Item.</t>
  </si>
  <si>
    <t>Set Item Costing</t>
  </si>
  <si>
    <t>Update Item Cost</t>
  </si>
  <si>
    <t xml:space="preserve">1. Utilizing any of the search features, find the items you will be using for Manufacturing testing.  Or add items that will be needed for testing.
2. Select the item to update or verify costing method.  
3. Costing choices are: 
   - Average
   - Standard
   - Specific
   - FIFO
   - LIFO
   - Mixed (combines two or more of above)
4. Click Save.
</t>
  </si>
  <si>
    <t>1. New item form opens successfully and allows entry.
2. Item successfully Saved, item can be viewed and edited with appropriate costing method applied.</t>
  </si>
  <si>
    <t>Manually create a new Assembly or Sub-Assembly.</t>
  </si>
  <si>
    <t>Create Assembly or Sub-Assembly</t>
  </si>
  <si>
    <t>Engineer or Production Manager</t>
  </si>
  <si>
    <t>Create Assembly or Sub-Assy</t>
  </si>
  <si>
    <t xml:space="preserve">1.  Navigate to Inventory &gt; Items &gt; New.
2. Enter fields that pertain to your item (* asterik means required)
   - Item Name/Number
   - Description
   - Is item specific to subsidiary(ies) and/or locations?
3. Select on Purchasing/Inventory sub tab
   - Select costing method
   - Review fields to determine what is applicable to your item
   - If using WIP, check the WIP box for each location in the location chart
4. Select on the Components sub tab
   - select appropriate items for this sub-assy
   - enter the quantity required for each sub-assy 
5. Select the Accounting sub tab 
   - Update the GL accounts as appropriate
   - Select Tax Schedule (required)  
Note: some fields become mandatory when choosing Standard cost.
6. Click Save.
</t>
  </si>
  <si>
    <t>1. New item form opens successfully and allows entry.
2. Sub-assembly is successfully Saved, item can be viewed and edited; components are attached to sub-assy.</t>
  </si>
  <si>
    <r>
      <t xml:space="preserve">Include: </t>
    </r>
    <r>
      <rPr>
        <b/>
        <sz val="10"/>
        <color rgb="FF0070C0"/>
        <rFont val="Calibri"/>
        <family val="2"/>
        <scheme val="minor"/>
      </rPr>
      <t>Item Name/Number</t>
    </r>
  </si>
  <si>
    <t>Design to Build: Define Work Calendar(s)</t>
  </si>
  <si>
    <t>Define Work Calendar(s)</t>
  </si>
  <si>
    <t>Create Work Calendar(s)</t>
  </si>
  <si>
    <t xml:space="preserve">1.  Navigate to Lists &gt; Employees &gt; Work Calendars &gt; New.
2. Enter the following information: 
   - Calendar Name
   - Comments (is helpful to describe the calendar)
3. Navigate to Working Days subtab and enter:
   - Start time
   - Hours per day
   - Check the appropriate days of the week
4. Navigate to Non Working Days subtab and add:
   - Holidays
   - Specific company shutdown dates
5. Click Save
</t>
  </si>
  <si>
    <t>1. Calendar form opens successfully and allows entry.
2. The calendar(s)  can be viewed and edited. Note: non-working days can no longer be updated upon saving the calendar.</t>
  </si>
  <si>
    <r>
      <t xml:space="preserve">Include: </t>
    </r>
    <r>
      <rPr>
        <b/>
        <sz val="10"/>
        <color rgb="FFFF0000"/>
        <rFont val="Calibri"/>
        <family val="2"/>
        <scheme val="minor"/>
      </rPr>
      <t>Calendar name</t>
    </r>
  </si>
  <si>
    <t>Define Work Centers</t>
  </si>
  <si>
    <t>Create Work Centers</t>
  </si>
  <si>
    <t xml:space="preserve">1.  Navigate to Lists &gt; Relationships &gt; Groups &gt; New.
2. Select Static and select Employee.
3. Click Continue.
4. Enter the following:
   - Name of the work center
   -  Describe the work center in the comments
   -  Check Manufacturing Work Center checkbox
   -  Select the appropriate Department
5. Navigate to Members &gt; Group Members subtab and add employees to the list.
6.  Navigate to the Manufacturing Work Center Settings subtab:
   - Select appropriate subsidiaries
   - Enter number of Machine Resources (if any)
   - Enter number of Labor Resources (if any)
   - Select appropriate Work Calendar 
7. Click Save.
</t>
  </si>
  <si>
    <t xml:space="preserve">1. The form opens successfully and allows entry.
2. The work centers  can be viewed and edited. </t>
  </si>
  <si>
    <r>
      <t xml:space="preserve">Include: </t>
    </r>
    <r>
      <rPr>
        <b/>
        <sz val="10"/>
        <color rgb="FF0070C0"/>
        <rFont val="Calibri"/>
        <family val="2"/>
        <scheme val="minor"/>
      </rPr>
      <t>Group Name</t>
    </r>
  </si>
  <si>
    <t>Create Cost Template</t>
  </si>
  <si>
    <t>Cost Accountant</t>
  </si>
  <si>
    <t>1.  Navigate to Lists &gt; Supply Chain &gt; Manufacturing Cost Templates &gt; New.
2. Select appropriate subsidiary.
3. Enter the following information:
   - Cost template name
   - Details in the Memo field
   - Add appropriate cost categories (for example; Direct Labor, Training, Assy Burden, Service, or Other Charge types)
4. Click Save.</t>
  </si>
  <si>
    <t xml:space="preserve">1. The form opens successfully and allows entry.
2. The cost templates can be viewed and edited. </t>
  </si>
  <si>
    <r>
      <t xml:space="preserve">Include: </t>
    </r>
    <r>
      <rPr>
        <sz val="10"/>
        <color rgb="FFFF0000"/>
        <rFont val="Calibri"/>
        <family val="2"/>
        <scheme val="minor"/>
      </rPr>
      <t>Cost Template Name</t>
    </r>
  </si>
  <si>
    <t>Manually create a new Routing.</t>
  </si>
  <si>
    <t>Create a new Routing</t>
  </si>
  <si>
    <t>Create Routing</t>
  </si>
  <si>
    <t xml:space="preserve">1.  Navigate to Lists &gt; Supply Chain &gt; Manufacturing Routing &gt; New.
2. Select the appropriate information that pertain to your business.  
   - Subsidiary
   - Item 
   - Location
   - Enter an appropriate Name for the routing
   - Enter more details in the Memo field
3. Enter Operations
   - Enter Operation Sequence 
*Note leaving gaps in the numbering allows entry for changes for missed operations
   - Enter appropriate Operation Name
   - Select appropriate Manufacturing Work Center
   - Select appropriate Manufacturing Cost Template
   - Enter Setup Time, Run Rate
6. Click Save
</t>
  </si>
  <si>
    <t>1. New item form opens successfully and allows entry.
2. Using recent records, locate the assembly (or sub-assembly) item, navigate to the Manufacturing &gt; Manufacturing Routings subtab and validate the routing is associated with the item.</t>
  </si>
  <si>
    <r>
      <t xml:space="preserve">Include: </t>
    </r>
    <r>
      <rPr>
        <b/>
        <sz val="10"/>
        <color rgb="FF0070C0"/>
        <rFont val="Calibri"/>
        <family val="2"/>
        <scheme val="minor"/>
      </rPr>
      <t>Item Name/Number and Routing Name</t>
    </r>
  </si>
  <si>
    <t>Custom: &lt;Consultant to complete this section for exception Design to Build processes (i.e. script, workflow, or other custom process). Otherwise, DELETE this section.&gt;</t>
  </si>
  <si>
    <t>Validate Subsidiary and Segmentation Setup</t>
  </si>
  <si>
    <t>Validate Subsidiaries &amp; Segments</t>
  </si>
  <si>
    <t>Controller</t>
  </si>
  <si>
    <t>Validate Subsidiary Configuration</t>
  </si>
  <si>
    <r>
      <t xml:space="preserve">1.  Setup &gt; Other Setup &gt; </t>
    </r>
    <r>
      <rPr>
        <b/>
        <sz val="10"/>
        <color theme="1"/>
        <rFont val="Calibri"/>
        <family val="2"/>
        <scheme val="minor"/>
      </rPr>
      <t>Subsidiaries</t>
    </r>
  </si>
  <si>
    <t>1.  Validate Subsidiary structure is correct.
2.  Validate elimination subsidaries are configured.</t>
  </si>
  <si>
    <t>N/A</t>
  </si>
  <si>
    <t>Validate Classifications</t>
  </si>
  <si>
    <r>
      <t xml:space="preserve">1. Financial &gt; Lists &gt; </t>
    </r>
    <r>
      <rPr>
        <b/>
        <sz val="10"/>
        <color theme="1"/>
        <rFont val="Calibri"/>
        <family val="2"/>
        <scheme val="minor"/>
      </rPr>
      <t xml:space="preserve">Departments
</t>
    </r>
    <r>
      <rPr>
        <sz val="10"/>
        <color theme="1"/>
        <rFont val="Calibri"/>
        <family val="2"/>
        <scheme val="minor"/>
      </rPr>
      <t xml:space="preserve">
2. Financial &gt; Lists &gt; </t>
    </r>
    <r>
      <rPr>
        <b/>
        <sz val="10"/>
        <color theme="1"/>
        <rFont val="Calibri"/>
        <family val="2"/>
        <scheme val="minor"/>
      </rPr>
      <t xml:space="preserve">Locations
</t>
    </r>
    <r>
      <rPr>
        <sz val="10"/>
        <color theme="1"/>
        <rFont val="Calibri"/>
        <family val="2"/>
        <scheme val="minor"/>
      </rPr>
      <t xml:space="preserve">
3. Financial &gt; Lists &gt; </t>
    </r>
    <r>
      <rPr>
        <b/>
        <sz val="10"/>
        <color theme="1"/>
        <rFont val="Calibri"/>
        <family val="2"/>
        <scheme val="minor"/>
      </rPr>
      <t>Classes</t>
    </r>
  </si>
  <si>
    <t>1. Validate Departments configured correctly
2.  Validate Locations configured correctly
3. Validate Classes configured correctly</t>
  </si>
  <si>
    <t>Confirm Accounting Setup</t>
  </si>
  <si>
    <t>General Ledger</t>
  </si>
  <si>
    <r>
      <t xml:space="preserve">1. Financial &gt; Lists &gt; </t>
    </r>
    <r>
      <rPr>
        <b/>
        <sz val="10"/>
        <color theme="1"/>
        <rFont val="Calibri"/>
        <family val="2"/>
        <scheme val="minor"/>
      </rPr>
      <t>Accounts</t>
    </r>
    <r>
      <rPr>
        <sz val="10"/>
        <color theme="1"/>
        <rFont val="Calibri"/>
        <family val="2"/>
        <scheme val="minor"/>
      </rPr>
      <t xml:space="preserve">
  </t>
    </r>
  </si>
  <si>
    <t xml:space="preserve">1.  Validate General Ledger Configuration and that it conforms to company requirements
2.  Ensure that there are no duplicate accounts
3. Ensure that bank accounts are limited to a single subsidiary
  </t>
  </si>
  <si>
    <t>Accounting Periods</t>
  </si>
  <si>
    <r>
      <t xml:space="preserve">1. Setup &gt; Accounting &gt; </t>
    </r>
    <r>
      <rPr>
        <b/>
        <sz val="10"/>
        <color theme="1"/>
        <rFont val="Calibri"/>
        <family val="2"/>
        <scheme val="minor"/>
      </rPr>
      <t>Manage Accounting Periods</t>
    </r>
  </si>
  <si>
    <t>1.  Confirm that accounting periods have been configured</t>
  </si>
  <si>
    <t>Adminstrator</t>
  </si>
  <si>
    <r>
      <t xml:space="preserve">Intercompany Management </t>
    </r>
    <r>
      <rPr>
        <b/>
        <sz val="10"/>
        <color theme="1"/>
        <rFont val="Calibri"/>
        <family val="2"/>
        <scheme val="minor"/>
      </rPr>
      <t>[OW ONLY]</t>
    </r>
  </si>
  <si>
    <r>
      <t xml:space="preserve">1. Setup &gt; Company &gt; Enable Features &gt; Accounting Tab &gt; </t>
    </r>
    <r>
      <rPr>
        <b/>
        <sz val="10"/>
        <color theme="1"/>
        <rFont val="Calibri"/>
        <family val="2"/>
        <scheme val="minor"/>
      </rPr>
      <t>Automated Intercompany Management</t>
    </r>
  </si>
  <si>
    <t>1.  If OneWorld Account, validate Automated Intercompany Management features have been configured</t>
  </si>
  <si>
    <r>
      <t xml:space="preserve">Intercompany Accounts </t>
    </r>
    <r>
      <rPr>
        <b/>
        <sz val="10"/>
        <color theme="1"/>
        <rFont val="Calibri"/>
        <family val="2"/>
        <scheme val="minor"/>
      </rPr>
      <t>[OW ONLY]</t>
    </r>
  </si>
  <si>
    <t>1.  If OneWorld Account, validate intercompany Accounts have been created</t>
  </si>
  <si>
    <r>
      <t xml:space="preserve">Intercompany Customers &amp; Vendors </t>
    </r>
    <r>
      <rPr>
        <b/>
        <sz val="10"/>
        <color theme="1"/>
        <rFont val="Calibri"/>
        <family val="2"/>
        <scheme val="minor"/>
      </rPr>
      <t>[OW ONLY]</t>
    </r>
  </si>
  <si>
    <r>
      <t xml:space="preserve">1. Customers &gt; Lists &gt; </t>
    </r>
    <r>
      <rPr>
        <b/>
        <sz val="10"/>
        <color theme="1"/>
        <rFont val="Calibri"/>
        <family val="2"/>
        <scheme val="minor"/>
      </rPr>
      <t xml:space="preserve">Customers
</t>
    </r>
    <r>
      <rPr>
        <sz val="10"/>
        <color theme="1"/>
        <rFont val="Calibri"/>
        <family val="2"/>
        <scheme val="minor"/>
      </rPr>
      <t xml:space="preserve">2. Vendors &gt; Lists &gt; </t>
    </r>
    <r>
      <rPr>
        <b/>
        <sz val="10"/>
        <color theme="1"/>
        <rFont val="Calibri"/>
        <family val="2"/>
        <scheme val="minor"/>
      </rPr>
      <t>Vendors</t>
    </r>
  </si>
  <si>
    <t>1.  If OneWorld Account, validate intercompany customers and vendors have been created</t>
  </si>
  <si>
    <t>Validate Period Close</t>
  </si>
  <si>
    <t>Review &amp; Validate Period Close Checklist</t>
  </si>
  <si>
    <t>Review Period Close Checklist</t>
  </si>
  <si>
    <r>
      <t xml:space="preserve">1.  Go to Setup &gt; Accounting &gt;  </t>
    </r>
    <r>
      <rPr>
        <b/>
        <sz val="10"/>
        <color theme="1"/>
        <rFont val="Calibri"/>
        <family val="2"/>
        <scheme val="minor"/>
      </rPr>
      <t xml:space="preserve">Manage Accounting Periods
</t>
    </r>
    <r>
      <rPr>
        <sz val="10"/>
        <color theme="1"/>
        <rFont val="Calibri"/>
        <family val="2"/>
        <scheme val="minor"/>
      </rPr>
      <t xml:space="preserve">
2.  Click the </t>
    </r>
    <r>
      <rPr>
        <b/>
        <sz val="10"/>
        <color theme="1"/>
        <rFont val="Calibri"/>
        <family val="2"/>
        <scheme val="minor"/>
      </rPr>
      <t>Checklist Icon</t>
    </r>
    <r>
      <rPr>
        <sz val="10"/>
        <color theme="1"/>
        <rFont val="Calibri"/>
        <family val="2"/>
        <scheme val="minor"/>
      </rPr>
      <t xml:space="preserve"> for a period
3.  Review the tasks in the checklist.  Tasks are listed in the order in which they should be completed. 
4.  To complete a task, click the </t>
    </r>
    <r>
      <rPr>
        <b/>
        <sz val="10"/>
        <color theme="1"/>
        <rFont val="Calibri"/>
        <family val="2"/>
        <scheme val="minor"/>
      </rPr>
      <t xml:space="preserve">Go to Task </t>
    </r>
    <r>
      <rPr>
        <sz val="10"/>
        <color theme="1"/>
        <rFont val="Calibri"/>
        <family val="2"/>
        <scheme val="minor"/>
      </rPr>
      <t xml:space="preserve">icon for the task.
</t>
    </r>
  </si>
  <si>
    <r>
      <t xml:space="preserve">1. Ensure access to </t>
    </r>
    <r>
      <rPr>
        <b/>
        <sz val="10"/>
        <color theme="1"/>
        <rFont val="Calibri"/>
        <family val="2"/>
        <scheme val="minor"/>
      </rPr>
      <t>Period Close Checklist</t>
    </r>
    <r>
      <rPr>
        <sz val="10"/>
        <color theme="1"/>
        <rFont val="Calibri"/>
        <family val="2"/>
        <scheme val="minor"/>
      </rPr>
      <t>.
2. Close prior periods as necessary after historical uploads have been completed.</t>
    </r>
  </si>
  <si>
    <r>
      <t xml:space="preserve">Include: </t>
    </r>
    <r>
      <rPr>
        <b/>
        <sz val="10"/>
        <color rgb="FFFF0000"/>
        <rFont val="Calibri"/>
        <family val="2"/>
        <scheme val="minor"/>
      </rPr>
      <t>Periods Closed [If Applicable]</t>
    </r>
  </si>
  <si>
    <r>
      <t xml:space="preserve">Review Inventory-Related Tasks </t>
    </r>
    <r>
      <rPr>
        <b/>
        <sz val="10"/>
        <color theme="1"/>
        <rFont val="Calibri"/>
        <family val="2"/>
        <scheme val="minor"/>
      </rPr>
      <t>[If Applicable]</t>
    </r>
  </si>
  <si>
    <r>
      <t xml:space="preserve">1.  Go to Setup &gt; Accounting &gt; </t>
    </r>
    <r>
      <rPr>
        <b/>
        <sz val="10"/>
        <color theme="1"/>
        <rFont val="Calibri"/>
        <family val="2"/>
        <scheme val="minor"/>
      </rPr>
      <t>Manage Accounting Periods</t>
    </r>
    <r>
      <rPr>
        <sz val="10"/>
        <color theme="1"/>
        <rFont val="Calibri"/>
        <family val="2"/>
        <scheme val="minor"/>
      </rPr>
      <t xml:space="preserve">
2. If you use the Inventory feature, the checklist may include these inventory tasks:
■ Resolve Date/Period Mismatches
■ Review Negative Inventory
■ Review Inventory Cost Accounting
■ Review Inventory Activity</t>
    </r>
  </si>
  <si>
    <t>1. Ensure access to Inventory-Related tasks if applicable.</t>
  </si>
  <si>
    <r>
      <t xml:space="preserve">Review Multi-Currency -Related Tasks </t>
    </r>
    <r>
      <rPr>
        <b/>
        <sz val="10"/>
        <color theme="1"/>
        <rFont val="Calibri"/>
        <family val="2"/>
        <scheme val="minor"/>
      </rPr>
      <t>[If Applicable]</t>
    </r>
  </si>
  <si>
    <r>
      <t xml:space="preserve">1.  Go to Setup &gt; Accounting &gt;  </t>
    </r>
    <r>
      <rPr>
        <b/>
        <sz val="10"/>
        <color theme="1"/>
        <rFont val="Calibri"/>
        <family val="2"/>
        <scheme val="minor"/>
      </rPr>
      <t>Manage Accounting Periods</t>
    </r>
    <r>
      <rPr>
        <sz val="10"/>
        <color theme="1"/>
        <rFont val="Calibri"/>
        <family val="2"/>
        <scheme val="minor"/>
      </rPr>
      <t xml:space="preserve">
2.  If the account has multiple currencies enabled, click the icon for </t>
    </r>
    <r>
      <rPr>
        <b/>
        <sz val="10"/>
        <color theme="1"/>
        <rFont val="Calibri"/>
        <family val="2"/>
        <scheme val="minor"/>
      </rPr>
      <t>Calculate Consolidated Exchange Rate</t>
    </r>
    <r>
      <rPr>
        <sz val="10"/>
        <color theme="1"/>
        <rFont val="Calibri"/>
        <family val="2"/>
        <scheme val="minor"/>
      </rPr>
      <t xml:space="preserve">s and </t>
    </r>
    <r>
      <rPr>
        <b/>
        <sz val="10"/>
        <color theme="1"/>
        <rFont val="Calibri"/>
        <family val="2"/>
        <scheme val="minor"/>
      </rPr>
      <t>Revalue Open Foreign Currency Balances</t>
    </r>
    <r>
      <rPr>
        <sz val="10"/>
        <color theme="1"/>
        <rFont val="Calibri"/>
        <family val="2"/>
        <scheme val="minor"/>
      </rPr>
      <t>.
3. Click</t>
    </r>
    <r>
      <rPr>
        <b/>
        <sz val="10"/>
        <color theme="1"/>
        <rFont val="Calibri"/>
        <family val="2"/>
        <scheme val="minor"/>
      </rPr>
      <t xml:space="preserve"> Currency Revaluation</t>
    </r>
    <r>
      <rPr>
        <sz val="10"/>
        <color theme="1"/>
        <rFont val="Calibri"/>
        <family val="2"/>
        <scheme val="minor"/>
      </rPr>
      <t xml:space="preserve"> to go to the </t>
    </r>
    <r>
      <rPr>
        <b/>
        <sz val="10"/>
        <color theme="1"/>
        <rFont val="Calibri"/>
        <family val="2"/>
        <scheme val="minor"/>
      </rPr>
      <t>Select Accounts to Revalue</t>
    </r>
    <r>
      <rPr>
        <sz val="10"/>
        <color theme="1"/>
        <rFont val="Calibri"/>
        <family val="2"/>
        <scheme val="minor"/>
      </rPr>
      <t xml:space="preserve"> page and complete this process. 
4. In a NetSuite OneWorld account, you must complete revaluation for each subsidiary. Go to the </t>
    </r>
    <r>
      <rPr>
        <b/>
        <sz val="10"/>
        <color theme="1"/>
        <rFont val="Calibri"/>
        <family val="2"/>
        <scheme val="minor"/>
      </rPr>
      <t>Select Accounts to Revalue</t>
    </r>
    <r>
      <rPr>
        <sz val="10"/>
        <color theme="1"/>
        <rFont val="Calibri"/>
        <family val="2"/>
        <scheme val="minor"/>
      </rPr>
      <t xml:space="preserve"> page to select each subsidiary and complete the task. Depending upon your account, you may revisit this page multiple times. Complete revaluation before closing the period.
5.  If your revaluation is finished, click </t>
    </r>
    <r>
      <rPr>
        <b/>
        <sz val="10"/>
        <color theme="1"/>
        <rFont val="Calibri"/>
        <family val="2"/>
        <scheme val="minor"/>
      </rPr>
      <t xml:space="preserve">Mark Task Complete. </t>
    </r>
    <r>
      <rPr>
        <sz val="10"/>
        <color theme="1"/>
        <rFont val="Calibri"/>
        <family val="2"/>
        <scheme val="minor"/>
      </rPr>
      <t>If you have previously marked this task complete but must do more work, click</t>
    </r>
    <r>
      <rPr>
        <b/>
        <sz val="10"/>
        <color theme="1"/>
        <rFont val="Calibri"/>
        <family val="2"/>
        <scheme val="minor"/>
      </rPr>
      <t xml:space="preserve"> Mark Task In Progress. </t>
    </r>
    <r>
      <rPr>
        <sz val="10"/>
        <color theme="1"/>
        <rFont val="Calibri"/>
        <family val="2"/>
        <scheme val="minor"/>
      </rPr>
      <t>To go back to the checklist page, click</t>
    </r>
    <r>
      <rPr>
        <b/>
        <sz val="10"/>
        <color theme="1"/>
        <rFont val="Calibri"/>
        <family val="2"/>
        <scheme val="minor"/>
      </rPr>
      <t xml:space="preserve"> Cancel.</t>
    </r>
  </si>
  <si>
    <r>
      <t xml:space="preserve">1.  Ensure Access to Multi-Currency Related tasks if applicable.
</t>
    </r>
    <r>
      <rPr>
        <b/>
        <sz val="10"/>
        <color rgb="FFFF0000"/>
        <rFont val="Calibri"/>
        <family val="2"/>
        <scheme val="minor"/>
      </rPr>
      <t>NOTE: You must have the Currency Revaluation permission as well as the Override Period
Restrictions permission to complete this task for the subsidiaries you can access.</t>
    </r>
    <r>
      <rPr>
        <sz val="10"/>
        <color theme="1"/>
        <rFont val="Calibri"/>
        <family val="2"/>
        <scheme val="minor"/>
      </rPr>
      <t xml:space="preserve">
</t>
    </r>
  </si>
  <si>
    <t>Review OW-Related Tasks</t>
  </si>
  <si>
    <r>
      <t xml:space="preserve">1.  Go to Setup &gt; Accounting &gt; </t>
    </r>
    <r>
      <rPr>
        <b/>
        <sz val="10"/>
        <color theme="1"/>
        <rFont val="Calibri"/>
        <family val="2"/>
        <scheme val="minor"/>
      </rPr>
      <t>Manage Accounting Periods</t>
    </r>
    <r>
      <rPr>
        <sz val="10"/>
        <color theme="1"/>
        <rFont val="Calibri"/>
        <family val="2"/>
        <scheme val="minor"/>
      </rPr>
      <t xml:space="preserve">
2.  Click the icon for </t>
    </r>
    <r>
      <rPr>
        <b/>
        <sz val="10"/>
        <color theme="1"/>
        <rFont val="Calibri"/>
        <family val="2"/>
        <scheme val="minor"/>
      </rPr>
      <t xml:space="preserve">Eliminate Intercompany Transactions. </t>
    </r>
    <r>
      <rPr>
        <sz val="10"/>
        <color theme="1"/>
        <rFont val="Calibri"/>
        <family val="2"/>
        <scheme val="minor"/>
      </rPr>
      <t>If no intercompany transactions are performed there shouldn't be any transactions to eliminate.</t>
    </r>
    <r>
      <rPr>
        <b/>
        <sz val="10"/>
        <color theme="1"/>
        <rFont val="Calibri"/>
        <family val="2"/>
        <scheme val="minor"/>
      </rPr>
      <t xml:space="preserve">
3.  </t>
    </r>
    <r>
      <rPr>
        <sz val="10"/>
        <color theme="1"/>
        <rFont val="Calibri"/>
        <family val="2"/>
        <scheme val="minor"/>
      </rPr>
      <t xml:space="preserve">If the account has automated adjustments for intercompany expenses enabled, click the icon for </t>
    </r>
    <r>
      <rPr>
        <b/>
        <sz val="10"/>
        <color theme="1"/>
        <rFont val="Calibri"/>
        <family val="2"/>
        <scheme val="minor"/>
      </rPr>
      <t>Create Intercompany Adjustments.</t>
    </r>
  </si>
  <si>
    <t>1. Ensure access to OW-Related tasks if applicable.</t>
  </si>
  <si>
    <t>Automatically &amp; Manually Update Exchange Rates</t>
  </si>
  <si>
    <t>Setup Currencies for Automatic Updates</t>
  </si>
  <si>
    <t>Ensure Currencies are Setup for Automatic Updates</t>
  </si>
  <si>
    <r>
      <t xml:space="preserve">1.  Financial &gt; Lists &gt; </t>
    </r>
    <r>
      <rPr>
        <b/>
        <sz val="10"/>
        <color theme="1"/>
        <rFont val="Calibri"/>
        <family val="2"/>
        <scheme val="minor"/>
      </rPr>
      <t>Currencies</t>
    </r>
    <r>
      <rPr>
        <sz val="10"/>
        <color theme="1"/>
        <rFont val="Calibri"/>
        <family val="2"/>
        <scheme val="minor"/>
      </rPr>
      <t xml:space="preserve"> 
2.  Click the name of a currency
3.  On the Currency page, if the </t>
    </r>
    <r>
      <rPr>
        <b/>
        <sz val="10"/>
        <color theme="1"/>
        <rFont val="Calibri"/>
        <family val="2"/>
        <scheme val="minor"/>
      </rPr>
      <t>Automatic Update</t>
    </r>
    <r>
      <rPr>
        <sz val="10"/>
        <color theme="1"/>
        <rFont val="Calibri"/>
        <family val="2"/>
        <scheme val="minor"/>
      </rPr>
      <t xml:space="preserve"> box is checked, NetSuite updates the exchange rate between this foreign currency and the base currency (or for NetSuite OneWorld, the base currency of each subsidiary).
4.  On the record of a currency that has been defined as a base currency, the </t>
    </r>
    <r>
      <rPr>
        <b/>
        <sz val="10"/>
        <color theme="1"/>
        <rFont val="Calibri"/>
        <family val="2"/>
        <scheme val="minor"/>
      </rPr>
      <t>Update Time Zone</t>
    </r>
    <r>
      <rPr>
        <sz val="10"/>
        <color theme="1"/>
        <rFont val="Calibri"/>
        <family val="2"/>
        <scheme val="minor"/>
      </rPr>
      <t xml:space="preserve"> field determines the time of the daily automatic exchange rate updates. These updates occur at 6 a.m. in the selected time zone. 
5.  Click Save.</t>
    </r>
  </si>
  <si>
    <t>1. Ensure proper setup of currencies and exchange rates</t>
  </si>
  <si>
    <r>
      <t xml:space="preserve">Include: </t>
    </r>
    <r>
      <rPr>
        <b/>
        <sz val="10"/>
        <color rgb="FFFF0000"/>
        <rFont val="Calibri"/>
        <family val="2"/>
        <scheme val="minor"/>
      </rPr>
      <t>Currencies Updated [If Applicable]</t>
    </r>
  </si>
  <si>
    <t>Manually update exchange rates</t>
  </si>
  <si>
    <t>Manually Update Exchange Rates</t>
  </si>
  <si>
    <r>
      <t xml:space="preserve">1.  Financial &gt; Lists &gt; Currency Exchange Rates &gt; </t>
    </r>
    <r>
      <rPr>
        <b/>
        <sz val="10"/>
        <color theme="1"/>
        <rFont val="Calibri"/>
        <family val="2"/>
        <scheme val="minor"/>
      </rPr>
      <t xml:space="preserve">New
</t>
    </r>
    <r>
      <rPr>
        <sz val="10"/>
        <color theme="1"/>
        <rFont val="Calibri"/>
        <family val="2"/>
        <scheme val="minor"/>
      </rPr>
      <t xml:space="preserve">
2.  In the</t>
    </r>
    <r>
      <rPr>
        <b/>
        <sz val="10"/>
        <color theme="1"/>
        <rFont val="Calibri"/>
        <family val="2"/>
        <scheme val="minor"/>
      </rPr>
      <t xml:space="preserve"> Base Currency</t>
    </r>
    <r>
      <rPr>
        <sz val="10"/>
        <color theme="1"/>
        <rFont val="Calibri"/>
        <family val="2"/>
        <scheme val="minor"/>
      </rPr>
      <t xml:space="preserve"> field, select the base currency for this exchange rate update.
3.  Select a foreign currency in the </t>
    </r>
    <r>
      <rPr>
        <b/>
        <sz val="10"/>
        <color theme="1"/>
        <rFont val="Calibri"/>
        <family val="2"/>
        <scheme val="minor"/>
      </rPr>
      <t>Currency</t>
    </r>
    <r>
      <rPr>
        <sz val="10"/>
        <color theme="1"/>
        <rFont val="Calibri"/>
        <family val="2"/>
        <scheme val="minor"/>
      </rPr>
      <t xml:space="preserve"> field 
4.  In the </t>
    </r>
    <r>
      <rPr>
        <b/>
        <sz val="10"/>
        <color theme="1"/>
        <rFont val="Calibri"/>
        <family val="2"/>
        <scheme val="minor"/>
      </rPr>
      <t>Exchange Rate</t>
    </r>
    <r>
      <rPr>
        <sz val="10"/>
        <color theme="1"/>
        <rFont val="Calibri"/>
        <family val="2"/>
        <scheme val="minor"/>
      </rPr>
      <t xml:space="preserve"> field, enter the updated exchange rate.
5.  Enter the date that this exchange rate becomes effective in the effective date field.
6.  Click Save (if you'd like to save this exchange rate updated)</t>
    </r>
  </si>
  <si>
    <t>1. Ensure access to manually update exchange rates</t>
  </si>
  <si>
    <r>
      <t xml:space="preserve">Include: </t>
    </r>
    <r>
      <rPr>
        <b/>
        <sz val="10"/>
        <color rgb="FFFF0000"/>
        <rFont val="Calibri"/>
        <family val="2"/>
        <scheme val="minor"/>
      </rPr>
      <t>Exchange Rates Updated [If Applicable]</t>
    </r>
  </si>
  <si>
    <t>Create Journal Entries</t>
  </si>
  <si>
    <t>Create &amp; Approve Journal Entries</t>
  </si>
  <si>
    <t>Accounting Analyst</t>
  </si>
  <si>
    <t>Enter Journal Entry</t>
  </si>
  <si>
    <r>
      <t xml:space="preserve">1.  Financial &gt; Other &gt; </t>
    </r>
    <r>
      <rPr>
        <b/>
        <sz val="10"/>
        <color theme="1"/>
        <rFont val="Calibri"/>
        <family val="2"/>
        <scheme val="minor"/>
      </rPr>
      <t xml:space="preserve">Make Journal Entries
</t>
    </r>
    <r>
      <rPr>
        <sz val="10"/>
        <color theme="1"/>
        <rFont val="Calibri"/>
        <family val="2"/>
        <scheme val="minor"/>
      </rPr>
      <t>2</t>
    </r>
    <r>
      <rPr>
        <b/>
        <sz val="10"/>
        <color theme="1"/>
        <rFont val="Calibri"/>
        <family val="2"/>
        <scheme val="minor"/>
      </rPr>
      <t xml:space="preserve">. </t>
    </r>
    <r>
      <rPr>
        <sz val="10"/>
        <color theme="1"/>
        <rFont val="Calibri"/>
        <family val="2"/>
        <scheme val="minor"/>
      </rPr>
      <t>On the new</t>
    </r>
    <r>
      <rPr>
        <b/>
        <sz val="10"/>
        <color theme="1"/>
        <rFont val="Calibri"/>
        <family val="2"/>
        <scheme val="minor"/>
      </rPr>
      <t xml:space="preserve"> Journal Entry </t>
    </r>
    <r>
      <rPr>
        <sz val="10"/>
        <color theme="1"/>
        <rFont val="Calibri"/>
        <family val="2"/>
        <scheme val="minor"/>
      </rPr>
      <t>page enter the following in the header section of the page:</t>
    </r>
    <r>
      <rPr>
        <b/>
        <sz val="10"/>
        <color theme="1"/>
        <rFont val="Calibri"/>
        <family val="2"/>
        <scheme val="minor"/>
      </rPr>
      <t xml:space="preserve">
     - Subsidiary
     - Memo: </t>
    </r>
    <r>
      <rPr>
        <sz val="10"/>
        <color theme="1"/>
        <rFont val="Calibri"/>
        <family val="2"/>
        <scheme val="minor"/>
      </rPr>
      <t xml:space="preserve">UAT Case R2R06 
3. Enter balancing Journal Entry lines. Enter the following info for each line.
     - </t>
    </r>
    <r>
      <rPr>
        <b/>
        <sz val="10"/>
        <color theme="1"/>
        <rFont val="Calibri"/>
        <family val="2"/>
        <scheme val="minor"/>
      </rPr>
      <t>Account</t>
    </r>
    <r>
      <rPr>
        <sz val="10"/>
        <color theme="1"/>
        <rFont val="Calibri"/>
        <family val="2"/>
        <scheme val="minor"/>
      </rPr>
      <t xml:space="preserve">
     - </t>
    </r>
    <r>
      <rPr>
        <b/>
        <sz val="10"/>
        <color theme="1"/>
        <rFont val="Calibri"/>
        <family val="2"/>
        <scheme val="minor"/>
      </rPr>
      <t>Debit or Credit Amount
     - Department, Class and/or Location</t>
    </r>
    <r>
      <rPr>
        <sz val="10"/>
        <color theme="1"/>
        <rFont val="Calibri"/>
        <family val="2"/>
        <scheme val="minor"/>
      </rPr>
      <t xml:space="preserve">
4.  Click </t>
    </r>
    <r>
      <rPr>
        <b/>
        <sz val="10"/>
        <color theme="1"/>
        <rFont val="Calibri"/>
        <family val="2"/>
        <scheme val="minor"/>
      </rPr>
      <t>Save.</t>
    </r>
  </si>
  <si>
    <r>
      <t>1.  Review the Out of Balance By fields as you enter journal lines. 
2. Journal successfully Saved.
3. Journal Entry status is</t>
    </r>
    <r>
      <rPr>
        <b/>
        <sz val="10"/>
        <color theme="1"/>
        <rFont val="Calibri"/>
        <family val="2"/>
        <scheme val="minor"/>
      </rPr>
      <t xml:space="preserve"> 'Pending Approval'</t>
    </r>
  </si>
  <si>
    <r>
      <t xml:space="preserve">Include: </t>
    </r>
    <r>
      <rPr>
        <b/>
        <sz val="10"/>
        <color rgb="FFFF0000"/>
        <rFont val="Calibri"/>
        <family val="2"/>
        <scheme val="minor"/>
      </rPr>
      <t>Journal Entry Number</t>
    </r>
  </si>
  <si>
    <t>Accouting Manager</t>
  </si>
  <si>
    <t>Approve Journal Entry</t>
  </si>
  <si>
    <r>
      <t xml:space="preserve">1. Home Dashboard &gt; Reminders &gt; </t>
    </r>
    <r>
      <rPr>
        <b/>
        <sz val="10"/>
        <color theme="1"/>
        <rFont val="Calibri"/>
        <family val="2"/>
        <scheme val="minor"/>
      </rPr>
      <t>Journal Entries to Approve</t>
    </r>
    <r>
      <rPr>
        <sz val="10"/>
        <color theme="1"/>
        <rFont val="Calibri"/>
        <family val="2"/>
        <scheme val="minor"/>
      </rPr>
      <t xml:space="preserve">
2. Click on</t>
    </r>
    <r>
      <rPr>
        <b/>
        <sz val="10"/>
        <color theme="1"/>
        <rFont val="Calibri"/>
        <family val="2"/>
        <scheme val="minor"/>
      </rPr>
      <t xml:space="preserve"> JE Number</t>
    </r>
    <r>
      <rPr>
        <sz val="10"/>
        <color theme="1"/>
        <rFont val="Calibri"/>
        <family val="2"/>
        <scheme val="minor"/>
      </rPr>
      <t xml:space="preserve"> created in Step 1
3. Review and click </t>
    </r>
    <r>
      <rPr>
        <b/>
        <sz val="10"/>
        <color theme="1"/>
        <rFont val="Calibri"/>
        <family val="2"/>
        <scheme val="minor"/>
      </rPr>
      <t>Approve</t>
    </r>
  </si>
  <si>
    <r>
      <t xml:space="preserve">1. Journal status updated to 'Approved for Posting'
2. Click on Actions &gt; </t>
    </r>
    <r>
      <rPr>
        <b/>
        <sz val="10"/>
        <color theme="1"/>
        <rFont val="Calibri"/>
        <family val="2"/>
        <scheme val="minor"/>
      </rPr>
      <t>GL Impact</t>
    </r>
    <r>
      <rPr>
        <sz val="10"/>
        <color theme="1"/>
        <rFont val="Calibri"/>
        <family val="2"/>
        <scheme val="minor"/>
      </rPr>
      <t xml:space="preserve"> and ensure correct GL impact</t>
    </r>
  </si>
  <si>
    <r>
      <t>Create Intercompany Journal Entry</t>
    </r>
    <r>
      <rPr>
        <b/>
        <sz val="10"/>
        <color rgb="FFFF0000"/>
        <rFont val="Calibri"/>
        <family val="2"/>
        <scheme val="minor"/>
      </rPr>
      <t xml:space="preserve"> [If Applicable]</t>
    </r>
  </si>
  <si>
    <t>Accounting Manager</t>
  </si>
  <si>
    <t>Create Intercompany Journal Entry</t>
  </si>
  <si>
    <r>
      <t xml:space="preserve">1.  Financial &gt; Other &gt; </t>
    </r>
    <r>
      <rPr>
        <b/>
        <sz val="10"/>
        <color theme="1"/>
        <rFont val="Calibri"/>
        <family val="2"/>
        <scheme val="minor"/>
      </rPr>
      <t>Make Intercompany</t>
    </r>
    <r>
      <rPr>
        <sz val="10"/>
        <color theme="1"/>
        <rFont val="Calibri"/>
        <family val="2"/>
        <scheme val="minor"/>
      </rPr>
      <t xml:space="preserve"> </t>
    </r>
    <r>
      <rPr>
        <b/>
        <sz val="10"/>
        <color theme="1"/>
        <rFont val="Calibri"/>
        <family val="2"/>
        <scheme val="minor"/>
      </rPr>
      <t>Journal Entries</t>
    </r>
    <r>
      <rPr>
        <sz val="10"/>
        <color theme="1"/>
        <rFont val="Calibri"/>
        <family val="2"/>
        <scheme val="minor"/>
      </rPr>
      <t xml:space="preserve">
2. On the new Journal Entry page enter the following in the header section of the page:
     - </t>
    </r>
    <r>
      <rPr>
        <b/>
        <sz val="10"/>
        <color theme="1"/>
        <rFont val="Calibri"/>
        <family val="2"/>
        <scheme val="minor"/>
      </rPr>
      <t>Subsidiary</t>
    </r>
    <r>
      <rPr>
        <sz val="10"/>
        <color theme="1"/>
        <rFont val="Calibri"/>
        <family val="2"/>
        <scheme val="minor"/>
      </rPr>
      <t>: select the subsidiary initiating the ledger transaction
     -</t>
    </r>
    <r>
      <rPr>
        <b/>
        <sz val="10"/>
        <color theme="1"/>
        <rFont val="Calibri"/>
        <family val="2"/>
        <scheme val="minor"/>
      </rPr>
      <t>To Subsidiary</t>
    </r>
    <r>
      <rPr>
        <sz val="10"/>
        <color theme="1"/>
        <rFont val="Calibri"/>
        <family val="2"/>
        <scheme val="minor"/>
      </rPr>
      <t xml:space="preserve">: choose the second subsidiary for this ledger transaction
     - </t>
    </r>
    <r>
      <rPr>
        <b/>
        <sz val="10"/>
        <color theme="1"/>
        <rFont val="Calibri"/>
        <family val="2"/>
        <scheme val="minor"/>
      </rPr>
      <t>Memo</t>
    </r>
    <r>
      <rPr>
        <sz val="10"/>
        <color theme="1"/>
        <rFont val="Calibri"/>
        <family val="2"/>
        <scheme val="minor"/>
      </rPr>
      <t xml:space="preserve">: UAT Case R2R07 
3. Enter balancing Journal Entry lines. Enter the following info for each line.
     - </t>
    </r>
    <r>
      <rPr>
        <b/>
        <sz val="10"/>
        <color theme="1"/>
        <rFont val="Calibri"/>
        <family val="2"/>
        <scheme val="minor"/>
      </rPr>
      <t>Account</t>
    </r>
    <r>
      <rPr>
        <sz val="10"/>
        <color theme="1"/>
        <rFont val="Calibri"/>
        <family val="2"/>
        <scheme val="minor"/>
      </rPr>
      <t xml:space="preserve">
     - </t>
    </r>
    <r>
      <rPr>
        <b/>
        <sz val="10"/>
        <color theme="1"/>
        <rFont val="Calibri"/>
        <family val="2"/>
        <scheme val="minor"/>
      </rPr>
      <t>Debit or Credit Amount</t>
    </r>
    <r>
      <rPr>
        <sz val="10"/>
        <color theme="1"/>
        <rFont val="Calibri"/>
        <family val="2"/>
        <scheme val="minor"/>
      </rPr>
      <t xml:space="preserve">
     - </t>
    </r>
    <r>
      <rPr>
        <b/>
        <sz val="10"/>
        <color theme="1"/>
        <rFont val="Calibri"/>
        <family val="2"/>
        <scheme val="minor"/>
      </rPr>
      <t>Department, Class and/or Location</t>
    </r>
    <r>
      <rPr>
        <sz val="10"/>
        <color theme="1"/>
        <rFont val="Calibri"/>
        <family val="2"/>
        <scheme val="minor"/>
      </rPr>
      <t xml:space="preserve">
4.  Click </t>
    </r>
    <r>
      <rPr>
        <b/>
        <sz val="10"/>
        <color theme="1"/>
        <rFont val="Calibri"/>
        <family val="2"/>
        <scheme val="minor"/>
      </rPr>
      <t>Save.</t>
    </r>
  </si>
  <si>
    <r>
      <t>1.  Review the Out of Balance By fields as you enter journal lines. 
2. Ensure Exchange Rate field &amp; Currency fields are being set properly based on Subsidiary selected.
3. Journal successfully Saved.
4. Journal Entry status is</t>
    </r>
    <r>
      <rPr>
        <b/>
        <sz val="10"/>
        <color theme="1"/>
        <rFont val="Calibri"/>
        <family val="2"/>
        <scheme val="minor"/>
      </rPr>
      <t xml:space="preserve"> 'Approved for Posting'
</t>
    </r>
    <r>
      <rPr>
        <sz val="10"/>
        <color theme="1"/>
        <rFont val="Calibri"/>
        <family val="2"/>
        <scheme val="minor"/>
      </rPr>
      <t>5. Click on Actions &gt; GL Impact and ensure correct GL impact</t>
    </r>
  </si>
  <si>
    <t>Manually create and import budgets.</t>
  </si>
  <si>
    <t>Setup a Budget Manually</t>
  </si>
  <si>
    <t>Create Budget Manually</t>
  </si>
  <si>
    <r>
      <t>1.  Home Dashboard &gt; Navigation Portlet &gt;</t>
    </r>
    <r>
      <rPr>
        <b/>
        <sz val="10"/>
        <color theme="1"/>
        <rFont val="Calibri"/>
        <family val="2"/>
        <scheme val="minor"/>
      </rPr>
      <t xml:space="preserve"> Create Budgets
2. </t>
    </r>
    <r>
      <rPr>
        <sz val="10"/>
        <color theme="1"/>
        <rFont val="Calibri"/>
        <family val="2"/>
        <scheme val="minor"/>
      </rPr>
      <t>On the new</t>
    </r>
    <r>
      <rPr>
        <b/>
        <sz val="10"/>
        <color theme="1"/>
        <rFont val="Calibri"/>
        <family val="2"/>
        <scheme val="minor"/>
      </rPr>
      <t xml:space="preserve"> Budget </t>
    </r>
    <r>
      <rPr>
        <sz val="10"/>
        <color theme="1"/>
        <rFont val="Calibri"/>
        <family val="2"/>
        <scheme val="minor"/>
      </rPr>
      <t>page enter the following in the header section of the page:</t>
    </r>
    <r>
      <rPr>
        <b/>
        <sz val="10"/>
        <color theme="1"/>
        <rFont val="Calibri"/>
        <family val="2"/>
        <scheme val="minor"/>
      </rPr>
      <t xml:space="preserve">
     - Subsidiary:</t>
    </r>
    <r>
      <rPr>
        <sz val="10"/>
        <color theme="1"/>
        <rFont val="Calibri"/>
        <family val="2"/>
        <scheme val="minor"/>
      </rPr>
      <t xml:space="preserve"> select the subsidiary the budget is for</t>
    </r>
    <r>
      <rPr>
        <b/>
        <sz val="10"/>
        <color theme="1"/>
        <rFont val="Calibri"/>
        <family val="2"/>
        <scheme val="minor"/>
      </rPr>
      <t xml:space="preserve">
     - Year: </t>
    </r>
    <r>
      <rPr>
        <sz val="10"/>
        <color theme="1"/>
        <rFont val="Calibri"/>
        <family val="2"/>
        <scheme val="minor"/>
      </rPr>
      <t>choose the fiscal year the budget is for</t>
    </r>
    <r>
      <rPr>
        <b/>
        <sz val="10"/>
        <color theme="1"/>
        <rFont val="Calibri"/>
        <family val="2"/>
        <scheme val="minor"/>
      </rPr>
      <t xml:space="preserve">
     - Customer: </t>
    </r>
    <r>
      <rPr>
        <sz val="10"/>
        <color theme="1"/>
        <rFont val="Calibri"/>
        <family val="2"/>
        <scheme val="minor"/>
      </rPr>
      <t>if you'd like to create a customer-specific budget, select customer here</t>
    </r>
    <r>
      <rPr>
        <b/>
        <sz val="10"/>
        <color theme="1"/>
        <rFont val="Calibri"/>
        <family val="2"/>
        <scheme val="minor"/>
      </rPr>
      <t xml:space="preserve">
     - Item: </t>
    </r>
    <r>
      <rPr>
        <sz val="10"/>
        <color theme="1"/>
        <rFont val="Calibri"/>
        <family val="2"/>
        <scheme val="minor"/>
      </rPr>
      <t>if you'd like to create an item-specific budget, select item here</t>
    </r>
    <r>
      <rPr>
        <b/>
        <sz val="10"/>
        <color theme="1"/>
        <rFont val="Calibri"/>
        <family val="2"/>
        <scheme val="minor"/>
      </rPr>
      <t xml:space="preserve">
     - Department/Class/Location: </t>
    </r>
    <r>
      <rPr>
        <sz val="10"/>
        <color theme="1"/>
        <rFont val="Calibri"/>
        <family val="2"/>
        <scheme val="minor"/>
      </rPr>
      <t>if budgets are segmented by these classifications, select the correct combination in these fields</t>
    </r>
    <r>
      <rPr>
        <b/>
        <sz val="10"/>
        <color theme="1"/>
        <rFont val="Calibri"/>
        <family val="2"/>
        <scheme val="minor"/>
      </rPr>
      <t xml:space="preserve">
     - Account Type: </t>
    </r>
    <r>
      <rPr>
        <sz val="10"/>
        <color theme="1"/>
        <rFont val="Calibri"/>
        <family val="2"/>
        <scheme val="minor"/>
      </rPr>
      <t xml:space="preserve">select the GL account type the budget should include
3. Create budget for each account for each month. You can enter an amount for each month or divide evenly for each period by checking the apply box next to an account.  To place check marks in the apply box for all accounts click Mark All.
4.  Click </t>
    </r>
    <r>
      <rPr>
        <b/>
        <sz val="10"/>
        <color theme="1"/>
        <rFont val="Calibri"/>
        <family val="2"/>
        <scheme val="minor"/>
      </rPr>
      <t>Save.</t>
    </r>
  </si>
  <si>
    <r>
      <t xml:space="preserve">1. Budget Saved.
2. View Budget Income Statement Reports: Home Dashboard &gt; SuiteAccess &gt; </t>
    </r>
    <r>
      <rPr>
        <b/>
        <sz val="10"/>
        <color theme="1"/>
        <rFont val="Calibri"/>
        <family val="2"/>
        <scheme val="minor"/>
      </rPr>
      <t xml:space="preserve">Budget v. Actual </t>
    </r>
    <r>
      <rPr>
        <sz val="10"/>
        <color theme="1"/>
        <rFont val="Calibri"/>
        <family val="2"/>
        <scheme val="minor"/>
      </rPr>
      <t xml:space="preserve">and Reports &gt; Banking/Budgeting &gt; </t>
    </r>
    <r>
      <rPr>
        <b/>
        <sz val="10"/>
        <color theme="1"/>
        <rFont val="Calibri"/>
        <family val="2"/>
        <scheme val="minor"/>
      </rPr>
      <t>Budget Income Statement</t>
    </r>
  </si>
  <si>
    <r>
      <t xml:space="preserve">Include: </t>
    </r>
    <r>
      <rPr>
        <b/>
        <sz val="10"/>
        <color rgb="FFFF0000"/>
        <rFont val="Calibri"/>
        <family val="2"/>
        <scheme val="minor"/>
      </rPr>
      <t>Budget Year, Budget Details (Dept, Class, Location, Item, etc.)</t>
    </r>
  </si>
  <si>
    <t>Import Budget</t>
  </si>
  <si>
    <t>Import Budget via CSV</t>
  </si>
  <si>
    <r>
      <t xml:space="preserve">1.  Financial &gt; Lists &gt; Set Up Budgets &gt; </t>
    </r>
    <r>
      <rPr>
        <b/>
        <sz val="10"/>
        <color theme="1"/>
        <rFont val="Calibri"/>
        <family val="2"/>
        <scheme val="minor"/>
      </rPr>
      <t xml:space="preserve">Import
</t>
    </r>
    <r>
      <rPr>
        <sz val="10"/>
        <color theme="1"/>
        <rFont val="Calibri"/>
        <family val="2"/>
        <scheme val="minor"/>
      </rPr>
      <t xml:space="preserve">2. Click </t>
    </r>
    <r>
      <rPr>
        <b/>
        <sz val="10"/>
        <color theme="1"/>
        <rFont val="Calibri"/>
        <family val="2"/>
        <scheme val="minor"/>
      </rPr>
      <t xml:space="preserve">Budgets Template File </t>
    </r>
    <r>
      <rPr>
        <sz val="10"/>
        <color theme="1"/>
        <rFont val="Calibri"/>
        <family val="2"/>
        <scheme val="minor"/>
      </rPr>
      <t>link to download template. Enter budget data.
3. Save file as .csv
4. On the Import Assistant page, iclick the Select... button to upload your CSV file. Click Next
5. On the View Mapping / Start Import page, review the automappings of CSV file fields to NetSuite fields, and make any necessary changes or additions.
6.  Click Run.
8.  After the import of budget data has successfully completed, you can review NetSuite budget records by going to Transactions &gt; Financial &gt; Set Up Budgets &gt; List, then clicking a View or Edit link to open each budget record.</t>
    </r>
  </si>
  <si>
    <r>
      <t xml:space="preserve">1. Budget successfullly imported.
2. Review Imported Budget: Financial &gt; Lists &gt; Set Up Budgets &gt; </t>
    </r>
    <r>
      <rPr>
        <b/>
        <sz val="10"/>
        <color theme="1"/>
        <rFont val="Calibri"/>
        <family val="2"/>
        <scheme val="minor"/>
      </rPr>
      <t xml:space="preserve">List
</t>
    </r>
    <r>
      <rPr>
        <b/>
        <sz val="10"/>
        <color rgb="FFFF0000"/>
        <rFont val="Calibri"/>
        <family val="2"/>
        <scheme val="minor"/>
      </rPr>
      <t>NOTE: Be aware of the following limitations for CSV file fields:
     - Year: Year values should be for years with accounting periods set up at Setup &gt; Accounting &gt;
Manage Accounting Periods.
     - Account: Account field values should be names. Do not use numbers even if the Use Account Numbers preference is enabled. For subaccounts, values should be hierarchical, with the format parent account name: child account name.</t>
    </r>
  </si>
  <si>
    <t>Reconcile Bank and Credit Card statements using OFX, QFX or QIF format.</t>
  </si>
  <si>
    <t>Upload and Reconcile Bank Statements</t>
  </si>
  <si>
    <t>Import Online Banking Data</t>
  </si>
  <si>
    <r>
      <t>1.  Financial &gt; Banking &gt;</t>
    </r>
    <r>
      <rPr>
        <b/>
        <sz val="10"/>
        <color theme="1"/>
        <rFont val="Calibri"/>
        <family val="2"/>
        <scheme val="minor"/>
      </rPr>
      <t xml:space="preserve"> Import Online Banking Data
2. </t>
    </r>
    <r>
      <rPr>
        <sz val="10"/>
        <color theme="1"/>
        <rFont val="Calibri"/>
        <family val="2"/>
        <scheme val="minor"/>
      </rPr>
      <t>On the</t>
    </r>
    <r>
      <rPr>
        <b/>
        <sz val="10"/>
        <color theme="1"/>
        <rFont val="Calibri"/>
        <family val="2"/>
        <scheme val="minor"/>
      </rPr>
      <t xml:space="preserve"> Online Banking Data Upload </t>
    </r>
    <r>
      <rPr>
        <sz val="10"/>
        <color theme="1"/>
        <rFont val="Calibri"/>
        <family val="2"/>
        <scheme val="minor"/>
      </rPr>
      <t>page select the following information:</t>
    </r>
    <r>
      <rPr>
        <b/>
        <sz val="10"/>
        <color theme="1"/>
        <rFont val="Calibri"/>
        <family val="2"/>
        <scheme val="minor"/>
      </rPr>
      <t xml:space="preserve">
     - Choose File:</t>
    </r>
    <r>
      <rPr>
        <sz val="10"/>
        <color theme="1"/>
        <rFont val="Calibri"/>
        <family val="2"/>
        <scheme val="minor"/>
      </rPr>
      <t xml:space="preserve"> upload the bank statement in OFX, QFX, or QIF file format</t>
    </r>
    <r>
      <rPr>
        <b/>
        <sz val="10"/>
        <color theme="1"/>
        <rFont val="Calibri"/>
        <family val="2"/>
        <scheme val="minor"/>
      </rPr>
      <t xml:space="preserve">
     - Account: </t>
    </r>
    <r>
      <rPr>
        <sz val="10"/>
        <color theme="1"/>
        <rFont val="Calibri"/>
        <family val="2"/>
        <scheme val="minor"/>
      </rPr>
      <t>select the bank account the statement is for</t>
    </r>
    <r>
      <rPr>
        <b/>
        <sz val="10"/>
        <color theme="1"/>
        <rFont val="Calibri"/>
        <family val="2"/>
        <scheme val="minor"/>
      </rPr>
      <t xml:space="preserve">
     - Character Encoding:</t>
    </r>
    <r>
      <rPr>
        <sz val="10"/>
        <color theme="1"/>
        <rFont val="Calibri"/>
        <family val="2"/>
        <scheme val="minor"/>
      </rPr>
      <t xml:space="preserve"> select correct character encoding of file
     - </t>
    </r>
    <r>
      <rPr>
        <b/>
        <sz val="10"/>
        <color theme="1"/>
        <rFont val="Calibri"/>
        <family val="2"/>
        <scheme val="minor"/>
      </rPr>
      <t>Date Format</t>
    </r>
    <r>
      <rPr>
        <sz val="10"/>
        <color theme="1"/>
        <rFont val="Calibri"/>
        <family val="2"/>
        <scheme val="minor"/>
      </rPr>
      <t xml:space="preserve">: select date format used within file
3. Click </t>
    </r>
    <r>
      <rPr>
        <b/>
        <sz val="10"/>
        <color theme="1"/>
        <rFont val="Calibri"/>
        <family val="2"/>
        <scheme val="minor"/>
      </rPr>
      <t>Submit.</t>
    </r>
  </si>
  <si>
    <r>
      <t xml:space="preserve">1. On the Online Banking Statement page, matched transactions will show the date or transaction number as a link in the Matched Transaction column.
</t>
    </r>
    <r>
      <rPr>
        <b/>
        <sz val="10"/>
        <color rgb="FFFF0000"/>
        <rFont val="Calibri"/>
        <family val="2"/>
        <scheme val="minor"/>
      </rPr>
      <t>NOTE: Auto Match identifies a match for a bank transaction if an existing transaction meets all of the following basic criteria: has a date that is the same or earlier, has a matching dollar amount, has a matching bank account number
If Auto Match cannot match a bank transaction, the Matched Transaction column is blank, and the Type column displays a link to the Find Transactions page where you can manually match the transaction.</t>
    </r>
  </si>
  <si>
    <r>
      <t xml:space="preserve">Include: </t>
    </r>
    <r>
      <rPr>
        <b/>
        <sz val="10"/>
        <color rgb="FFFF0000"/>
        <rFont val="Calibri"/>
        <family val="2"/>
        <scheme val="minor"/>
      </rPr>
      <t>Bank Statement File &amp; Date</t>
    </r>
  </si>
  <si>
    <t>Reconcile Bank Statement</t>
  </si>
  <si>
    <r>
      <t>1.  Financial &gt; Banking &gt;</t>
    </r>
    <r>
      <rPr>
        <b/>
        <sz val="10"/>
        <color theme="1"/>
        <rFont val="Calibri"/>
        <family val="2"/>
        <scheme val="minor"/>
      </rPr>
      <t xml:space="preserve"> Reconcile Bank Statement
2. </t>
    </r>
    <r>
      <rPr>
        <sz val="10"/>
        <color theme="1"/>
        <rFont val="Calibri"/>
        <family val="2"/>
        <scheme val="minor"/>
      </rPr>
      <t>On the</t>
    </r>
    <r>
      <rPr>
        <b/>
        <sz val="10"/>
        <color theme="1"/>
        <rFont val="Calibri"/>
        <family val="2"/>
        <scheme val="minor"/>
      </rPr>
      <t xml:space="preserve"> Reconcile Bank Statement </t>
    </r>
    <r>
      <rPr>
        <sz val="10"/>
        <color theme="1"/>
        <rFont val="Calibri"/>
        <family val="2"/>
        <scheme val="minor"/>
      </rPr>
      <t>page enter the following in the header section of the page:</t>
    </r>
    <r>
      <rPr>
        <b/>
        <sz val="10"/>
        <color theme="1"/>
        <rFont val="Calibri"/>
        <family val="2"/>
        <scheme val="minor"/>
      </rPr>
      <t xml:space="preserve">
     - Account:</t>
    </r>
    <r>
      <rPr>
        <sz val="10"/>
        <color theme="1"/>
        <rFont val="Calibri"/>
        <family val="2"/>
        <scheme val="minor"/>
      </rPr>
      <t xml:space="preserve"> select bank account to reconcile</t>
    </r>
    <r>
      <rPr>
        <b/>
        <sz val="10"/>
        <color theme="1"/>
        <rFont val="Calibri"/>
        <family val="2"/>
        <scheme val="minor"/>
      </rPr>
      <t xml:space="preserve">
     - Statement Date: </t>
    </r>
    <r>
      <rPr>
        <sz val="10"/>
        <color theme="1"/>
        <rFont val="Calibri"/>
        <family val="2"/>
        <scheme val="minor"/>
      </rPr>
      <t>enter date of statement</t>
    </r>
    <r>
      <rPr>
        <b/>
        <sz val="10"/>
        <color theme="1"/>
        <rFont val="Calibri"/>
        <family val="2"/>
        <scheme val="minor"/>
      </rPr>
      <t xml:space="preserve">
     - Ending Statement Balance:</t>
    </r>
    <r>
      <rPr>
        <sz val="10"/>
        <color theme="1"/>
        <rFont val="Calibri"/>
        <family val="2"/>
        <scheme val="minor"/>
      </rPr>
      <t xml:space="preserve"> enter closing balance on statement
3. Click the </t>
    </r>
    <r>
      <rPr>
        <b/>
        <sz val="10"/>
        <color theme="1"/>
        <rFont val="Calibri"/>
        <family val="2"/>
        <scheme val="minor"/>
      </rPr>
      <t>Deposits and Credits</t>
    </r>
    <r>
      <rPr>
        <sz val="10"/>
        <color theme="1"/>
        <rFont val="Calibri"/>
        <family val="2"/>
        <scheme val="minor"/>
      </rPr>
      <t xml:space="preserve"> subtab. Check the boxes next to the transactions you want to reconcile.
4. Click the </t>
    </r>
    <r>
      <rPr>
        <b/>
        <sz val="10"/>
        <color theme="1"/>
        <rFont val="Calibri"/>
        <family val="2"/>
        <scheme val="minor"/>
      </rPr>
      <t>Checks and Payments</t>
    </r>
    <r>
      <rPr>
        <sz val="10"/>
        <color theme="1"/>
        <rFont val="Calibri"/>
        <family val="2"/>
        <scheme val="minor"/>
      </rPr>
      <t xml:space="preserve"> subtab. Check the boxes next to the transactions you want to reconcile.
5. Enter </t>
    </r>
    <r>
      <rPr>
        <b/>
        <sz val="10"/>
        <color theme="1"/>
        <rFont val="Calibri"/>
        <family val="2"/>
        <scheme val="minor"/>
      </rPr>
      <t>New Charges &amp; New Deposits</t>
    </r>
    <r>
      <rPr>
        <sz val="10"/>
        <color theme="1"/>
        <rFont val="Calibri"/>
        <family val="2"/>
        <scheme val="minor"/>
      </rPr>
      <t xml:space="preserve"> as applicable.
4.  Click </t>
    </r>
    <r>
      <rPr>
        <b/>
        <sz val="10"/>
        <color theme="1"/>
        <rFont val="Calibri"/>
        <family val="2"/>
        <scheme val="minor"/>
      </rPr>
      <t>Save.</t>
    </r>
  </si>
  <si>
    <t>1. Bank statement successfully reconciled.</t>
  </si>
  <si>
    <t>Upload and Reconcile Credit Card Statements</t>
  </si>
  <si>
    <r>
      <t>1.  Financial &gt; Banking &gt;</t>
    </r>
    <r>
      <rPr>
        <b/>
        <sz val="10"/>
        <color theme="1"/>
        <rFont val="Calibri"/>
        <family val="2"/>
        <scheme val="minor"/>
      </rPr>
      <t xml:space="preserve"> Import Online Banking Data
2. </t>
    </r>
    <r>
      <rPr>
        <sz val="10"/>
        <color theme="1"/>
        <rFont val="Calibri"/>
        <family val="2"/>
        <scheme val="minor"/>
      </rPr>
      <t>On the</t>
    </r>
    <r>
      <rPr>
        <b/>
        <sz val="10"/>
        <color theme="1"/>
        <rFont val="Calibri"/>
        <family val="2"/>
        <scheme val="minor"/>
      </rPr>
      <t xml:space="preserve"> Online Banking Data Upload </t>
    </r>
    <r>
      <rPr>
        <sz val="10"/>
        <color theme="1"/>
        <rFont val="Calibri"/>
        <family val="2"/>
        <scheme val="minor"/>
      </rPr>
      <t>page select the following information:</t>
    </r>
    <r>
      <rPr>
        <b/>
        <sz val="10"/>
        <color theme="1"/>
        <rFont val="Calibri"/>
        <family val="2"/>
        <scheme val="minor"/>
      </rPr>
      <t xml:space="preserve">
     - Choose File:</t>
    </r>
    <r>
      <rPr>
        <sz val="10"/>
        <color theme="1"/>
        <rFont val="Calibri"/>
        <family val="2"/>
        <scheme val="minor"/>
      </rPr>
      <t xml:space="preserve"> upload the credit card statement in OFX, QFX, or QIF file format</t>
    </r>
    <r>
      <rPr>
        <b/>
        <sz val="10"/>
        <color theme="1"/>
        <rFont val="Calibri"/>
        <family val="2"/>
        <scheme val="minor"/>
      </rPr>
      <t xml:space="preserve">
     - Account: </t>
    </r>
    <r>
      <rPr>
        <sz val="10"/>
        <color theme="1"/>
        <rFont val="Calibri"/>
        <family val="2"/>
        <scheme val="minor"/>
      </rPr>
      <t>select the credit card account the statement is for</t>
    </r>
    <r>
      <rPr>
        <b/>
        <sz val="10"/>
        <color theme="1"/>
        <rFont val="Calibri"/>
        <family val="2"/>
        <scheme val="minor"/>
      </rPr>
      <t xml:space="preserve">
     - Character Encoding:</t>
    </r>
    <r>
      <rPr>
        <sz val="10"/>
        <color theme="1"/>
        <rFont val="Calibri"/>
        <family val="2"/>
        <scheme val="minor"/>
      </rPr>
      <t xml:space="preserve"> select correct character encoding of file
     - </t>
    </r>
    <r>
      <rPr>
        <b/>
        <sz val="10"/>
        <color theme="1"/>
        <rFont val="Calibri"/>
        <family val="2"/>
        <scheme val="minor"/>
      </rPr>
      <t>Date Format</t>
    </r>
    <r>
      <rPr>
        <sz val="10"/>
        <color theme="1"/>
        <rFont val="Calibri"/>
        <family val="2"/>
        <scheme val="minor"/>
      </rPr>
      <t xml:space="preserve">: select date format used within file
3. Click </t>
    </r>
    <r>
      <rPr>
        <b/>
        <sz val="10"/>
        <color theme="1"/>
        <rFont val="Calibri"/>
        <family val="2"/>
        <scheme val="minor"/>
      </rPr>
      <t>Submit.</t>
    </r>
  </si>
  <si>
    <r>
      <t xml:space="preserve">Include: </t>
    </r>
    <r>
      <rPr>
        <b/>
        <sz val="10"/>
        <color rgb="FFFF0000"/>
        <rFont val="Calibri"/>
        <family val="2"/>
        <scheme val="minor"/>
      </rPr>
      <t>Credit Card Statement File &amp; Date</t>
    </r>
  </si>
  <si>
    <t>Reconcile Credit Card Statement</t>
  </si>
  <si>
    <r>
      <t>1.  Financial &gt; Banking &gt;</t>
    </r>
    <r>
      <rPr>
        <b/>
        <sz val="10"/>
        <color theme="1"/>
        <rFont val="Calibri"/>
        <family val="2"/>
        <scheme val="minor"/>
      </rPr>
      <t xml:space="preserve"> Reconcile Credit Card Statement
2. </t>
    </r>
    <r>
      <rPr>
        <sz val="10"/>
        <color theme="1"/>
        <rFont val="Calibri"/>
        <family val="2"/>
        <scheme val="minor"/>
      </rPr>
      <t>On the</t>
    </r>
    <r>
      <rPr>
        <b/>
        <sz val="10"/>
        <color theme="1"/>
        <rFont val="Calibri"/>
        <family val="2"/>
        <scheme val="minor"/>
      </rPr>
      <t xml:space="preserve"> Reconcile Credit Card Statement </t>
    </r>
    <r>
      <rPr>
        <sz val="10"/>
        <color theme="1"/>
        <rFont val="Calibri"/>
        <family val="2"/>
        <scheme val="minor"/>
      </rPr>
      <t>page enter the following in the header section of the page:</t>
    </r>
    <r>
      <rPr>
        <b/>
        <sz val="10"/>
        <color theme="1"/>
        <rFont val="Calibri"/>
        <family val="2"/>
        <scheme val="minor"/>
      </rPr>
      <t xml:space="preserve">
     - Account:</t>
    </r>
    <r>
      <rPr>
        <sz val="10"/>
        <color theme="1"/>
        <rFont val="Calibri"/>
        <family val="2"/>
        <scheme val="minor"/>
      </rPr>
      <t xml:space="preserve"> select credit card account to reconcile</t>
    </r>
    <r>
      <rPr>
        <b/>
        <sz val="10"/>
        <color theme="1"/>
        <rFont val="Calibri"/>
        <family val="2"/>
        <scheme val="minor"/>
      </rPr>
      <t xml:space="preserve">
     - Statement Date: </t>
    </r>
    <r>
      <rPr>
        <sz val="10"/>
        <color theme="1"/>
        <rFont val="Calibri"/>
        <family val="2"/>
        <scheme val="minor"/>
      </rPr>
      <t>enter date of statement</t>
    </r>
    <r>
      <rPr>
        <b/>
        <sz val="10"/>
        <color theme="1"/>
        <rFont val="Calibri"/>
        <family val="2"/>
        <scheme val="minor"/>
      </rPr>
      <t xml:space="preserve">
     - Ending Statement Balance:</t>
    </r>
    <r>
      <rPr>
        <sz val="10"/>
        <color theme="1"/>
        <rFont val="Calibri"/>
        <family val="2"/>
        <scheme val="minor"/>
      </rPr>
      <t xml:space="preserve"> enter closing balance on statement
3. Click the </t>
    </r>
    <r>
      <rPr>
        <b/>
        <sz val="10"/>
        <color theme="1"/>
        <rFont val="Calibri"/>
        <family val="2"/>
        <scheme val="minor"/>
      </rPr>
      <t>Payments and Credits</t>
    </r>
    <r>
      <rPr>
        <sz val="10"/>
        <color theme="1"/>
        <rFont val="Calibri"/>
        <family val="2"/>
        <scheme val="minor"/>
      </rPr>
      <t xml:space="preserve"> subtab. Check the boxes next to the transactions you want to reconcile.
4. Click the </t>
    </r>
    <r>
      <rPr>
        <b/>
        <sz val="10"/>
        <color theme="1"/>
        <rFont val="Calibri"/>
        <family val="2"/>
        <scheme val="minor"/>
      </rPr>
      <t>Charges and Cash Advances</t>
    </r>
    <r>
      <rPr>
        <sz val="10"/>
        <color theme="1"/>
        <rFont val="Calibri"/>
        <family val="2"/>
        <scheme val="minor"/>
      </rPr>
      <t xml:space="preserve"> subtab. Check the boxes next to the transactions you want to reconcile.
5. Enter </t>
    </r>
    <r>
      <rPr>
        <b/>
        <sz val="10"/>
        <color theme="1"/>
        <rFont val="Calibri"/>
        <family val="2"/>
        <scheme val="minor"/>
      </rPr>
      <t>New Charges &amp; New Credits</t>
    </r>
    <r>
      <rPr>
        <sz val="10"/>
        <color theme="1"/>
        <rFont val="Calibri"/>
        <family val="2"/>
        <scheme val="minor"/>
      </rPr>
      <t xml:space="preserve"> as applicable.
4.  Click </t>
    </r>
    <r>
      <rPr>
        <b/>
        <sz val="10"/>
        <color theme="1"/>
        <rFont val="Calibri"/>
        <family val="2"/>
        <scheme val="minor"/>
      </rPr>
      <t>Save.</t>
    </r>
  </si>
  <si>
    <t>1. Credit Card statement successfully reconciled.</t>
  </si>
  <si>
    <t xml:space="preserve">Verify that statistical accounts are correct. Generate Statistical Journal Entries based on Allocation rules. </t>
  </si>
  <si>
    <t>Verify that statistical accounts are correct.</t>
  </si>
  <si>
    <t xml:space="preserve">Verify statistical accounts. </t>
  </si>
  <si>
    <r>
      <t>1. Navgiate to</t>
    </r>
    <r>
      <rPr>
        <b/>
        <sz val="10"/>
        <color theme="1"/>
        <rFont val="Calibri"/>
        <family val="2"/>
        <scheme val="minor"/>
      </rPr>
      <t xml:space="preserve"> Setup &gt; Accounting &gt; Chart of Accounts.</t>
    </r>
    <r>
      <rPr>
        <sz val="10"/>
        <color theme="1"/>
        <rFont val="Calibri"/>
        <family val="2"/>
        <scheme val="minor"/>
      </rPr>
      <t xml:space="preserve">
2. Select "Statistical" as the "View" on the top left of the page. 
3. Verify the statistical accounts (headcount, square footage, etc.)
</t>
    </r>
  </si>
  <si>
    <t xml:space="preserve">1. Statistical accounts should be present and accurate. </t>
  </si>
  <si>
    <t>Create Statistical Journal Entry</t>
  </si>
  <si>
    <t xml:space="preserve">Create Statistical Journal Entry. </t>
  </si>
  <si>
    <r>
      <t xml:space="preserve">1. Navigate to </t>
    </r>
    <r>
      <rPr>
        <b/>
        <sz val="10"/>
        <color theme="1"/>
        <rFont val="Calibri"/>
        <family val="2"/>
        <scheme val="minor"/>
      </rPr>
      <t>Transactions &gt; Financial &gt; Make Statistical Journal Entries</t>
    </r>
    <r>
      <rPr>
        <sz val="10"/>
        <color theme="1"/>
        <rFont val="Calibri"/>
        <family val="2"/>
        <scheme val="minor"/>
      </rPr>
      <t xml:space="preserve">
2. Select a </t>
    </r>
    <r>
      <rPr>
        <b/>
        <sz val="10"/>
        <color theme="1"/>
        <rFont val="Calibri"/>
        <family val="2"/>
        <scheme val="minor"/>
      </rPr>
      <t xml:space="preserve">Subsidiary, Accounting Period, </t>
    </r>
    <r>
      <rPr>
        <sz val="10"/>
        <color theme="1"/>
        <rFont val="Calibri"/>
        <family val="2"/>
        <scheme val="minor"/>
      </rPr>
      <t xml:space="preserve">and set </t>
    </r>
    <r>
      <rPr>
        <b/>
        <sz val="10"/>
        <color theme="1"/>
        <rFont val="Calibri"/>
        <family val="2"/>
        <scheme val="minor"/>
      </rPr>
      <t>Approval Status</t>
    </r>
    <r>
      <rPr>
        <sz val="10"/>
        <color theme="1"/>
        <rFont val="Calibri"/>
        <family val="2"/>
        <scheme val="minor"/>
      </rPr>
      <t xml:space="preserve">, to Approved.
3. Under </t>
    </r>
    <r>
      <rPr>
        <b/>
        <sz val="10"/>
        <color theme="1"/>
        <rFont val="Calibri"/>
        <family val="2"/>
        <scheme val="minor"/>
      </rPr>
      <t>Unit of Measure Type</t>
    </r>
    <r>
      <rPr>
        <sz val="10"/>
        <color theme="1"/>
        <rFont val="Calibri"/>
        <family val="2"/>
        <scheme val="minor"/>
      </rPr>
      <t xml:space="preserve">, select PEOPLE. 
4. In the </t>
    </r>
    <r>
      <rPr>
        <b/>
        <sz val="10"/>
        <color theme="1"/>
        <rFont val="Calibri"/>
        <family val="2"/>
        <scheme val="minor"/>
      </rPr>
      <t>Lines</t>
    </r>
    <r>
      <rPr>
        <sz val="10"/>
        <color theme="1"/>
        <rFont val="Calibri"/>
        <family val="2"/>
        <scheme val="minor"/>
      </rPr>
      <t xml:space="preserve"> subtab, select an appropriate Headcount account. Add the amount you wish to modify this account by. Click </t>
    </r>
    <r>
      <rPr>
        <b/>
        <sz val="10"/>
        <color theme="1"/>
        <rFont val="Calibri"/>
        <family val="2"/>
        <scheme val="minor"/>
      </rPr>
      <t>Add</t>
    </r>
    <r>
      <rPr>
        <sz val="10"/>
        <color theme="1"/>
        <rFont val="Calibri"/>
        <family val="2"/>
        <scheme val="minor"/>
      </rPr>
      <t xml:space="preserve">. 
5. Click </t>
    </r>
    <r>
      <rPr>
        <b/>
        <sz val="10"/>
        <color theme="1"/>
        <rFont val="Calibri"/>
        <family val="2"/>
        <scheme val="minor"/>
      </rPr>
      <t xml:space="preserve">Save. </t>
    </r>
  </si>
  <si>
    <t xml:space="preserve">1. Statistical account should be modified by the specified amount. </t>
  </si>
  <si>
    <t xml:space="preserve">Set up Dynamic and Fixed Allocation Schedules based on Statistical Account and create Allocation JE. </t>
  </si>
  <si>
    <t xml:space="preserve">Set up Dynamic Allocation Schedule. </t>
  </si>
  <si>
    <r>
      <t xml:space="preserve">1. Navgiate to Transactions &gt; Financial &gt; Create Allocation Schedule
2. Enter a </t>
    </r>
    <r>
      <rPr>
        <b/>
        <sz val="10"/>
        <color theme="1"/>
        <rFont val="Calibri"/>
        <family val="2"/>
        <scheme val="minor"/>
      </rPr>
      <t xml:space="preserve">Name, Subsidiary, and Frequency </t>
    </r>
    <r>
      <rPr>
        <sz val="10"/>
        <color theme="1"/>
        <rFont val="Calibri"/>
        <family val="2"/>
        <scheme val="minor"/>
      </rPr>
      <t xml:space="preserve">for this Allocation Schedule. Set </t>
    </r>
    <r>
      <rPr>
        <b/>
        <sz val="10"/>
        <color theme="1"/>
        <rFont val="Calibri"/>
        <family val="2"/>
        <scheme val="minor"/>
      </rPr>
      <t>Next Date</t>
    </r>
    <r>
      <rPr>
        <sz val="10"/>
        <color theme="1"/>
        <rFont val="Calibri"/>
        <family val="2"/>
        <scheme val="minor"/>
      </rPr>
      <t xml:space="preserve"> = Today
3. Set </t>
    </r>
    <r>
      <rPr>
        <b/>
        <sz val="10"/>
        <color theme="1"/>
        <rFont val="Calibri"/>
        <family val="2"/>
        <scheme val="minor"/>
      </rPr>
      <t xml:space="preserve">Allocation Mode </t>
    </r>
    <r>
      <rPr>
        <sz val="10"/>
        <color theme="1"/>
        <rFont val="Calibri"/>
        <family val="2"/>
        <scheme val="minor"/>
      </rPr>
      <t xml:space="preserve">to Fixed Allocation
4. Verify that the </t>
    </r>
    <r>
      <rPr>
        <b/>
        <sz val="10"/>
        <color theme="1"/>
        <rFont val="Calibri"/>
        <family val="2"/>
        <scheme val="minor"/>
      </rPr>
      <t xml:space="preserve">Unit Type </t>
    </r>
    <r>
      <rPr>
        <sz val="10"/>
        <color theme="1"/>
        <rFont val="Calibri"/>
        <family val="2"/>
        <scheme val="minor"/>
      </rPr>
      <t xml:space="preserve"> = People and the </t>
    </r>
    <r>
      <rPr>
        <b/>
        <sz val="10"/>
        <color theme="1"/>
        <rFont val="Calibri"/>
        <family val="2"/>
        <scheme val="minor"/>
      </rPr>
      <t xml:space="preserve">Unit of Measure </t>
    </r>
    <r>
      <rPr>
        <sz val="10"/>
        <color theme="1"/>
        <rFont val="Calibri"/>
        <family val="2"/>
        <scheme val="minor"/>
      </rPr>
      <t xml:space="preserve"> = Headcount
5. In the </t>
    </r>
    <r>
      <rPr>
        <b/>
        <sz val="10"/>
        <color theme="1"/>
        <rFont val="Calibri"/>
        <family val="2"/>
        <scheme val="minor"/>
      </rPr>
      <t>Source</t>
    </r>
    <r>
      <rPr>
        <sz val="10"/>
        <color theme="1"/>
        <rFont val="Calibri"/>
        <family val="2"/>
        <scheme val="minor"/>
      </rPr>
      <t xml:space="preserve"> subtab, select an appropriate expense account to allocate from. This account should have some expenses already present for the selected period. 
6. In the </t>
    </r>
    <r>
      <rPr>
        <b/>
        <sz val="10"/>
        <color theme="1"/>
        <rFont val="Calibri"/>
        <family val="2"/>
        <scheme val="minor"/>
      </rPr>
      <t xml:space="preserve">Destination </t>
    </r>
    <r>
      <rPr>
        <sz val="10"/>
        <color theme="1"/>
        <rFont val="Calibri"/>
        <family val="2"/>
        <scheme val="minor"/>
      </rPr>
      <t xml:space="preserve">subtab, select one or more appropriate expense account(s) to allocate into. This account should have some expenses already present for the selected period. 
7. Click </t>
    </r>
    <r>
      <rPr>
        <b/>
        <sz val="10"/>
        <color theme="1"/>
        <rFont val="Calibri"/>
        <family val="2"/>
        <scheme val="minor"/>
      </rPr>
      <t xml:space="preserve">Save. </t>
    </r>
    <r>
      <rPr>
        <sz val="10"/>
        <color theme="1"/>
        <rFont val="Calibri"/>
        <family val="2"/>
        <scheme val="minor"/>
      </rPr>
      <t xml:space="preserve">
</t>
    </r>
  </si>
  <si>
    <t xml:space="preserve">1. Allocation Schedule should be setup correctly for the headcount dynamic allocation. </t>
  </si>
  <si>
    <t>Set up Fixed Allocation Schedule</t>
  </si>
  <si>
    <r>
      <t xml:space="preserve">1. Navgiate to Transactions &gt; Financial &gt; Create Allocation Schedule
2. Enter a </t>
    </r>
    <r>
      <rPr>
        <b/>
        <sz val="10"/>
        <color theme="1"/>
        <rFont val="Calibri"/>
        <family val="2"/>
        <scheme val="minor"/>
      </rPr>
      <t xml:space="preserve">Name, Subsidiary, and Frequency </t>
    </r>
    <r>
      <rPr>
        <sz val="10"/>
        <color theme="1"/>
        <rFont val="Calibri"/>
        <family val="2"/>
        <scheme val="minor"/>
      </rPr>
      <t xml:space="preserve">for this Allocation Schedule. Set </t>
    </r>
    <r>
      <rPr>
        <b/>
        <sz val="10"/>
        <color theme="1"/>
        <rFont val="Calibri"/>
        <family val="2"/>
        <scheme val="minor"/>
      </rPr>
      <t>Next Date</t>
    </r>
    <r>
      <rPr>
        <sz val="10"/>
        <color theme="1"/>
        <rFont val="Calibri"/>
        <family val="2"/>
        <scheme val="minor"/>
      </rPr>
      <t xml:space="preserve"> = Today
3. Set </t>
    </r>
    <r>
      <rPr>
        <b/>
        <sz val="10"/>
        <color theme="1"/>
        <rFont val="Calibri"/>
        <family val="2"/>
        <scheme val="minor"/>
      </rPr>
      <t xml:space="preserve">Allocation Mode </t>
    </r>
    <r>
      <rPr>
        <sz val="10"/>
        <color theme="1"/>
        <rFont val="Calibri"/>
        <family val="2"/>
        <scheme val="minor"/>
      </rPr>
      <t xml:space="preserve">to Dynamic Allocation
4. Under </t>
    </r>
    <r>
      <rPr>
        <b/>
        <sz val="10"/>
        <color theme="1"/>
        <rFont val="Calibri"/>
        <family val="2"/>
        <scheme val="minor"/>
      </rPr>
      <t>Dynamic Allocation</t>
    </r>
    <r>
      <rPr>
        <sz val="10"/>
        <color theme="1"/>
        <rFont val="Calibri"/>
        <family val="2"/>
        <scheme val="minor"/>
      </rPr>
      <t xml:space="preserve">, set the </t>
    </r>
    <r>
      <rPr>
        <b/>
        <sz val="10"/>
        <color theme="1"/>
        <rFont val="Calibri"/>
        <family val="2"/>
        <scheme val="minor"/>
      </rPr>
      <t>Weight Source</t>
    </r>
    <r>
      <rPr>
        <sz val="10"/>
        <color theme="1"/>
        <rFont val="Calibri"/>
        <family val="2"/>
        <scheme val="minor"/>
      </rPr>
      <t xml:space="preserve"> field as 9952 Headcount and the </t>
    </r>
    <r>
      <rPr>
        <b/>
        <sz val="10"/>
        <color theme="1"/>
        <rFont val="Calibri"/>
        <family val="2"/>
        <scheme val="minor"/>
      </rPr>
      <t>Date Basis</t>
    </r>
    <r>
      <rPr>
        <sz val="10"/>
        <color theme="1"/>
        <rFont val="Calibri"/>
        <family val="2"/>
        <scheme val="minor"/>
      </rPr>
      <t xml:space="preserve"> as Year to Date. 
5. Verify that the </t>
    </r>
    <r>
      <rPr>
        <b/>
        <sz val="10"/>
        <color theme="1"/>
        <rFont val="Calibri"/>
        <family val="2"/>
        <scheme val="minor"/>
      </rPr>
      <t xml:space="preserve">Unit Type </t>
    </r>
    <r>
      <rPr>
        <sz val="10"/>
        <color theme="1"/>
        <rFont val="Calibri"/>
        <family val="2"/>
        <scheme val="minor"/>
      </rPr>
      <t xml:space="preserve"> = People and the </t>
    </r>
    <r>
      <rPr>
        <b/>
        <sz val="10"/>
        <color theme="1"/>
        <rFont val="Calibri"/>
        <family val="2"/>
        <scheme val="minor"/>
      </rPr>
      <t xml:space="preserve">Unit of Measure </t>
    </r>
    <r>
      <rPr>
        <sz val="10"/>
        <color theme="1"/>
        <rFont val="Calibri"/>
        <family val="2"/>
        <scheme val="minor"/>
      </rPr>
      <t xml:space="preserve"> = Headcount
6. In the </t>
    </r>
    <r>
      <rPr>
        <b/>
        <sz val="10"/>
        <color theme="1"/>
        <rFont val="Calibri"/>
        <family val="2"/>
        <scheme val="minor"/>
      </rPr>
      <t>Source</t>
    </r>
    <r>
      <rPr>
        <sz val="10"/>
        <color theme="1"/>
        <rFont val="Calibri"/>
        <family val="2"/>
        <scheme val="minor"/>
      </rPr>
      <t xml:space="preserve"> subtab, select an appropriate expense account to allocate from. This account should have some expenses already present for the selected period. 
7. In the </t>
    </r>
    <r>
      <rPr>
        <b/>
        <sz val="10"/>
        <color theme="1"/>
        <rFont val="Calibri"/>
        <family val="2"/>
        <scheme val="minor"/>
      </rPr>
      <t xml:space="preserve">Destination </t>
    </r>
    <r>
      <rPr>
        <sz val="10"/>
        <color theme="1"/>
        <rFont val="Calibri"/>
        <family val="2"/>
        <scheme val="minor"/>
      </rPr>
      <t xml:space="preserve">subtab, select one or more appropriate expense account(s) to allocate into. This account should have some expenses already present for the selected period. 
8. Click </t>
    </r>
    <r>
      <rPr>
        <b/>
        <sz val="10"/>
        <color theme="1"/>
        <rFont val="Calibri"/>
        <family val="2"/>
        <scheme val="minor"/>
      </rPr>
      <t>Save</t>
    </r>
    <r>
      <rPr>
        <sz val="10"/>
        <color theme="1"/>
        <rFont val="Calibri"/>
        <family val="2"/>
        <scheme val="minor"/>
      </rPr>
      <t xml:space="preserve">.
</t>
    </r>
  </si>
  <si>
    <t xml:space="preserve">1. Allocation Schedule should be setup correctly for the fixed allocation. </t>
  </si>
  <si>
    <t>Create Allocation JE</t>
  </si>
  <si>
    <r>
      <t xml:space="preserve">1. While on the completed Allocation Schedule page that you just completed in Step 2, click </t>
    </r>
    <r>
      <rPr>
        <b/>
        <sz val="10"/>
        <color theme="1"/>
        <rFont val="Calibri"/>
        <family val="2"/>
        <scheme val="minor"/>
      </rPr>
      <t>Create Journal Entry</t>
    </r>
    <r>
      <rPr>
        <sz val="10"/>
        <color theme="1"/>
        <rFont val="Calibri"/>
        <family val="2"/>
        <scheme val="minor"/>
      </rPr>
      <t xml:space="preserve">.
2. Journal should open in view mode. 
3. Click </t>
    </r>
    <r>
      <rPr>
        <b/>
        <sz val="10"/>
        <color theme="1"/>
        <rFont val="Calibri"/>
        <family val="2"/>
        <scheme val="minor"/>
      </rPr>
      <t>Edit</t>
    </r>
    <r>
      <rPr>
        <sz val="10"/>
        <color theme="1"/>
        <rFont val="Calibri"/>
        <family val="2"/>
        <scheme val="minor"/>
      </rPr>
      <t xml:space="preserve">
4. Verify that JE is correct and click </t>
    </r>
    <r>
      <rPr>
        <b/>
        <sz val="10"/>
        <color theme="1"/>
        <rFont val="Calibri"/>
        <family val="2"/>
        <scheme val="minor"/>
      </rPr>
      <t xml:space="preserve">Save. 
</t>
    </r>
    <r>
      <rPr>
        <sz val="10"/>
        <color theme="1"/>
        <rFont val="Calibri"/>
        <family val="2"/>
        <scheme val="minor"/>
      </rPr>
      <t xml:space="preserve">5. Repeat for first Allocation Schedule that was created in Step 1.
</t>
    </r>
  </si>
  <si>
    <r>
      <t xml:space="preserve">1. Navgiate to </t>
    </r>
    <r>
      <rPr>
        <b/>
        <sz val="10"/>
        <color theme="1"/>
        <rFont val="Calibri"/>
        <family val="2"/>
        <scheme val="minor"/>
      </rPr>
      <t xml:space="preserve">Reports &gt; Financial &gt; General Ledger. 
</t>
    </r>
    <r>
      <rPr>
        <sz val="10"/>
        <color theme="1"/>
        <rFont val="Calibri"/>
        <family val="2"/>
        <scheme val="minor"/>
      </rPr>
      <t xml:space="preserve">2. Scroll down to the appropriate accounts that you selected in step 1 and step 2 and verify that the expenses were allocated correctly. </t>
    </r>
  </si>
  <si>
    <t>Review configured Amortization Templates; Manually set up new Amortization Template</t>
  </si>
  <si>
    <t>Review Configured Templates/Schedule</t>
  </si>
  <si>
    <r>
      <t xml:space="preserve">1. Navigate to </t>
    </r>
    <r>
      <rPr>
        <b/>
        <sz val="10"/>
        <color theme="1"/>
        <rFont val="Calibri"/>
        <family val="2"/>
        <scheme val="minor"/>
      </rPr>
      <t>Lists&gt; Accounting &gt; Amortization Templates.</t>
    </r>
    <r>
      <rPr>
        <sz val="10"/>
        <color theme="1"/>
        <rFont val="Calibri"/>
        <family val="2"/>
        <scheme val="minor"/>
      </rPr>
      <t xml:space="preserve">
2. Review list of Amortization templates and ensure no amortization scenario is missing.
3. For each Amortization template, Select "View" to review the template setup.
     3a. Ensure for each scenario, the correct Deferral account, Contra Account and target Account is selected.
     3b. Ensure the correct Amortization Period is populated and, if necessary, the proper period offset is populated.
</t>
    </r>
  </si>
  <si>
    <t>1. List of Amortization templates encompassess all required scenarios discussed during personalization sessions.
2. For each template, the correct accounts and periods are populated.</t>
  </si>
  <si>
    <t>Create New Amortization Template</t>
  </si>
  <si>
    <t>Create New Amortization Template / Schedule</t>
  </si>
  <si>
    <r>
      <t xml:space="preserve">1. Navigate to </t>
    </r>
    <r>
      <rPr>
        <b/>
        <sz val="10"/>
        <color theme="1"/>
        <rFont val="Calibri"/>
        <family val="2"/>
        <scheme val="minor"/>
      </rPr>
      <t xml:space="preserve">Lists&gt; Accounting &gt; Amortization Templates.
</t>
    </r>
    <r>
      <rPr>
        <sz val="10"/>
        <color theme="1"/>
        <rFont val="Calibri"/>
        <family val="2"/>
        <scheme val="minor"/>
      </rPr>
      <t xml:space="preserve">2. Click </t>
    </r>
    <r>
      <rPr>
        <b/>
        <sz val="10"/>
        <color theme="1"/>
        <rFont val="Calibri"/>
        <family val="2"/>
        <scheme val="minor"/>
      </rPr>
      <t>New Amortization Templates</t>
    </r>
    <r>
      <rPr>
        <sz val="10"/>
        <color theme="1"/>
        <rFont val="Calibri"/>
        <family val="2"/>
        <scheme val="minor"/>
      </rPr>
      <t xml:space="preserve">
2. Enter "</t>
    </r>
    <r>
      <rPr>
        <b/>
        <sz val="10"/>
        <color theme="1"/>
        <rFont val="Calibri"/>
        <family val="2"/>
        <scheme val="minor"/>
      </rPr>
      <t>12 month SL Amortization</t>
    </r>
    <r>
      <rPr>
        <sz val="10"/>
        <color theme="1"/>
        <rFont val="Calibri"/>
        <family val="2"/>
        <scheme val="minor"/>
      </rPr>
      <t>" as the name for the amortization template 
3. Enter "</t>
    </r>
    <r>
      <rPr>
        <b/>
        <sz val="10"/>
        <color theme="1"/>
        <rFont val="Calibri"/>
        <family val="2"/>
        <scheme val="minor"/>
      </rPr>
      <t>12</t>
    </r>
    <r>
      <rPr>
        <sz val="10"/>
        <color theme="1"/>
        <rFont val="Calibri"/>
        <family val="2"/>
        <scheme val="minor"/>
      </rPr>
      <t>"  for the Amortization Period. This will set the expense to amortize over 2 months. Leave all other fields blank. 
4. Click "Save"</t>
    </r>
  </si>
  <si>
    <r>
      <t xml:space="preserve">1. Navigate to </t>
    </r>
    <r>
      <rPr>
        <b/>
        <sz val="10"/>
        <color theme="1"/>
        <rFont val="Calibri"/>
        <family val="2"/>
        <scheme val="minor"/>
      </rPr>
      <t xml:space="preserve">Lists&gt; Accounting &gt; Amortization Templates. </t>
    </r>
    <r>
      <rPr>
        <sz val="10"/>
        <color theme="1"/>
        <rFont val="Calibri"/>
        <family val="2"/>
        <scheme val="minor"/>
      </rPr>
      <t xml:space="preserve">"2 month SL Amortization" template is shown as an available template.
</t>
    </r>
  </si>
  <si>
    <t xml:space="preserve">Create intercompany purchase order and sales order. Then receive and bill the items. </t>
  </si>
  <si>
    <t>Create Matching Intercompany Sales and Purchase Orders</t>
  </si>
  <si>
    <t>Accounting Manager - UK</t>
  </si>
  <si>
    <t>Enter Purchase Order</t>
  </si>
  <si>
    <r>
      <t xml:space="preserve">1. Home Dashboard &gt; Vendors &gt; Purchases &gt; Enter Purchase Orders
2. In the header section of the new Purchase Order page enter the following:
     - </t>
    </r>
    <r>
      <rPr>
        <b/>
        <sz val="10"/>
        <color theme="1"/>
        <rFont val="Calibri"/>
        <family val="2"/>
        <scheme val="minor"/>
      </rPr>
      <t>Vendor:</t>
    </r>
    <r>
      <rPr>
        <sz val="10"/>
        <color theme="1"/>
        <rFont val="Calibri"/>
        <family val="2"/>
        <scheme val="minor"/>
      </rPr>
      <t xml:space="preserve"> Use Intercompany vendor
     - </t>
    </r>
    <r>
      <rPr>
        <b/>
        <sz val="10"/>
        <color theme="1"/>
        <rFont val="Calibri"/>
        <family val="2"/>
        <scheme val="minor"/>
      </rPr>
      <t>Location:</t>
    </r>
    <r>
      <rPr>
        <sz val="10"/>
        <color theme="1"/>
        <rFont val="Calibri"/>
        <family val="2"/>
        <scheme val="minor"/>
      </rPr>
      <t xml:space="preserve"> Select location where items will be received. 
3. On the </t>
    </r>
    <r>
      <rPr>
        <b/>
        <sz val="10"/>
        <color theme="1"/>
        <rFont val="Calibri"/>
        <family val="2"/>
        <scheme val="minor"/>
      </rPr>
      <t>Items</t>
    </r>
    <r>
      <rPr>
        <sz val="10"/>
        <color theme="1"/>
        <rFont val="Calibri"/>
        <family val="2"/>
        <scheme val="minor"/>
      </rPr>
      <t xml:space="preserve"> tab, select any intercompany (cross-sub) item and enter </t>
    </r>
    <r>
      <rPr>
        <b/>
        <sz val="10"/>
        <color theme="1"/>
        <rFont val="Calibri"/>
        <family val="2"/>
        <scheme val="minor"/>
      </rPr>
      <t>Quantity = 10</t>
    </r>
    <r>
      <rPr>
        <sz val="10"/>
        <color theme="1"/>
        <rFont val="Calibri"/>
        <family val="2"/>
        <scheme val="minor"/>
      </rPr>
      <t xml:space="preserve">. Click the </t>
    </r>
    <r>
      <rPr>
        <b/>
        <sz val="10"/>
        <color theme="1"/>
        <rFont val="Calibri"/>
        <family val="2"/>
        <scheme val="minor"/>
      </rPr>
      <t>Add</t>
    </r>
    <r>
      <rPr>
        <sz val="10"/>
        <color theme="1"/>
        <rFont val="Calibri"/>
        <family val="2"/>
        <scheme val="minor"/>
      </rPr>
      <t xml:space="preserve"> button on the line.
4. Click </t>
    </r>
    <r>
      <rPr>
        <b/>
        <sz val="10"/>
        <color theme="1"/>
        <rFont val="Calibri"/>
        <family val="2"/>
        <scheme val="minor"/>
      </rPr>
      <t>Save.</t>
    </r>
  </si>
  <si>
    <r>
      <t xml:space="preserve">1. Transaction successfully </t>
    </r>
    <r>
      <rPr>
        <b/>
        <sz val="10"/>
        <color theme="1"/>
        <rFont val="Calibri"/>
        <family val="2"/>
        <scheme val="minor"/>
      </rPr>
      <t>Saved.</t>
    </r>
    <r>
      <rPr>
        <sz val="10"/>
        <color theme="1"/>
        <rFont val="Calibri"/>
        <family val="2"/>
        <scheme val="minor"/>
      </rPr>
      <t xml:space="preserve">
2. Purchase Order status is </t>
    </r>
    <r>
      <rPr>
        <b/>
        <sz val="10"/>
        <color theme="1"/>
        <rFont val="Calibri"/>
        <family val="2"/>
        <scheme val="minor"/>
      </rPr>
      <t>Pending Approval.</t>
    </r>
  </si>
  <si>
    <t>Approve Purchase Order</t>
  </si>
  <si>
    <r>
      <t xml:space="preserve">1. Home Dashboard &gt; Transactions &gt; Sales &gt; Manage Intercompany Sales Orders
2. Select the appropriate </t>
    </r>
    <r>
      <rPr>
        <b/>
        <sz val="10"/>
        <color theme="1"/>
        <rFont val="Calibri"/>
        <family val="2"/>
        <scheme val="minor"/>
      </rPr>
      <t>Customer</t>
    </r>
    <r>
      <rPr>
        <sz val="10"/>
        <color theme="1"/>
        <rFont val="Calibri"/>
        <family val="2"/>
        <scheme val="minor"/>
      </rPr>
      <t xml:space="preserve">, </t>
    </r>
    <r>
      <rPr>
        <b/>
        <sz val="10"/>
        <color theme="1"/>
        <rFont val="Calibri"/>
        <family val="2"/>
        <scheme val="minor"/>
      </rPr>
      <t xml:space="preserve">Currency, Class, Department, and Location </t>
    </r>
    <r>
      <rPr>
        <sz val="10"/>
        <color theme="1"/>
        <rFont val="Calibri"/>
        <family val="2"/>
        <scheme val="minor"/>
      </rPr>
      <t xml:space="preserve">(if applicable) as the Purchase Order created in the previous step. 
3. In the sublist, click on the Purchase Order that was created in step 1. 
4. Click </t>
    </r>
    <r>
      <rPr>
        <b/>
        <sz val="10"/>
        <color theme="1"/>
        <rFont val="Calibri"/>
        <family val="2"/>
        <scheme val="minor"/>
      </rPr>
      <t>Approve</t>
    </r>
    <r>
      <rPr>
        <sz val="10"/>
        <color theme="1"/>
        <rFont val="Calibri"/>
        <family val="2"/>
        <scheme val="minor"/>
      </rPr>
      <t xml:space="preserve"> on Purchase Order</t>
    </r>
  </si>
  <si>
    <r>
      <t xml:space="preserve">1. Purchase Order should have status of </t>
    </r>
    <r>
      <rPr>
        <b/>
        <sz val="10"/>
        <color theme="1"/>
        <rFont val="Calibri"/>
        <family val="2"/>
        <scheme val="minor"/>
      </rPr>
      <t xml:space="preserve">Pending Receipt. </t>
    </r>
    <r>
      <rPr>
        <sz val="10"/>
        <color theme="1"/>
        <rFont val="Calibri"/>
        <family val="2"/>
        <scheme val="minor"/>
      </rPr>
      <t xml:space="preserve"> </t>
    </r>
  </si>
  <si>
    <t>Accounting Manager - US</t>
  </si>
  <si>
    <t>Create Sales Order</t>
  </si>
  <si>
    <r>
      <t xml:space="preserve">1. Home Dashboard &gt; Transactions &gt; Sales &gt; Manage Intercompany Sales Orders
2. Select the appropriate </t>
    </r>
    <r>
      <rPr>
        <b/>
        <sz val="10"/>
        <color theme="1"/>
        <rFont val="Calibri"/>
        <family val="2"/>
        <scheme val="minor"/>
      </rPr>
      <t>Customer</t>
    </r>
    <r>
      <rPr>
        <sz val="10"/>
        <color theme="1"/>
        <rFont val="Calibri"/>
        <family val="2"/>
        <scheme val="minor"/>
      </rPr>
      <t xml:space="preserve">, </t>
    </r>
    <r>
      <rPr>
        <b/>
        <sz val="10"/>
        <color theme="1"/>
        <rFont val="Calibri"/>
        <family val="2"/>
        <scheme val="minor"/>
      </rPr>
      <t xml:space="preserve">Currency, Class, Department, and Location </t>
    </r>
    <r>
      <rPr>
        <sz val="10"/>
        <color theme="1"/>
        <rFont val="Calibri"/>
        <family val="2"/>
        <scheme val="minor"/>
      </rPr>
      <t xml:space="preserve">(if applicable) as the Purchase Order created in the previous step. 
3. In the sublist, select the Purchase Order that was created in step 1. 
4. Click </t>
    </r>
    <r>
      <rPr>
        <b/>
        <sz val="10"/>
        <color theme="1"/>
        <rFont val="Calibri"/>
        <family val="2"/>
        <scheme val="minor"/>
      </rPr>
      <t>Generate Sales Order.</t>
    </r>
  </si>
  <si>
    <r>
      <t xml:space="preserve">1. Sales order should show as processed.
2. Status of </t>
    </r>
    <r>
      <rPr>
        <b/>
        <sz val="10"/>
        <color theme="1"/>
        <rFont val="Calibri"/>
        <family val="2"/>
        <scheme val="minor"/>
      </rPr>
      <t>Paired Sales Order</t>
    </r>
    <r>
      <rPr>
        <sz val="10"/>
        <color theme="1"/>
        <rFont val="Calibri"/>
        <family val="2"/>
        <scheme val="minor"/>
      </rPr>
      <t xml:space="preserve"> should be </t>
    </r>
    <r>
      <rPr>
        <b/>
        <sz val="10"/>
        <color theme="1"/>
        <rFont val="Calibri"/>
        <family val="2"/>
        <scheme val="minor"/>
      </rPr>
      <t xml:space="preserve">Succeeded. </t>
    </r>
  </si>
  <si>
    <t>Generate Invoice</t>
  </si>
  <si>
    <r>
      <t>1. On Sales Order record thatw as just created,</t>
    </r>
    <r>
      <rPr>
        <b/>
        <sz val="10"/>
        <color theme="1"/>
        <rFont val="Calibri"/>
        <family val="2"/>
        <scheme val="minor"/>
      </rPr>
      <t xml:space="preserve"> </t>
    </r>
    <r>
      <rPr>
        <sz val="10"/>
        <color theme="1"/>
        <rFont val="Calibri"/>
        <family val="2"/>
        <scheme val="minor"/>
      </rPr>
      <t xml:space="preserve">click </t>
    </r>
    <r>
      <rPr>
        <b/>
        <sz val="10"/>
        <color theme="1"/>
        <rFont val="Calibri"/>
        <family val="2"/>
        <scheme val="minor"/>
      </rPr>
      <t xml:space="preserve">Invoice. 
</t>
    </r>
    <r>
      <rPr>
        <sz val="10"/>
        <color theme="1"/>
        <rFont val="Calibri"/>
        <family val="2"/>
        <scheme val="minor"/>
      </rPr>
      <t xml:space="preserve">2. On Invoice record, click </t>
    </r>
    <r>
      <rPr>
        <b/>
        <sz val="10"/>
        <color theme="1"/>
        <rFont val="Calibri"/>
        <family val="2"/>
        <scheme val="minor"/>
      </rPr>
      <t xml:space="preserve">Save. </t>
    </r>
  </si>
  <si>
    <r>
      <t xml:space="preserve">1. Invoice should have status of </t>
    </r>
    <r>
      <rPr>
        <b/>
        <sz val="10"/>
        <color theme="1"/>
        <rFont val="Calibri"/>
        <family val="2"/>
        <scheme val="minor"/>
      </rPr>
      <t xml:space="preserve">Open. </t>
    </r>
  </si>
  <si>
    <t>Generate Vendor Bill</t>
  </si>
  <si>
    <r>
      <t xml:space="preserve">1. Navigate to </t>
    </r>
    <r>
      <rPr>
        <b/>
        <sz val="10"/>
        <color theme="1"/>
        <rFont val="Calibri"/>
        <family val="2"/>
        <scheme val="minor"/>
      </rPr>
      <t xml:space="preserve">Vendors &gt; Purchases &gt; Enter Purchase Orders &gt; List
</t>
    </r>
    <r>
      <rPr>
        <sz val="10"/>
        <color theme="1"/>
        <rFont val="Calibri"/>
        <family val="2"/>
        <scheme val="minor"/>
      </rPr>
      <t xml:space="preserve">2. Click on the Intercompany Purchase Order created in step 1
3. Click </t>
    </r>
    <r>
      <rPr>
        <b/>
        <sz val="10"/>
        <color theme="1"/>
        <rFont val="Calibri"/>
        <family val="2"/>
        <scheme val="minor"/>
      </rPr>
      <t>Bill</t>
    </r>
    <r>
      <rPr>
        <sz val="10"/>
        <color theme="1"/>
        <rFont val="Calibri"/>
        <family val="2"/>
        <scheme val="minor"/>
      </rPr>
      <t xml:space="preserve">.
4. Click </t>
    </r>
    <r>
      <rPr>
        <b/>
        <sz val="10"/>
        <color theme="1"/>
        <rFont val="Calibri"/>
        <family val="2"/>
        <scheme val="minor"/>
      </rPr>
      <t>Save</t>
    </r>
    <r>
      <rPr>
        <sz val="10"/>
        <color theme="1"/>
        <rFont val="Calibri"/>
        <family val="2"/>
        <scheme val="minor"/>
      </rPr>
      <t xml:space="preserve"> on Vendor Bill record. </t>
    </r>
  </si>
  <si>
    <r>
      <t xml:space="preserve">1. Purchase Order should have status of </t>
    </r>
    <r>
      <rPr>
        <b/>
        <sz val="10"/>
        <color theme="1"/>
        <rFont val="Calibri"/>
        <family val="2"/>
        <scheme val="minor"/>
      </rPr>
      <t xml:space="preserve">Fully Billed. </t>
    </r>
    <r>
      <rPr>
        <sz val="10"/>
        <color theme="1"/>
        <rFont val="Calibri"/>
        <family val="2"/>
        <scheme val="minor"/>
      </rPr>
      <t xml:space="preserve">
2. Vendor Bill should have status of </t>
    </r>
    <r>
      <rPr>
        <b/>
        <sz val="10"/>
        <color theme="1"/>
        <rFont val="Calibri"/>
        <family val="2"/>
        <scheme val="minor"/>
      </rPr>
      <t xml:space="preserve">Open. </t>
    </r>
  </si>
  <si>
    <t>Custom: &lt;Consultant to complete this section for exception Lead to Quote processes (i.e. script, workflow, or other custom process). Otherwise, DELETE this section.&gt;</t>
  </si>
  <si>
    <t>OTHER R2R CONSIDERATIONS - NOTE THE FOLLOWING COMMON ADD-ONS THAT WILL CHANGE THESE BASIC USE CASES: ADVANCED FINANCIALS (STATISTICAL ACCOUNTS &amp; JES, AMORTIZATION, ALLOCATION), INTERCOMPANY TRANSACTIONS, ETC.</t>
  </si>
  <si>
    <t>Manually create a Lead record and then create an Opportunity and Quote.</t>
  </si>
  <si>
    <t>Create and Manage Lead, Opportunity, Quote</t>
  </si>
  <si>
    <t>Sales</t>
  </si>
  <si>
    <t>Create Lead</t>
  </si>
  <si>
    <t>1. On the home dashboard page, click the Leads link under the Customer Relationship section of the Navigation Portlet; click New Lead button. 
Enter the following:
- Customer ID 
- Select Type = Company
- Company Name
- Select Sales Rep
- Email
2. Click Save.</t>
  </si>
  <si>
    <t>1. Lead successfully saved.
2. Able to edit Lead.</t>
  </si>
  <si>
    <r>
      <t xml:space="preserve">Include: </t>
    </r>
    <r>
      <rPr>
        <b/>
        <sz val="10"/>
        <color rgb="FFFF0000"/>
        <rFont val="Calibri"/>
        <family val="2"/>
        <scheme val="minor"/>
      </rPr>
      <t>Lead Id</t>
    </r>
  </si>
  <si>
    <t>Manage Lead</t>
  </si>
  <si>
    <t>1. Using recent records, edit the new Lead.
Enter the following:
- Add contact
- Add information about initial communications
2. Click Save.</t>
  </si>
  <si>
    <t>1. Updates successfully made and saved.</t>
  </si>
  <si>
    <t>Create Opportunity</t>
  </si>
  <si>
    <t>1. On the home dashboard page, click the Opportunities link under the Sales Transactions section of the Navigation Portlet. 
Enter the following:
- Company (select the Lead from Step 1)
- Add a line item to the Items tab either individual line or multiple items by clicking the Add Multiple button (select an item with Available quantity).
2. Click Save.</t>
  </si>
  <si>
    <t>1. Transaction successfully Saved.
2. Lead from Step 1 is converted to Prospect. 
  A) Return to dashboard and click on Leads - Lead is no longer there
  B) Return to dashboard and click on Prospects - Lead now appears as Prospect</t>
  </si>
  <si>
    <r>
      <t xml:space="preserve">Include: </t>
    </r>
    <r>
      <rPr>
        <b/>
        <sz val="10"/>
        <color rgb="FFFF0000"/>
        <rFont val="Calibri"/>
        <family val="2"/>
        <scheme val="minor"/>
      </rPr>
      <t>Opportunity Number</t>
    </r>
  </si>
  <si>
    <t>Create and Manage Quote</t>
  </si>
  <si>
    <t>1. From either the Opportunity list, turn on the In Line Edit or select Opportunity Review from the top menu, hover the mouse alongside the opportunity under the New column; select New Estimate.  
2. Click Save.</t>
  </si>
  <si>
    <t>1. Verify the correct Customer and Item information has been carried over.
2. Verify the opportunity status is changed to Issued Estimate.
3. Verify the estimate is now listed under Estimates.</t>
  </si>
  <si>
    <r>
      <t xml:space="preserve">Include: </t>
    </r>
    <r>
      <rPr>
        <b/>
        <sz val="10"/>
        <color rgb="FFFF0000"/>
        <rFont val="Calibri"/>
        <family val="2"/>
        <scheme val="minor"/>
      </rPr>
      <t>Quote Number</t>
    </r>
  </si>
  <si>
    <t>Manually enter an online lead and check that it has been created in the system.</t>
  </si>
  <si>
    <t>Create Online Lead</t>
  </si>
  <si>
    <t>Administrator 
(to access link)</t>
  </si>
  <si>
    <t>Enter Contact Us information</t>
  </si>
  <si>
    <t>1. Navigate to Setup &gt; Marketing &gt; Online Customer Forms and select Modern Online Lead Form. From the External tab, click on the Publishable Form URL link. Enter required information:
     - First Name
     - Last Name
     - Email
     - Company name
     - State
     - Zip
2. Click Submit Form.</t>
  </si>
  <si>
    <t>1. Form redirects to another web page.
2. Using Lists&gt;Relationships&gt;Lead, verify the Lead/Contact are added.
3. View Lead and verify the correct information was added.</t>
  </si>
  <si>
    <r>
      <t xml:space="preserve">Include: </t>
    </r>
    <r>
      <rPr>
        <b/>
        <sz val="10"/>
        <color rgb="FFFF0000"/>
        <rFont val="Calibri"/>
        <family val="2"/>
        <scheme val="minor"/>
      </rPr>
      <t>Lead Name</t>
    </r>
  </si>
  <si>
    <t>Create Quota for Sales Rep and validate against Forecast.</t>
  </si>
  <si>
    <t>Establish Quota</t>
  </si>
  <si>
    <t>Sales Manager</t>
  </si>
  <si>
    <t>Create Quota</t>
  </si>
  <si>
    <t>1. Navigate to Forecast &gt; Setup &gt; Establish Quotas. 
2. On the Quota page, select the Rep and then enter the Quota for each month.
NOTE: If using the same value for each month, then enter the January Amount and then click Fill Down to complete the remaining months.</t>
  </si>
  <si>
    <t>1. Quota is saved and appears in the list on the Quotas page.</t>
  </si>
  <si>
    <t>Validate Forecast vs. Quota</t>
  </si>
  <si>
    <t>1. Navigate to Forecast &gt; Reports &gt; Forecast vs. Quota. Select a time period for which a Quota was created and click Refresh (if necessary).</t>
  </si>
  <si>
    <t>1. Quota is reflected in the Forecast vs. Quota report for the Sales Rep.</t>
  </si>
  <si>
    <t>Manage Forecasts</t>
  </si>
  <si>
    <t>Manage Forecast</t>
  </si>
  <si>
    <t>1. Using Search feature at the top of the screen and using the quote # from above test, enter EST: and the estimate number (will require any leading characters before the number).
2. Select Edit next to the Estimate found.
3. Update the Estimate/forecast with expected close date and change status to negotiations.</t>
  </si>
  <si>
    <t>1. Estimate is found quickly.
2. Estimate is updated.
3. The % probability increased.</t>
  </si>
  <si>
    <t>Analyze Performance</t>
  </si>
  <si>
    <t>Forecast vs Quota</t>
  </si>
  <si>
    <t>1. Navigate to Forecast&gt;Reports&gt;Forecast vs Quota.
2. Review report; change date information at bottom of screen and refresh.
3. Note other icons and their functionality on the lower right of the report screen.</t>
  </si>
  <si>
    <t>1. Successful run of report and changes.
2. Understand use of report for analysis purposes.
3. Understand additional functionality available.</t>
  </si>
  <si>
    <t>Forecast by Sales Rep</t>
  </si>
  <si>
    <t>1. Navigate to Forecast&gt;Reports&gt;Forecast by Sales Rep.
2. Review report; change date information at bottom of screen and refresh.
3. Review other reports to determine needs of your business.</t>
  </si>
  <si>
    <t>1. Successful run of report and changes.
2. Understand use of report for analysis purposes.</t>
  </si>
  <si>
    <t>Manually convert Quote into a Sales Order, ship order, invoice, and accept customer payment.</t>
  </si>
  <si>
    <t>Create Sales Order, Fulfill, Invoice</t>
  </si>
  <si>
    <t>Finance</t>
  </si>
  <si>
    <t>Validate Taxes are setup</t>
  </si>
  <si>
    <t>Verify or setup the following taxes for testing as appropriate for your business:
-Tax Agencies
-Tax Nexus'
-Tax Control Accounts
-Tax Types
-Tax Codes
-Tax Schedules</t>
  </si>
  <si>
    <t>1. Sales taxes are setup properly for testing during Order to Cash.</t>
  </si>
  <si>
    <t>Update Quote</t>
  </si>
  <si>
    <t>1. Navigate to Transactions &gt; Prepare Estimates &gt; List and click Edit next to an open Quote (status = Open).
2. From the Shipping tab, select a Shipping Carrier and Shipping method. Then, click the calculator button next to the Shipping Cost field to calculate the shipping cost.
3. Click Save.
4. Edit the customer to be taxable and have an appropriate address based upon the tax setup above.
NOTE: If possible, selecte a quote from Lead to Quote scenario L2Q01 with line items that have available inventory.</t>
  </si>
  <si>
    <t xml:space="preserve">1. Transaction successfully created, can be viewed and updated.
2. Sales tax is calculated properly and displays in the Summary box.
3. Shipping cost is properly calculated and reflected in the Summary box.
</t>
  </si>
  <si>
    <t>Convert Quote</t>
  </si>
  <si>
    <t>1. From the Quote record in the above step, click on the Sales Order button. Validate that the Quote information has been carried over to the Sales Order record.
2. Click Save.</t>
  </si>
  <si>
    <t>1. Transaction successfully updated.
2. Sales Order status is Pending Fulfillment.</t>
  </si>
  <si>
    <r>
      <t xml:space="preserve">Include: </t>
    </r>
    <r>
      <rPr>
        <b/>
        <sz val="10"/>
        <color rgb="FFFF0000"/>
        <rFont val="Calibri"/>
        <family val="2"/>
        <scheme val="minor"/>
      </rPr>
      <t>Sales Order Number</t>
    </r>
  </si>
  <si>
    <t>Pick Items</t>
  </si>
  <si>
    <t>1. Navigate to the Shipping tab and click on the Orders to Fulfill link in the Reminders portlet.
2. Locate the Sales Order and click Fulfill.
3. From the Item Fulfillment page, click Save.</t>
  </si>
  <si>
    <t>1. Transaction successfully saved.
2. Item Fulfillment status is Picked.</t>
  </si>
  <si>
    <t>Pack Items</t>
  </si>
  <si>
    <t>1. Navigate to the Shipping dashboard and click the Mark Orders Packed link from the Shipping Links portlet.
2. Click on the Date link for the Sales Order fulfillment from Step 3 to open the transaction record.
3. Click Mark Packed.</t>
  </si>
  <si>
    <t>1. Shipment successfully Packed.
2. Item Fulfillment status is Packed.</t>
  </si>
  <si>
    <t>Ship Items</t>
  </si>
  <si>
    <t>1. Navigate to the Shipping dashboard and click the Mark Orders Shipped link from the Shipping Links portlet.
2. Click on the Date link for the Sales Order fulfillment to open the transaction record.
3. Click Mark Shipped.</t>
  </si>
  <si>
    <t>1. Shipment succesfully Marked Shipped.
2. Item Fulfillment status is Shipped.
3. Shippin notification sent to Customer.
4. Sales Order status is Pending Billing.</t>
  </si>
  <si>
    <t>AR Analyst</t>
  </si>
  <si>
    <t>Invoice Order</t>
  </si>
  <si>
    <t>1. From the Home dashboard, click on the Sales Orders to Invoice reminder.
2. Locate the Sales Order from the list on the Bill Sales Order page and click the Invoice link.
3. On the Invoice page, validate the information and click Save &amp; Print.</t>
  </si>
  <si>
    <t>1. Invoice record is created.
2. Able to find, view, and update invoice.
3. Invoice PDF is created.</t>
  </si>
  <si>
    <r>
      <t xml:space="preserve">Include: </t>
    </r>
    <r>
      <rPr>
        <b/>
        <sz val="10"/>
        <color rgb="FFFF0000"/>
        <rFont val="Calibri"/>
        <family val="2"/>
        <scheme val="minor"/>
      </rPr>
      <t>Invoice Number</t>
    </r>
  </si>
  <si>
    <t>Step 8</t>
  </si>
  <si>
    <t>Process Payment</t>
  </si>
  <si>
    <t>1. Locate the Customer Invoice that was created earlier by typing the invoice number into the Global Search at the top of the page.
2. From the Invoice page, click the Accept Payment button.
3. On the Payment page, ensure that the Invoice is selected at the bottom of the page on the Apply subtab and the correct Payment amount is reflected.
4. Click Save.</t>
  </si>
  <si>
    <t>1. Transaction successfully Saved.
2. Payment record is Deposited.</t>
  </si>
  <si>
    <r>
      <t xml:space="preserve">Include: </t>
    </r>
    <r>
      <rPr>
        <b/>
        <sz val="10"/>
        <color rgb="FFFF0000"/>
        <rFont val="Calibri"/>
        <family val="2"/>
        <scheme val="minor"/>
      </rPr>
      <t>Payment Number</t>
    </r>
  </si>
  <si>
    <t>pass</t>
  </si>
  <si>
    <t>Enter Customer Deposit and Apply</t>
  </si>
  <si>
    <t>Enter and Apply Customer Deposit</t>
  </si>
  <si>
    <t>Record Customer Deposit: Customer Deposit Page</t>
  </si>
  <si>
    <t>1. Navigate to Transactions &gt; Customers &gt; Record Customer Deposits.
2. Enter/Select primary information:
   - Customer or Project
   - Payment Amount
   - Bank Account or Undep. Funds
   - Classifications
   - Payment Method
3. Click Save.</t>
  </si>
  <si>
    <t>1. Customer deposit is saved and can be viewed.
2. Validate GL Impact is accurate.</t>
  </si>
  <si>
    <r>
      <t xml:space="preserve">Include: </t>
    </r>
    <r>
      <rPr>
        <b/>
        <sz val="10"/>
        <color rgb="FFFF0000"/>
        <rFont val="Calibri"/>
        <family val="2"/>
        <scheme val="minor"/>
      </rPr>
      <t>Deposit Number</t>
    </r>
  </si>
  <si>
    <t>Alt 
Step 1</t>
  </si>
  <si>
    <t>Record Customer Deposit: Sales Order</t>
  </si>
  <si>
    <t>1. Upon saving the Sales Order, click the Create Deposit button.
2. Enter the appropriate information.
3. Click Save.
NOTE: Deposits created this way can only be applied to this order.  When you invoice this sales order, the reserved deposit is automatically applied.</t>
  </si>
  <si>
    <t>Apply Customer Deposit When Not Automatically Applied</t>
  </si>
  <si>
    <t>1. Navigate to Transactions &gt; Customers &gt; Record Customer Deposits &gt; List.
2. Click view next to the deposit to be applied.
3. Click apply on the customer deposit page.
4. Enter/Select required information and data pertaining to your business requirements.
5. Click the apply box next to the invoices you want to apply the deposit against (up to the total amount of the deposit).
6. Click save.</t>
  </si>
  <si>
    <t>1. Deposit is found.
2. Deposit is applied and invoice amount is reduced by amount applied.
3. Validate GL impact is accurate.</t>
  </si>
  <si>
    <r>
      <t xml:space="preserve">Include: </t>
    </r>
    <r>
      <rPr>
        <b/>
        <sz val="10"/>
        <color rgb="FFFF0000"/>
        <rFont val="Calibri"/>
        <family val="2"/>
        <scheme val="minor"/>
      </rPr>
      <t>Customer, Deposit, and</t>
    </r>
    <r>
      <rPr>
        <sz val="10"/>
        <color rgb="FFFF0000"/>
        <rFont val="Calibri"/>
        <family val="2"/>
        <scheme val="minor"/>
      </rPr>
      <t xml:space="preserve"> </t>
    </r>
    <r>
      <rPr>
        <b/>
        <sz val="10"/>
        <color rgb="FFFF0000"/>
        <rFont val="Calibri"/>
        <family val="2"/>
        <scheme val="minor"/>
      </rPr>
      <t>Invoice Number</t>
    </r>
  </si>
  <si>
    <t>Return to Credit: Customer Return - Credit</t>
  </si>
  <si>
    <t>Customer submits support case to return items. Item is received and credit applied</t>
  </si>
  <si>
    <t>Customer Return - Credit</t>
  </si>
  <si>
    <t>Customer Service</t>
  </si>
  <si>
    <t>Create Case</t>
  </si>
  <si>
    <t>1. From the home Dashboard, click New Case under Case Management on the Navigation Portlet.
2. Enter the following information:
     - Subject: Return for order in previous test  
     - Company (use company from Sales Order scenatio)
     - Item (select item from Sales Order scenario O2C01)
     - Invoice (select Invoice/Cash Sale record from previous test
     - Origin: Phone
     - Message (type a short message about the return for the Sales Rep to view)
3. Click Save.</t>
  </si>
  <si>
    <t>1. Case successfully created and able to be edited and viewed.</t>
  </si>
  <si>
    <r>
      <t xml:space="preserve">Include: </t>
    </r>
    <r>
      <rPr>
        <b/>
        <sz val="10"/>
        <color rgb="FFFF0000"/>
        <rFont val="Calibri"/>
        <family val="2"/>
        <scheme val="minor"/>
      </rPr>
      <t>Case Number</t>
    </r>
  </si>
  <si>
    <t>Create Return</t>
  </si>
  <si>
    <t>1. From the home Dashboard, click on 'Cases to Respond to' from the Reminders portlet.
2. View the case created above. Click on the Invoice/Cash Sale link in the Transaction field.
3. From the Invoice/Cash Sale record, review the record and then click the Aurhorize Return button.
4. On the new Return Authorization page, remove any line items that are not being returned leaving only the items and quantities being returned.
5. Click Save.</t>
  </si>
  <si>
    <t>1. Transaction successfully created.
2. Return Authorization status is Pending Approval.</t>
  </si>
  <si>
    <r>
      <t xml:space="preserve">Include: </t>
    </r>
    <r>
      <rPr>
        <b/>
        <sz val="10"/>
        <color rgb="FFFF0000"/>
        <rFont val="Calibri"/>
        <family val="2"/>
        <scheme val="minor"/>
      </rPr>
      <t>Return Authorization Number</t>
    </r>
  </si>
  <si>
    <t>Approve Return</t>
  </si>
  <si>
    <t>1. From the home Dashboard, click on 'Return Authorizations to Approve' from the Reminders portlet.
2. On the Approve Authorizations list, click the date field/link for the Return Authorization created in Step 2.
3. Review the Return Authorization and click the Approve Return button.</t>
  </si>
  <si>
    <t>1. Return Authorization successfully Approved.
2. Return Authorization status is Pending Receipt.</t>
  </si>
  <si>
    <t>Receive Items</t>
  </si>
  <si>
    <t>1. From the home Dashboard, click on 'Return Authorizations to Receive' from the Reminders portlet.
2. From the Receive Return Authorization list, click the date field/link for the Return Authorization created in Step 2 (Return Authorization page opens).
3. On the Return Authorization page, click the 'Receive' button.
4. On the Item Receipt page, review the record and, if necessary, adjust the Quantity and Location.
5. Click Save.</t>
  </si>
  <si>
    <t>1. Transaction successfully Saved.</t>
  </si>
  <si>
    <t>Contorller</t>
  </si>
  <si>
    <t>Credit Return</t>
  </si>
  <si>
    <t>1. On the home Dashboard, click 'Return Authorizations to Refund' from the Reminders portlet.
2. From the Refund Return Authorization list, click the date field/link for the Return Authorization created in Step 2 (Return Authorization page opens).
3. Review the Return Authorization to verify that the line item has been returned (Returned column) and then click the 'Refund' button (Credit Memo page opens).
4. Review the Credit Memo and click Save.</t>
  </si>
  <si>
    <t>1. Transaction successfully Saved.
2. Credit Memo status is Open.</t>
  </si>
  <si>
    <r>
      <t xml:space="preserve">Include: </t>
    </r>
    <r>
      <rPr>
        <b/>
        <sz val="10"/>
        <color rgb="FFFF0000"/>
        <rFont val="Calibri"/>
        <family val="2"/>
        <scheme val="minor"/>
      </rPr>
      <t>Credit Memo Number</t>
    </r>
  </si>
  <si>
    <t>Refund Customer</t>
  </si>
  <si>
    <t>1. On the Credit Memo page from Step 5, click the 'Refund' button (Customer Refund page opens).
2. On the Customer Refund page, click on the Refund Method tab and select Refund Method = Check.
3. Click Save.</t>
  </si>
  <si>
    <r>
      <t xml:space="preserve">Include: </t>
    </r>
    <r>
      <rPr>
        <b/>
        <sz val="10"/>
        <color rgb="FFFF0000"/>
        <rFont val="Calibri"/>
        <family val="2"/>
        <scheme val="minor"/>
      </rPr>
      <t>Customer Refund Number</t>
    </r>
  </si>
  <si>
    <t>Return to Credit: Customer Return - Replace</t>
  </si>
  <si>
    <t>Customer submits support case to return items. Item is received and new Sales Order is created for replacement.</t>
  </si>
  <si>
    <t>Customer Return - Replace</t>
  </si>
  <si>
    <t>1. From the home Dashboard, click New Case under Case Management on the Navigation Portlet.
2. Enter the following information:
     - Company (use company from earlier sale 
     - Subject: Return for earlier test scenario
     - Item (select item from earlier test
     - Invoice (select Invoice/Cash Sale record in earlier test)
     - Origin: Phone
     - Type: Damaged/Replace
     - Message (type a short message about the return for the Sales Rep to view)
3. Click Save.</t>
  </si>
  <si>
    <t>1. Case successfully created, can be viewed and updated.</t>
  </si>
  <si>
    <t>1. From the home Dashboard, click on 'Cases to Respond to' from the Reminders portlet.
2. View the case created earlier. Click on the Invoice/Cash Sale link in the Transaction field.
3. From the Invoice/Cash Sale record, review the record and then click the Aurhorize Return button.
4. On the new Return Authorization page select 'Received Damaged' under Reason for Return and remove any line items that are not being returned leaving only the items and quantities being returned.
5. Click Save.</t>
  </si>
  <si>
    <t>1. Transaction successfully created, can be viewed and edited.
2. Return Authorization status is Pending Approval.</t>
  </si>
  <si>
    <t>1. From the home Dashboard, click on 'Return Authorizations to Receive' from the Reminders portlet.
2. From the Receive Return Authorization list, click the date field/link for the Return Authorization created earlier (Return Authorization page opens).
3. On the Return Authorization page, click the 'Receive' button.
4. On the Item Receipt page, review the record and, if necessary, adjust the Quantity and Location.
5. Click Save.</t>
  </si>
  <si>
    <r>
      <t xml:space="preserve">1. On the home Dashboard, click 'Return Authorizations to Refund' from the Reminders portlet.
2. From the Refund Return Authorization list, open the Return Authorization created earlier (Return Authorization page opens).
</t>
    </r>
    <r>
      <rPr>
        <sz val="10"/>
        <color rgb="FFFF0000"/>
        <rFont val="Calibri"/>
        <family val="2"/>
        <scheme val="minor"/>
      </rPr>
      <t xml:space="preserve">
</t>
    </r>
    <r>
      <rPr>
        <sz val="10"/>
        <rFont val="Calibri"/>
        <family val="2"/>
        <scheme val="minor"/>
      </rPr>
      <t>3. Verify that the Return requires a replacement by checking that Reason for Return = Received Damaged, then click the Refund button to create a new Credit Memo.</t>
    </r>
    <r>
      <rPr>
        <sz val="10"/>
        <color theme="1"/>
        <rFont val="Calibri"/>
        <family val="2"/>
        <scheme val="minor"/>
      </rPr>
      <t xml:space="preserve">
4. Review the Credit Memo and click Save.</t>
    </r>
  </si>
  <si>
    <t>Create Replacement Order</t>
  </si>
  <si>
    <t>1. From the home Dashboard, click on 'Replacement Orders to enter' from the Reminders portlet. The list displays all Return Authorizations that require a replacement order.
2. From the Return Authorization list, open the Return Authorization created in Step 2 (Return Authorization page opens).
3. Review Return Authorization line items, including quantity and price. Then, create a new replacement Sales Order for the customer. Item, quantity and price should match the item that was returned.
3. Click Save.</t>
  </si>
  <si>
    <t>1. Transaction successfully Saved.
2. Sales Order status is Pending Fulfillment.</t>
  </si>
  <si>
    <t>1. Navigate to the Shipping tab and click on the Orders to Fulfill link in the Reminders portlet.
2. Locate the Sales Order from Step 6 and click Fulfill.
3. From the Item Fulfillment page, click Save.</t>
  </si>
  <si>
    <t>1. Transaction successfully Saved.
2. Item Fulfillment status is Picked.</t>
  </si>
  <si>
    <t>Step 9</t>
  </si>
  <si>
    <t>1. Navigate to the Shipping dashboard and click the Mark Orders Shipped link from the Shipping Links portlet.
2. Click on the Date link for the Sales Order fulfillment from Step 4 to open the transaction record.
3. Click Mark Shipped.</t>
  </si>
  <si>
    <t>Step 10</t>
  </si>
  <si>
    <t>Bill Order</t>
  </si>
  <si>
    <t>1. From the Home dashboard, click on the Sales Orders to Bill reminder.
2. Locate the Sales Order from the list on the Bill Sales Order page and click the Invoice link.
3. On the Invoice page, navigate to the Activities tab and uncheck To Be Printed, To Be Faxed, or To Be Emailed to avoid sending the Invoice to the Customer. Then, validate the information and click Save.</t>
  </si>
  <si>
    <t>1. Invoice record is created, can be viewed including on aging report.</t>
  </si>
  <si>
    <t>Step 11</t>
  </si>
  <si>
    <t>1. Locate the Customer Invoice that was created in Step 10 by typing the invoice number into the Global Search at the top of the page.
2. From the Invoice page, click the Accept Payment button.
3. On the Payment page, ensure that the Invoice is selected at the bottom of the page on the Apply subtab in the Invoices sublist.
4. Navigate to the Credits sublist and check 'Apply' next to the Credit Memo created in Step 5.
4. Click Save.</t>
  </si>
  <si>
    <t>1. Transaction successfully Saved.
NOTE: This transaction does not create a Payment record. The activity in this step links the Credit Memo from Step 5 with the Invoice in Step 10.</t>
  </si>
  <si>
    <t>Custom: &lt;Consultant to complete this section for exception Order to Cash/Return to Credit processes (i.e. script, workflow, or other custom process). Otherwise, DELETE this section.&gt;</t>
  </si>
  <si>
    <t xml:space="preserve">Region </t>
  </si>
  <si>
    <t>Manually create vendor.</t>
  </si>
  <si>
    <t>Create Vendor</t>
  </si>
  <si>
    <t>1. Navigate to the Shortcuts menu and click on Vendors (Vendors page opens). Click the New Vendor button.
2. On the new Vendor page enter the mandatory fields in the header section and fields important to your business and this specific transaction.
3. On the Address tab, click the pencil icon in the Edit column to open the new address window. Complete address fields and click the OK button to close the new Address window. Click the Add button on the line.
4. Click Save.</t>
  </si>
  <si>
    <t>1. Vendor successfully Saved, can be found and updated.</t>
  </si>
  <si>
    <r>
      <t xml:space="preserve">Include: </t>
    </r>
    <r>
      <rPr>
        <b/>
        <sz val="10"/>
        <color rgb="FFFF0000"/>
        <rFont val="Calibri"/>
        <family val="2"/>
        <scheme val="minor"/>
      </rPr>
      <t>Vendor Name</t>
    </r>
  </si>
  <si>
    <t>Procure to Pay: Request for Quote (RFQ)</t>
  </si>
  <si>
    <t>Manually create a Request for Quote, then Award Purchase Contract and Purchase.</t>
  </si>
  <si>
    <t>Request for Quote (RFQ)</t>
  </si>
  <si>
    <t>Create Request for Quote</t>
  </si>
  <si>
    <t>1. From the home Dashboard, click Request for Quote under the Navigation Portlet. Request for Quotes page opens.
2. Click the New Transaction button. Request for Quote page opens.
3. In the header section of the new Purchase Order page enter the following:
     - Location (where items will be received)
     - Bid Open Date (defaults to current date)
     - Bid Close Date (set to next day)
     - Start Date (set to one day after Bid Close Date)
4. On the Items tab, select an Item and add pricing tiers by clicking the plus sign (+) in the Additional Pricing column. Add tiers for 25 and 100.
5. On the Vendors column, add two Vendors* (vendors must have a  contact to whom the RFQ will be sent).
6. Click Save.
*NOTE: Crate two fictional test Vendors for this scenario.</t>
  </si>
  <si>
    <t>1.  Forms successfully open and allow entry.
2. Transaction successfully Saved, can be viewed and edited.</t>
  </si>
  <si>
    <r>
      <t xml:space="preserve">Include: </t>
    </r>
    <r>
      <rPr>
        <b/>
        <sz val="10"/>
        <color rgb="FFFF0000"/>
        <rFont val="Calibri"/>
        <family val="2"/>
        <scheme val="minor"/>
      </rPr>
      <t>Request for Quote Number</t>
    </r>
  </si>
  <si>
    <t>Administrator</t>
  </si>
  <si>
    <t>Enter Vendor Quotes</t>
  </si>
  <si>
    <t>1. Go to test Vendor records in Step 1 and grant Vendor Center access to the Vendor Center using the Access sublist on the System Information tab.
2. Log into the Vendor Center for each Vendor using the fictional email address and password from the Vendor records.
3. On the Vendor Center home page, use the Transaction Search portlet to filter the Type = Vendor Request for Quote. Click Search.
4. On the Request for Quote Response page, click Edit. Then on the Additional Pricing column, click the pencil icon and fill in the Rate for each of the pre-defined quantity breaks. Click Add when all sections for the line are completed.
5. Repeat for each line the Vendor is providing a quote for.
6. Click Save to send the quote back to the buyer.
NOTE: You must wait until Bid Close Date to proceed to Step 3.</t>
  </si>
  <si>
    <t xml:space="preserve">1. Transaction successfully updated, Saved and sent back to buyer.
</t>
  </si>
  <si>
    <r>
      <t xml:space="preserve">Include: </t>
    </r>
    <r>
      <rPr>
        <b/>
        <sz val="10"/>
        <color rgb="FFFF0000"/>
        <rFont val="Calibri"/>
        <family val="2"/>
        <scheme val="minor"/>
      </rPr>
      <t>Rquest for Quote Response Numbers</t>
    </r>
  </si>
  <si>
    <t>Award Quote</t>
  </si>
  <si>
    <t>1. From the home Dashboard, click on 'Request for Quotes' on the Navigation Portlet. The Request for Quotes page opens.
2. On the Request for Quotes page, click Edit next to the RFQ created in Step 1. The Request for Quote transaction opens in Edit mode.
3. Use the Awards subtab to analyze the Vendor responses and award Purchase Contracts to Vendors.
4. Click the Compare Vendors link to view a comparison of responses from Vendors. Select a Vendor, then check the Award check box on the line to award the item to a Purchase Contract for that Vendor.
5. Click Save.
* After the RFQ is saved, a Purchase Contract is created for all line items, one contract per Vendor. The Purchase Contract is populated with data from teh Vendor response for the line item.</t>
  </si>
  <si>
    <t>1. Request for Quote is successfully Saved.
2. Request for Quote status is Fully Awarded.</t>
  </si>
  <si>
    <r>
      <t xml:space="preserve">Include: </t>
    </r>
    <r>
      <rPr>
        <b/>
        <sz val="10"/>
        <color rgb="FFFF0000"/>
        <rFont val="Calibri"/>
        <family val="2"/>
        <scheme val="minor"/>
      </rPr>
      <t>Purchase Contract Number</t>
    </r>
  </si>
  <si>
    <t>1. From the home Dashboard, click Purchase Order on the Navigation Portlet. New Purchase Order page opens.
2. In the header section of the new Purchase Order page enter the following:
     - Vendor Name: Use Vendor awarded from Step 3
     - Location: Select location where items will be received
3. On the Items tab, select an Item from Step 1, enter Quantity = 25, and select Purchase Contract created from Step 3. Click the Add button on the line.
3. Click Save.</t>
  </si>
  <si>
    <t>1. Transaction successfully Saved.
2. Purchase Order status is Pending Receipt.</t>
  </si>
  <si>
    <r>
      <t xml:space="preserve">Include: </t>
    </r>
    <r>
      <rPr>
        <b/>
        <sz val="10"/>
        <color rgb="FFFF0000"/>
        <rFont val="Calibri"/>
        <family val="2"/>
        <scheme val="minor"/>
      </rPr>
      <t>Purchase Order Number, Vendor, Item</t>
    </r>
  </si>
  <si>
    <t>Receive Purchase Order</t>
  </si>
  <si>
    <t>1. From the home Dashboard, click on 'Orders to Receive' on the Reminders portlet. Receive Orders page opens.
2. On the Receive Order page, locate the Purchase Order created in Step 1 and click Receive. Item Receipt page opens.
3. On the Item Receipt page, review the Item, Quantity, and Location. Once confirmed, click Save.</t>
  </si>
  <si>
    <t>1. Transaction successfully Saved.
2. Items are received.
3. Validate GL Impact for accuracy.</t>
  </si>
  <si>
    <t>AP Analyst</t>
  </si>
  <si>
    <t>Bill Purchase Order</t>
  </si>
  <si>
    <t>1. From the home Dashboard, click on 'Purchase Orders to Bill' on the Reminders portlet. Bill Purchase Orders page opens.
2. On the Bill Purchase Orders page, filter the list by selecting the Vendor used in Step 1. Then, click on the Date link for the Purchase Order being billed. The Purchase Order from Step 1 opens in View mode. Click the Bill button.
3. Review the Bill information, including Amount, Date, Posting Period, and Terms. Click Save.</t>
  </si>
  <si>
    <t>1. Purchase order is found for billing.
2. Transaction successfully Saved.
3. Bill status is Open.</t>
  </si>
  <si>
    <r>
      <t xml:space="preserve">Include: </t>
    </r>
    <r>
      <rPr>
        <b/>
        <sz val="10"/>
        <color rgb="FFFF0000"/>
        <rFont val="Calibri"/>
        <family val="2"/>
        <scheme val="minor"/>
      </rPr>
      <t>Vendor Bill Number</t>
    </r>
  </si>
  <si>
    <t>Pay Bill</t>
  </si>
  <si>
    <t>1. From the home Dashboard, click on 'Bills to Pay' from the Reminders portlet. Bill Payments page opens.
2. On the Bill Payments page, locate the Bill created in Step 3 and click the Bill link to open the Bill in View mode. Click the Make Payment button.
3. On the Bill Payment page, review the information in the header. Then, on the Apply tab verify that the Apply box is checked for the Bill and click Save.</t>
  </si>
  <si>
    <t>1. Transaction successfully Saved.
2. Vendor Bill status is Paid in Full.</t>
  </si>
  <si>
    <r>
      <t xml:space="preserve">Include: </t>
    </r>
    <r>
      <rPr>
        <b/>
        <sz val="10"/>
        <color rgb="FFFF0000"/>
        <rFont val="Calibri"/>
        <family val="2"/>
        <scheme val="minor"/>
      </rPr>
      <t>Bill Payment Number</t>
    </r>
  </si>
  <si>
    <t>Calculate estimated demand to drive supply requirements.</t>
  </si>
  <si>
    <r>
      <t xml:space="preserve">Include: </t>
    </r>
    <r>
      <rPr>
        <b/>
        <sz val="10"/>
        <color rgb="FFFF0000"/>
        <rFont val="Calibri"/>
        <family val="2"/>
        <scheme val="minor"/>
      </rPr>
      <t>Item and Location</t>
    </r>
  </si>
  <si>
    <t>Enter Vendor Prepayment</t>
  </si>
  <si>
    <t>Vendor Prepayment</t>
  </si>
  <si>
    <t>Create Holding Account</t>
  </si>
  <si>
    <t>1. Navigate to Setup &gt; Accounting &gt; Manage G/L &gt; Chart of Accounts &gt; New.
2. Enter Other Current Asset in the type field.
3. If using account numbers, enter a number in the number field.
4. Enter a name in the name field; for example Temporary Holding.
5. Click Save.</t>
  </si>
  <si>
    <t>1. Chart of Accounts form opens successfully.
2. Entry of the new account is successful.
3. Account is saved to the chart of accounts.</t>
  </si>
  <si>
    <r>
      <t xml:space="preserve">Include: </t>
    </r>
    <r>
      <rPr>
        <b/>
        <sz val="10"/>
        <color rgb="FFFF0000"/>
        <rFont val="Calibri"/>
        <family val="2"/>
        <scheme val="minor"/>
      </rPr>
      <t>Vendor number</t>
    </r>
  </si>
  <si>
    <t>Write a Check</t>
  </si>
  <si>
    <t>1. Navigate to Transactions &gt; Bank &gt; Write Checks.
2. Select Vendor in the payee field.
3. Navigate to the Expenses subtab and in the Account column select the new account created above.
4. Enter the amount for the prepayment in the amount field.
5. Include any additional notes in the memo field.
6. Click Add.
7. Click Save.</t>
  </si>
  <si>
    <t>1. Form opens successfully.
2. Entry of the prepayment is successful.
3. Transaction is saved.</t>
  </si>
  <si>
    <r>
      <t xml:space="preserve">Include: </t>
    </r>
    <r>
      <rPr>
        <b/>
        <sz val="10"/>
        <color rgb="FFFF0000"/>
        <rFont val="Calibri"/>
        <family val="2"/>
        <scheme val="minor"/>
      </rPr>
      <t>Check number</t>
    </r>
  </si>
  <si>
    <t>Enter a Vendor Credit</t>
  </si>
  <si>
    <t>1. Navigate to Transactions &gt; Payables &gt; Enter Vendor Credits.
2. Select the vendor used in the steps above.
3. Navigate to the Expenses subtab and select the account number added in step 1.
4. Enter the prepayment amount in the amount column.
5. Click Add.
6. Click Save.
Note: When you receive the bill from the vendor, you can apply this credit.</t>
  </si>
  <si>
    <t>1. Form opens successfully.
2. Entry of the credit is successful.
3. Transaction is saved.
4. Validate the new account number created in Step 1 is cleared with a balance of zero.
5. Validate credit on the vendors account.
6. Validate Impact on GL is accurate.</t>
  </si>
  <si>
    <t>Manually create stand alone purchase order, receive items, create vendor bill.</t>
  </si>
  <si>
    <t>Create Purchase Order</t>
  </si>
  <si>
    <t>1. From the home Dashboard, click Purchase Order on the Navigation Portlet.
2. In the header section of the new Purchase Order page enter the required fields and information pertaining to your business.
3. On the Items tab, select an Item, Location, and enter Quantity. Click the Add button on the line.
4. Click Save.
NOTE: the Purchase Order status may be Pending Approval or Pending Receipt depending on your configuration.</t>
  </si>
  <si>
    <t>1. Transaction successfully Saved.
2. Bill status is Open.</t>
  </si>
  <si>
    <t>1. From the home Dashboard, click on 'Bills to Pay' from the Reminders portlet. 
2. On the Bill Payments page, locate the Bill created in Step 3 and click the Bill link to open the Bill in View mode. Click the Make Payment button.
3. On the Bill Payment page, review the information in the header. Then, on the Apply tab verify that the Apply box is checked for the Bill and click Save.</t>
  </si>
  <si>
    <t>1. Bill Payments page opens.
2. Transaction successfully Saved.
3. Vendor Bill status is Paid in Full.
4. Verify the GL Impact.</t>
  </si>
  <si>
    <t>Create purchase order from Order Items page.</t>
  </si>
  <si>
    <t>1. From the home Dashboard, click Order Items on the Navigation Portlet. 
2. On the Order Items page, select the Location where the order will be received. In the item list below, check the box for the item you plan to order.
3. Click Submit. 
4. Click Refresh until the Status is Complete.</t>
  </si>
  <si>
    <t>1. Order Items page opens.
2. Processed Purchase Orders page appears.
3. Status is Complete, a Purchase Order Number is generataed, and Approval Status is Pending Approval or Approved (depending on your configuration).
Note: if pending approval - obtain PO approval before moving to next step.</t>
  </si>
  <si>
    <r>
      <t xml:space="preserve">Include: </t>
    </r>
    <r>
      <rPr>
        <b/>
        <sz val="10"/>
        <color rgb="FFFF0000"/>
        <rFont val="Calibri"/>
        <family val="2"/>
        <scheme val="minor"/>
      </rPr>
      <t>Purchase Order Number</t>
    </r>
  </si>
  <si>
    <t>1. From the home Dashboard, click on 'Orders to Receive' on the Reminders portlet. 
2. On the Receive Order page, locate the Purchase Order created in Step 1 and click Receive. Item Receipt page opens.
3. On the Item Receipt page, review the Item, Quantity, and Location. Once confirmed, click Save.</t>
  </si>
  <si>
    <t>1. Receive Orders page opens.
2. Transaction successfully Saved.
3. Verify GL impact is accurate.</t>
  </si>
  <si>
    <t>1. From the home Dashboard, click on 'Purchase Orders to Bill' on the Reminders portlet. 
2. On the Bill Purchase Orders page, filter the list by selecting the Vendor used in Step 1. Then, click on the Date link for the Purchase Order being billed. Click the Bill button.
3. Review the Bill information, including Amount, Date, Posting Period, and Terms. Click Save.</t>
  </si>
  <si>
    <t>1. Bill Purchase Orders page opens.
2. Transaction successfully Saved.
3. Bill status is Open.
4. Verify GL impact is accurate.</t>
  </si>
  <si>
    <t>1. Bill Payments page opens.
2. Transaction successfully Saved.
3. Vendor Bill status is Paid in Full.
4. Verify the GL Impact is accurate.</t>
  </si>
  <si>
    <t>Create Blanket Purchase order and release items.</t>
  </si>
  <si>
    <t>Blanket Purchase Order</t>
  </si>
  <si>
    <t>Create Blanket Purchase Order</t>
  </si>
  <si>
    <t>1. From the Home Dashboard, click 'Blanket PO' on the Navigation Portlet.
2. Click the New Transaction button to create a new Blanket Purchase Order.
3. In the header section of the new Blanket Purchase Order page enter the following:
     - Select Vendor
     - Location: Select location where items will be received
4. On the Items tab, select an Item and enter Quantity = 500. Click the Schedule icon to open the schedule dialogue box.
5. In the schedule dialogue box, set the following values:
     - Create Purchase Orders = Manually
     - Create Schedule = Autgenerate
     - Release Frequency = Daily
     - Start Date = today's date (default)
6. Click the Autogenerate button to populate the values. Click OK.
7. Click Add when you have completed the line item.
8. Click Save.</t>
  </si>
  <si>
    <t>1.  Blanket Purchase Orders page opens.
2.  New Blanket Purchase Order page opens.
3. Transaction is successfully Saved
4.. Status is Active.</t>
  </si>
  <si>
    <r>
      <t xml:space="preserve">Include: </t>
    </r>
    <r>
      <rPr>
        <b/>
        <sz val="10"/>
        <color rgb="FFFF0000"/>
        <rFont val="Calibri"/>
        <family val="2"/>
        <scheme val="minor"/>
      </rPr>
      <t>Blanket Purchase Order Number</t>
    </r>
  </si>
  <si>
    <t>Release Purchase Order</t>
  </si>
  <si>
    <t>1. Go to Receiving &gt; Receiving &gt; Enter Blanket Purchase Order &gt; List.
2. Click Edit next to the Blanket Purchase Order in Step 1. 
3. Click the Schedule icon on a blanket purchase order line to view the schedule.
4. Check the box in the Release column for lines that need to be ordered.
5. Click OK for the schedule line.
6. Click OK for the blanket order line.
7. Click Save.
*After schedules have been released, the resulting purchase orders appear on the schedule detail window.</t>
  </si>
  <si>
    <t>1. Blanket Purchase Order opens in Edit mode.
2. Transaction successfully Saved.
3. Purchase Order created for the released items. 
NOTE: Purchase Orders may require approval before moving onto next steps depending on your configuration.</t>
  </si>
  <si>
    <r>
      <t xml:space="preserve">Include: </t>
    </r>
    <r>
      <rPr>
        <b/>
        <sz val="10"/>
        <color rgb="FFFF0000"/>
        <rFont val="Calibri"/>
        <family val="2"/>
        <scheme val="minor"/>
      </rPr>
      <t>Purchase Order number, Vendor, Item</t>
    </r>
  </si>
  <si>
    <t>1. From the home Dashboard, click on 'Orders to Receive' on the Reminders portlet. 
2. On the Receive Order page, locate the Purchase Order created in Step 2 and click Receive.
3. On the Item Receipt page, review the Item, Quantity, and Location. Once confirmed, click Save.</t>
  </si>
  <si>
    <t>1. Receive Orders page opens.
2.  Item Receipt page opens.
3. Transaction successfully Saved.
4. Verify GL impact is accurate.</t>
  </si>
  <si>
    <t>1. Bill Purchase Orders page opens.
2. The Purchase Order from Step 2 opens in View mode. 
3. Transaction successfully Saved.
4. Bill status is Open.
5. Verify GL impact is accurate.</t>
  </si>
  <si>
    <t>1. Bill Payments page opens.
2. Transaction successfully Saved.
3. Vendor Bill status is Paid in Full.
4. Verify GL impact is accurate.</t>
  </si>
  <si>
    <t>Create purchase order and receive quantity that exceeds vendor tolerance.</t>
  </si>
  <si>
    <t>3-Way Match</t>
  </si>
  <si>
    <t>Set Vendor Tolerances</t>
  </si>
  <si>
    <t>1. Using Global Search, locate item from Case #P2P03 and click Edit. Item record opens in Edit mode.
2. On the Items subtab, enter a quantity of 1 and click save.
*Tolerances drive 3-Way Match allowances</t>
  </si>
  <si>
    <t>1. Item successfully Saved.</t>
  </si>
  <si>
    <t>1. From the home Dashboard, click Purchase Order on the Navigation Portlet.
2. In the header section of the new Purchase Order page enter the following:
     - Vendor Name: Use Vendor created in Case P2P03
     - Location: Select location where items were received
3. On the Items tab, select the Item from Step 1 and enter Quantity = 10. Click the Add button on the line.
4. Click Save.</t>
  </si>
  <si>
    <t>1. From the home Dashboard, click on 'Orders to Receive' on the Reminders portlet. 
2. On the Receive Order page, locate the Purchase Order created in Step 1 and click Receive. 
3. On the Item Receipt page, change the quantity to 15 (exceeds tolerances set in Step 1). Click Save.</t>
  </si>
  <si>
    <t>1. Receive Orders form opens.
2. Item Receipt form opens.
3. Transaction successfully Saved.
4. Verify GL impact is accurate.</t>
  </si>
  <si>
    <t>1. From the home Dashboard, click on 'Purchase Orders to Bill' on the Reminders portlet. 
2. On the Bill Purchase Orders page, filter the list by selecting the Vendor used in Step 2. Then, click on the Date link for the Purchase Order being billed. The Purchase Order from Step 2 opens in View mode. Click the Bill button. 
3. On the Bill page, review the Bill information, including Amount, Date, Posting Period, and Terms. Click Save.</t>
  </si>
  <si>
    <t>1. Bill Purchase Orders page opens.
2. New Bill page opens
3. Transaction successfully Saved.
4. Bill status is Pending Approval due to exceeded tolerances.
5. Billing Exception button appears.
6. Verify GL impact is accurate.</t>
  </si>
  <si>
    <t>Contoller</t>
  </si>
  <si>
    <t>Approve Bill</t>
  </si>
  <si>
    <t>1. From the home Dashboard, click on 'Bills to Approve' on the Reminders portlet.
2. Click the date link next to the Bill created in Step 4. Bill opens in View mode.
3. Click the Edit button, then change the Approval Status to Approved.
4. Click Save.</t>
  </si>
  <si>
    <t>1.  Bills to Approve form opens.
2. Transaction successfully Saved.
3. Bill status is Open. NOTE: Approval Status is Peding or Approved depending on your configuration.  If approval is pending, it will be required before moving onto the next step.
4. Verify GL impact is accurate.</t>
  </si>
  <si>
    <t>1. Bill Payments form opens.
2. Transaction successfully Saved.
3. Vendor Bill status is Paid in Full.
4. Verify GL impact is accurate.</t>
  </si>
  <si>
    <t>Return to Debit: Vendor Return with Fulfillment</t>
  </si>
  <si>
    <t>Manually create a Vendor Return from a Vendor Bill.</t>
  </si>
  <si>
    <t>Vendor Return with Item Fulfillment</t>
  </si>
  <si>
    <t>Create Vendor Return Authorization</t>
  </si>
  <si>
    <t>1. Locate a the Vendor Bill created in scenario P2P03 by entering the bill number into the Global Search and clicking on the transaction. (This number was recorded in Step 3)
2. Click the Aurhoize Return button.
3. On the Vendor Return Authorization page, review the information and click Save.</t>
  </si>
  <si>
    <t>1. Transaction successfully Saved.
2. Screen returns to the Vendor Bill.</t>
  </si>
  <si>
    <t>Ship Vendor Return Authorization</t>
  </si>
  <si>
    <t>1. From the Home Dashboard, click on Vendor Return Authorizations to Return on the Reminders portlet. 
2. Click on the Date link next to the Return created in Step 1. 
3. Click the Return button. Item Fulfillment page opens.
4. Review the Item Fulfillment information and click Save.</t>
  </si>
  <si>
    <t>1. Ship Vendor Return Authorization form opens.
2. Vendor Return Authorization opens in View mode.
3. Transaction successfully Saved.
4. Verify GL impact is accurate.</t>
  </si>
  <si>
    <t>Credit Vendor Return</t>
  </si>
  <si>
    <t>1. From the Home Dashboard, click on Vendor Return Authorizations to Refund on the Reminders portlet. Refund 
2. Click on the Date link next to the Return created in Step 1. 
3. Click the Refund button. Bill Credit page opens.
4. Review the Bill Credit information and click Save.</t>
  </si>
  <si>
    <t>1. Vendor Return Authorization form opens.
2. Vendor Return Authorization opens in View mode.
3. Transaction successfully Saved.
4. Verify GL impact is accurate.</t>
  </si>
  <si>
    <r>
      <t xml:space="preserve">Include: </t>
    </r>
    <r>
      <rPr>
        <b/>
        <sz val="10"/>
        <color rgb="FFFF0000"/>
        <rFont val="Calibri"/>
        <family val="2"/>
        <scheme val="minor"/>
      </rPr>
      <t>Bill Credit Number</t>
    </r>
  </si>
  <si>
    <t>Step 4 (Optional)</t>
  </si>
  <si>
    <t>Manage Vendor Refund: Deposit</t>
  </si>
  <si>
    <t>Optional Step - This step should be used if Vendor provides a refund.
1. Navigate to Financial &gt; Banking &gt; Maked Deposits. 
2. In the header section of the page, enter the following:
     - Account: Select a cash account to deposit the refund
     - Memo: Refund for R2C01
3. On the Deposits tab, select the Other Deposits sublist and enter the following onto the first line:
     - Name: Select Vendor used in the Vendor Return
     - Amount: Enter the amount from the Vendor Credit (Step 3)
     - Account: Select the Accounts Payable account from Step 3
     - Payment Method: Check
     - Number: Enter a fictional check number
4. Click Add on the line.
5. Click Save.</t>
  </si>
  <si>
    <t>1. Deposit form opens.
2. Transaction successfully Saved.
3. Verify GL impact is accurate.</t>
  </si>
  <si>
    <t>Step 5 (Optional)</t>
  </si>
  <si>
    <t>Manage Vendor Refund: Associate Credit to Deposit</t>
  </si>
  <si>
    <t>Optional Step - This step should follow Step 4 only if Vendor provides a refund.
1. Navigate to Vendors &gt; Accounts Payable &gt; Pay Single Vendor.
2. On the Bill Payment page, click the Apply check box next to the Bill Credit from Step 3 and Deposit from Step 3.
3. Click Save.</t>
  </si>
  <si>
    <t>1. Transaction successfully Saved
2. Bill Credit from Step 3 is applied.
3. Verify GL impact is accurate.</t>
  </si>
  <si>
    <t>Manually create a fixed asset record</t>
  </si>
  <si>
    <t>Create Fixed Asset</t>
  </si>
  <si>
    <t xml:space="preserve">Manually Create New Fixed Asset Record </t>
  </si>
  <si>
    <r>
      <t xml:space="preserve">1.Navigate to </t>
    </r>
    <r>
      <rPr>
        <b/>
        <sz val="10"/>
        <color rgb="FF0070C0"/>
        <rFont val="Calibri"/>
        <family val="2"/>
        <scheme val="minor"/>
      </rPr>
      <t xml:space="preserve">Fixed Assets &gt; Lists &gt; Assets &gt; New  </t>
    </r>
    <r>
      <rPr>
        <sz val="10"/>
        <color rgb="FF0070C0"/>
        <rFont val="Calibri"/>
        <family val="2"/>
        <scheme val="minor"/>
      </rPr>
      <t xml:space="preserve">
2. Name - Enter a Name for the Asset Record    
3.   Asset Description - Enter a Description of the Asset 
4. Serial Number - Enter a serial number to track or identify the asset  
5. Alternate Asset Number - Enter an additional asset reference number    
6. Enter Depreciation Method
7.  Enter Original Cost
8. Enter Residual Percentage Value
9.  Enter Asset Lifetime
10.  Enter Depreciation Start Date
11. Enter Depreciation End Date
12.  Enter Subsidiary
13. Enter Asset Lifetime 
14. Click </t>
    </r>
    <r>
      <rPr>
        <b/>
        <sz val="10"/>
        <color rgb="FF0070C0"/>
        <rFont val="Calibri"/>
        <family val="2"/>
        <scheme val="minor"/>
      </rPr>
      <t>Save</t>
    </r>
    <r>
      <rPr>
        <sz val="10"/>
        <color rgb="FF0070C0"/>
        <rFont val="Calibri"/>
        <family val="2"/>
        <scheme val="minor"/>
      </rPr>
      <t xml:space="preserve">
</t>
    </r>
  </si>
  <si>
    <t>1.  Asset successfully created</t>
  </si>
  <si>
    <t>Create Fixed Asset Record from Transactions</t>
  </si>
  <si>
    <t>1.  Go to Fixed Assets &gt; Transactions &gt; Asset Proposal
2.  Select the Asset Type
3.  Select the correct Subsidiary Record
4.  Click Propose New Assets
5.  Mark or Unmark the the Asset Proposals as Required
6.  Edit the Asset Proposals
7.  Click Generate Assets</t>
  </si>
  <si>
    <t>1.  Assets successfully generated</t>
  </si>
  <si>
    <t>Depreciate an Asset</t>
  </si>
  <si>
    <t>Depreciate Assets for a Period</t>
  </si>
  <si>
    <r>
      <t xml:space="preserve">1.  Go to Fixed Assets&gt; Transactions &gt; Asset Depreciation
2.  Enter values for the following fields: 
     3.  </t>
    </r>
    <r>
      <rPr>
        <b/>
        <sz val="10"/>
        <color rgb="FF0070C0"/>
        <rFont val="Calibri"/>
        <family val="2"/>
        <scheme val="minor"/>
      </rPr>
      <t xml:space="preserve">Asset Types </t>
    </r>
    <r>
      <rPr>
        <sz val="10"/>
        <color rgb="FF0070C0"/>
        <rFont val="Calibri"/>
        <family val="2"/>
        <scheme val="minor"/>
      </rPr>
      <t xml:space="preserve">- Select one or more asset types
    </t>
    </r>
    <r>
      <rPr>
        <b/>
        <sz val="10"/>
        <color rgb="FF0070C0"/>
        <rFont val="Calibri"/>
        <family val="2"/>
        <scheme val="minor"/>
      </rPr>
      <t xml:space="preserve"> 4.  Subsidiary(s)</t>
    </r>
    <r>
      <rPr>
        <sz val="10"/>
        <color rgb="FF0070C0"/>
        <rFont val="Calibri"/>
        <family val="2"/>
        <scheme val="minor"/>
      </rPr>
      <t xml:space="preserve"> -Select one or more subsidiaries. An additional option to Include Children
indicates that any selected subsidiaries should also include any child subsidiaries (and their children, to the end of the hierarchy).
     5.  </t>
    </r>
    <r>
      <rPr>
        <b/>
        <sz val="10"/>
        <color rgb="FF0070C0"/>
        <rFont val="Calibri"/>
        <family val="2"/>
        <scheme val="minor"/>
      </rPr>
      <t xml:space="preserve">Depreciation Period -- </t>
    </r>
    <r>
      <rPr>
        <sz val="10"/>
        <color rgb="FF0070C0"/>
        <rFont val="Calibri"/>
        <family val="2"/>
        <scheme val="minor"/>
      </rPr>
      <t xml:space="preserve">Enter a date up to which assets will be depreciated.  
     6. </t>
    </r>
    <r>
      <rPr>
        <b/>
        <sz val="10"/>
        <color rgb="FF0070C0"/>
        <rFont val="Calibri"/>
        <family val="2"/>
        <scheme val="minor"/>
      </rPr>
      <t xml:space="preserve">Depreciation Reference - </t>
    </r>
    <r>
      <rPr>
        <sz val="10"/>
        <color rgb="FF0070C0"/>
        <rFont val="Calibri"/>
        <family val="2"/>
        <scheme val="minor"/>
      </rPr>
      <t xml:space="preserve">Enter a depreciation reference to be used as the base reference on all generated journals.  Leave this field blank to use the default reference.  
     7.  </t>
    </r>
    <r>
      <rPr>
        <b/>
        <sz val="10"/>
        <color rgb="FF0070C0"/>
        <rFont val="Calibri"/>
        <family val="2"/>
        <scheme val="minor"/>
      </rPr>
      <t xml:space="preserve">Depreciate Assets -- </t>
    </r>
    <r>
      <rPr>
        <sz val="10"/>
        <color rgb="FF0070C0"/>
        <rFont val="Calibri"/>
        <family val="2"/>
        <scheme val="minor"/>
      </rPr>
      <t xml:space="preserve">You will be redirected to the Status page, where you can check the status of the depreciation. For more information
</t>
    </r>
  </si>
  <si>
    <t>1.  Verify depreciation entries</t>
  </si>
  <si>
    <t>Dispose of an Asset Record</t>
  </si>
  <si>
    <t>Sell an Asset</t>
  </si>
  <si>
    <t>Asset Disposal - Sale</t>
  </si>
  <si>
    <r>
      <t xml:space="preserve">1.Go to Fixed Assets &gt; Transactions &gt; Asset Disposal
2. Enter Disposal type - Sale
3.  </t>
    </r>
    <r>
      <rPr>
        <b/>
        <sz val="10"/>
        <color rgb="FF0070C0"/>
        <rFont val="Calibri"/>
        <family val="2"/>
        <scheme val="minor"/>
      </rPr>
      <t xml:space="preserve">Disposal Date </t>
    </r>
    <r>
      <rPr>
        <sz val="10"/>
        <color rgb="FF0070C0"/>
        <rFont val="Calibri"/>
        <family val="2"/>
        <scheme val="minor"/>
      </rPr>
      <t xml:space="preserve">- Enter posting date for the disposal
4.   </t>
    </r>
    <r>
      <rPr>
        <b/>
        <sz val="10"/>
        <color rgb="FF0070C0"/>
        <rFont val="Calibri"/>
        <family val="2"/>
        <scheme val="minor"/>
      </rPr>
      <t xml:space="preserve">Consolidate Line Items - </t>
    </r>
    <r>
      <rPr>
        <sz val="10"/>
        <color rgb="FF0070C0"/>
        <rFont val="Calibri"/>
        <family val="2"/>
        <scheme val="minor"/>
      </rPr>
      <t xml:space="preserve">Check this box to sum up the sales amount of all assets
for disposal, and consolidate it into a single line item on the invoice. Clear this box to itemize
each asset for disposal on the invoice
5.  </t>
    </r>
    <r>
      <rPr>
        <b/>
        <sz val="10"/>
        <color rgb="FF0070C0"/>
        <rFont val="Calibri"/>
        <family val="2"/>
        <scheme val="minor"/>
      </rPr>
      <t xml:space="preserve">Customer - </t>
    </r>
    <r>
      <rPr>
        <sz val="10"/>
        <color rgb="FF0070C0"/>
        <rFont val="Calibri"/>
        <family val="2"/>
        <scheme val="minor"/>
      </rPr>
      <t xml:space="preserve"> select the customer the asset is being sold to</t>
    </r>
    <r>
      <rPr>
        <b/>
        <sz val="10"/>
        <color rgb="FF0070C0"/>
        <rFont val="Calibri"/>
        <family val="2"/>
        <scheme val="minor"/>
      </rPr>
      <t xml:space="preserve">
6.  Sales Tax Code - </t>
    </r>
    <r>
      <rPr>
        <sz val="10"/>
        <color rgb="FF0070C0"/>
        <rFont val="Calibri"/>
        <family val="2"/>
        <scheme val="minor"/>
      </rPr>
      <t>Select the tax code that applies to this sale.</t>
    </r>
    <r>
      <rPr>
        <b/>
        <sz val="10"/>
        <color rgb="FF0070C0"/>
        <rFont val="Calibri"/>
        <family val="2"/>
        <scheme val="minor"/>
      </rPr>
      <t xml:space="preserve">
7. Sale Item - </t>
    </r>
    <r>
      <rPr>
        <sz val="10"/>
        <color rgb="FF0070C0"/>
        <rFont val="Calibri"/>
        <family val="2"/>
        <scheme val="minor"/>
      </rPr>
      <t xml:space="preserve"> Select the sale item that will appear on the invoice.  
8.  </t>
    </r>
    <r>
      <rPr>
        <b/>
        <sz val="10"/>
        <color rgb="FF0070C0"/>
        <rFont val="Calibri"/>
        <family val="2"/>
        <scheme val="minor"/>
      </rPr>
      <t xml:space="preserve">Asset ID/Name - </t>
    </r>
    <r>
      <rPr>
        <sz val="10"/>
        <color rgb="FF0070C0"/>
        <rFont val="Calibri"/>
        <family val="2"/>
        <scheme val="minor"/>
      </rPr>
      <t xml:space="preserve">Select the desired asset by name or ID.
9. </t>
    </r>
    <r>
      <rPr>
        <b/>
        <sz val="10"/>
        <color rgb="FF0070C0"/>
        <rFont val="Calibri"/>
        <family val="2"/>
        <scheme val="minor"/>
      </rPr>
      <t xml:space="preserve">Quantity to Dispose - </t>
    </r>
    <r>
      <rPr>
        <sz val="10"/>
        <color rgb="FF0070C0"/>
        <rFont val="Calibri"/>
        <family val="2"/>
        <scheme val="minor"/>
      </rPr>
      <t xml:space="preserve">Enter the quanity to dispose
10.  </t>
    </r>
    <r>
      <rPr>
        <b/>
        <sz val="10"/>
        <color rgb="FF0070C0"/>
        <rFont val="Calibri"/>
        <family val="2"/>
        <scheme val="minor"/>
      </rPr>
      <t xml:space="preserve">Sales Amount - </t>
    </r>
    <r>
      <rPr>
        <sz val="10"/>
        <color rgb="FF0070C0"/>
        <rFont val="Calibri"/>
        <family val="2"/>
        <scheme val="minor"/>
      </rPr>
      <t xml:space="preserve">Enter the sales amount
11.  </t>
    </r>
    <r>
      <rPr>
        <b/>
        <sz val="10"/>
        <color rgb="FF0070C0"/>
        <rFont val="Calibri"/>
        <family val="2"/>
        <scheme val="minor"/>
      </rPr>
      <t xml:space="preserve">Location – </t>
    </r>
    <r>
      <rPr>
        <sz val="10"/>
        <color rgb="FF0070C0"/>
        <rFont val="Calibri"/>
        <family val="2"/>
        <scheme val="minor"/>
      </rPr>
      <t xml:space="preserve">If the Multi-Location Inventory (MLI) feature is enabled, asset disposal by sale
requires setting a location value. If available, the location value is sourced from the FAM
asset record by default and cannot be edited to prevent untracked location transfers. If not
available from the asset record, you must select the value in the Location list on the Sale/Disposal page.
12.  </t>
    </r>
    <r>
      <rPr>
        <b/>
        <sz val="10"/>
        <color rgb="FF0070C0"/>
        <rFont val="Calibri"/>
        <family val="2"/>
        <scheme val="minor"/>
      </rPr>
      <t>Click Add</t>
    </r>
    <r>
      <rPr>
        <sz val="10"/>
        <color rgb="FF0070C0"/>
        <rFont val="Calibri"/>
        <family val="2"/>
        <scheme val="minor"/>
      </rPr>
      <t xml:space="preserve">
13.  </t>
    </r>
    <r>
      <rPr>
        <b/>
        <sz val="10"/>
        <color rgb="FF0070C0"/>
        <rFont val="Calibri"/>
        <family val="2"/>
        <scheme val="minor"/>
      </rPr>
      <t xml:space="preserve">Click Dispose
</t>
    </r>
  </si>
  <si>
    <t>1.  Assets successfully sold</t>
  </si>
  <si>
    <t>Write Off an Asset</t>
  </si>
  <si>
    <t>Asset Disposal - Write Off</t>
  </si>
  <si>
    <r>
      <t xml:space="preserve">1.  Go to Fixed Assets &gt; Transactions &gt; Asset Disposal
2.  </t>
    </r>
    <r>
      <rPr>
        <b/>
        <sz val="10"/>
        <color rgb="FF0070C0"/>
        <rFont val="Calibri"/>
        <family val="2"/>
        <scheme val="minor"/>
      </rPr>
      <t>Enter Disposal type</t>
    </r>
    <r>
      <rPr>
        <sz val="10"/>
        <color rgb="FF0070C0"/>
        <rFont val="Calibri"/>
        <family val="2"/>
        <scheme val="minor"/>
      </rPr>
      <t xml:space="preserve"> - Write Off
3.  </t>
    </r>
    <r>
      <rPr>
        <b/>
        <sz val="10"/>
        <color rgb="FF0070C0"/>
        <rFont val="Calibri"/>
        <family val="2"/>
        <scheme val="minor"/>
      </rPr>
      <t>Disposal Date</t>
    </r>
    <r>
      <rPr>
        <sz val="10"/>
        <color rgb="FF0070C0"/>
        <rFont val="Calibri"/>
        <family val="2"/>
        <scheme val="minor"/>
      </rPr>
      <t xml:space="preserve"> - Enter posting date for the disposal
4.  </t>
    </r>
    <r>
      <rPr>
        <b/>
        <sz val="10"/>
        <color rgb="FF0070C0"/>
        <rFont val="Calibri"/>
        <family val="2"/>
        <scheme val="minor"/>
      </rPr>
      <t xml:space="preserve">Quantity to Dispose - </t>
    </r>
    <r>
      <rPr>
        <sz val="10"/>
        <color rgb="FF0070C0"/>
        <rFont val="Calibri"/>
        <family val="2"/>
        <scheme val="minor"/>
      </rPr>
      <t xml:space="preserve">Enter the Quanity to Dispose
5.  </t>
    </r>
    <r>
      <rPr>
        <b/>
        <sz val="10"/>
        <color rgb="FF0070C0"/>
        <rFont val="Calibri"/>
        <family val="2"/>
        <scheme val="minor"/>
      </rPr>
      <t xml:space="preserve">Location -  </t>
    </r>
    <r>
      <rPr>
        <sz val="10"/>
        <color rgb="FF0070C0"/>
        <rFont val="Calibri"/>
        <family val="2"/>
        <scheme val="minor"/>
      </rPr>
      <t xml:space="preserve">If available, the location value is sourced from the FAM asset record by default
and cannot be edited to prevent untracked location transfers. If not available from the asset
record, you must select the value in the Location list on the Sale/Disposal page.
6.  </t>
    </r>
    <r>
      <rPr>
        <b/>
        <sz val="10"/>
        <color rgb="FF0070C0"/>
        <rFont val="Calibri"/>
        <family val="2"/>
        <scheme val="minor"/>
      </rPr>
      <t xml:space="preserve">Click Add
7.  Click Dispose
</t>
    </r>
    <r>
      <rPr>
        <sz val="10"/>
        <color rgb="FF0070C0"/>
        <rFont val="Calibri"/>
        <family val="2"/>
        <scheme val="minor"/>
      </rPr>
      <t xml:space="preserve">
</t>
    </r>
  </si>
  <si>
    <t>1.  Assets successfully disposed</t>
  </si>
  <si>
    <t>Revalue an Asset</t>
  </si>
  <si>
    <t>Asset Revaluation</t>
  </si>
  <si>
    <r>
      <t xml:space="preserve">1.  Go to Fixed Assets &gt; Transactions &gt; Asset Revaluation
2.  On the Asset Revaluation Page enter the following values:
3.  </t>
    </r>
    <r>
      <rPr>
        <b/>
        <sz val="10"/>
        <color rgb="FF0070C0"/>
        <rFont val="Calibri"/>
        <family val="2"/>
        <scheme val="minor"/>
      </rPr>
      <t xml:space="preserve"> Asset ID/Name - </t>
    </r>
    <r>
      <rPr>
        <sz val="10"/>
        <color rgb="FF0070C0"/>
        <rFont val="Calibri"/>
        <family val="2"/>
        <scheme val="minor"/>
      </rPr>
      <t xml:space="preserve">select the desired asset by name or id
4.  </t>
    </r>
    <r>
      <rPr>
        <b/>
        <sz val="10"/>
        <color rgb="FF0070C0"/>
        <rFont val="Calibri"/>
        <family val="2"/>
        <scheme val="minor"/>
      </rPr>
      <t xml:space="preserve">Accounting Book - </t>
    </r>
    <r>
      <rPr>
        <sz val="10"/>
        <color rgb="FF0070C0"/>
        <rFont val="Calibri"/>
        <family val="2"/>
        <scheme val="minor"/>
      </rPr>
      <t>select the accounting book that you want to revalue</t>
    </r>
    <r>
      <rPr>
        <b/>
        <sz val="10"/>
        <color rgb="FF0070C0"/>
        <rFont val="Calibri"/>
        <family val="2"/>
        <scheme val="minor"/>
      </rPr>
      <t xml:space="preserve">
5.  Write down % - </t>
    </r>
    <r>
      <rPr>
        <sz val="10"/>
        <color rgb="FF0070C0"/>
        <rFont val="Calibri"/>
        <family val="2"/>
        <scheme val="minor"/>
      </rPr>
      <t xml:space="preserve">Enter the write-down percentage for revaluation. This will be applied to tax
methods associated to an accounting book.
6.  </t>
    </r>
    <r>
      <rPr>
        <b/>
        <sz val="10"/>
        <color rgb="FF0070C0"/>
        <rFont val="Calibri"/>
        <family val="2"/>
        <scheme val="minor"/>
      </rPr>
      <t xml:space="preserve">Transaction Date </t>
    </r>
    <r>
      <rPr>
        <sz val="10"/>
        <color rgb="FF0070C0"/>
        <rFont val="Calibri"/>
        <family val="2"/>
        <scheme val="minor"/>
      </rPr>
      <t xml:space="preserve">— Enter a date for the journal entry for this transaction. If the field is blank,
the system will use the date when the revaluation is processed.  The revaluation date must be on or after the Last Depreciation Date
7.  </t>
    </r>
    <r>
      <rPr>
        <b/>
        <sz val="10"/>
        <color rgb="FF0070C0"/>
        <rFont val="Calibri"/>
        <family val="2"/>
        <scheme val="minor"/>
      </rPr>
      <t>Transaction Reference</t>
    </r>
    <r>
      <rPr>
        <sz val="10"/>
        <color rgb="FF0070C0"/>
        <rFont val="Calibri"/>
        <family val="2"/>
        <scheme val="minor"/>
      </rPr>
      <t xml:space="preserve"> — Enter a reference to identify the journal entry for this transaction.
8.  </t>
    </r>
    <r>
      <rPr>
        <b/>
        <sz val="10"/>
        <color rgb="FF0070C0"/>
        <rFont val="Calibri"/>
        <family val="2"/>
        <scheme val="minor"/>
      </rPr>
      <t>Write-down Amount</t>
    </r>
    <r>
      <rPr>
        <sz val="10"/>
        <color rgb="FF0070C0"/>
        <rFont val="Calibri"/>
        <family val="2"/>
        <scheme val="minor"/>
      </rPr>
      <t xml:space="preserve"> – The write-down amount will be computed based on the Current Cost
and the Write-down %. You can enter a write-down amount to override the calculated value.
This amount is subtracted from the current net book value.  For compound assets, the write-down amount will display the total write-down of all the
components.
9.  </t>
    </r>
    <r>
      <rPr>
        <b/>
        <sz val="10"/>
        <color rgb="FF0070C0"/>
        <rFont val="Calibri"/>
        <family val="2"/>
        <scheme val="minor"/>
      </rPr>
      <t>Adjusted Residual Value</t>
    </r>
    <r>
      <rPr>
        <sz val="10"/>
        <color rgb="FF0070C0"/>
        <rFont val="Calibri"/>
        <family val="2"/>
        <scheme val="minor"/>
      </rPr>
      <t xml:space="preserve"> – Enter the new residual value of the asset.
10.  </t>
    </r>
    <r>
      <rPr>
        <b/>
        <sz val="10"/>
        <color rgb="FF0070C0"/>
        <rFont val="Calibri"/>
        <family val="2"/>
        <scheme val="minor"/>
      </rPr>
      <t xml:space="preserve">Adjusted Lifetime - </t>
    </r>
    <r>
      <rPr>
        <sz val="10"/>
        <color rgb="FF0070C0"/>
        <rFont val="Calibri"/>
        <family val="2"/>
        <scheme val="minor"/>
      </rPr>
      <t xml:space="preserve">enter the new lifetime of the asset. 
11.  </t>
    </r>
    <r>
      <rPr>
        <b/>
        <sz val="10"/>
        <color rgb="FF0070C0"/>
        <rFont val="Calibri"/>
        <family val="2"/>
        <scheme val="minor"/>
      </rPr>
      <t xml:space="preserve">Adjusted Depreciation Method - </t>
    </r>
    <r>
      <rPr>
        <sz val="10"/>
        <color rgb="FF0070C0"/>
        <rFont val="Calibri"/>
        <family val="2"/>
        <scheme val="minor"/>
      </rPr>
      <t>select the new depreciation method that will be used to depreciate the asset.
12.  Click calculate to wrtie down the amount based on the write down percentage.  
13.  Click Process Revaluation.  Journal entries are created to post the difference in value</t>
    </r>
  </si>
  <si>
    <t>1. Journal Entries creates to post difference in FA Value</t>
  </si>
  <si>
    <t/>
  </si>
  <si>
    <t>Manually set up and execute an email campaign.</t>
  </si>
  <si>
    <t>Manage Campaigns</t>
  </si>
  <si>
    <t>Marketing Coordinator</t>
  </si>
  <si>
    <t>Set up Template</t>
  </si>
  <si>
    <t>1. Navigate to Campaigns &gt; Marketing &gt; Marketing Templates &gt; New. 
2. Click on Campaign.
3. Select a Blank template layout.
4. Enter a Name and Description in the header section of the template.
5. On the Template subtab, enter the following:
     - Subject: &lt;subject line of the email message&gt;
     - In the Message area, type a short fictional marketing message. 
     **To insert a field in the template, select the record type in the Field Type dropdown, and select a field in the Insert Field dropdown.
6. Click Save.</t>
  </si>
  <si>
    <t>1. Select Type page appears.
2. Campaign Email Template (Scriptable) successfully saved and able to find.
3. Campaing Template appears in list.</t>
  </si>
  <si>
    <r>
      <t xml:space="preserve">Include: </t>
    </r>
    <r>
      <rPr>
        <b/>
        <sz val="10"/>
        <color rgb="FFFF0000"/>
        <rFont val="Calibri"/>
        <family val="2"/>
        <scheme val="minor"/>
      </rPr>
      <t>Campaign Template Name</t>
    </r>
  </si>
  <si>
    <t>Set Up Groups (Dynamic): Validate Customer</t>
  </si>
  <si>
    <t>Ensure that you have at least one Customer with criteria for your Group.
1. Navigate to a fictional Customer account (use Lead/Customer created in L2Q01, if available). Click Edit.
2. On the Marketing subtab of the Customer record, click on the Subscriptions sublist.
3. Click the Subscribed box next to Marketing.
4. Click Save.</t>
  </si>
  <si>
    <t>1. Customer successfully saved and viewable.</t>
  </si>
  <si>
    <r>
      <t xml:space="preserve">Include: </t>
    </r>
    <r>
      <rPr>
        <b/>
        <sz val="10"/>
        <color rgb="FFFF0000"/>
        <rFont val="Calibri"/>
        <family val="2"/>
        <scheme val="minor"/>
      </rPr>
      <t>Customer Name</t>
    </r>
  </si>
  <si>
    <t>Set Up Groups (Dynamic): Create Saved Search</t>
  </si>
  <si>
    <t>Create a Saved Search to define the Group criteria:
1. Navigate to Campaigns &gt; Other &gt; Saved Searches &gt; New.
2. On the New Saved Search page click Customer.
3. On the Saved Customer Search page, rename the Search Title to M2R01_&lt;your initials&gt;.
4. On the Criteria tab, select the following filter:
     - Subscription is Marketing
5. Click Save &amp; Run.</t>
  </si>
  <si>
    <t>1. Results of Saved Search are displayed, including Customer from Step above.</t>
  </si>
  <si>
    <r>
      <t xml:space="preserve">Include: </t>
    </r>
    <r>
      <rPr>
        <b/>
        <sz val="10"/>
        <color rgb="FFFF0000"/>
        <rFont val="Calibri"/>
        <family val="2"/>
        <scheme val="minor"/>
      </rPr>
      <t>Saved Search Name</t>
    </r>
  </si>
  <si>
    <t>Set Up Groups (Dynamic)</t>
  </si>
  <si>
    <t>1. Navigate to Campaigns &gt; Marketing &gt; Groups &gt; New.
2. On the Create Group page, select Dynamic and Customer. Click Continue.
3. On Create Dynamic Customer Group, enter M2R01_group in the Name field. In the Saved Search box, select the Saved Search created in Step 3.
4. Click Save.</t>
  </si>
  <si>
    <t>1. Group successfully Saved.
2. Group members are displayed in the list.</t>
  </si>
  <si>
    <r>
      <t xml:space="preserve">Include: </t>
    </r>
    <r>
      <rPr>
        <b/>
        <sz val="10"/>
        <color rgb="FFFF0000"/>
        <rFont val="Calibri"/>
        <family val="2"/>
        <scheme val="minor"/>
      </rPr>
      <t>Dynamic Customer Group Name</t>
    </r>
  </si>
  <si>
    <t>Set Up Promotions</t>
  </si>
  <si>
    <t>1. From the Dashboard Shortcuts portlet, click Promotions. Promotions page appears.
2. Click New Promotion.
3. Click Order-Based Promotions. Promotion page appears.
4. Enter M2R01_promotion in the Promotion Name field. Select a Discount Item. (Other fields are optional)
5. On the Codes subtab, select Number of Uses = Multiple Uses. Enter M2R01 in the Coupon Code field.
6. On the Eligibility subtab, select the Order sublist. In the Add Order Criteria box, select Set Order Total and enter $100 USD minimum purchase. Click Save.
7. On the Discount subtab, select New Order Discount from the Add Order Discount box. Enter 25% and click Save to close the dialogue box.
8. Click Save.</t>
  </si>
  <si>
    <t>1. Promotion successfully saved, viewable, and can be updated.</t>
  </si>
  <si>
    <r>
      <t xml:space="preserve">Include: </t>
    </r>
    <r>
      <rPr>
        <b/>
        <sz val="10"/>
        <color rgb="FFFF0000"/>
        <rFont val="Calibri"/>
        <family val="2"/>
        <scheme val="minor"/>
      </rPr>
      <t>Promotion Name</t>
    </r>
  </si>
  <si>
    <t>Set Up Campaign</t>
  </si>
  <si>
    <t>1. Navigate to Campaigns &gt; Marketing &gt; Marketing Campaigns &gt; New. New Marketing Campaign screen opens.
2. Enter the following values:
     - Title: M2R01_Campaign
     - Category: Email
     - Set a Base Cost
     - Set an Expected Revenue
     - Promotion Code: M2R01_promotion
3. From the Events subtab, enter an Email campaign with the following values:
     - Target Group: M2R01_group
     - Template: M2R01_template
     - Subscription: Marketing
     - Channel: Email
     - Status:Execute
     - Date: Current date (default)
     - Promotion: M2E01_promotion
4. Click Add.
5. Click Save.</t>
  </si>
  <si>
    <t>1. Campaign successfully saved and can be used.</t>
  </si>
  <si>
    <r>
      <t xml:space="preserve">Include: </t>
    </r>
    <r>
      <rPr>
        <b/>
        <sz val="10"/>
        <color rgb="FFFF0000"/>
        <rFont val="Calibri"/>
        <family val="2"/>
        <scheme val="minor"/>
      </rPr>
      <t>Marketing Campaign Name</t>
    </r>
  </si>
  <si>
    <t>Execute Campaign</t>
  </si>
  <si>
    <t>1. With the Status set to Execute, the Campaign will automatically run.
2. After the Campaign has executed, navigate to the Marketing Campaign record and view the Statistics tab to see the results.</t>
  </si>
  <si>
    <t>1. Statistics displays metrics for the Campaign.</t>
  </si>
  <si>
    <t>Custom: &lt;Consultant to complete this section for exception Marketing to ROI processes (i.e. script, workflow, or other custom process). Otherwise, DELETE this section.&gt;</t>
  </si>
  <si>
    <t>Manually enter a new support case.</t>
  </si>
  <si>
    <t>Create New Case</t>
  </si>
  <si>
    <t>1. From the home Dashboard, click New Case under Case Management on the Navigation Portlet.
2. Enter the following information:
     - Company (use company from Sales Order scenatio)
     - Subject: Call to Resolution scenario C2R01
     - Origin: Phone
     - Type: Question
     - Assigned To: Select your name
     - Message: Customer had a billing question.
3. Click Save.</t>
  </si>
  <si>
    <t>1. Case successfully saved, can be viewed, and updated.</t>
  </si>
  <si>
    <t>Manually update existing support case.</t>
  </si>
  <si>
    <t>Update Case</t>
  </si>
  <si>
    <t>1. From the home Dashboard, click Cases to Respond Do from the Reminders portlet.
2. On the Case Search page, click Edit next to the Case from scenario C2R01.
3. Enter the following information:
     - Status: Closed
     - Close Reason: 100% Answered
     - Reply: Bill due at end of month.
     - Send to Customer: Checked
4. Click Save.</t>
  </si>
  <si>
    <t>1. Case successfully Saved.
2. Case does not appear in list below.</t>
  </si>
  <si>
    <t>Custom: &lt;Consultant to complete this section for exception Call to Resolution processes (i.e. script, workflow, or other custom process). Otherwise, DELETE this section.&gt;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</si>
</sst>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b/>
      <sz val="14"/>
      <color theme="0"/>
      <name val="Calibri"/>
      <family val="2"/>
      <scheme val="minor"/>
    </font>
    <font>
      <sz val="10"/>
      <color theme="1"/>
      <name val="Calibri"/>
      <family val="2"/>
      <scheme val="minor"/>
    </font>
    <font>
      <b/>
      <sz val="10"/>
      <color rgb="FFFF0000"/>
      <name val="Calibri"/>
      <family val="2"/>
      <scheme val="minor"/>
    </font>
    <font>
      <sz val="10"/>
      <color rgb="FFFF0000"/>
      <name val="Calibri"/>
      <family val="2"/>
      <scheme val="minor"/>
    </font>
    <font>
      <sz val="10"/>
      <name val="Calibri"/>
      <family val="2"/>
      <scheme val="minor"/>
    </font>
    <font>
      <b/>
      <sz val="12"/>
      <color theme="1"/>
      <name val="Calibri"/>
      <family val="2"/>
      <scheme val="minor"/>
    </font>
    <font>
      <i/>
      <sz val="11"/>
      <color theme="1"/>
      <name val="Calibri"/>
      <family val="2"/>
      <scheme val="minor"/>
    </font>
    <font>
      <b/>
      <sz val="10"/>
      <color theme="1"/>
      <name val="Calibri"/>
      <family val="2"/>
      <scheme val="minor"/>
    </font>
    <font>
      <b/>
      <sz val="14"/>
      <color rgb="FFFF0000"/>
      <name val="Calibri"/>
      <family val="2"/>
      <scheme val="minor"/>
    </font>
    <font>
      <sz val="11"/>
      <color rgb="FFFF0000"/>
      <name val="Calibri"/>
      <family val="2"/>
      <scheme val="minor"/>
    </font>
    <font>
      <sz val="11"/>
      <color rgb="FF0070C0"/>
      <name val="Calibri"/>
      <family val="2"/>
      <scheme val="minor"/>
    </font>
    <font>
      <b/>
      <sz val="11"/>
      <color rgb="FF0070C0"/>
      <name val="Calibri"/>
      <family val="2"/>
      <scheme val="minor"/>
    </font>
    <font>
      <sz val="10"/>
      <color rgb="FF0070C0"/>
      <name val="Calibri"/>
      <family val="2"/>
      <scheme val="minor"/>
    </font>
    <font>
      <b/>
      <sz val="10"/>
      <color rgb="FF0070C0"/>
      <name val="Calibri"/>
      <family val="2"/>
      <scheme val="minor"/>
    </font>
    <font>
      <b/>
      <sz val="14"/>
      <color rgb="FFFFFFFF"/>
      <name val="Calibri"/>
      <family val="2"/>
      <scheme val="minor"/>
    </font>
  </fonts>
  <fills count="5">
    <fill>
      <patternFill patternType="none"/>
    </fill>
    <fill>
      <patternFill patternType="gray125"/>
    </fill>
    <fill>
      <patternFill patternType="solid">
        <fgColor theme="8"/>
        <bgColor indexed="64"/>
      </patternFill>
    </fill>
    <fill>
      <patternFill patternType="solid">
        <fgColor theme="0" tint="-0.249977111117893"/>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21">
    <xf numFmtId="0" fontId="0" fillId="0" borderId="0" xfId="0"/>
    <xf numFmtId="0" fontId="0" fillId="0" borderId="0" xfId="0" applyAlignment="1">
      <alignment horizontal="center"/>
    </xf>
    <xf numFmtId="0" fontId="0" fillId="0" borderId="0" xfId="0" applyAlignment="1">
      <alignment wrapText="1"/>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0" fillId="3" borderId="1" xfId="0" applyFill="1" applyBorder="1"/>
    <xf numFmtId="0" fontId="1" fillId="3" borderId="1" xfId="0" applyFont="1" applyFill="1" applyBorder="1"/>
    <xf numFmtId="0" fontId="1" fillId="3" borderId="1" xfId="0" applyFont="1" applyFill="1" applyBorder="1" applyAlignment="1">
      <alignment wrapText="1"/>
    </xf>
    <xf numFmtId="0" fontId="3" fillId="0" borderId="1" xfId="0" applyFont="1" applyBorder="1" applyAlignment="1">
      <alignment vertical="center" wrapText="1"/>
    </xf>
    <xf numFmtId="0" fontId="3" fillId="0" borderId="1" xfId="0" applyFont="1" applyBorder="1" applyAlignment="1">
      <alignment vertical="top" wrapText="1"/>
    </xf>
    <xf numFmtId="0" fontId="3" fillId="0" borderId="1" xfId="0" applyFont="1" applyBorder="1" applyAlignment="1">
      <alignment vertical="top"/>
    </xf>
    <xf numFmtId="0" fontId="3" fillId="0" borderId="1"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vertical="top"/>
    </xf>
    <xf numFmtId="0" fontId="6" fillId="0" borderId="1" xfId="0" applyFont="1" applyBorder="1" applyAlignment="1">
      <alignment vertical="center" wrapText="1"/>
    </xf>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3" fillId="0" borderId="6" xfId="0" applyFont="1" applyBorder="1" applyAlignment="1">
      <alignment vertical="top" wrapText="1"/>
    </xf>
    <xf numFmtId="0" fontId="0" fillId="0" borderId="1" xfId="0" applyBorder="1"/>
    <xf numFmtId="0" fontId="0" fillId="0" borderId="7" xfId="0" applyBorder="1"/>
    <xf numFmtId="0" fontId="3" fillId="0" borderId="0" xfId="0" applyFont="1" applyAlignment="1">
      <alignment vertical="top"/>
    </xf>
    <xf numFmtId="0" fontId="7" fillId="0" borderId="0" xfId="0" applyFont="1" applyAlignment="1">
      <alignment horizontal="left" vertical="center"/>
    </xf>
    <xf numFmtId="0" fontId="1" fillId="0" borderId="7" xfId="0" applyFont="1" applyBorder="1" applyAlignment="1">
      <alignment horizontal="center"/>
    </xf>
    <xf numFmtId="0" fontId="8" fillId="4" borderId="0" xfId="0" applyFont="1" applyFill="1" applyAlignment="1">
      <alignment horizontal="center"/>
    </xf>
    <xf numFmtId="0" fontId="8" fillId="4" borderId="0" xfId="0" applyFont="1" applyFill="1"/>
    <xf numFmtId="0" fontId="5" fillId="0" borderId="1" xfId="0" applyFont="1" applyBorder="1" applyAlignment="1">
      <alignment vertical="top"/>
    </xf>
    <xf numFmtId="0" fontId="3" fillId="0" borderId="0" xfId="0" applyFont="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4" xfId="0" applyFont="1" applyBorder="1" applyAlignment="1">
      <alignment horizontal="center" vertical="center"/>
    </xf>
    <xf numFmtId="0" fontId="3" fillId="0" borderId="1" xfId="0" applyFont="1" applyBorder="1" applyAlignment="1">
      <alignment horizontal="left" wrapText="1"/>
    </xf>
    <xf numFmtId="0" fontId="3" fillId="0" borderId="1" xfId="0" applyFont="1" applyBorder="1" applyAlignment="1">
      <alignment horizontal="left" vertical="top" wrapText="1"/>
    </xf>
    <xf numFmtId="0" fontId="3" fillId="0" borderId="1" xfId="0" applyFont="1" applyBorder="1" applyAlignment="1">
      <alignment horizontal="left"/>
    </xf>
    <xf numFmtId="0" fontId="3" fillId="0" borderId="1" xfId="0" applyFont="1" applyBorder="1" applyAlignment="1">
      <alignment horizontal="left" vertical="top"/>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wrapText="1"/>
    </xf>
    <xf numFmtId="0" fontId="3" fillId="0" borderId="0" xfId="0" applyFont="1" applyAlignment="1">
      <alignment horizontal="left" vertical="top" wrapText="1"/>
    </xf>
    <xf numFmtId="0" fontId="3" fillId="0" borderId="0" xfId="0" applyFont="1" applyAlignment="1">
      <alignment horizontal="left"/>
    </xf>
    <xf numFmtId="0" fontId="3" fillId="0" borderId="0" xfId="0" applyFont="1" applyAlignment="1">
      <alignment horizontal="left" vertical="top"/>
    </xf>
    <xf numFmtId="0" fontId="10" fillId="0" borderId="0" xfId="0" applyFont="1" applyAlignment="1">
      <alignment horizontal="left"/>
    </xf>
    <xf numFmtId="0" fontId="12" fillId="0" borderId="0" xfId="0" applyFont="1" applyAlignment="1">
      <alignment horizontal="center"/>
    </xf>
    <xf numFmtId="0" fontId="12" fillId="0" borderId="0" xfId="0" applyFont="1"/>
    <xf numFmtId="0" fontId="14"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xf numFmtId="0" fontId="14" fillId="0" borderId="0" xfId="0" applyFont="1"/>
    <xf numFmtId="0" fontId="14" fillId="0" borderId="4" xfId="0" applyFont="1" applyBorder="1" applyAlignment="1">
      <alignment wrapText="1"/>
    </xf>
    <xf numFmtId="0" fontId="14" fillId="0" borderId="0" xfId="0" applyFont="1" applyAlignment="1">
      <alignment wrapText="1"/>
    </xf>
    <xf numFmtId="0" fontId="14" fillId="0" borderId="0" xfId="0" applyFont="1" applyAlignment="1">
      <alignment vertical="center"/>
    </xf>
    <xf numFmtId="0" fontId="14" fillId="0" borderId="1" xfId="0" applyFont="1" applyBorder="1" applyAlignment="1">
      <alignment wrapText="1"/>
    </xf>
    <xf numFmtId="0" fontId="14" fillId="0" borderId="0" xfId="0" applyFont="1" applyAlignment="1">
      <alignment horizontal="center" vertical="center" wrapText="1"/>
    </xf>
    <xf numFmtId="0" fontId="12" fillId="0" borderId="1" xfId="0" applyFont="1" applyBorder="1" applyAlignment="1">
      <alignment wrapText="1"/>
    </xf>
    <xf numFmtId="0" fontId="12" fillId="0" borderId="1" xfId="0" applyFont="1" applyBorder="1"/>
    <xf numFmtId="0" fontId="12" fillId="0" borderId="0" xfId="0" applyFont="1" applyAlignment="1">
      <alignment wrapText="1"/>
    </xf>
    <xf numFmtId="0" fontId="14" fillId="0" borderId="1" xfId="0" applyFont="1" applyBorder="1" applyAlignment="1">
      <alignment horizontal="center" vertical="center"/>
    </xf>
    <xf numFmtId="0" fontId="14" fillId="0" borderId="1" xfId="0" applyFont="1" applyBorder="1" applyAlignment="1">
      <alignment vertical="center" wrapText="1"/>
    </xf>
    <xf numFmtId="0" fontId="14" fillId="0" borderId="1" xfId="0" applyFont="1" applyBorder="1" applyAlignment="1">
      <alignment vertical="top" wrapText="1"/>
    </xf>
    <xf numFmtId="0" fontId="14" fillId="0" borderId="1" xfId="0" applyFont="1" applyBorder="1" applyAlignment="1">
      <alignment vertical="top"/>
    </xf>
    <xf numFmtId="0" fontId="14" fillId="0" borderId="6" xfId="0" applyFont="1" applyBorder="1" applyAlignment="1">
      <alignment vertical="top" wrapText="1"/>
    </xf>
    <xf numFmtId="0" fontId="11" fillId="0" borderId="0" xfId="0" applyFont="1" applyAlignment="1">
      <alignment horizontal="center"/>
    </xf>
    <xf numFmtId="0" fontId="11" fillId="0" borderId="0" xfId="0" applyFont="1"/>
    <xf numFmtId="0" fontId="14" fillId="0" borderId="4" xfId="0" applyFont="1" applyBorder="1" applyAlignment="1">
      <alignment horizontal="center" vertical="center"/>
    </xf>
    <xf numFmtId="0" fontId="3" fillId="0" borderId="4" xfId="0" applyFont="1" applyBorder="1" applyAlignment="1">
      <alignment vertical="center" wrapText="1"/>
    </xf>
    <xf numFmtId="0" fontId="0" fillId="0" borderId="4" xfId="0" applyBorder="1"/>
    <xf numFmtId="0" fontId="0" fillId="0" borderId="5" xfId="0" applyBorder="1"/>
    <xf numFmtId="0" fontId="14" fillId="0" borderId="4" xfId="0" applyFont="1" applyBorder="1"/>
    <xf numFmtId="0" fontId="12" fillId="0" borderId="4" xfId="0" quotePrefix="1" applyFont="1" applyBorder="1"/>
    <xf numFmtId="0" fontId="3" fillId="0" borderId="4" xfId="0" applyFont="1" applyBorder="1" applyAlignment="1">
      <alignment vertical="top" wrapText="1"/>
    </xf>
    <xf numFmtId="0" fontId="6" fillId="0" borderId="4" xfId="0" applyFont="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2" fillId="2" borderId="1" xfId="0" applyFont="1" applyFill="1" applyBorder="1" applyAlignment="1">
      <alignment horizontal="center"/>
    </xf>
    <xf numFmtId="0" fontId="0" fillId="3" borderId="2" xfId="0" applyFill="1" applyBorder="1" applyAlignment="1">
      <alignment horizontal="left"/>
    </xf>
    <xf numFmtId="0" fontId="0" fillId="3" borderId="3" xfId="0" applyFill="1" applyBorder="1" applyAlignment="1">
      <alignment horizontal="left"/>
    </xf>
    <xf numFmtId="0" fontId="0" fillId="3" borderId="4" xfId="0" applyFill="1" applyBorder="1" applyAlignment="1">
      <alignment horizontal="left"/>
    </xf>
    <xf numFmtId="0" fontId="2" fillId="2" borderId="0" xfId="0" applyFont="1" applyFill="1" applyAlignment="1">
      <alignment horizontal="center"/>
    </xf>
    <xf numFmtId="0" fontId="2" fillId="2" borderId="9" xfId="0" applyFont="1" applyFill="1" applyBorder="1" applyAlignment="1">
      <alignment horizontal="center"/>
    </xf>
    <xf numFmtId="0" fontId="0" fillId="3" borderId="1" xfId="0" applyFill="1" applyBorder="1" applyAlignment="1">
      <alignment horizontal="left"/>
    </xf>
    <xf numFmtId="0" fontId="1" fillId="3" borderId="0" xfId="0" applyFont="1" applyFill="1" applyAlignment="1">
      <alignment horizontal="center"/>
    </xf>
    <xf numFmtId="0" fontId="1" fillId="3" borderId="9" xfId="0" applyFont="1" applyFill="1" applyBorder="1" applyAlignment="1">
      <alignment horizont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 fillId="3" borderId="12" xfId="0" applyFont="1" applyFill="1" applyBorder="1" applyAlignment="1">
      <alignment horizontal="center"/>
    </xf>
    <xf numFmtId="0" fontId="1" fillId="3" borderId="10" xfId="0" applyFont="1" applyFill="1" applyBorder="1" applyAlignment="1">
      <alignment horizontal="center"/>
    </xf>
    <xf numFmtId="0" fontId="2" fillId="2" borderId="11" xfId="0" applyFont="1" applyFill="1" applyBorder="1" applyAlignment="1">
      <alignment horizontal="center"/>
    </xf>
    <xf numFmtId="0" fontId="2" fillId="2" borderId="8" xfId="0" applyFont="1" applyFill="1" applyBorder="1" applyAlignment="1">
      <alignment horizontal="center"/>
    </xf>
    <xf numFmtId="0" fontId="3" fillId="0" borderId="7" xfId="0" applyFont="1" applyBorder="1" applyAlignment="1">
      <alignment horizontal="center" vertical="center"/>
    </xf>
    <xf numFmtId="0" fontId="12" fillId="3" borderId="1" xfId="0" applyFont="1" applyFill="1" applyBorder="1" applyAlignment="1">
      <alignment horizontal="left"/>
    </xf>
    <xf numFmtId="0" fontId="16" fillId="2" borderId="0" xfId="0" applyFont="1" applyFill="1" applyAlignment="1">
      <alignment horizontal="center"/>
    </xf>
    <xf numFmtId="0" fontId="16" fillId="2" borderId="9" xfId="0" applyFont="1" applyFill="1" applyBorder="1" applyAlignment="1">
      <alignment horizontal="center"/>
    </xf>
    <xf numFmtId="0" fontId="13" fillId="3" borderId="0" xfId="0" applyFont="1" applyFill="1" applyAlignment="1">
      <alignment horizontal="center"/>
    </xf>
    <xf numFmtId="0" fontId="13" fillId="3" borderId="9" xfId="0" applyFont="1" applyFill="1" applyBorder="1" applyAlignment="1">
      <alignment horizontal="center"/>
    </xf>
    <xf numFmtId="0" fontId="12" fillId="3" borderId="2" xfId="0" applyFont="1" applyFill="1" applyBorder="1" applyAlignment="1">
      <alignment horizontal="left"/>
    </xf>
    <xf numFmtId="0" fontId="12" fillId="3" borderId="3" xfId="0" applyFont="1" applyFill="1" applyBorder="1" applyAlignment="1">
      <alignment horizontal="left"/>
    </xf>
    <xf numFmtId="0" fontId="12" fillId="3" borderId="4" xfId="0" applyFont="1" applyFill="1" applyBorder="1" applyAlignment="1">
      <alignment horizontal="left"/>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3" fillId="3" borderId="12" xfId="0" applyFont="1" applyFill="1" applyBorder="1" applyAlignment="1">
      <alignment horizontal="center"/>
    </xf>
    <xf numFmtId="0" fontId="13" fillId="3" borderId="10" xfId="0" applyFont="1" applyFill="1" applyBorder="1" applyAlignment="1">
      <alignment horizontal="center"/>
    </xf>
    <xf numFmtId="0" fontId="1" fillId="3" borderId="0" xfId="0" applyFont="1" applyFill="1" applyAlignment="1">
      <alignment horizontal="center" wrapText="1"/>
    </xf>
    <xf numFmtId="0" fontId="1" fillId="3" borderId="9" xfId="0" applyFont="1" applyFill="1" applyBorder="1" applyAlignment="1">
      <alignment horizontal="center" wrapText="1"/>
    </xf>
    <xf numFmtId="0" fontId="0" fillId="3" borderId="1" xfId="0" applyFill="1" applyBorder="1" applyAlignment="1">
      <alignment horizontal="left" wrapText="1"/>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0" borderId="7" xfId="0" applyFont="1" applyBorder="1" applyAlignment="1">
      <alignment horizontal="center" vertical="center" wrapText="1"/>
    </xf>
    <xf numFmtId="0" fontId="2" fillId="2" borderId="0" xfId="0" applyFont="1" applyFill="1" applyAlignment="1">
      <alignment horizontal="center" wrapText="1"/>
    </xf>
    <xf numFmtId="0" fontId="2" fillId="2" borderId="9" xfId="0" applyFont="1" applyFill="1" applyBorder="1" applyAlignment="1">
      <alignment horizontal="center" wrapText="1"/>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cellXfs>
  <cellStyles count="1">
    <cellStyle name="Normal" xfId="0" builtinId="0"/>
  </cellStyles>
  <dxfs count="10">
    <dxf>
      <alignment horizontal="center" vertical="bottom" textRotation="0" wrapText="0" indent="0" justifyLastLine="0" shrinkToFit="0" readingOrder="0"/>
    </dxf>
    <dxf>
      <border outline="0">
        <bottom style="thin">
          <color indexed="64"/>
        </bottom>
      </border>
    </dxf>
    <dxf>
      <border outline="0">
        <top style="thin">
          <color indexed="64"/>
        </top>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color rgb="FFFF0000"/>
      </font>
    </dxf>
    <dxf>
      <font>
        <b val="0"/>
        <i/>
        <color rgb="FFFF0000"/>
      </font>
    </dxf>
    <dxf>
      <font>
        <b val="0"/>
        <i/>
        <color rgb="FFFF0000"/>
      </font>
    </dxf>
    <dxf>
      <font>
        <b val="0"/>
        <i/>
        <color rgb="FFFF0000"/>
      </font>
    </dxf>
    <dxf>
      <font>
        <b val="0"/>
        <i/>
        <color rgb="FFFF0000"/>
      </font>
    </dxf>
    <dxf>
      <font>
        <b val="0"/>
        <i/>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2:D68" totalsRowShown="0" headerRowDxfId="3" headerRowBorderDxfId="1" tableBorderDxfId="2">
  <autoFilter ref="A2:D68" xr:uid="{00000000-0009-0000-0100-000003000000}"/>
  <tableColumns count="4">
    <tableColumn id="1" xr3:uid="{00000000-0010-0000-0000-000001000000}" name="Case #" dataDxfId="0"/>
    <tableColumn id="2" xr3:uid="{00000000-0010-0000-0000-000002000000}" name="Scenario"/>
    <tableColumn id="3" xr3:uid="{00000000-0010-0000-0000-000003000000}" name="Pass/Fail"/>
    <tableColumn id="4" xr3:uid="{00000000-0010-0000-0000-000004000000}" name="Notes"/>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8"/>
  <sheetViews>
    <sheetView workbookViewId="0">
      <pane ySplit="2" topLeftCell="A3" activePane="bottomLeft" state="frozen"/>
      <selection pane="bottomLeft" activeCell="D3" sqref="D3"/>
    </sheetView>
  </sheetViews>
  <sheetFormatPr defaultColWidth="8.85546875" defaultRowHeight="15"/>
  <cols>
    <col min="1" max="1" width="12.85546875" style="1" customWidth="1"/>
    <col min="2" max="2" width="51.7109375" bestFit="1" customWidth="1"/>
    <col min="3" max="3" width="11" customWidth="1"/>
    <col min="4" max="4" width="57" customWidth="1"/>
  </cols>
  <sheetData>
    <row r="1" spans="1:4" ht="18.95">
      <c r="A1" s="79" t="s">
        <v>0</v>
      </c>
      <c r="B1" s="79"/>
      <c r="C1" s="79"/>
      <c r="D1" s="79"/>
    </row>
    <row r="2" spans="1:4">
      <c r="A2" s="23" t="s">
        <v>1</v>
      </c>
      <c r="B2" s="23" t="s">
        <v>2</v>
      </c>
      <c r="C2" s="23" t="s">
        <v>3</v>
      </c>
      <c r="D2" s="23" t="s">
        <v>4</v>
      </c>
    </row>
    <row r="3" spans="1:4" ht="15.95">
      <c r="B3" s="22" t="s">
        <v>5</v>
      </c>
    </row>
    <row r="4" spans="1:4">
      <c r="A4" s="1" t="s">
        <v>6</v>
      </c>
      <c r="B4" t="s">
        <v>7</v>
      </c>
      <c r="C4" t="str">
        <f>+IF(COUNTIF(D2B01,"Fail")&gt;0,"Fail",IF(COUNTIF(D2B01,"")&gt;0,"Not Tested","Pass"))</f>
        <v>Not Tested</v>
      </c>
    </row>
    <row r="5" spans="1:4">
      <c r="A5" s="1" t="s">
        <v>8</v>
      </c>
      <c r="B5" t="s">
        <v>9</v>
      </c>
      <c r="C5" t="str">
        <f>+IF(COUNTIF(D2B02,"Fail")&gt;0,"Fail",IF(COUNTIF(D2B02,"")&gt;0,"Not Tested","Pass"))</f>
        <v>Not Tested</v>
      </c>
    </row>
    <row r="6" spans="1:4">
      <c r="A6" s="1" t="s">
        <v>10</v>
      </c>
      <c r="B6" t="s">
        <v>11</v>
      </c>
      <c r="C6" t="str">
        <f>+IF(COUNTIF(D2B03,"Fail")&gt;0,"Fail",IF(COUNTIF(D2B03,"")&gt;0,"Not Tested","Pass"))</f>
        <v>Not Tested</v>
      </c>
    </row>
    <row r="7" spans="1:4">
      <c r="A7" s="1" t="s">
        <v>12</v>
      </c>
      <c r="B7" t="s">
        <v>13</v>
      </c>
      <c r="C7" t="str">
        <f>+IF(COUNTIF(D2B04,"Fail")&gt;0,"Fail",IF(COUNTIF(D2B04,"")&gt;0,"Not Tested","Pass"))</f>
        <v>Not Tested</v>
      </c>
    </row>
    <row r="8" spans="1:4">
      <c r="A8" s="1" t="s">
        <v>14</v>
      </c>
      <c r="B8" t="s">
        <v>15</v>
      </c>
      <c r="C8" t="str">
        <f>+IF(COUNTIF(D2B05,"Fail")&gt;0,"Fail",IF(COUNTIF(D2B05,"")&gt;0,"Not Tested","Pass"))</f>
        <v>Not Tested</v>
      </c>
    </row>
    <row r="9" spans="1:4">
      <c r="A9" s="1" t="s">
        <v>16</v>
      </c>
      <c r="B9" t="s">
        <v>17</v>
      </c>
      <c r="C9" t="str">
        <f>+IF(COUNTIF(D2B06,"Fail")&gt;0,"Fail",IF(COUNTIF(D2B06,"")&gt;0,"Not Tested","Pass"))</f>
        <v>Not Tested</v>
      </c>
    </row>
    <row r="10" spans="1:4">
      <c r="A10" s="61" t="s">
        <v>18</v>
      </c>
      <c r="B10" s="62" t="s">
        <v>19</v>
      </c>
      <c r="C10" s="62" t="str">
        <f>+IF(COUNTIF(D2B07,"Fail")&gt;0,"Fail",IF(COUNTIF(D2B07,"")&gt;0,"Not Tested","Pass"))</f>
        <v>Not Tested</v>
      </c>
      <c r="D10" s="62" t="s">
        <v>20</v>
      </c>
    </row>
    <row r="11" spans="1:4">
      <c r="A11" s="61" t="s">
        <v>21</v>
      </c>
      <c r="B11" s="62" t="s">
        <v>22</v>
      </c>
      <c r="C11" s="62" t="str">
        <f>+IF(COUNTIF(D2B08,"Fail")&gt;0,"Fail",IF(COUNTIF(D2B08,"")&gt;0,"Not Tested","Pass"))</f>
        <v>Not Tested</v>
      </c>
      <c r="D11" s="62" t="s">
        <v>20</v>
      </c>
    </row>
    <row r="12" spans="1:4">
      <c r="A12" s="61" t="s">
        <v>23</v>
      </c>
      <c r="B12" s="62" t="s">
        <v>24</v>
      </c>
      <c r="C12" s="62" t="str">
        <f>+IF(COUNTIF(D2B09,"Fail")&gt;0,"Fail",IF(COUNTIF(D2B09,"")&gt;0,"Not Tested","Pass"))</f>
        <v>Not Tested</v>
      </c>
      <c r="D12" s="62" t="s">
        <v>20</v>
      </c>
    </row>
    <row r="13" spans="1:4">
      <c r="A13" s="61" t="s">
        <v>25</v>
      </c>
      <c r="B13" s="62" t="s">
        <v>26</v>
      </c>
      <c r="C13" s="62" t="str">
        <f>+IF(COUNTIF(D2B10,"Fail")&gt;0,"Fail",IF(COUNTIF(D2B10,"")&gt;0,"Not Tested","Pass"))</f>
        <v>Not Tested</v>
      </c>
      <c r="D13" s="62" t="s">
        <v>20</v>
      </c>
    </row>
    <row r="14" spans="1:4">
      <c r="A14" s="24" t="s">
        <v>27</v>
      </c>
      <c r="B14" s="25" t="s">
        <v>28</v>
      </c>
      <c r="C14" s="25" t="str">
        <f>+IF(COUNTIF(D2B_CUS01,"Fail")&gt;0,"Fail",IF(COUNTIF(D2B_CUS01,"")&gt;0,"Not Tested","Pass"))</f>
        <v>Not Tested</v>
      </c>
      <c r="D14" s="25" t="s">
        <v>29</v>
      </c>
    </row>
    <row r="15" spans="1:4" ht="15.95">
      <c r="B15" s="22" t="s">
        <v>30</v>
      </c>
    </row>
    <row r="16" spans="1:4">
      <c r="A16" s="1" t="s">
        <v>31</v>
      </c>
      <c r="B16" t="s">
        <v>32</v>
      </c>
      <c r="C16" t="str">
        <f>+IF(COUNTIF(_R2R01,"Fail")&gt;0,"Fail",IF(COUNTIF(_R2R01,"")&gt;0,"Not Tested","Pass"))</f>
        <v>Not Tested</v>
      </c>
    </row>
    <row r="17" spans="1:4">
      <c r="A17" s="1" t="s">
        <v>33</v>
      </c>
      <c r="B17" t="s">
        <v>34</v>
      </c>
      <c r="C17" t="str">
        <f>+IF(COUNTIF(_R2R02,"Fail")&gt;0,"Fail",IF(COUNTIF(_R2R02,"")&gt;0,"Not Tested","Pass"))</f>
        <v>Not Tested</v>
      </c>
    </row>
    <row r="18" spans="1:4">
      <c r="A18" s="1" t="s">
        <v>35</v>
      </c>
      <c r="B18" t="s">
        <v>36</v>
      </c>
      <c r="C18" t="str">
        <f>+IF(COUNTIF(_R2R03,"Fail")&gt;0,"Fail",IF(COUNTIF(_R2R03,"")&gt;0,"Not Tested","Pass"))</f>
        <v>Not Tested</v>
      </c>
    </row>
    <row r="19" spans="1:4">
      <c r="A19" s="1" t="s">
        <v>37</v>
      </c>
      <c r="B19" t="s">
        <v>38</v>
      </c>
      <c r="C19" t="str">
        <f>+IF(COUNTIF(_R2R04,"Fail")&gt;0,"Fail",IF(COUNTIF(_R2R04,"")&gt;0,"Not Tested","Pass"))</f>
        <v>Not Tested</v>
      </c>
    </row>
    <row r="20" spans="1:4">
      <c r="A20" s="1" t="s">
        <v>39</v>
      </c>
      <c r="B20" t="s">
        <v>40</v>
      </c>
      <c r="C20" t="str">
        <f>+IF(COUNTIF(_R2R05,"Fail")&gt;0,"Fail",IF(COUNTIF(_R2R05,"")&gt;0,"Not Tested","Pass"))</f>
        <v>Not Tested</v>
      </c>
    </row>
    <row r="21" spans="1:4">
      <c r="A21" s="1" t="s">
        <v>41</v>
      </c>
      <c r="B21" t="s">
        <v>42</v>
      </c>
      <c r="C21" t="str">
        <f>+IF(COUNTIF(_R2R06,"Fail")&gt;0,"Fail",IF(COUNTIF(_R2R06,"")&gt;0,"Not Tested","Pass"))</f>
        <v>Not Tested</v>
      </c>
    </row>
    <row r="22" spans="1:4">
      <c r="A22" s="1" t="s">
        <v>43</v>
      </c>
      <c r="B22" t="s">
        <v>44</v>
      </c>
      <c r="C22" t="str">
        <f>+IF(COUNTIF(_R2R07,"Fail")&gt;0,"Fail",IF(COUNTIF(_R2R07,"")&gt;0,"Not Tested","Pass"))</f>
        <v>Not Tested</v>
      </c>
    </row>
    <row r="23" spans="1:4">
      <c r="A23" s="61" t="s">
        <v>45</v>
      </c>
      <c r="B23" s="62" t="s">
        <v>46</v>
      </c>
      <c r="C23" s="62" t="str">
        <f>+IF(COUNTIF(_R2R08,"Fail")&gt;0,"Fail",IF(COUNTIF(_R2R08,"")&gt;0,"Not Tested","Pass"))</f>
        <v>Not Tested</v>
      </c>
      <c r="D23" s="62" t="s">
        <v>20</v>
      </c>
    </row>
    <row r="24" spans="1:4">
      <c r="A24" s="61" t="s">
        <v>47</v>
      </c>
      <c r="B24" s="62" t="s">
        <v>48</v>
      </c>
      <c r="C24" s="62" t="str">
        <f>+IF(COUNTIF(_R2R09,"Fail")&gt;0,"Fail",IF(COUNTIF(_R2R09,"")&gt;0,"Not Tested","Pass"))</f>
        <v>Not Tested</v>
      </c>
      <c r="D24" s="62" t="s">
        <v>20</v>
      </c>
    </row>
    <row r="25" spans="1:4">
      <c r="A25" s="61" t="s">
        <v>49</v>
      </c>
      <c r="B25" s="62" t="s">
        <v>50</v>
      </c>
      <c r="C25" s="62" t="str">
        <f>+IF(COUNTIF(_R2R10,"Fail")&gt;0,"Fail",IF(COUNTIF(_R2R10,"")&gt;0,"Not Tested","Pass"))</f>
        <v>Not Tested</v>
      </c>
      <c r="D25" s="62" t="s">
        <v>20</v>
      </c>
    </row>
    <row r="26" spans="1:4">
      <c r="A26" s="24" t="s">
        <v>51</v>
      </c>
      <c r="B26" s="25" t="s">
        <v>52</v>
      </c>
      <c r="C26" s="25" t="str">
        <f>+IF(COUNTIF(_R2R_CUS01,"Fail")&gt;0,"Fail",IF(COUNTIF(_R2R_CUS01,"")&gt;0,"Not Tested","Pass"))</f>
        <v>Not Tested</v>
      </c>
      <c r="D26" s="25" t="s">
        <v>29</v>
      </c>
    </row>
    <row r="27" spans="1:4" ht="15.95">
      <c r="B27" s="22" t="s">
        <v>53</v>
      </c>
      <c r="C27" s="1"/>
      <c r="D27" s="1"/>
    </row>
    <row r="28" spans="1:4">
      <c r="A28" s="1" t="s">
        <v>54</v>
      </c>
      <c r="B28" t="s">
        <v>55</v>
      </c>
      <c r="C28" t="str">
        <f>+IF(COUNTIF(L2Q01,"Fail")&gt;0,"Fail",IF(COUNTIF(L2Q01,"")&gt;0,"Not Tested","Pass"))</f>
        <v>Not Tested</v>
      </c>
    </row>
    <row r="29" spans="1:4">
      <c r="A29" s="1" t="s">
        <v>56</v>
      </c>
      <c r="B29" t="s">
        <v>57</v>
      </c>
      <c r="C29" t="str">
        <f>+IF(COUNTIF(L2Q02,"Fail")&gt;0,"Fail",IF(COUNTIF(L2Q02,"")&gt;0,"Not Tested","Pass"))</f>
        <v>Not Tested</v>
      </c>
    </row>
    <row r="30" spans="1:4">
      <c r="A30" s="1" t="s">
        <v>58</v>
      </c>
      <c r="B30" t="s">
        <v>59</v>
      </c>
      <c r="C30" t="str">
        <f>+IF(COUNTIF(L2Q03,"Fail")&gt;0,"Fail",IF(COUNTIF(L2Q03,"")&gt;0,"Not Tested","Pass"))</f>
        <v>Not Tested</v>
      </c>
    </row>
    <row r="31" spans="1:4">
      <c r="A31" s="1" t="s">
        <v>60</v>
      </c>
      <c r="B31" t="s">
        <v>61</v>
      </c>
      <c r="C31" t="str">
        <f>+IF(COUNTIF(L2Q04,"Fail")&gt;0,"Fail",IF(COUNTIF(L2Q04,"")&gt;0,"Not Tested","Pass"))</f>
        <v>Not Tested</v>
      </c>
    </row>
    <row r="32" spans="1:4">
      <c r="A32" s="1" t="s">
        <v>62</v>
      </c>
      <c r="B32" t="s">
        <v>63</v>
      </c>
      <c r="C32" t="str">
        <f>+IF(COUNTIF(L2Q05,"Fail")&gt;0,"Fail",IF(COUNTIF(L2Q05,"")&gt;0,"Not Tested","Pass"))</f>
        <v>Not Tested</v>
      </c>
    </row>
    <row r="33" spans="1:4">
      <c r="A33" s="24" t="s">
        <v>64</v>
      </c>
      <c r="B33" s="25" t="s">
        <v>65</v>
      </c>
      <c r="C33" s="25" t="str">
        <f>+IF(COUNTIF(L2Q_CUS01,"Fail")&gt;0,"Fail",IF(COUNTIF(L2Q_CUS01,"")&gt;0,"Not Tested","Pass"))</f>
        <v>Not Tested</v>
      </c>
      <c r="D33" s="25" t="s">
        <v>29</v>
      </c>
    </row>
    <row r="34" spans="1:4" ht="15.95">
      <c r="B34" s="22" t="s">
        <v>66</v>
      </c>
    </row>
    <row r="35" spans="1:4">
      <c r="A35" s="1" t="s">
        <v>67</v>
      </c>
      <c r="B35" t="s">
        <v>68</v>
      </c>
      <c r="C35" t="str">
        <f>+IF(COUNTIF(O2C01,"Fail")&gt;0,"Fail",IF(COUNTIF(O2C01,"")&gt;0,"Not Tested","Pass"))</f>
        <v>Not Tested</v>
      </c>
    </row>
    <row r="36" spans="1:4">
      <c r="A36" s="1" t="s">
        <v>69</v>
      </c>
      <c r="B36" t="s">
        <v>70</v>
      </c>
      <c r="C36" t="str">
        <f>+IF(COUNTIF(O2C02,"Fail")&gt;0,"Fail",IF(COUNTIF(O2C02,"")&gt;0,"Not Tested","Pass"))</f>
        <v>Not Tested</v>
      </c>
    </row>
    <row r="37" spans="1:4">
      <c r="A37" s="1" t="s">
        <v>71</v>
      </c>
      <c r="B37" t="s">
        <v>72</v>
      </c>
      <c r="C37" t="str">
        <f>+IF(COUNTIF(_R2C01,"Fail")&gt;0,"Fail",IF(COUNTIF(_R2C01,"")&gt;0,"Not Tested","Pass"))</f>
        <v>Not Tested</v>
      </c>
    </row>
    <row r="38" spans="1:4">
      <c r="A38" s="1" t="s">
        <v>73</v>
      </c>
      <c r="B38" t="s">
        <v>74</v>
      </c>
      <c r="C38" t="str">
        <f>+IF(COUNTIF(_R2C02,"Fail")&gt;0,"Fail",IF(COUNTIF(_R2C02,"")&gt;0,"Not Tested","Pass"))</f>
        <v>Not Tested</v>
      </c>
    </row>
    <row r="39" spans="1:4">
      <c r="A39" s="24" t="s">
        <v>75</v>
      </c>
      <c r="B39" s="25" t="s">
        <v>76</v>
      </c>
      <c r="C39" s="25" t="str">
        <f>+IF(COUNTIF(O2C_CUS01,"Fail")&gt;0,"Fail",IF(COUNTIF(O2C_CUS01,"")&gt;0,"Not Tested","Pass"))</f>
        <v>Not Tested</v>
      </c>
      <c r="D39" s="25" t="s">
        <v>29</v>
      </c>
    </row>
    <row r="40" spans="1:4" ht="15.95">
      <c r="B40" s="22" t="s">
        <v>77</v>
      </c>
    </row>
    <row r="41" spans="1:4">
      <c r="A41" s="1" t="s">
        <v>78</v>
      </c>
      <c r="B41" t="s">
        <v>79</v>
      </c>
      <c r="C41" t="str">
        <f>+IF(COUNTIF(P2P01,"Fail")&gt;0,"Fail",IF(COUNTIF(P2P01,"")&gt;0,"Not Tested","Pass"))</f>
        <v>Not Tested</v>
      </c>
    </row>
    <row r="42" spans="1:4">
      <c r="A42" s="61" t="s">
        <v>80</v>
      </c>
      <c r="B42" s="62" t="s">
        <v>81</v>
      </c>
      <c r="C42" s="62" t="str">
        <f>+IF(COUNTIF(P2P02,"Fail")&gt;0,"Fail",IF(COUNTIF(P2P02,"")&gt;0,"Not Tested","Pass"))</f>
        <v>Not Tested</v>
      </c>
      <c r="D42" s="62" t="s">
        <v>20</v>
      </c>
    </row>
    <row r="43" spans="1:4">
      <c r="A43" s="1" t="s">
        <v>82</v>
      </c>
      <c r="B43" t="s">
        <v>83</v>
      </c>
      <c r="C43" t="str">
        <f>+IF(COUNTIF(P2P03,"Fail")&gt;0,"Fail",IF(COUNTIF(P2P03,"")&gt;0,"Not Tested","Pass"))</f>
        <v>Not Tested</v>
      </c>
    </row>
    <row r="44" spans="1:4">
      <c r="A44" s="1" t="s">
        <v>84</v>
      </c>
      <c r="B44" t="s">
        <v>85</v>
      </c>
      <c r="C44" t="str">
        <f>+IF(COUNTIF(P2P04,"Fail")&gt;0,"Fail",IF(COUNTIF(P2P04,"")&gt;0,"Not Tested","Pass"))</f>
        <v>Not Tested</v>
      </c>
    </row>
    <row r="45" spans="1:4">
      <c r="A45" s="1" t="s">
        <v>86</v>
      </c>
      <c r="B45" t="s">
        <v>87</v>
      </c>
      <c r="C45" t="str">
        <f>+IF(COUNTIF(P2P05,"Fail")&gt;0,"Fail",IF(COUNTIF(P2P05,"")&gt;0,"Not Tested","Pass"))</f>
        <v>Not Tested</v>
      </c>
    </row>
    <row r="46" spans="1:4">
      <c r="A46" s="1" t="s">
        <v>88</v>
      </c>
      <c r="B46" t="s">
        <v>89</v>
      </c>
      <c r="C46" t="str">
        <f>+IF(COUNTIF(P2P06,"Fail")&gt;0,"Fail",IF(COUNTIF(P2P06,"")&gt;0,"Not Tested","Pass"))</f>
        <v>Not Tested</v>
      </c>
    </row>
    <row r="47" spans="1:4">
      <c r="A47" s="61" t="s">
        <v>90</v>
      </c>
      <c r="B47" s="62" t="s">
        <v>91</v>
      </c>
      <c r="C47" s="62" t="str">
        <f>+IF(COUNTIF(P2P07,"Fail")&gt;0,"Fail",IF(COUNTIF(P2P07,"")&gt;0,"Not Tested","Pass"))</f>
        <v>Not Tested</v>
      </c>
      <c r="D47" s="62" t="s">
        <v>20</v>
      </c>
    </row>
    <row r="48" spans="1:4">
      <c r="A48" s="1" t="s">
        <v>92</v>
      </c>
      <c r="B48" t="s">
        <v>93</v>
      </c>
      <c r="C48" t="str">
        <f>+IF(COUNTIF(P2P08,"Fail")&gt;0,"Fail",IF(COUNTIF(P2P08,"")&gt;0,"Not Tested","Pass"))</f>
        <v>Not Tested</v>
      </c>
    </row>
    <row r="49" spans="1:4">
      <c r="A49" s="1" t="s">
        <v>94</v>
      </c>
      <c r="B49" t="s">
        <v>95</v>
      </c>
      <c r="C49" t="str">
        <f>+IF(COUNTIF(P2P09,"Fail")&gt;0,"Fail",IF(COUNTIF(P2P09,"")&gt;0,"Not Tested","Pass"))</f>
        <v>Not Tested</v>
      </c>
    </row>
    <row r="50" spans="1:4">
      <c r="A50" s="61" t="s">
        <v>96</v>
      </c>
      <c r="B50" s="62" t="s">
        <v>97</v>
      </c>
      <c r="C50" s="62" t="str">
        <f>+IF(COUNTIF(_FA01,"Fail")&gt;0,"Fail",IF(COUNTIF(_FA01,"")&gt;0,"Not Tested","Pass"))</f>
        <v>Not Tested</v>
      </c>
      <c r="D50" s="62" t="s">
        <v>20</v>
      </c>
    </row>
    <row r="51" spans="1:4">
      <c r="A51" s="61" t="s">
        <v>98</v>
      </c>
      <c r="B51" s="62" t="s">
        <v>99</v>
      </c>
      <c r="C51" s="62" t="str">
        <f>+IF(COUNTIF(_FA02,"Fail")&gt;0,"Fail",IF(COUNTIF(_FA02,"")&gt;0,"Not Tested","Pass"))</f>
        <v>Not Tested</v>
      </c>
      <c r="D51" s="62" t="s">
        <v>20</v>
      </c>
    </row>
    <row r="52" spans="1:4">
      <c r="A52" s="61" t="s">
        <v>100</v>
      </c>
      <c r="B52" s="62" t="s">
        <v>101</v>
      </c>
      <c r="C52" s="62" t="str">
        <f>+IF(COUNTIF(_FA03,"Fail")&gt;0,"Fail",IF(COUNTIF(_FA03,"")&gt;0,"Not Tested","Pass"))</f>
        <v>Not Tested</v>
      </c>
      <c r="D52" s="62" t="s">
        <v>20</v>
      </c>
    </row>
    <row r="53" spans="1:4">
      <c r="A53" s="24" t="s">
        <v>102</v>
      </c>
      <c r="B53" s="25" t="s">
        <v>103</v>
      </c>
      <c r="C53" s="25" t="str">
        <f>+IF(COUNTIF(P2P_CUS01,"Fail")&gt;0,"Fail",IF(COUNTIF(P2P_CUS01,"")&gt;0,"Not Tested","Pass"))</f>
        <v>Not Tested</v>
      </c>
      <c r="D53" s="25" t="s">
        <v>29</v>
      </c>
    </row>
    <row r="54" spans="1:4" ht="15.95">
      <c r="B54" s="22" t="s">
        <v>104</v>
      </c>
    </row>
    <row r="55" spans="1:4">
      <c r="A55" s="1" t="s">
        <v>105</v>
      </c>
      <c r="B55" t="s">
        <v>106</v>
      </c>
      <c r="C55" t="str">
        <f>+IF(COUNTIF(_MFG01,"Fail")&gt;0,"Fail",IF(COUNTIF(_MFG01,"")&gt;0,"Not Tested","Pass"))</f>
        <v>Not Tested</v>
      </c>
    </row>
    <row r="56" spans="1:4">
      <c r="A56" s="61" t="s">
        <v>107</v>
      </c>
      <c r="B56" s="62" t="s">
        <v>108</v>
      </c>
      <c r="C56" s="62" t="str">
        <f>+IF(COUNTIF(_MFG02,"Fail")&gt;0,"Fail",IF(COUNTIF(_MFG02,"")&gt;0,"Not Tested","Pass"))</f>
        <v>Not Tested</v>
      </c>
      <c r="D56" s="62" t="s">
        <v>20</v>
      </c>
    </row>
    <row r="57" spans="1:4">
      <c r="A57" s="1" t="s">
        <v>109</v>
      </c>
      <c r="B57" t="s">
        <v>110</v>
      </c>
      <c r="C57" t="str">
        <f>+IF(COUNTIF(_MFG03,"Fail")&gt;0,"Fail",IF(COUNTIF(_MFG03,"")&gt;0,"Not Tested","Pass"))</f>
        <v>Not Tested</v>
      </c>
    </row>
    <row r="58" spans="1:4">
      <c r="A58" s="1" t="s">
        <v>111</v>
      </c>
      <c r="B58" t="s">
        <v>112</v>
      </c>
      <c r="C58" t="str">
        <f>+IF(COUNTIF(_MFG04,"Fail")&gt;0,"Fail",IF(COUNTIF(_MFG04,"")&gt;0,"Not Tested","Pass"))</f>
        <v>Not Tested</v>
      </c>
    </row>
    <row r="59" spans="1:4">
      <c r="A59" s="1" t="s">
        <v>113</v>
      </c>
      <c r="B59" t="s">
        <v>114</v>
      </c>
      <c r="C59" t="str">
        <f>+IF(COUNTIF(_MFG05,"Fail")&gt;0,"Fail",IF(COUNTIF(_MFG05,"")&gt;0,"Not Tested","Pass"))</f>
        <v>Not Tested</v>
      </c>
    </row>
    <row r="60" spans="1:4">
      <c r="A60" s="42" t="s">
        <v>115</v>
      </c>
      <c r="B60" s="43" t="s">
        <v>116</v>
      </c>
      <c r="C60" s="43" t="str">
        <f>+IF(COUNTIF(_MFG06,"Fail")&gt;0,"Fail",IF(COUNTIF(_MFG06,"")&gt;0,"Not Tested","Pass"))</f>
        <v>Not Tested</v>
      </c>
      <c r="D60" s="43" t="s">
        <v>20</v>
      </c>
    </row>
    <row r="61" spans="1:4">
      <c r="A61" s="24" t="s">
        <v>117</v>
      </c>
      <c r="B61" s="25" t="s">
        <v>118</v>
      </c>
      <c r="C61" s="25" t="str">
        <f>+IF(COUNTIF(MFG_CUS01,"Fail")&gt;0,"Fail",IF(COUNTIF(MFG_CUS01,"")&gt;0,"Not Tested","Pass"))</f>
        <v>Not Tested</v>
      </c>
      <c r="D61" s="25" t="s">
        <v>29</v>
      </c>
    </row>
    <row r="62" spans="1:4" ht="15.95">
      <c r="B62" s="22" t="s">
        <v>119</v>
      </c>
    </row>
    <row r="63" spans="1:4">
      <c r="A63" s="1" t="s">
        <v>120</v>
      </c>
      <c r="B63" t="s">
        <v>121</v>
      </c>
      <c r="C63" t="str">
        <f>+IF(COUNTIF(M2R01,"Fail")&gt;0,"Fail",IF(COUNTIF(M2R01,"")&gt;0,"Not Tested","Pass"))</f>
        <v>Not Tested</v>
      </c>
    </row>
    <row r="64" spans="1:4">
      <c r="A64" s="24" t="s">
        <v>122</v>
      </c>
      <c r="B64" s="25" t="s">
        <v>123</v>
      </c>
      <c r="C64" s="25" t="str">
        <f>+IF(COUNTIF(M2R_CUS01,"Fail")&gt;0,"Fail",IF(COUNTIF(M2R_CUS01,"")&gt;0,"Not Tested","Pass"))</f>
        <v>Not Tested</v>
      </c>
      <c r="D64" s="25" t="s">
        <v>29</v>
      </c>
    </row>
    <row r="65" spans="1:4" ht="15.95">
      <c r="B65" s="22" t="s">
        <v>124</v>
      </c>
    </row>
    <row r="66" spans="1:4">
      <c r="A66" s="1" t="s">
        <v>125</v>
      </c>
      <c r="B66" t="s">
        <v>126</v>
      </c>
      <c r="C66" t="str">
        <f>+IF(COUNTIF(_C2R01,"Fail")&gt;0,"Fail",IF(COUNTIF(_C2R01,"")&gt;0,"Not Tested","Pass"))</f>
        <v>Not Tested</v>
      </c>
    </row>
    <row r="67" spans="1:4">
      <c r="A67" s="1" t="s">
        <v>127</v>
      </c>
      <c r="B67" t="s">
        <v>128</v>
      </c>
      <c r="C67" t="str">
        <f>+IF(COUNTIF(_C2R02,"Fail")&gt;0,"Fail",IF(COUNTIF(_C2R02,"")&gt;0,"Not Tested","Pass"))</f>
        <v>Not Tested</v>
      </c>
    </row>
    <row r="68" spans="1:4">
      <c r="A68" s="24" t="s">
        <v>129</v>
      </c>
      <c r="B68" s="25" t="s">
        <v>130</v>
      </c>
      <c r="C68" s="25" t="str">
        <f>+IF(COUNTIF(_C2R_CUS01,"Fail")&gt;0,"Fail",IF(COUNTIF(_C2R_CUS01,"")&gt;0,"Not Tested","Pass"))</f>
        <v>Not Tested</v>
      </c>
      <c r="D68" s="25" t="s">
        <v>29</v>
      </c>
    </row>
  </sheetData>
  <dataConsolidate/>
  <mergeCells count="1">
    <mergeCell ref="A1:D1"/>
  </mergeCells>
  <conditionalFormatting sqref="C69:C70 C66:C67 C62:C63 C3:C14 C28:C60">
    <cfRule type="cellIs" dxfId="9" priority="8" operator="equal">
      <formula>"Fail"</formula>
    </cfRule>
  </conditionalFormatting>
  <conditionalFormatting sqref="C64:C65">
    <cfRule type="cellIs" dxfId="8" priority="5" operator="equal">
      <formula>"Fail"</formula>
    </cfRule>
  </conditionalFormatting>
  <conditionalFormatting sqref="C68">
    <cfRule type="cellIs" dxfId="7" priority="4" operator="equal">
      <formula>"Fail"</formula>
    </cfRule>
  </conditionalFormatting>
  <conditionalFormatting sqref="C61">
    <cfRule type="cellIs" dxfId="6" priority="3" operator="equal">
      <formula>"Fail"</formula>
    </cfRule>
  </conditionalFormatting>
  <conditionalFormatting sqref="C15:C25">
    <cfRule type="cellIs" dxfId="5" priority="2" operator="equal">
      <formula>"Fail"</formula>
    </cfRule>
  </conditionalFormatting>
  <conditionalFormatting sqref="C26">
    <cfRule type="cellIs" dxfId="4" priority="1" operator="equal">
      <formula>"Fail"</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41"/>
  <sheetViews>
    <sheetView tabSelected="1" zoomScale="70" zoomScaleNormal="70" workbookViewId="0">
      <pane ySplit="1" topLeftCell="A3" activePane="bottomLeft" state="frozen"/>
      <selection pane="bottomLeft" activeCell="I4" sqref="I4"/>
    </sheetView>
  </sheetViews>
  <sheetFormatPr defaultColWidth="8.85546875" defaultRowHeight="15"/>
  <cols>
    <col min="3" max="3" width="12.85546875" style="1" customWidth="1"/>
    <col min="4" max="4" width="27" customWidth="1"/>
    <col min="5" max="5" width="13.85546875" style="2" customWidth="1"/>
    <col min="7" max="7" width="26.85546875" customWidth="1"/>
    <col min="8" max="8" width="51.7109375" style="2" customWidth="1"/>
    <col min="9" max="9" width="30.7109375" style="2" customWidth="1"/>
    <col min="12" max="12" width="16.7109375" customWidth="1"/>
    <col min="13" max="13" width="10.28515625" customWidth="1"/>
    <col min="14" max="14" width="13.140625" customWidth="1"/>
    <col min="15" max="15" width="42.140625" style="2" customWidth="1"/>
  </cols>
  <sheetData>
    <row r="1" spans="1:15" ht="15.95">
      <c r="A1" s="3" t="s">
        <v>131</v>
      </c>
      <c r="B1" s="3" t="s">
        <v>132</v>
      </c>
      <c r="C1" s="3" t="s">
        <v>1</v>
      </c>
      <c r="D1" s="3" t="s">
        <v>2</v>
      </c>
      <c r="E1" s="4" t="s">
        <v>133</v>
      </c>
      <c r="F1" s="3" t="s">
        <v>134</v>
      </c>
      <c r="G1" s="3" t="s">
        <v>135</v>
      </c>
      <c r="H1" s="4" t="s">
        <v>136</v>
      </c>
      <c r="I1" s="4" t="s">
        <v>137</v>
      </c>
      <c r="J1" s="3" t="s">
        <v>3</v>
      </c>
      <c r="K1" s="3" t="s">
        <v>138</v>
      </c>
      <c r="L1" s="3" t="s">
        <v>139</v>
      </c>
      <c r="M1" s="3" t="s">
        <v>140</v>
      </c>
      <c r="N1" s="3" t="s">
        <v>141</v>
      </c>
      <c r="O1" s="4" t="s">
        <v>4</v>
      </c>
    </row>
    <row r="2" spans="1:15" ht="18.95">
      <c r="A2" s="94" t="s">
        <v>106</v>
      </c>
      <c r="B2" s="94"/>
      <c r="C2" s="94"/>
      <c r="D2" s="94"/>
      <c r="E2" s="94"/>
      <c r="F2" s="94"/>
      <c r="G2" s="94"/>
      <c r="H2" s="94"/>
      <c r="I2" s="94"/>
      <c r="J2" s="94"/>
      <c r="K2" s="94"/>
      <c r="L2" s="94"/>
      <c r="M2" s="94"/>
      <c r="N2" s="94"/>
      <c r="O2" s="95"/>
    </row>
    <row r="3" spans="1:15">
      <c r="A3" s="86" t="s">
        <v>142</v>
      </c>
      <c r="B3" s="86"/>
      <c r="C3" s="87"/>
      <c r="D3" s="85" t="s">
        <v>143</v>
      </c>
      <c r="E3" s="85"/>
      <c r="F3" s="85"/>
      <c r="G3" s="85"/>
      <c r="H3" s="85"/>
      <c r="I3" s="85"/>
      <c r="J3" s="85"/>
      <c r="K3" s="85"/>
      <c r="L3" s="85"/>
      <c r="M3" s="85"/>
      <c r="N3" s="85"/>
      <c r="O3" s="85"/>
    </row>
    <row r="4" spans="1:15" ht="221.1" customHeight="1">
      <c r="A4" s="19" t="s">
        <v>144</v>
      </c>
      <c r="B4" s="19" t="s">
        <v>145</v>
      </c>
      <c r="C4" s="30" t="s">
        <v>105</v>
      </c>
      <c r="D4" s="8" t="s">
        <v>146</v>
      </c>
      <c r="E4" s="9" t="s">
        <v>147</v>
      </c>
      <c r="F4" s="10" t="s">
        <v>148</v>
      </c>
      <c r="G4" s="10" t="s">
        <v>146</v>
      </c>
      <c r="H4" s="9" t="s">
        <v>149</v>
      </c>
      <c r="I4" s="9" t="s">
        <v>150</v>
      </c>
      <c r="J4" s="10"/>
      <c r="K4" s="10"/>
      <c r="L4" s="10"/>
      <c r="M4" s="10"/>
      <c r="N4" s="9" t="s">
        <v>151</v>
      </c>
      <c r="O4" s="9" t="s">
        <v>152</v>
      </c>
    </row>
    <row r="5" spans="1:15" ht="6" customHeight="1">
      <c r="J5" t="s">
        <v>153</v>
      </c>
      <c r="K5" s="10"/>
    </row>
    <row r="6" spans="1:15" ht="18.95">
      <c r="A6" s="83" t="s">
        <v>154</v>
      </c>
      <c r="B6" s="83"/>
      <c r="C6" s="83"/>
      <c r="D6" s="83"/>
      <c r="E6" s="83"/>
      <c r="F6" s="83"/>
      <c r="G6" s="83"/>
      <c r="H6" s="83"/>
      <c r="I6" s="83"/>
      <c r="J6" s="83"/>
      <c r="K6" s="83"/>
      <c r="L6" s="83"/>
      <c r="M6" s="83"/>
      <c r="N6" s="83"/>
      <c r="O6" s="84"/>
    </row>
    <row r="7" spans="1:15">
      <c r="A7" s="92" t="s">
        <v>142</v>
      </c>
      <c r="B7" s="92"/>
      <c r="C7" s="93"/>
      <c r="D7" s="80" t="s">
        <v>155</v>
      </c>
      <c r="E7" s="81"/>
      <c r="F7" s="81"/>
      <c r="G7" s="81"/>
      <c r="H7" s="81"/>
      <c r="I7" s="81"/>
      <c r="J7" s="81"/>
      <c r="K7" s="81"/>
      <c r="L7" s="81"/>
      <c r="M7" s="81"/>
      <c r="N7" s="81"/>
      <c r="O7" s="82"/>
    </row>
    <row r="8" spans="1:15" ht="172.35" customHeight="1">
      <c r="A8" s="19"/>
      <c r="B8" s="19"/>
      <c r="C8" s="11" t="s">
        <v>107</v>
      </c>
      <c r="D8" s="28" t="s">
        <v>156</v>
      </c>
      <c r="E8" s="69" t="s">
        <v>157</v>
      </c>
      <c r="F8" s="10" t="s">
        <v>148</v>
      </c>
      <c r="G8" s="10" t="s">
        <v>158</v>
      </c>
      <c r="H8" s="9" t="s">
        <v>159</v>
      </c>
      <c r="I8" s="9" t="s">
        <v>160</v>
      </c>
      <c r="J8" s="10"/>
      <c r="K8" s="19"/>
      <c r="L8" s="10"/>
      <c r="M8" s="10"/>
      <c r="N8" s="9" t="s">
        <v>161</v>
      </c>
      <c r="O8" s="9" t="s">
        <v>162</v>
      </c>
    </row>
    <row r="9" spans="1:15" ht="6" customHeight="1">
      <c r="J9" t="s">
        <v>153</v>
      </c>
    </row>
    <row r="10" spans="1:15" ht="18.95">
      <c r="A10" s="83" t="s">
        <v>110</v>
      </c>
      <c r="B10" s="83"/>
      <c r="C10" s="83"/>
      <c r="D10" s="83"/>
      <c r="E10" s="83"/>
      <c r="F10" s="83"/>
      <c r="G10" s="83"/>
      <c r="H10" s="83"/>
      <c r="I10" s="83"/>
      <c r="J10" s="83"/>
      <c r="K10" s="83"/>
      <c r="L10" s="83"/>
      <c r="M10" s="83"/>
      <c r="N10" s="83"/>
      <c r="O10" s="84"/>
    </row>
    <row r="11" spans="1:15">
      <c r="A11" s="92" t="s">
        <v>142</v>
      </c>
      <c r="B11" s="92"/>
      <c r="C11" s="93"/>
      <c r="D11" s="80" t="s">
        <v>163</v>
      </c>
      <c r="E11" s="81"/>
      <c r="F11" s="81"/>
      <c r="G11" s="81"/>
      <c r="H11" s="81"/>
      <c r="I11" s="81"/>
      <c r="J11" s="81"/>
      <c r="K11" s="81"/>
      <c r="L11" s="81"/>
      <c r="M11" s="81"/>
      <c r="N11" s="81"/>
      <c r="O11" s="82"/>
    </row>
    <row r="12" spans="1:15" ht="270">
      <c r="A12" s="19" t="s">
        <v>144</v>
      </c>
      <c r="B12" s="19" t="s">
        <v>145</v>
      </c>
      <c r="C12" s="88" t="s">
        <v>109</v>
      </c>
      <c r="D12" s="90" t="s">
        <v>164</v>
      </c>
      <c r="E12" s="9" t="s">
        <v>157</v>
      </c>
      <c r="F12" s="10" t="s">
        <v>148</v>
      </c>
      <c r="G12" s="9" t="s">
        <v>165</v>
      </c>
      <c r="H12" s="9" t="s">
        <v>166</v>
      </c>
      <c r="I12" s="9" t="s">
        <v>167</v>
      </c>
      <c r="J12" s="10"/>
      <c r="K12" s="10"/>
      <c r="L12" s="10"/>
      <c r="M12" s="10"/>
      <c r="N12" s="9" t="s">
        <v>168</v>
      </c>
      <c r="O12" s="9" t="s">
        <v>162</v>
      </c>
    </row>
    <row r="13" spans="1:15" ht="255">
      <c r="A13" s="19" t="s">
        <v>144</v>
      </c>
      <c r="B13" s="19" t="s">
        <v>145</v>
      </c>
      <c r="C13" s="89"/>
      <c r="D13" s="91"/>
      <c r="E13" s="9" t="s">
        <v>157</v>
      </c>
      <c r="F13" s="10" t="s">
        <v>169</v>
      </c>
      <c r="G13" s="9" t="s">
        <v>170</v>
      </c>
      <c r="H13" s="9" t="s">
        <v>171</v>
      </c>
      <c r="I13" s="9" t="s">
        <v>172</v>
      </c>
      <c r="J13" s="10"/>
      <c r="K13" s="10"/>
      <c r="L13" s="10"/>
      <c r="M13" s="10"/>
      <c r="N13" s="9" t="s">
        <v>173</v>
      </c>
      <c r="O13" s="9" t="s">
        <v>162</v>
      </c>
    </row>
    <row r="14" spans="1:15" ht="6" customHeight="1">
      <c r="J14" t="s">
        <v>153</v>
      </c>
    </row>
    <row r="15" spans="1:15" ht="18.95">
      <c r="A15" s="83" t="s">
        <v>112</v>
      </c>
      <c r="B15" s="83"/>
      <c r="C15" s="83"/>
      <c r="D15" s="83"/>
      <c r="E15" s="83"/>
      <c r="F15" s="83"/>
      <c r="G15" s="83"/>
      <c r="H15" s="83"/>
      <c r="I15" s="83"/>
      <c r="J15" s="83"/>
      <c r="K15" s="83"/>
      <c r="L15" s="83"/>
      <c r="M15" s="83"/>
      <c r="N15" s="83"/>
      <c r="O15" s="84"/>
    </row>
    <row r="16" spans="1:15">
      <c r="A16" s="86" t="s">
        <v>142</v>
      </c>
      <c r="B16" s="86"/>
      <c r="C16" s="87"/>
      <c r="D16" s="85" t="s">
        <v>174</v>
      </c>
      <c r="E16" s="85"/>
      <c r="F16" s="85"/>
      <c r="G16" s="85"/>
      <c r="H16" s="85"/>
      <c r="I16" s="85"/>
      <c r="J16" s="85"/>
      <c r="K16" s="85"/>
      <c r="L16" s="85"/>
      <c r="M16" s="85"/>
      <c r="N16" s="85"/>
      <c r="O16" s="85"/>
    </row>
    <row r="17" spans="1:15" ht="180">
      <c r="A17" s="19" t="s">
        <v>144</v>
      </c>
      <c r="B17" s="19" t="s">
        <v>145</v>
      </c>
      <c r="C17" s="71" t="s">
        <v>111</v>
      </c>
      <c r="D17" s="75" t="s">
        <v>175</v>
      </c>
      <c r="E17" s="9" t="s">
        <v>147</v>
      </c>
      <c r="F17" s="10" t="s">
        <v>148</v>
      </c>
      <c r="G17" s="10" t="s">
        <v>176</v>
      </c>
      <c r="H17" s="9" t="s">
        <v>177</v>
      </c>
      <c r="I17" s="9" t="s">
        <v>178</v>
      </c>
      <c r="J17" s="10"/>
      <c r="K17" s="10"/>
      <c r="L17" s="10"/>
      <c r="M17" s="10"/>
      <c r="N17" s="9" t="s">
        <v>151</v>
      </c>
      <c r="O17" s="9" t="s">
        <v>162</v>
      </c>
    </row>
    <row r="18" spans="1:15" ht="6" customHeight="1">
      <c r="J18" t="s">
        <v>153</v>
      </c>
      <c r="K18" s="10"/>
    </row>
    <row r="19" spans="1:15" ht="18.95">
      <c r="A19" s="83" t="s">
        <v>179</v>
      </c>
      <c r="B19" s="83"/>
      <c r="C19" s="83"/>
      <c r="D19" s="83"/>
      <c r="E19" s="83"/>
      <c r="F19" s="83"/>
      <c r="G19" s="83"/>
      <c r="H19" s="83"/>
      <c r="I19" s="83"/>
      <c r="J19" s="83"/>
      <c r="K19" s="83"/>
      <c r="L19" s="83"/>
      <c r="M19" s="83"/>
      <c r="N19" s="83"/>
      <c r="O19" s="84"/>
    </row>
    <row r="20" spans="1:15">
      <c r="A20" s="92" t="s">
        <v>142</v>
      </c>
      <c r="B20" s="92"/>
      <c r="C20" s="93"/>
      <c r="D20" s="80" t="s">
        <v>180</v>
      </c>
      <c r="E20" s="81"/>
      <c r="F20" s="81"/>
      <c r="G20" s="81"/>
      <c r="H20" s="81"/>
      <c r="I20" s="81"/>
      <c r="J20" s="81"/>
      <c r="K20" s="81"/>
      <c r="L20" s="81"/>
      <c r="M20" s="81"/>
      <c r="N20" s="81"/>
      <c r="O20" s="82"/>
    </row>
    <row r="21" spans="1:15" ht="30">
      <c r="A21" s="19" t="s">
        <v>144</v>
      </c>
      <c r="B21" s="19" t="s">
        <v>145</v>
      </c>
      <c r="C21" s="88" t="s">
        <v>113</v>
      </c>
      <c r="D21" s="90" t="s">
        <v>180</v>
      </c>
      <c r="E21" s="9" t="s">
        <v>147</v>
      </c>
      <c r="F21" s="9" t="s">
        <v>148</v>
      </c>
      <c r="G21" s="10" t="s">
        <v>181</v>
      </c>
      <c r="H21" s="9" t="s">
        <v>182</v>
      </c>
      <c r="I21" s="9"/>
      <c r="J21" s="10"/>
      <c r="K21" s="10"/>
      <c r="L21" s="10"/>
      <c r="M21" s="10"/>
      <c r="N21" s="9" t="s">
        <v>183</v>
      </c>
      <c r="O21" s="9" t="s">
        <v>162</v>
      </c>
    </row>
    <row r="22" spans="1:15" ht="235.35" customHeight="1">
      <c r="A22" s="19" t="s">
        <v>144</v>
      </c>
      <c r="B22" s="19" t="s">
        <v>145</v>
      </c>
      <c r="C22" s="89"/>
      <c r="D22" s="91"/>
      <c r="E22" s="9" t="s">
        <v>147</v>
      </c>
      <c r="F22" s="9" t="s">
        <v>169</v>
      </c>
      <c r="G22" s="9" t="s">
        <v>184</v>
      </c>
      <c r="H22" s="9" t="s">
        <v>185</v>
      </c>
      <c r="I22" s="9" t="s">
        <v>186</v>
      </c>
      <c r="J22" s="10"/>
      <c r="K22" s="10"/>
      <c r="L22" s="10"/>
      <c r="M22" s="10"/>
      <c r="N22" s="9" t="s">
        <v>151</v>
      </c>
      <c r="O22" s="9" t="s">
        <v>162</v>
      </c>
    </row>
    <row r="23" spans="1:15" ht="90">
      <c r="A23" s="19" t="s">
        <v>144</v>
      </c>
      <c r="B23" s="19" t="s">
        <v>145</v>
      </c>
      <c r="C23" s="89"/>
      <c r="D23" s="91"/>
      <c r="E23" s="9" t="s">
        <v>187</v>
      </c>
      <c r="F23" s="9" t="s">
        <v>188</v>
      </c>
      <c r="G23" s="9" t="s">
        <v>189</v>
      </c>
      <c r="H23" s="9" t="s">
        <v>190</v>
      </c>
      <c r="I23" s="9" t="s">
        <v>191</v>
      </c>
      <c r="J23" s="10"/>
      <c r="K23" s="10"/>
      <c r="L23" s="10"/>
      <c r="M23" s="10"/>
      <c r="N23" s="9" t="s">
        <v>151</v>
      </c>
      <c r="O23" s="9" t="s">
        <v>162</v>
      </c>
    </row>
    <row r="24" spans="1:15" ht="210">
      <c r="A24" s="19" t="s">
        <v>144</v>
      </c>
      <c r="B24" s="19" t="s">
        <v>145</v>
      </c>
      <c r="C24" s="89"/>
      <c r="D24" s="91"/>
      <c r="E24" s="9" t="s">
        <v>192</v>
      </c>
      <c r="F24" s="9" t="s">
        <v>193</v>
      </c>
      <c r="G24" s="9" t="s">
        <v>194</v>
      </c>
      <c r="H24" s="9" t="s">
        <v>195</v>
      </c>
      <c r="I24" s="9" t="s">
        <v>196</v>
      </c>
      <c r="J24" s="10"/>
      <c r="K24" s="10"/>
      <c r="L24" s="10"/>
      <c r="M24" s="10"/>
      <c r="N24" s="9" t="s">
        <v>197</v>
      </c>
      <c r="O24" s="9" t="s">
        <v>162</v>
      </c>
    </row>
    <row r="25" spans="1:15" ht="135.6" customHeight="1">
      <c r="A25" s="19" t="s">
        <v>144</v>
      </c>
      <c r="B25" s="19" t="s">
        <v>145</v>
      </c>
      <c r="C25" s="89"/>
      <c r="D25" s="91"/>
      <c r="E25" s="9" t="s">
        <v>198</v>
      </c>
      <c r="F25" s="9" t="s">
        <v>199</v>
      </c>
      <c r="G25" s="9" t="s">
        <v>200</v>
      </c>
      <c r="H25" s="9" t="s">
        <v>201</v>
      </c>
      <c r="I25" s="9" t="s">
        <v>202</v>
      </c>
      <c r="J25" s="10"/>
      <c r="K25" s="10"/>
      <c r="L25" s="10"/>
      <c r="M25" s="10"/>
      <c r="N25" s="9" t="s">
        <v>197</v>
      </c>
      <c r="O25" s="9" t="s">
        <v>162</v>
      </c>
    </row>
    <row r="26" spans="1:15" ht="270">
      <c r="A26" s="19" t="s">
        <v>144</v>
      </c>
      <c r="B26" s="19" t="s">
        <v>145</v>
      </c>
      <c r="C26" s="89"/>
      <c r="D26" s="91"/>
      <c r="E26" s="9" t="s">
        <v>192</v>
      </c>
      <c r="F26" s="9" t="s">
        <v>203</v>
      </c>
      <c r="G26" s="9" t="s">
        <v>204</v>
      </c>
      <c r="H26" s="9" t="s">
        <v>166</v>
      </c>
      <c r="I26" s="9" t="s">
        <v>167</v>
      </c>
      <c r="J26" s="10"/>
      <c r="K26" s="10"/>
      <c r="L26" s="10"/>
      <c r="M26" s="10"/>
      <c r="N26" s="9" t="s">
        <v>205</v>
      </c>
      <c r="O26" s="9" t="s">
        <v>162</v>
      </c>
    </row>
    <row r="27" spans="1:15" ht="180">
      <c r="A27" s="19" t="s">
        <v>144</v>
      </c>
      <c r="B27" s="19" t="s">
        <v>145</v>
      </c>
      <c r="C27" s="89"/>
      <c r="D27" s="91"/>
      <c r="E27" s="9" t="s">
        <v>147</v>
      </c>
      <c r="F27" s="9" t="s">
        <v>206</v>
      </c>
      <c r="G27" s="9" t="s">
        <v>207</v>
      </c>
      <c r="H27" s="9" t="s">
        <v>177</v>
      </c>
      <c r="I27" s="9" t="s">
        <v>178</v>
      </c>
      <c r="J27" s="10"/>
      <c r="K27" s="10"/>
      <c r="L27" s="10"/>
      <c r="M27" s="10"/>
      <c r="N27" s="9" t="s">
        <v>205</v>
      </c>
      <c r="O27" s="9" t="s">
        <v>162</v>
      </c>
    </row>
    <row r="28" spans="1:15" ht="6" customHeight="1">
      <c r="J28" t="s">
        <v>153</v>
      </c>
      <c r="K28" s="21"/>
    </row>
    <row r="29" spans="1:15" ht="18.95">
      <c r="A29" s="83" t="s">
        <v>116</v>
      </c>
      <c r="B29" s="83"/>
      <c r="C29" s="83"/>
      <c r="D29" s="83"/>
      <c r="E29" s="83"/>
      <c r="F29" s="83"/>
      <c r="G29" s="83"/>
      <c r="H29" s="83"/>
      <c r="I29" s="83"/>
      <c r="J29" s="83"/>
      <c r="K29" s="83"/>
      <c r="L29" s="83"/>
      <c r="M29" s="83"/>
      <c r="N29" s="83"/>
      <c r="O29" s="84"/>
    </row>
    <row r="30" spans="1:15">
      <c r="A30" s="92" t="s">
        <v>142</v>
      </c>
      <c r="B30" s="92"/>
      <c r="C30" s="93"/>
      <c r="D30" s="80" t="s">
        <v>156</v>
      </c>
      <c r="E30" s="81"/>
      <c r="F30" s="81"/>
      <c r="G30" s="81"/>
      <c r="H30" s="81"/>
      <c r="I30" s="81"/>
      <c r="J30" s="81"/>
      <c r="K30" s="81"/>
      <c r="L30" s="81"/>
      <c r="M30" s="81"/>
      <c r="N30" s="81"/>
      <c r="O30" s="82"/>
    </row>
    <row r="31" spans="1:15" ht="270">
      <c r="A31" s="19" t="s">
        <v>144</v>
      </c>
      <c r="B31" s="19" t="s">
        <v>145</v>
      </c>
      <c r="C31" s="88" t="s">
        <v>115</v>
      </c>
      <c r="D31" s="88" t="s">
        <v>156</v>
      </c>
      <c r="E31" s="9" t="s">
        <v>187</v>
      </c>
      <c r="F31" s="10" t="s">
        <v>148</v>
      </c>
      <c r="G31" s="10" t="s">
        <v>208</v>
      </c>
      <c r="H31" s="9" t="s">
        <v>209</v>
      </c>
      <c r="I31" s="9" t="s">
        <v>210</v>
      </c>
      <c r="J31" s="10"/>
      <c r="K31" s="19"/>
      <c r="L31" s="10"/>
      <c r="M31" s="10"/>
      <c r="N31" s="9" t="s">
        <v>211</v>
      </c>
      <c r="O31" s="9" t="s">
        <v>162</v>
      </c>
    </row>
    <row r="32" spans="1:15" ht="300">
      <c r="A32" s="66" t="s">
        <v>144</v>
      </c>
      <c r="B32" s="66" t="s">
        <v>145</v>
      </c>
      <c r="C32" s="89"/>
      <c r="D32" s="89"/>
      <c r="E32" s="9" t="s">
        <v>187</v>
      </c>
      <c r="F32" s="10" t="s">
        <v>169</v>
      </c>
      <c r="G32" s="10" t="s">
        <v>212</v>
      </c>
      <c r="H32" s="9" t="s">
        <v>213</v>
      </c>
      <c r="I32" s="9" t="s">
        <v>214</v>
      </c>
      <c r="J32" s="10"/>
      <c r="K32" s="19"/>
      <c r="L32" s="10"/>
      <c r="M32" s="10"/>
      <c r="N32" s="9" t="s">
        <v>211</v>
      </c>
      <c r="O32" s="9" t="s">
        <v>162</v>
      </c>
    </row>
    <row r="33" spans="1:15">
      <c r="A33" s="19"/>
      <c r="B33" s="19"/>
      <c r="C33" s="96"/>
      <c r="D33" s="96"/>
      <c r="E33" s="9"/>
      <c r="F33" s="10"/>
      <c r="G33" s="10"/>
      <c r="H33" s="9"/>
      <c r="I33" s="9"/>
      <c r="J33" s="10"/>
      <c r="K33" s="19"/>
      <c r="L33" s="10"/>
      <c r="M33" s="10"/>
      <c r="N33" s="9"/>
      <c r="O33" s="9"/>
    </row>
    <row r="34" spans="1:15" ht="6" customHeight="1">
      <c r="J34" t="s">
        <v>153</v>
      </c>
    </row>
    <row r="35" spans="1:15" ht="18.95">
      <c r="A35" s="83" t="s">
        <v>215</v>
      </c>
      <c r="B35" s="83"/>
      <c r="C35" s="83"/>
      <c r="D35" s="83"/>
      <c r="E35" s="83"/>
      <c r="F35" s="83"/>
      <c r="G35" s="83"/>
      <c r="H35" s="83"/>
      <c r="I35" s="83"/>
      <c r="J35" s="83"/>
      <c r="K35" s="83"/>
      <c r="L35" s="83"/>
      <c r="M35" s="83"/>
      <c r="N35" s="83"/>
      <c r="O35" s="84"/>
    </row>
    <row r="36" spans="1:15">
      <c r="A36" s="86" t="s">
        <v>142</v>
      </c>
      <c r="B36" s="86"/>
      <c r="C36" s="87"/>
      <c r="D36" s="85" t="s">
        <v>216</v>
      </c>
      <c r="E36" s="85"/>
      <c r="F36" s="85"/>
      <c r="G36" s="85"/>
      <c r="H36" s="85"/>
      <c r="I36" s="85"/>
      <c r="J36" s="85"/>
      <c r="K36" s="85"/>
      <c r="L36" s="85"/>
      <c r="M36" s="85"/>
      <c r="N36" s="85"/>
      <c r="O36" s="85"/>
    </row>
    <row r="37" spans="1:15" ht="75">
      <c r="A37" s="19" t="s">
        <v>144</v>
      </c>
      <c r="B37" s="19" t="s">
        <v>145</v>
      </c>
      <c r="C37" s="30" t="s">
        <v>117</v>
      </c>
      <c r="D37" s="8" t="s">
        <v>217</v>
      </c>
      <c r="E37" s="9" t="s">
        <v>218</v>
      </c>
      <c r="F37" s="9" t="s">
        <v>148</v>
      </c>
      <c r="G37" s="10" t="s">
        <v>219</v>
      </c>
      <c r="H37" s="9" t="s">
        <v>220</v>
      </c>
      <c r="I37" s="9" t="s">
        <v>221</v>
      </c>
      <c r="J37" s="10"/>
      <c r="K37" s="19"/>
      <c r="L37" s="10"/>
      <c r="M37" s="10"/>
      <c r="N37" s="9" t="s">
        <v>222</v>
      </c>
      <c r="O37" s="9" t="s">
        <v>162</v>
      </c>
    </row>
    <row r="38" spans="1:15" ht="75">
      <c r="A38" s="19" t="s">
        <v>144</v>
      </c>
      <c r="B38" s="19" t="s">
        <v>145</v>
      </c>
      <c r="C38" s="30"/>
      <c r="D38" s="8"/>
      <c r="E38" s="9" t="s">
        <v>218</v>
      </c>
      <c r="F38" s="9" t="s">
        <v>169</v>
      </c>
      <c r="G38" s="10" t="s">
        <v>219</v>
      </c>
      <c r="H38" s="9" t="s">
        <v>220</v>
      </c>
      <c r="I38" s="9" t="s">
        <v>221</v>
      </c>
      <c r="J38" s="10"/>
      <c r="K38" s="19"/>
      <c r="L38" s="10"/>
      <c r="M38" s="10"/>
      <c r="N38" s="9" t="s">
        <v>222</v>
      </c>
      <c r="O38" s="9" t="s">
        <v>162</v>
      </c>
    </row>
    <row r="39" spans="1:15" ht="75">
      <c r="A39" s="19" t="s">
        <v>144</v>
      </c>
      <c r="B39" s="19" t="s">
        <v>145</v>
      </c>
      <c r="C39" s="30"/>
      <c r="D39" s="8"/>
      <c r="E39" s="9" t="s">
        <v>218</v>
      </c>
      <c r="F39" s="9" t="s">
        <v>188</v>
      </c>
      <c r="G39" s="10" t="s">
        <v>219</v>
      </c>
      <c r="H39" s="9" t="s">
        <v>220</v>
      </c>
      <c r="I39" s="9" t="s">
        <v>221</v>
      </c>
      <c r="J39" s="10"/>
      <c r="K39" s="19"/>
      <c r="L39" s="10"/>
      <c r="M39" s="10"/>
      <c r="N39" s="9" t="s">
        <v>222</v>
      </c>
      <c r="O39" s="9" t="s">
        <v>162</v>
      </c>
    </row>
    <row r="40" spans="1:15" ht="75">
      <c r="A40" s="19" t="s">
        <v>144</v>
      </c>
      <c r="B40" s="19" t="s">
        <v>145</v>
      </c>
      <c r="C40" s="30"/>
      <c r="D40" s="8"/>
      <c r="E40" s="9"/>
      <c r="F40" s="9" t="s">
        <v>223</v>
      </c>
      <c r="G40" s="10" t="s">
        <v>219</v>
      </c>
      <c r="H40" s="9" t="s">
        <v>220</v>
      </c>
      <c r="I40" s="9" t="s">
        <v>221</v>
      </c>
      <c r="J40" s="10"/>
      <c r="K40" s="19"/>
      <c r="L40" s="10"/>
      <c r="M40" s="10"/>
      <c r="N40" s="9" t="s">
        <v>222</v>
      </c>
      <c r="O40" s="9" t="s">
        <v>162</v>
      </c>
    </row>
    <row r="41" spans="1:15" ht="6" customHeight="1">
      <c r="J41" t="s">
        <v>153</v>
      </c>
    </row>
  </sheetData>
  <dataConsolidate/>
  <mergeCells count="27">
    <mergeCell ref="D36:O36"/>
    <mergeCell ref="A35:O35"/>
    <mergeCell ref="A36:C36"/>
    <mergeCell ref="A2:O2"/>
    <mergeCell ref="A3:C3"/>
    <mergeCell ref="D3:O3"/>
    <mergeCell ref="D7:O7"/>
    <mergeCell ref="D11:O11"/>
    <mergeCell ref="C12:C13"/>
    <mergeCell ref="D12:D13"/>
    <mergeCell ref="A11:C11"/>
    <mergeCell ref="A7:C7"/>
    <mergeCell ref="A6:O6"/>
    <mergeCell ref="D31:D33"/>
    <mergeCell ref="C31:C33"/>
    <mergeCell ref="A30:C30"/>
    <mergeCell ref="D30:O30"/>
    <mergeCell ref="A10:O10"/>
    <mergeCell ref="A29:O29"/>
    <mergeCell ref="D16:O16"/>
    <mergeCell ref="A15:O15"/>
    <mergeCell ref="A16:C16"/>
    <mergeCell ref="D20:O20"/>
    <mergeCell ref="C21:C27"/>
    <mergeCell ref="D21:D27"/>
    <mergeCell ref="A19:O19"/>
    <mergeCell ref="A20:C20"/>
  </mergeCells>
  <dataValidations count="2">
    <dataValidation type="list" allowBlank="1" showInputMessage="1" showErrorMessage="1" sqref="J8 J37:J40 J4 K7 J31:J33 K4:K5 J12:J13 J17:K17 K23:K28 J21:J27 K18" xr:uid="{00000000-0002-0000-0100-000000000000}">
      <formula1>"Pass,Fail"</formula1>
    </dataValidation>
    <dataValidation type="list" allowBlank="1" showInputMessage="1" showErrorMessage="1" sqref="M8 M4 M37:M40 M12:M13 M17 M21:M27 M31:M33" xr:uid="{00000000-0002-0000-0100-000001000000}">
      <formula1>"New,Retest"</formula1>
    </dataValidation>
  </dataValidations>
  <pageMargins left="0.7" right="0.7" top="0.75" bottom="0.75" header="0.3" footer="0.3"/>
  <pageSetup scale="71" fitToHeight="2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58"/>
  <sheetViews>
    <sheetView zoomScale="70" zoomScaleNormal="70" workbookViewId="0">
      <pane ySplit="1" topLeftCell="A27" activePane="bottomLeft" state="frozen"/>
      <selection pane="bottomLeft" activeCell="A28" sqref="A28:XFD42"/>
    </sheetView>
  </sheetViews>
  <sheetFormatPr defaultColWidth="8.85546875" defaultRowHeight="15"/>
  <cols>
    <col min="3" max="3" width="12.85546875" style="1" customWidth="1"/>
    <col min="4" max="4" width="27" customWidth="1"/>
    <col min="5" max="5" width="13.85546875" style="2" customWidth="1"/>
    <col min="7" max="7" width="26.85546875" customWidth="1"/>
    <col min="8" max="8" width="68.7109375" style="2" customWidth="1"/>
    <col min="9" max="9" width="30.7109375" style="2" customWidth="1"/>
    <col min="12" max="12" width="16.7109375" customWidth="1"/>
    <col min="13" max="13" width="10.28515625" customWidth="1"/>
    <col min="14" max="14" width="13.140625" customWidth="1"/>
    <col min="15" max="15" width="42.140625" style="2" customWidth="1"/>
  </cols>
  <sheetData>
    <row r="1" spans="1:15" ht="15.95">
      <c r="A1" s="3" t="s">
        <v>131</v>
      </c>
      <c r="B1" s="3" t="s">
        <v>132</v>
      </c>
      <c r="C1" s="3" t="s">
        <v>1</v>
      </c>
      <c r="D1" s="3" t="s">
        <v>2</v>
      </c>
      <c r="E1" s="4" t="s">
        <v>133</v>
      </c>
      <c r="F1" s="3" t="s">
        <v>134</v>
      </c>
      <c r="G1" s="3" t="s">
        <v>135</v>
      </c>
      <c r="H1" s="4" t="s">
        <v>136</v>
      </c>
      <c r="I1" s="4" t="s">
        <v>137</v>
      </c>
      <c r="J1" s="3" t="s">
        <v>3</v>
      </c>
      <c r="K1" s="3" t="s">
        <v>138</v>
      </c>
      <c r="L1" s="3" t="s">
        <v>139</v>
      </c>
      <c r="M1" s="3" t="s">
        <v>140</v>
      </c>
      <c r="N1" s="3" t="s">
        <v>141</v>
      </c>
      <c r="O1" s="4" t="s">
        <v>4</v>
      </c>
    </row>
    <row r="2" spans="1:15" ht="18.95">
      <c r="A2" s="94" t="s">
        <v>224</v>
      </c>
      <c r="B2" s="94"/>
      <c r="C2" s="94"/>
      <c r="D2" s="94"/>
      <c r="E2" s="94"/>
      <c r="F2" s="94"/>
      <c r="G2" s="94"/>
      <c r="H2" s="94"/>
      <c r="I2" s="94"/>
      <c r="J2" s="94"/>
      <c r="K2" s="94"/>
      <c r="L2" s="94"/>
      <c r="M2" s="94"/>
      <c r="N2" s="94"/>
      <c r="O2" s="95"/>
    </row>
    <row r="3" spans="1:15">
      <c r="A3" s="86" t="s">
        <v>142</v>
      </c>
      <c r="B3" s="86"/>
      <c r="C3" s="87"/>
      <c r="D3" s="85" t="s">
        <v>225</v>
      </c>
      <c r="E3" s="85"/>
      <c r="F3" s="85"/>
      <c r="G3" s="85"/>
      <c r="H3" s="85"/>
      <c r="I3" s="85"/>
      <c r="J3" s="85"/>
      <c r="K3" s="85"/>
      <c r="L3" s="85"/>
      <c r="M3" s="85"/>
      <c r="N3" s="85"/>
      <c r="O3" s="85"/>
    </row>
    <row r="4" spans="1:15" ht="225">
      <c r="A4" s="19" t="s">
        <v>226</v>
      </c>
      <c r="B4" s="19" t="s">
        <v>145</v>
      </c>
      <c r="C4" s="30" t="s">
        <v>6</v>
      </c>
      <c r="D4" s="8" t="s">
        <v>227</v>
      </c>
      <c r="E4" s="9" t="s">
        <v>187</v>
      </c>
      <c r="F4" s="10" t="s">
        <v>148</v>
      </c>
      <c r="G4" s="10" t="s">
        <v>228</v>
      </c>
      <c r="H4" s="9" t="s">
        <v>229</v>
      </c>
      <c r="I4" s="9" t="s">
        <v>230</v>
      </c>
      <c r="J4" s="10"/>
      <c r="K4" s="10"/>
      <c r="L4" s="10"/>
      <c r="M4" s="10"/>
      <c r="N4" s="9" t="s">
        <v>231</v>
      </c>
      <c r="O4" s="9" t="s">
        <v>152</v>
      </c>
    </row>
    <row r="5" spans="1:15" ht="6" customHeight="1">
      <c r="J5" t="s">
        <v>153</v>
      </c>
      <c r="K5" s="10"/>
    </row>
    <row r="6" spans="1:15" ht="18.95">
      <c r="A6" s="83" t="s">
        <v>9</v>
      </c>
      <c r="B6" s="83"/>
      <c r="C6" s="83"/>
      <c r="D6" s="83"/>
      <c r="E6" s="83"/>
      <c r="F6" s="83"/>
      <c r="G6" s="83"/>
      <c r="H6" s="83"/>
      <c r="I6" s="83"/>
      <c r="J6" s="83"/>
      <c r="K6" s="83"/>
      <c r="L6" s="83"/>
      <c r="M6" s="83"/>
      <c r="N6" s="83"/>
      <c r="O6" s="84"/>
    </row>
    <row r="7" spans="1:15">
      <c r="A7" s="86" t="s">
        <v>142</v>
      </c>
      <c r="B7" s="86"/>
      <c r="C7" s="87"/>
      <c r="D7" s="85" t="s">
        <v>232</v>
      </c>
      <c r="E7" s="85"/>
      <c r="F7" s="85"/>
      <c r="G7" s="85"/>
      <c r="H7" s="85"/>
      <c r="I7" s="85"/>
      <c r="J7" s="85"/>
      <c r="K7" s="85"/>
      <c r="L7" s="85"/>
      <c r="M7" s="85"/>
      <c r="N7" s="85"/>
      <c r="O7" s="85"/>
    </row>
    <row r="8" spans="1:15" ht="225">
      <c r="A8" s="19" t="s">
        <v>226</v>
      </c>
      <c r="B8" s="19" t="s">
        <v>145</v>
      </c>
      <c r="C8" s="30" t="s">
        <v>8</v>
      </c>
      <c r="D8" s="8" t="s">
        <v>233</v>
      </c>
      <c r="E8" s="9" t="s">
        <v>187</v>
      </c>
      <c r="F8" s="10" t="s">
        <v>148</v>
      </c>
      <c r="G8" s="10" t="s">
        <v>234</v>
      </c>
      <c r="H8" s="9" t="s">
        <v>235</v>
      </c>
      <c r="I8" s="9" t="s">
        <v>236</v>
      </c>
      <c r="J8" s="10"/>
      <c r="L8" s="10"/>
      <c r="M8" s="10"/>
      <c r="N8" s="9" t="s">
        <v>237</v>
      </c>
      <c r="O8" s="9" t="s">
        <v>152</v>
      </c>
    </row>
    <row r="9" spans="1:15" ht="6" customHeight="1">
      <c r="J9" t="s">
        <v>153</v>
      </c>
      <c r="K9" s="10"/>
    </row>
    <row r="10" spans="1:15" ht="18.95">
      <c r="A10" s="83" t="s">
        <v>238</v>
      </c>
      <c r="B10" s="83"/>
      <c r="C10" s="83"/>
      <c r="D10" s="83"/>
      <c r="E10" s="83"/>
      <c r="F10" s="83"/>
      <c r="G10" s="83"/>
      <c r="H10" s="83"/>
      <c r="I10" s="83"/>
      <c r="J10" s="83"/>
      <c r="K10" s="83"/>
      <c r="L10" s="83"/>
      <c r="M10" s="83"/>
      <c r="N10" s="83"/>
      <c r="O10" s="84"/>
    </row>
    <row r="11" spans="1:15">
      <c r="A11" s="86" t="s">
        <v>142</v>
      </c>
      <c r="B11" s="86"/>
      <c r="C11" s="87"/>
      <c r="D11" s="85" t="s">
        <v>239</v>
      </c>
      <c r="E11" s="85"/>
      <c r="F11" s="85"/>
      <c r="G11" s="85"/>
      <c r="H11" s="85"/>
      <c r="I11" s="85"/>
      <c r="J11" s="85"/>
      <c r="K11" s="85"/>
      <c r="L11" s="85"/>
      <c r="M11" s="85"/>
      <c r="N11" s="85"/>
      <c r="O11" s="85"/>
    </row>
    <row r="12" spans="1:15" ht="150">
      <c r="A12" s="19" t="s">
        <v>226</v>
      </c>
      <c r="B12" s="19" t="s">
        <v>145</v>
      </c>
      <c r="C12" s="105" t="s">
        <v>10</v>
      </c>
      <c r="D12" s="90" t="s">
        <v>240</v>
      </c>
      <c r="E12" s="9" t="s">
        <v>187</v>
      </c>
      <c r="F12" s="10" t="s">
        <v>148</v>
      </c>
      <c r="G12" s="10" t="s">
        <v>241</v>
      </c>
      <c r="H12" s="9" t="s">
        <v>242</v>
      </c>
      <c r="I12" s="9" t="s">
        <v>243</v>
      </c>
      <c r="J12" s="10"/>
      <c r="L12" s="10"/>
      <c r="M12" s="10"/>
      <c r="N12" s="9" t="s">
        <v>244</v>
      </c>
      <c r="O12" s="9" t="s">
        <v>162</v>
      </c>
    </row>
    <row r="13" spans="1:15" ht="120">
      <c r="A13" s="19" t="s">
        <v>226</v>
      </c>
      <c r="B13" s="19" t="s">
        <v>145</v>
      </c>
      <c r="C13" s="106"/>
      <c r="D13" s="91"/>
      <c r="E13" s="9" t="s">
        <v>198</v>
      </c>
      <c r="F13" s="10" t="s">
        <v>169</v>
      </c>
      <c r="G13" s="10" t="s">
        <v>245</v>
      </c>
      <c r="H13" s="9" t="s">
        <v>246</v>
      </c>
      <c r="I13" s="9" t="s">
        <v>247</v>
      </c>
      <c r="J13" s="10"/>
      <c r="K13" s="10"/>
      <c r="L13" s="10"/>
      <c r="M13" s="10"/>
      <c r="N13" s="9" t="s">
        <v>248</v>
      </c>
      <c r="O13" s="9" t="s">
        <v>162</v>
      </c>
    </row>
    <row r="14" spans="1:15" ht="105">
      <c r="A14" s="19" t="s">
        <v>226</v>
      </c>
      <c r="B14" s="19" t="s">
        <v>145</v>
      </c>
      <c r="C14" s="106"/>
      <c r="D14" s="91"/>
      <c r="E14" s="9" t="s">
        <v>198</v>
      </c>
      <c r="F14" s="10" t="s">
        <v>188</v>
      </c>
      <c r="G14" s="10" t="s">
        <v>249</v>
      </c>
      <c r="H14" s="9" t="s">
        <v>250</v>
      </c>
      <c r="I14" s="9" t="s">
        <v>251</v>
      </c>
      <c r="J14" s="10"/>
      <c r="K14" s="10"/>
      <c r="L14" s="10"/>
      <c r="M14" s="10"/>
      <c r="N14" s="9" t="s">
        <v>252</v>
      </c>
      <c r="O14" s="9" t="s">
        <v>152</v>
      </c>
    </row>
    <row r="15" spans="1:15" ht="6" customHeight="1">
      <c r="J15" t="s">
        <v>153</v>
      </c>
      <c r="K15" s="10"/>
      <c r="N15" s="18" t="s">
        <v>153</v>
      </c>
    </row>
    <row r="16" spans="1:15" ht="18.95">
      <c r="A16" s="83" t="s">
        <v>253</v>
      </c>
      <c r="B16" s="83"/>
      <c r="C16" s="83"/>
      <c r="D16" s="83"/>
      <c r="E16" s="83"/>
      <c r="F16" s="83"/>
      <c r="G16" s="83"/>
      <c r="H16" s="83"/>
      <c r="I16" s="83"/>
      <c r="J16" s="83"/>
      <c r="K16" s="83"/>
      <c r="L16" s="83"/>
      <c r="M16" s="83"/>
      <c r="N16" s="83"/>
      <c r="O16" s="84"/>
    </row>
    <row r="17" spans="1:15">
      <c r="A17" s="86" t="s">
        <v>142</v>
      </c>
      <c r="B17" s="86"/>
      <c r="C17" s="87"/>
      <c r="D17" s="85" t="s">
        <v>254</v>
      </c>
      <c r="E17" s="85"/>
      <c r="F17" s="85"/>
      <c r="G17" s="85"/>
      <c r="H17" s="85"/>
      <c r="I17" s="85"/>
      <c r="J17" s="85"/>
      <c r="K17" s="85"/>
      <c r="L17" s="85"/>
      <c r="M17" s="85"/>
      <c r="N17" s="85"/>
      <c r="O17" s="85"/>
    </row>
    <row r="18" spans="1:15" ht="135">
      <c r="A18" s="19" t="s">
        <v>226</v>
      </c>
      <c r="B18" s="19" t="s">
        <v>145</v>
      </c>
      <c r="C18" s="30" t="s">
        <v>12</v>
      </c>
      <c r="D18" s="8" t="s">
        <v>255</v>
      </c>
      <c r="E18" s="9" t="s">
        <v>187</v>
      </c>
      <c r="F18" s="10" t="s">
        <v>148</v>
      </c>
      <c r="G18" s="10" t="s">
        <v>256</v>
      </c>
      <c r="H18" s="9" t="s">
        <v>257</v>
      </c>
      <c r="I18" s="9" t="s">
        <v>258</v>
      </c>
      <c r="J18" s="10"/>
      <c r="K18" s="10"/>
      <c r="L18" s="10"/>
      <c r="M18" s="10"/>
      <c r="N18" s="9" t="s">
        <v>259</v>
      </c>
      <c r="O18" s="9" t="s">
        <v>162</v>
      </c>
    </row>
    <row r="19" spans="1:15" ht="6.6" customHeight="1">
      <c r="C19" s="11"/>
      <c r="D19" s="8"/>
      <c r="E19" s="9"/>
      <c r="F19" s="10"/>
      <c r="G19" s="10"/>
      <c r="H19" s="9"/>
      <c r="I19" s="9"/>
      <c r="J19" s="10" t="s">
        <v>153</v>
      </c>
      <c r="K19" s="10"/>
      <c r="L19" s="10"/>
      <c r="M19" s="10"/>
      <c r="N19" s="9"/>
      <c r="O19" s="9"/>
    </row>
    <row r="20" spans="1:15" ht="18.95">
      <c r="A20" s="83" t="s">
        <v>15</v>
      </c>
      <c r="B20" s="83"/>
      <c r="C20" s="83"/>
      <c r="D20" s="83"/>
      <c r="E20" s="83"/>
      <c r="F20" s="83"/>
      <c r="G20" s="83"/>
      <c r="H20" s="83"/>
      <c r="I20" s="83"/>
      <c r="J20" s="83"/>
      <c r="K20" s="83"/>
      <c r="L20" s="83"/>
      <c r="M20" s="83"/>
      <c r="N20" s="83"/>
      <c r="O20" s="84"/>
    </row>
    <row r="21" spans="1:15">
      <c r="A21" s="86" t="s">
        <v>142</v>
      </c>
      <c r="B21" s="86"/>
      <c r="C21" s="87"/>
      <c r="D21" s="85" t="s">
        <v>260</v>
      </c>
      <c r="E21" s="85"/>
      <c r="F21" s="85"/>
      <c r="G21" s="85"/>
      <c r="H21" s="85"/>
      <c r="I21" s="85"/>
      <c r="J21" s="85"/>
      <c r="K21" s="85"/>
      <c r="L21" s="85"/>
      <c r="M21" s="85"/>
      <c r="N21" s="85"/>
      <c r="O21" s="85"/>
    </row>
    <row r="22" spans="1:15" ht="240">
      <c r="A22" s="19" t="s">
        <v>226</v>
      </c>
      <c r="B22" s="19" t="s">
        <v>145</v>
      </c>
      <c r="C22" s="30" t="s">
        <v>14</v>
      </c>
      <c r="D22" s="8" t="s">
        <v>261</v>
      </c>
      <c r="E22" s="9" t="s">
        <v>187</v>
      </c>
      <c r="F22" s="10" t="s">
        <v>148</v>
      </c>
      <c r="G22" s="10" t="s">
        <v>262</v>
      </c>
      <c r="H22" s="9" t="s">
        <v>263</v>
      </c>
      <c r="I22" s="9" t="s">
        <v>264</v>
      </c>
      <c r="J22" s="10"/>
      <c r="K22" s="10"/>
      <c r="L22" s="10"/>
      <c r="M22" s="10"/>
      <c r="N22" s="9" t="s">
        <v>231</v>
      </c>
      <c r="O22" s="9" t="s">
        <v>152</v>
      </c>
    </row>
    <row r="23" spans="1:15" ht="5.45" customHeight="1">
      <c r="C23" s="11"/>
      <c r="D23" s="8"/>
      <c r="E23" s="9"/>
      <c r="F23" s="10"/>
      <c r="G23" s="10"/>
      <c r="H23" s="9"/>
      <c r="I23" s="9"/>
      <c r="J23" s="10" t="s">
        <v>153</v>
      </c>
      <c r="K23" s="10"/>
      <c r="L23" s="10"/>
      <c r="M23" s="10"/>
      <c r="N23" s="9"/>
      <c r="O23" s="9"/>
    </row>
    <row r="24" spans="1:15" s="43" customFormat="1" ht="18.95">
      <c r="A24" s="98" t="s">
        <v>17</v>
      </c>
      <c r="B24" s="98"/>
      <c r="C24" s="98"/>
      <c r="D24" s="98"/>
      <c r="E24" s="98"/>
      <c r="F24" s="98"/>
      <c r="G24" s="98"/>
      <c r="H24" s="98"/>
      <c r="I24" s="98"/>
      <c r="J24" s="98"/>
      <c r="K24" s="98"/>
      <c r="L24" s="98"/>
      <c r="M24" s="98"/>
      <c r="N24" s="98"/>
      <c r="O24" s="99"/>
    </row>
    <row r="25" spans="1:15" s="43" customFormat="1">
      <c r="A25" s="100" t="s">
        <v>142</v>
      </c>
      <c r="B25" s="100"/>
      <c r="C25" s="101"/>
      <c r="D25" s="97" t="s">
        <v>265</v>
      </c>
      <c r="E25" s="97"/>
      <c r="F25" s="97"/>
      <c r="G25" s="97"/>
      <c r="H25" s="97"/>
      <c r="I25" s="97"/>
      <c r="J25" s="97"/>
      <c r="K25" s="97"/>
      <c r="L25" s="97"/>
      <c r="M25" s="97"/>
      <c r="N25" s="97"/>
      <c r="O25" s="97"/>
    </row>
    <row r="26" spans="1:15" s="43" customFormat="1" ht="356.1">
      <c r="A26" s="19" t="s">
        <v>226</v>
      </c>
      <c r="B26" s="54" t="s">
        <v>145</v>
      </c>
      <c r="C26" s="63" t="s">
        <v>16</v>
      </c>
      <c r="D26" s="57" t="s">
        <v>266</v>
      </c>
      <c r="E26" s="58" t="s">
        <v>267</v>
      </c>
      <c r="F26" s="59" t="s">
        <v>148</v>
      </c>
      <c r="G26" s="59" t="s">
        <v>268</v>
      </c>
      <c r="H26" s="58" t="s">
        <v>269</v>
      </c>
      <c r="I26" s="58" t="s">
        <v>270</v>
      </c>
      <c r="J26" s="59"/>
      <c r="K26" s="59"/>
      <c r="L26" s="59"/>
      <c r="M26" s="59"/>
      <c r="N26" s="58" t="s">
        <v>271</v>
      </c>
      <c r="O26" s="58" t="s">
        <v>152</v>
      </c>
    </row>
    <row r="27" spans="1:15" s="43" customFormat="1" ht="6" customHeight="1">
      <c r="C27" s="42"/>
      <c r="E27" s="55"/>
      <c r="H27" s="55"/>
      <c r="I27" s="55"/>
      <c r="J27" s="43" t="s">
        <v>153</v>
      </c>
      <c r="K27" s="59"/>
      <c r="O27" s="55"/>
    </row>
    <row r="28" spans="1:15" ht="18.95">
      <c r="A28" s="83" t="s">
        <v>272</v>
      </c>
      <c r="B28" s="83"/>
      <c r="C28" s="83"/>
      <c r="D28" s="83"/>
      <c r="E28" s="83"/>
      <c r="F28" s="83"/>
      <c r="G28" s="83"/>
      <c r="H28" s="83"/>
      <c r="I28" s="83"/>
      <c r="J28" s="83"/>
      <c r="K28" s="83"/>
      <c r="L28" s="83"/>
      <c r="M28" s="83"/>
      <c r="N28" s="83"/>
      <c r="O28" s="84"/>
    </row>
    <row r="29" spans="1:15">
      <c r="A29" s="92" t="s">
        <v>142</v>
      </c>
      <c r="B29" s="92"/>
      <c r="C29" s="93"/>
      <c r="D29" s="80" t="s">
        <v>273</v>
      </c>
      <c r="E29" s="81"/>
      <c r="F29" s="81"/>
      <c r="G29" s="81"/>
      <c r="H29" s="81"/>
      <c r="I29" s="81"/>
      <c r="J29" s="81"/>
      <c r="K29" s="81"/>
      <c r="L29" s="81"/>
      <c r="M29" s="81"/>
      <c r="N29" s="81"/>
      <c r="O29" s="82"/>
    </row>
    <row r="30" spans="1:15" ht="270">
      <c r="A30" s="19" t="s">
        <v>226</v>
      </c>
      <c r="B30" s="19" t="s">
        <v>145</v>
      </c>
      <c r="C30" s="30" t="s">
        <v>18</v>
      </c>
      <c r="D30" s="8" t="s">
        <v>273</v>
      </c>
      <c r="E30" s="9" t="s">
        <v>147</v>
      </c>
      <c r="F30" s="10" t="s">
        <v>148</v>
      </c>
      <c r="G30" s="10" t="s">
        <v>274</v>
      </c>
      <c r="H30" s="9" t="s">
        <v>275</v>
      </c>
      <c r="I30" s="9" t="s">
        <v>276</v>
      </c>
      <c r="J30" s="10"/>
      <c r="K30" s="10"/>
      <c r="L30" s="10"/>
      <c r="M30" s="10"/>
      <c r="N30" s="9" t="s">
        <v>277</v>
      </c>
      <c r="O30" s="9" t="s">
        <v>152</v>
      </c>
    </row>
    <row r="31" spans="1:15" ht="7.35" customHeight="1">
      <c r="C31" s="11"/>
      <c r="D31" s="8"/>
      <c r="E31" s="9"/>
      <c r="F31" s="10"/>
      <c r="G31" s="10"/>
      <c r="H31" s="9"/>
      <c r="I31" s="9"/>
      <c r="J31" s="10" t="s">
        <v>153</v>
      </c>
      <c r="K31" s="10"/>
      <c r="L31" s="10"/>
      <c r="M31" s="10"/>
      <c r="N31" s="9"/>
      <c r="O31" s="9"/>
    </row>
    <row r="32" spans="1:15" s="43" customFormat="1" ht="18.95">
      <c r="A32" s="98" t="s">
        <v>22</v>
      </c>
      <c r="B32" s="98"/>
      <c r="C32" s="98"/>
      <c r="D32" s="98"/>
      <c r="E32" s="98"/>
      <c r="F32" s="98"/>
      <c r="G32" s="98"/>
      <c r="H32" s="98"/>
      <c r="I32" s="98"/>
      <c r="J32" s="98"/>
      <c r="K32" s="98"/>
      <c r="L32" s="98"/>
      <c r="M32" s="98"/>
      <c r="N32" s="98"/>
      <c r="O32" s="99"/>
    </row>
    <row r="33" spans="1:15" s="43" customFormat="1">
      <c r="A33" s="107" t="s">
        <v>142</v>
      </c>
      <c r="B33" s="107"/>
      <c r="C33" s="108"/>
      <c r="D33" s="102" t="s">
        <v>278</v>
      </c>
      <c r="E33" s="103"/>
      <c r="F33" s="103"/>
      <c r="G33" s="103"/>
      <c r="H33" s="103"/>
      <c r="I33" s="103"/>
      <c r="J33" s="103"/>
      <c r="K33" s="103"/>
      <c r="L33" s="103"/>
      <c r="M33" s="103"/>
      <c r="N33" s="103"/>
      <c r="O33" s="104"/>
    </row>
    <row r="34" spans="1:15" s="43" customFormat="1" ht="342">
      <c r="A34" s="19" t="s">
        <v>226</v>
      </c>
      <c r="B34" s="54" t="s">
        <v>145</v>
      </c>
      <c r="C34" s="63" t="s">
        <v>21</v>
      </c>
      <c r="D34" s="57" t="s">
        <v>279</v>
      </c>
      <c r="E34" s="58" t="s">
        <v>147</v>
      </c>
      <c r="F34" s="59" t="s">
        <v>148</v>
      </c>
      <c r="G34" s="59" t="s">
        <v>279</v>
      </c>
      <c r="H34" s="58" t="s">
        <v>280</v>
      </c>
      <c r="I34" s="58" t="s">
        <v>281</v>
      </c>
      <c r="J34" s="59"/>
      <c r="K34" s="59"/>
      <c r="L34" s="59"/>
      <c r="M34" s="59"/>
      <c r="N34" s="58" t="s">
        <v>282</v>
      </c>
      <c r="O34" s="58" t="s">
        <v>152</v>
      </c>
    </row>
    <row r="35" spans="1:15" s="43" customFormat="1" ht="7.35" customHeight="1">
      <c r="C35" s="56"/>
      <c r="D35" s="57"/>
      <c r="E35" s="58"/>
      <c r="F35" s="59"/>
      <c r="G35" s="59"/>
      <c r="H35" s="58"/>
      <c r="I35" s="58"/>
      <c r="J35" s="59" t="s">
        <v>153</v>
      </c>
      <c r="K35" s="59"/>
      <c r="L35" s="59"/>
      <c r="M35" s="59"/>
      <c r="N35" s="58"/>
      <c r="O35" s="58"/>
    </row>
    <row r="36" spans="1:15" ht="18.95">
      <c r="A36" s="83" t="s">
        <v>24</v>
      </c>
      <c r="B36" s="83"/>
      <c r="C36" s="83"/>
      <c r="D36" s="83"/>
      <c r="E36" s="83"/>
      <c r="F36" s="83"/>
      <c r="G36" s="83"/>
      <c r="H36" s="83"/>
      <c r="I36" s="83"/>
      <c r="J36" s="83"/>
      <c r="K36" s="83"/>
      <c r="L36" s="83"/>
      <c r="M36" s="83"/>
      <c r="N36" s="83"/>
      <c r="O36" s="84"/>
    </row>
    <row r="37" spans="1:15">
      <c r="A37" s="92" t="s">
        <v>142</v>
      </c>
      <c r="B37" s="92"/>
      <c r="C37" s="93"/>
      <c r="D37" s="80" t="s">
        <v>283</v>
      </c>
      <c r="E37" s="81"/>
      <c r="F37" s="81"/>
      <c r="G37" s="81"/>
      <c r="H37" s="81"/>
      <c r="I37" s="81"/>
      <c r="J37" s="81"/>
      <c r="K37" s="81"/>
      <c r="L37" s="81"/>
      <c r="M37" s="81"/>
      <c r="N37" s="81"/>
      <c r="O37" s="82"/>
    </row>
    <row r="38" spans="1:15" ht="165">
      <c r="A38" s="19" t="s">
        <v>226</v>
      </c>
      <c r="B38" s="19" t="s">
        <v>145</v>
      </c>
      <c r="C38" s="30" t="s">
        <v>23</v>
      </c>
      <c r="D38" s="8" t="s">
        <v>283</v>
      </c>
      <c r="E38" s="9" t="s">
        <v>284</v>
      </c>
      <c r="F38" s="10" t="s">
        <v>148</v>
      </c>
      <c r="G38" s="10" t="s">
        <v>283</v>
      </c>
      <c r="H38" s="9" t="s">
        <v>285</v>
      </c>
      <c r="I38" s="9" t="s">
        <v>286</v>
      </c>
      <c r="J38" s="10"/>
      <c r="K38" s="10"/>
      <c r="L38" s="10"/>
      <c r="M38" s="10"/>
      <c r="N38" s="9" t="s">
        <v>287</v>
      </c>
      <c r="O38" s="9" t="s">
        <v>152</v>
      </c>
    </row>
    <row r="39" spans="1:15" ht="7.35" customHeight="1">
      <c r="C39" s="11"/>
      <c r="D39" s="8"/>
      <c r="E39" s="9"/>
      <c r="F39" s="10"/>
      <c r="G39" s="10"/>
      <c r="H39" s="9"/>
      <c r="I39" s="9"/>
      <c r="J39" s="10" t="s">
        <v>153</v>
      </c>
      <c r="K39" s="10"/>
      <c r="L39" s="10"/>
      <c r="M39" s="10"/>
      <c r="N39" s="9"/>
      <c r="O39" s="9"/>
    </row>
    <row r="40" spans="1:15" s="43" customFormat="1" ht="18.95">
      <c r="A40" s="98" t="s">
        <v>26</v>
      </c>
      <c r="B40" s="98"/>
      <c r="C40" s="98"/>
      <c r="D40" s="98"/>
      <c r="E40" s="98"/>
      <c r="F40" s="98"/>
      <c r="G40" s="98"/>
      <c r="H40" s="98"/>
      <c r="I40" s="98"/>
      <c r="J40" s="98"/>
      <c r="K40" s="98"/>
      <c r="L40" s="98"/>
      <c r="M40" s="98"/>
      <c r="N40" s="98"/>
      <c r="O40" s="99"/>
    </row>
    <row r="41" spans="1:15" s="43" customFormat="1">
      <c r="A41" s="107" t="s">
        <v>142</v>
      </c>
      <c r="B41" s="107"/>
      <c r="C41" s="108"/>
      <c r="D41" s="102" t="s">
        <v>288</v>
      </c>
      <c r="E41" s="103"/>
      <c r="F41" s="103"/>
      <c r="G41" s="103"/>
      <c r="H41" s="103"/>
      <c r="I41" s="103"/>
      <c r="J41" s="103"/>
      <c r="K41" s="103"/>
      <c r="L41" s="103"/>
      <c r="M41" s="103"/>
      <c r="N41" s="103"/>
      <c r="O41" s="104"/>
    </row>
    <row r="42" spans="1:15" s="43" customFormat="1" ht="314.10000000000002">
      <c r="A42" s="19" t="s">
        <v>226</v>
      </c>
      <c r="B42" s="54" t="s">
        <v>145</v>
      </c>
      <c r="C42" s="63" t="s">
        <v>25</v>
      </c>
      <c r="D42" s="57" t="s">
        <v>289</v>
      </c>
      <c r="E42" s="58" t="s">
        <v>147</v>
      </c>
      <c r="F42" s="59" t="s">
        <v>148</v>
      </c>
      <c r="G42" s="59" t="s">
        <v>290</v>
      </c>
      <c r="H42" s="58" t="s">
        <v>291</v>
      </c>
      <c r="I42" s="58" t="s">
        <v>292</v>
      </c>
      <c r="J42" s="59"/>
      <c r="K42" s="59"/>
      <c r="L42" s="59"/>
      <c r="M42" s="59"/>
      <c r="N42" s="58" t="s">
        <v>293</v>
      </c>
      <c r="O42" s="58" t="s">
        <v>152</v>
      </c>
    </row>
    <row r="43" spans="1:15" s="43" customFormat="1" ht="6" customHeight="1">
      <c r="C43" s="42"/>
      <c r="E43" s="55"/>
      <c r="H43" s="55"/>
      <c r="I43" s="55"/>
      <c r="J43" s="43" t="s">
        <v>153</v>
      </c>
      <c r="N43" s="60"/>
      <c r="O43" s="55"/>
    </row>
    <row r="44" spans="1:15" ht="18.95">
      <c r="A44" s="83" t="s">
        <v>294</v>
      </c>
      <c r="B44" s="83"/>
      <c r="C44" s="83"/>
      <c r="D44" s="83"/>
      <c r="E44" s="83"/>
      <c r="F44" s="83"/>
      <c r="G44" s="83"/>
      <c r="H44" s="83"/>
      <c r="I44" s="83"/>
      <c r="J44" s="83"/>
      <c r="K44" s="83"/>
      <c r="L44" s="83"/>
      <c r="M44" s="83"/>
      <c r="N44" s="83"/>
      <c r="O44" s="84"/>
    </row>
    <row r="45" spans="1:15">
      <c r="A45" s="86" t="s">
        <v>142</v>
      </c>
      <c r="B45" s="86"/>
      <c r="C45" s="87"/>
      <c r="D45" s="85" t="s">
        <v>216</v>
      </c>
      <c r="E45" s="85"/>
      <c r="F45" s="85"/>
      <c r="G45" s="85"/>
      <c r="H45" s="85"/>
      <c r="I45" s="85"/>
      <c r="J45" s="85"/>
      <c r="K45" s="85"/>
      <c r="L45" s="85"/>
      <c r="M45" s="85"/>
      <c r="N45" s="85"/>
      <c r="O45" s="85"/>
    </row>
    <row r="46" spans="1:15" ht="75">
      <c r="A46" s="19" t="s">
        <v>226</v>
      </c>
      <c r="B46" s="19" t="s">
        <v>145</v>
      </c>
      <c r="C46" s="11" t="s">
        <v>27</v>
      </c>
      <c r="D46" s="64" t="s">
        <v>217</v>
      </c>
      <c r="E46" s="9" t="s">
        <v>218</v>
      </c>
      <c r="F46" s="9" t="s">
        <v>148</v>
      </c>
      <c r="G46" s="10" t="s">
        <v>219</v>
      </c>
      <c r="H46" s="9" t="s">
        <v>220</v>
      </c>
      <c r="I46" s="9" t="s">
        <v>221</v>
      </c>
      <c r="J46" s="10"/>
      <c r="K46" s="10"/>
      <c r="L46" s="10"/>
      <c r="M46" s="10"/>
      <c r="N46" s="9" t="s">
        <v>222</v>
      </c>
      <c r="O46" s="9" t="s">
        <v>162</v>
      </c>
    </row>
    <row r="47" spans="1:15" ht="75">
      <c r="A47" s="19" t="s">
        <v>226</v>
      </c>
      <c r="B47" s="19" t="s">
        <v>145</v>
      </c>
      <c r="C47" s="11"/>
      <c r="D47" s="64"/>
      <c r="E47" s="9" t="s">
        <v>218</v>
      </c>
      <c r="F47" s="9" t="s">
        <v>169</v>
      </c>
      <c r="G47" s="10" t="s">
        <v>219</v>
      </c>
      <c r="H47" s="9" t="s">
        <v>220</v>
      </c>
      <c r="I47" s="9" t="s">
        <v>221</v>
      </c>
      <c r="J47" s="10"/>
      <c r="K47" s="10"/>
      <c r="L47" s="10"/>
      <c r="M47" s="10"/>
      <c r="N47" s="9" t="s">
        <v>222</v>
      </c>
      <c r="O47" s="9" t="s">
        <v>162</v>
      </c>
    </row>
    <row r="48" spans="1:15" ht="75">
      <c r="A48" s="19" t="s">
        <v>226</v>
      </c>
      <c r="B48" s="19" t="s">
        <v>145</v>
      </c>
      <c r="C48" s="11"/>
      <c r="D48" s="64"/>
      <c r="E48" s="9" t="s">
        <v>218</v>
      </c>
      <c r="F48" s="9" t="s">
        <v>188</v>
      </c>
      <c r="G48" s="10" t="s">
        <v>219</v>
      </c>
      <c r="H48" s="9" t="s">
        <v>220</v>
      </c>
      <c r="I48" s="9" t="s">
        <v>221</v>
      </c>
      <c r="J48" s="10"/>
      <c r="K48" s="10"/>
      <c r="L48" s="10"/>
      <c r="M48" s="10"/>
      <c r="N48" s="9" t="s">
        <v>222</v>
      </c>
      <c r="O48" s="9" t="s">
        <v>162</v>
      </c>
    </row>
    <row r="49" spans="1:15" ht="75">
      <c r="A49" s="19" t="s">
        <v>226</v>
      </c>
      <c r="B49" s="19" t="s">
        <v>145</v>
      </c>
      <c r="C49" s="11"/>
      <c r="D49" s="64"/>
      <c r="E49" s="9"/>
      <c r="F49" s="9" t="s">
        <v>223</v>
      </c>
      <c r="G49" s="10" t="s">
        <v>219</v>
      </c>
      <c r="H49" s="9" t="s">
        <v>220</v>
      </c>
      <c r="I49" s="9" t="s">
        <v>221</v>
      </c>
      <c r="J49" s="10"/>
      <c r="K49" s="10"/>
      <c r="L49" s="10"/>
      <c r="M49" s="10"/>
      <c r="N49" s="9" t="s">
        <v>222</v>
      </c>
      <c r="O49" s="9" t="s">
        <v>162</v>
      </c>
    </row>
    <row r="50" spans="1:15" ht="6" customHeight="1">
      <c r="J50" t="s">
        <v>153</v>
      </c>
      <c r="N50" s="18"/>
    </row>
    <row r="54" spans="1:15">
      <c r="N54" s="2"/>
      <c r="O54"/>
    </row>
    <row r="55" spans="1:15">
      <c r="N55" s="2"/>
      <c r="O55"/>
    </row>
    <row r="56" spans="1:15">
      <c r="N56" s="2"/>
      <c r="O56"/>
    </row>
    <row r="57" spans="1:15">
      <c r="N57" s="2"/>
      <c r="O57"/>
    </row>
    <row r="58" spans="1:15">
      <c r="N58" s="2"/>
      <c r="O58"/>
    </row>
  </sheetData>
  <dataConsolidate/>
  <mergeCells count="35">
    <mergeCell ref="A40:O40"/>
    <mergeCell ref="A41:C41"/>
    <mergeCell ref="D33:O33"/>
    <mergeCell ref="D37:O37"/>
    <mergeCell ref="A32:O32"/>
    <mergeCell ref="A33:C33"/>
    <mergeCell ref="A36:O36"/>
    <mergeCell ref="A37:C37"/>
    <mergeCell ref="A11:C11"/>
    <mergeCell ref="A16:O16"/>
    <mergeCell ref="A17:C17"/>
    <mergeCell ref="A20:O20"/>
    <mergeCell ref="A21:C21"/>
    <mergeCell ref="C12:C14"/>
    <mergeCell ref="A2:O2"/>
    <mergeCell ref="A3:C3"/>
    <mergeCell ref="A6:O6"/>
    <mergeCell ref="A7:C7"/>
    <mergeCell ref="A10:O10"/>
    <mergeCell ref="D45:O45"/>
    <mergeCell ref="D3:O3"/>
    <mergeCell ref="D11:O11"/>
    <mergeCell ref="D17:O17"/>
    <mergeCell ref="D7:O7"/>
    <mergeCell ref="D12:D14"/>
    <mergeCell ref="D21:O21"/>
    <mergeCell ref="D25:O25"/>
    <mergeCell ref="A44:O44"/>
    <mergeCell ref="A45:C45"/>
    <mergeCell ref="A24:O24"/>
    <mergeCell ref="A25:C25"/>
    <mergeCell ref="A28:O28"/>
    <mergeCell ref="A29:C29"/>
    <mergeCell ref="D41:O41"/>
    <mergeCell ref="D29:O29"/>
  </mergeCells>
  <dataValidations count="2">
    <dataValidation type="list" allowBlank="1" showInputMessage="1" showErrorMessage="1" sqref="J12:J14 J46:J49 J8 J18:J19 J4 K11 K7 J38:K39 K15 K48:K49 J26 J22:K23 J42:K42 K26:K27 J30:K31 J34:K35 K4:K5" xr:uid="{00000000-0002-0000-0200-000000000000}">
      <formula1>"Pass,Fail"</formula1>
    </dataValidation>
    <dataValidation type="list" allowBlank="1" showInputMessage="1" showErrorMessage="1" sqref="M12:M14 M4 M46:M49 M8 M18:M19 M22:M23 M26 M42 M30:M31 M34:M35 M38:M39" xr:uid="{00000000-0002-0000-0200-000001000000}">
      <formula1>"New,Retest"</formula1>
    </dataValidation>
  </dataValidations>
  <pageMargins left="0.7" right="0.7" top="0.75" bottom="0.75" header="0.3" footer="0.3"/>
  <pageSetup scale="71" fitToHeight="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7"/>
  <sheetViews>
    <sheetView topLeftCell="A22" zoomScale="60" zoomScaleNormal="60" workbookViewId="0">
      <selection activeCell="A22" sqref="A22:XFD26"/>
    </sheetView>
  </sheetViews>
  <sheetFormatPr defaultColWidth="8.85546875" defaultRowHeight="15"/>
  <cols>
    <col min="3" max="3" width="12.85546875" customWidth="1"/>
    <col min="4" max="4" width="27" customWidth="1"/>
    <col min="5" max="5" width="17.42578125" customWidth="1"/>
    <col min="7" max="7" width="26.85546875" customWidth="1"/>
    <col min="8" max="8" width="51.42578125" style="2" customWidth="1"/>
    <col min="9" max="9" width="30.7109375" customWidth="1"/>
    <col min="12" max="12" width="16.7109375" customWidth="1"/>
    <col min="13" max="13" width="10.28515625" customWidth="1"/>
    <col min="14" max="14" width="13.140625" customWidth="1"/>
    <col min="15" max="15" width="42.140625" customWidth="1"/>
  </cols>
  <sheetData>
    <row r="1" spans="1:15" ht="15.95">
      <c r="A1" s="3" t="s">
        <v>131</v>
      </c>
      <c r="B1" s="3" t="s">
        <v>132</v>
      </c>
      <c r="C1" s="3" t="s">
        <v>1</v>
      </c>
      <c r="D1" s="3" t="s">
        <v>2</v>
      </c>
      <c r="E1" s="4" t="s">
        <v>133</v>
      </c>
      <c r="F1" s="3" t="s">
        <v>134</v>
      </c>
      <c r="G1" s="4" t="s">
        <v>135</v>
      </c>
      <c r="H1" s="4" t="s">
        <v>136</v>
      </c>
      <c r="I1" s="4" t="s">
        <v>137</v>
      </c>
      <c r="J1" s="3" t="s">
        <v>3</v>
      </c>
      <c r="K1" s="3" t="s">
        <v>138</v>
      </c>
      <c r="L1" s="3" t="s">
        <v>139</v>
      </c>
      <c r="M1" s="3" t="s">
        <v>140</v>
      </c>
      <c r="N1" s="3" t="s">
        <v>141</v>
      </c>
      <c r="O1" s="4" t="s">
        <v>4</v>
      </c>
    </row>
    <row r="2" spans="1:15" ht="18.95">
      <c r="A2" s="94" t="s">
        <v>32</v>
      </c>
      <c r="B2" s="94"/>
      <c r="C2" s="94"/>
      <c r="D2" s="94"/>
      <c r="E2" s="94"/>
      <c r="F2" s="94"/>
      <c r="G2" s="94"/>
      <c r="H2" s="94"/>
      <c r="I2" s="94"/>
      <c r="J2" s="94"/>
      <c r="K2" s="94"/>
      <c r="L2" s="94"/>
      <c r="M2" s="94"/>
      <c r="N2" s="94"/>
      <c r="O2" s="95"/>
    </row>
    <row r="3" spans="1:15">
      <c r="A3" s="86" t="s">
        <v>142</v>
      </c>
      <c r="B3" s="86"/>
      <c r="C3" s="87"/>
      <c r="D3" s="85" t="s">
        <v>295</v>
      </c>
      <c r="E3" s="85"/>
      <c r="F3" s="85"/>
      <c r="G3" s="85"/>
      <c r="H3" s="85"/>
      <c r="I3" s="85"/>
      <c r="J3" s="85"/>
      <c r="K3" s="85"/>
      <c r="L3" s="85"/>
      <c r="M3" s="85"/>
      <c r="N3" s="85"/>
      <c r="O3" s="85"/>
    </row>
    <row r="4" spans="1:15" ht="60">
      <c r="A4" s="19" t="s">
        <v>226</v>
      </c>
      <c r="B4" s="19" t="s">
        <v>145</v>
      </c>
      <c r="C4" s="112" t="s">
        <v>31</v>
      </c>
      <c r="D4" s="90" t="s">
        <v>296</v>
      </c>
      <c r="E4" s="9" t="s">
        <v>297</v>
      </c>
      <c r="F4" s="10" t="s">
        <v>148</v>
      </c>
      <c r="G4" s="10" t="s">
        <v>298</v>
      </c>
      <c r="H4" s="9" t="s">
        <v>299</v>
      </c>
      <c r="I4" s="9" t="s">
        <v>300</v>
      </c>
      <c r="J4" s="10"/>
      <c r="K4" s="10"/>
      <c r="L4" s="10"/>
      <c r="M4" s="10"/>
      <c r="N4" s="9" t="s">
        <v>301</v>
      </c>
      <c r="O4" s="9"/>
    </row>
    <row r="5" spans="1:15" ht="90">
      <c r="A5" s="19" t="s">
        <v>226</v>
      </c>
      <c r="B5" s="19" t="s">
        <v>145</v>
      </c>
      <c r="C5" s="113"/>
      <c r="D5" s="115"/>
      <c r="E5" s="9" t="s">
        <v>297</v>
      </c>
      <c r="F5" s="10" t="s">
        <v>169</v>
      </c>
      <c r="G5" s="10" t="s">
        <v>302</v>
      </c>
      <c r="H5" s="9" t="s">
        <v>303</v>
      </c>
      <c r="I5" s="9" t="s">
        <v>304</v>
      </c>
      <c r="J5" s="10"/>
      <c r="K5" s="10"/>
      <c r="L5" s="10"/>
      <c r="M5" s="10"/>
      <c r="N5" s="9" t="s">
        <v>301</v>
      </c>
      <c r="O5" s="9"/>
    </row>
    <row r="6" spans="1:15" ht="6.75" customHeight="1">
      <c r="C6" s="11"/>
      <c r="J6" t="s">
        <v>153</v>
      </c>
    </row>
    <row r="7" spans="1:15" ht="18.95">
      <c r="A7" s="83" t="s">
        <v>34</v>
      </c>
      <c r="B7" s="83"/>
      <c r="C7" s="83"/>
      <c r="D7" s="83"/>
      <c r="E7" s="83"/>
      <c r="F7" s="83"/>
      <c r="G7" s="83"/>
      <c r="H7" s="83"/>
      <c r="I7" s="83"/>
      <c r="J7" s="83"/>
      <c r="K7" s="83"/>
      <c r="L7" s="83"/>
      <c r="M7" s="83"/>
      <c r="N7" s="83"/>
      <c r="O7" s="84"/>
    </row>
    <row r="8" spans="1:15">
      <c r="A8" s="86" t="s">
        <v>142</v>
      </c>
      <c r="B8" s="86"/>
      <c r="C8" s="87"/>
      <c r="D8" s="85" t="s">
        <v>305</v>
      </c>
      <c r="E8" s="85"/>
      <c r="F8" s="85"/>
      <c r="G8" s="85"/>
      <c r="H8" s="85"/>
      <c r="I8" s="85"/>
      <c r="J8" s="85"/>
      <c r="K8" s="85"/>
      <c r="L8" s="85"/>
      <c r="M8" s="85"/>
      <c r="N8" s="85"/>
      <c r="O8" s="85"/>
    </row>
    <row r="9" spans="1:15" ht="91.5" customHeight="1">
      <c r="A9" s="19" t="s">
        <v>226</v>
      </c>
      <c r="B9" s="19" t="s">
        <v>145</v>
      </c>
      <c r="C9" s="112" t="s">
        <v>33</v>
      </c>
      <c r="D9" s="90" t="s">
        <v>305</v>
      </c>
      <c r="E9" s="9" t="s">
        <v>297</v>
      </c>
      <c r="F9" s="10" t="s">
        <v>148</v>
      </c>
      <c r="G9" s="10" t="s">
        <v>306</v>
      </c>
      <c r="H9" s="9" t="s">
        <v>307</v>
      </c>
      <c r="I9" s="9" t="s">
        <v>308</v>
      </c>
      <c r="J9" s="10"/>
      <c r="K9" s="10"/>
      <c r="L9" s="10"/>
      <c r="M9" s="10"/>
      <c r="N9" s="9" t="s">
        <v>301</v>
      </c>
      <c r="O9" s="9"/>
    </row>
    <row r="10" spans="1:15" ht="30">
      <c r="A10" s="19" t="s">
        <v>226</v>
      </c>
      <c r="B10" s="19" t="s">
        <v>145</v>
      </c>
      <c r="C10" s="114"/>
      <c r="D10" s="91"/>
      <c r="E10" s="9" t="s">
        <v>297</v>
      </c>
      <c r="F10" s="10" t="s">
        <v>169</v>
      </c>
      <c r="G10" s="10" t="s">
        <v>309</v>
      </c>
      <c r="H10" s="9" t="s">
        <v>310</v>
      </c>
      <c r="I10" s="9" t="s">
        <v>311</v>
      </c>
      <c r="J10" s="10"/>
      <c r="K10" s="10"/>
      <c r="L10" s="10"/>
      <c r="M10" s="10"/>
      <c r="N10" s="9" t="s">
        <v>301</v>
      </c>
      <c r="O10" s="9"/>
    </row>
    <row r="11" spans="1:15" ht="45">
      <c r="A11" s="19" t="s">
        <v>226</v>
      </c>
      <c r="B11" s="19" t="s">
        <v>145</v>
      </c>
      <c r="C11" s="114"/>
      <c r="D11" s="91"/>
      <c r="E11" s="9" t="s">
        <v>312</v>
      </c>
      <c r="F11" s="10" t="s">
        <v>188</v>
      </c>
      <c r="G11" s="9" t="s">
        <v>313</v>
      </c>
      <c r="H11" s="9" t="s">
        <v>314</v>
      </c>
      <c r="I11" s="9" t="s">
        <v>315</v>
      </c>
      <c r="J11" s="10"/>
      <c r="K11" s="10"/>
      <c r="L11" s="10"/>
      <c r="M11" s="10"/>
      <c r="N11" s="9" t="s">
        <v>301</v>
      </c>
      <c r="O11" s="9"/>
    </row>
    <row r="12" spans="1:15" ht="30">
      <c r="A12" s="19" t="s">
        <v>226</v>
      </c>
      <c r="B12" s="19" t="s">
        <v>145</v>
      </c>
      <c r="C12" s="114"/>
      <c r="D12" s="91"/>
      <c r="E12" s="9" t="s">
        <v>297</v>
      </c>
      <c r="F12" s="10" t="s">
        <v>193</v>
      </c>
      <c r="G12" s="10" t="s">
        <v>316</v>
      </c>
      <c r="H12" s="9" t="s">
        <v>307</v>
      </c>
      <c r="I12" s="9" t="s">
        <v>317</v>
      </c>
      <c r="J12" s="10"/>
      <c r="K12" s="10"/>
      <c r="L12" s="10"/>
      <c r="M12" s="10"/>
      <c r="N12" s="9" t="s">
        <v>301</v>
      </c>
      <c r="O12" s="9"/>
    </row>
    <row r="13" spans="1:15" ht="45">
      <c r="A13" s="19" t="s">
        <v>226</v>
      </c>
      <c r="B13" s="19" t="s">
        <v>145</v>
      </c>
      <c r="C13" s="113"/>
      <c r="D13" s="115"/>
      <c r="E13" s="9" t="s">
        <v>297</v>
      </c>
      <c r="F13" s="10" t="s">
        <v>199</v>
      </c>
      <c r="G13" s="9" t="s">
        <v>318</v>
      </c>
      <c r="H13" s="9" t="s">
        <v>319</v>
      </c>
      <c r="I13" s="9" t="s">
        <v>320</v>
      </c>
      <c r="J13" s="10"/>
      <c r="K13" s="10"/>
      <c r="L13" s="10"/>
      <c r="M13" s="10"/>
      <c r="N13" s="9" t="s">
        <v>301</v>
      </c>
      <c r="O13" s="9"/>
    </row>
    <row r="14" spans="1:15" ht="5.25" customHeight="1">
      <c r="J14" t="s">
        <v>153</v>
      </c>
    </row>
    <row r="15" spans="1:15" ht="18.95">
      <c r="A15" s="83" t="s">
        <v>36</v>
      </c>
      <c r="B15" s="83"/>
      <c r="C15" s="83"/>
      <c r="D15" s="83"/>
      <c r="E15" s="83"/>
      <c r="F15" s="83"/>
      <c r="G15" s="83"/>
      <c r="H15" s="83"/>
      <c r="I15" s="83"/>
      <c r="J15" s="83"/>
      <c r="K15" s="83"/>
      <c r="L15" s="83"/>
      <c r="M15" s="83"/>
      <c r="N15" s="83"/>
      <c r="O15" s="84"/>
    </row>
    <row r="16" spans="1:15">
      <c r="A16" s="86" t="s">
        <v>142</v>
      </c>
      <c r="B16" s="86"/>
      <c r="C16" s="87"/>
      <c r="D16" s="85" t="s">
        <v>321</v>
      </c>
      <c r="E16" s="85"/>
      <c r="F16" s="85"/>
      <c r="G16" s="85"/>
      <c r="H16" s="85"/>
      <c r="I16" s="85"/>
      <c r="J16" s="85"/>
      <c r="K16" s="85"/>
      <c r="L16" s="85"/>
      <c r="M16" s="85"/>
      <c r="N16" s="85"/>
      <c r="O16" s="85"/>
    </row>
    <row r="17" spans="1:15" ht="106.5" customHeight="1">
      <c r="A17" s="19" t="s">
        <v>226</v>
      </c>
      <c r="B17" s="65" t="s">
        <v>145</v>
      </c>
      <c r="C17" s="112" t="s">
        <v>35</v>
      </c>
      <c r="D17" s="90" t="s">
        <v>322</v>
      </c>
      <c r="E17" s="11" t="s">
        <v>297</v>
      </c>
      <c r="F17" s="11" t="s">
        <v>148</v>
      </c>
      <c r="G17" s="11" t="s">
        <v>323</v>
      </c>
      <c r="H17" s="9" t="s">
        <v>324</v>
      </c>
      <c r="I17" s="9" t="s">
        <v>325</v>
      </c>
      <c r="J17" s="10"/>
      <c r="K17" s="10"/>
      <c r="L17" s="10"/>
      <c r="M17" s="10"/>
      <c r="N17" s="9" t="s">
        <v>326</v>
      </c>
      <c r="O17" s="9"/>
    </row>
    <row r="18" spans="1:15" ht="120">
      <c r="A18" s="19" t="s">
        <v>226</v>
      </c>
      <c r="B18" s="65" t="s">
        <v>145</v>
      </c>
      <c r="C18" s="114"/>
      <c r="D18" s="91"/>
      <c r="E18" s="11" t="s">
        <v>297</v>
      </c>
      <c r="F18" s="11" t="s">
        <v>169</v>
      </c>
      <c r="G18" s="28" t="s">
        <v>327</v>
      </c>
      <c r="H18" s="9" t="s">
        <v>328</v>
      </c>
      <c r="I18" s="9" t="s">
        <v>329</v>
      </c>
      <c r="J18" s="10"/>
      <c r="K18" s="10"/>
      <c r="L18" s="10"/>
      <c r="M18" s="10"/>
      <c r="N18" s="9" t="s">
        <v>326</v>
      </c>
      <c r="O18" s="9"/>
    </row>
    <row r="19" spans="1:15" ht="270">
      <c r="A19" s="19" t="s">
        <v>226</v>
      </c>
      <c r="B19" s="65" t="s">
        <v>145</v>
      </c>
      <c r="C19" s="114"/>
      <c r="D19" s="91"/>
      <c r="E19" s="11" t="s">
        <v>297</v>
      </c>
      <c r="F19" s="11" t="s">
        <v>188</v>
      </c>
      <c r="G19" s="28" t="s">
        <v>330</v>
      </c>
      <c r="H19" s="9" t="s">
        <v>331</v>
      </c>
      <c r="I19" s="9" t="s">
        <v>332</v>
      </c>
      <c r="J19" s="10"/>
      <c r="K19" s="10"/>
      <c r="L19" s="10"/>
      <c r="M19" s="10"/>
      <c r="N19" s="9" t="s">
        <v>326</v>
      </c>
      <c r="O19" s="9"/>
    </row>
    <row r="20" spans="1:15" ht="120">
      <c r="A20" s="19" t="s">
        <v>226</v>
      </c>
      <c r="B20" s="65" t="s">
        <v>145</v>
      </c>
      <c r="C20" s="113"/>
      <c r="D20" s="115"/>
      <c r="E20" s="11" t="s">
        <v>297</v>
      </c>
      <c r="F20" s="11" t="s">
        <v>193</v>
      </c>
      <c r="G20" s="28" t="s">
        <v>333</v>
      </c>
      <c r="H20" s="9" t="s">
        <v>334</v>
      </c>
      <c r="I20" s="9" t="s">
        <v>335</v>
      </c>
      <c r="J20" s="10"/>
      <c r="K20" s="10"/>
      <c r="L20" s="10"/>
      <c r="M20" s="10"/>
      <c r="N20" s="9" t="s">
        <v>326</v>
      </c>
      <c r="O20" s="9"/>
    </row>
    <row r="21" spans="1:15" ht="5.25" customHeight="1">
      <c r="J21" t="s">
        <v>153</v>
      </c>
    </row>
    <row r="22" spans="1:15" ht="18.95">
      <c r="A22" s="83" t="s">
        <v>38</v>
      </c>
      <c r="B22" s="83"/>
      <c r="C22" s="83"/>
      <c r="D22" s="83"/>
      <c r="E22" s="83"/>
      <c r="F22" s="83"/>
      <c r="G22" s="83"/>
      <c r="H22" s="83"/>
      <c r="I22" s="83"/>
      <c r="J22" s="83"/>
      <c r="K22" s="83"/>
      <c r="L22" s="83"/>
      <c r="M22" s="83"/>
      <c r="N22" s="83"/>
      <c r="O22" s="84"/>
    </row>
    <row r="23" spans="1:15">
      <c r="A23" s="92" t="s">
        <v>142</v>
      </c>
      <c r="B23" s="92"/>
      <c r="C23" s="93"/>
      <c r="D23" s="80" t="s">
        <v>336</v>
      </c>
      <c r="E23" s="81"/>
      <c r="F23" s="81"/>
      <c r="G23" s="81"/>
      <c r="H23" s="81"/>
      <c r="I23" s="81"/>
      <c r="J23" s="81"/>
      <c r="K23" s="81"/>
      <c r="L23" s="81"/>
      <c r="M23" s="81"/>
      <c r="N23" s="81"/>
      <c r="O23" s="82"/>
    </row>
    <row r="24" spans="1:15" ht="168" customHeight="1">
      <c r="A24" s="19" t="s">
        <v>226</v>
      </c>
      <c r="B24" s="19" t="s">
        <v>145</v>
      </c>
      <c r="C24" s="88" t="s">
        <v>37</v>
      </c>
      <c r="D24" s="27" t="s">
        <v>337</v>
      </c>
      <c r="E24" s="11" t="s">
        <v>297</v>
      </c>
      <c r="F24" s="11" t="s">
        <v>148</v>
      </c>
      <c r="G24" s="28" t="s">
        <v>338</v>
      </c>
      <c r="H24" s="29" t="s">
        <v>339</v>
      </c>
      <c r="I24" s="9" t="s">
        <v>340</v>
      </c>
      <c r="J24" s="10"/>
      <c r="K24" s="10"/>
      <c r="L24" s="10"/>
      <c r="M24" s="10"/>
      <c r="N24" s="9" t="s">
        <v>341</v>
      </c>
      <c r="O24" s="9"/>
    </row>
    <row r="25" spans="1:15" ht="195">
      <c r="A25" s="19" t="s">
        <v>226</v>
      </c>
      <c r="B25" s="19" t="s">
        <v>145</v>
      </c>
      <c r="C25" s="96"/>
      <c r="D25" s="8" t="s">
        <v>342</v>
      </c>
      <c r="E25" s="11" t="s">
        <v>297</v>
      </c>
      <c r="F25" s="11" t="s">
        <v>148</v>
      </c>
      <c r="G25" s="28" t="s">
        <v>343</v>
      </c>
      <c r="H25" s="29" t="s">
        <v>344</v>
      </c>
      <c r="I25" s="9" t="s">
        <v>345</v>
      </c>
      <c r="J25" s="10"/>
      <c r="K25" s="10"/>
      <c r="L25" s="10"/>
      <c r="M25" s="10"/>
      <c r="N25" s="9" t="s">
        <v>346</v>
      </c>
      <c r="O25" s="9"/>
    </row>
    <row r="26" spans="1:15" ht="5.25" customHeight="1">
      <c r="J26" t="s">
        <v>153</v>
      </c>
    </row>
    <row r="27" spans="1:15" ht="15" customHeight="1">
      <c r="A27" s="116" t="s">
        <v>40</v>
      </c>
      <c r="B27" s="116"/>
      <c r="C27" s="116"/>
      <c r="D27" s="116"/>
      <c r="E27" s="116"/>
      <c r="F27" s="116"/>
      <c r="G27" s="116"/>
      <c r="H27" s="116"/>
      <c r="I27" s="116"/>
      <c r="J27" s="116"/>
      <c r="K27" s="116"/>
      <c r="L27" s="116"/>
      <c r="M27" s="116"/>
      <c r="N27" s="116"/>
      <c r="O27" s="117"/>
    </row>
    <row r="28" spans="1:15">
      <c r="A28" s="109" t="s">
        <v>142</v>
      </c>
      <c r="B28" s="109"/>
      <c r="C28" s="110"/>
      <c r="D28" s="111" t="s">
        <v>347</v>
      </c>
      <c r="E28" s="111"/>
      <c r="F28" s="111"/>
      <c r="G28" s="111"/>
      <c r="H28" s="111"/>
      <c r="I28" s="111"/>
      <c r="J28" s="111"/>
      <c r="K28" s="111"/>
      <c r="L28" s="111"/>
      <c r="M28" s="111"/>
      <c r="N28" s="111"/>
      <c r="O28" s="111"/>
    </row>
    <row r="29" spans="1:15" ht="166.5" customHeight="1">
      <c r="A29" s="19" t="s">
        <v>226</v>
      </c>
      <c r="B29" s="19" t="s">
        <v>145</v>
      </c>
      <c r="C29" s="112" t="s">
        <v>39</v>
      </c>
      <c r="D29" s="90" t="s">
        <v>348</v>
      </c>
      <c r="E29" s="30" t="s">
        <v>349</v>
      </c>
      <c r="F29" s="11" t="s">
        <v>148</v>
      </c>
      <c r="G29" s="28" t="s">
        <v>350</v>
      </c>
      <c r="H29" s="29" t="s">
        <v>351</v>
      </c>
      <c r="I29" s="9" t="s">
        <v>352</v>
      </c>
      <c r="J29" s="10"/>
      <c r="K29" s="10"/>
      <c r="L29" s="10"/>
      <c r="M29" s="10"/>
      <c r="N29" s="9" t="s">
        <v>353</v>
      </c>
      <c r="O29" s="9"/>
    </row>
    <row r="30" spans="1:15" ht="75">
      <c r="A30" s="19" t="s">
        <v>226</v>
      </c>
      <c r="B30" s="19" t="s">
        <v>145</v>
      </c>
      <c r="C30" s="114"/>
      <c r="D30" s="115"/>
      <c r="E30" s="11" t="s">
        <v>354</v>
      </c>
      <c r="F30" s="11" t="s">
        <v>169</v>
      </c>
      <c r="G30" s="28" t="s">
        <v>355</v>
      </c>
      <c r="H30" s="9" t="s">
        <v>356</v>
      </c>
      <c r="I30" s="9" t="s">
        <v>357</v>
      </c>
      <c r="J30" s="10"/>
      <c r="K30" s="10"/>
      <c r="L30" s="10"/>
      <c r="M30" s="10"/>
      <c r="N30" s="9" t="s">
        <v>353</v>
      </c>
      <c r="O30" s="9"/>
    </row>
    <row r="31" spans="1:15" ht="225">
      <c r="A31" s="19" t="s">
        <v>226</v>
      </c>
      <c r="B31" s="19" t="s">
        <v>145</v>
      </c>
      <c r="C31" s="113"/>
      <c r="D31" s="28" t="s">
        <v>358</v>
      </c>
      <c r="E31" s="11" t="s">
        <v>359</v>
      </c>
      <c r="F31" s="11" t="s">
        <v>148</v>
      </c>
      <c r="G31" s="28" t="s">
        <v>360</v>
      </c>
      <c r="H31" s="29" t="s">
        <v>361</v>
      </c>
      <c r="I31" s="9" t="s">
        <v>362</v>
      </c>
      <c r="J31" s="10"/>
      <c r="K31" s="10"/>
      <c r="L31" s="10"/>
      <c r="M31" s="10"/>
      <c r="N31" s="9" t="s">
        <v>353</v>
      </c>
      <c r="O31" s="9"/>
    </row>
    <row r="32" spans="1:15" ht="5.25" customHeight="1">
      <c r="J32" t="s">
        <v>153</v>
      </c>
    </row>
    <row r="33" spans="1:15" ht="18.75" customHeight="1">
      <c r="A33" s="116" t="s">
        <v>42</v>
      </c>
      <c r="B33" s="116"/>
      <c r="C33" s="116"/>
      <c r="D33" s="116"/>
      <c r="E33" s="116"/>
      <c r="F33" s="116"/>
      <c r="G33" s="116"/>
      <c r="H33" s="116"/>
      <c r="I33" s="116"/>
      <c r="J33" s="116"/>
      <c r="K33" s="116"/>
      <c r="L33" s="116"/>
      <c r="M33" s="116"/>
      <c r="N33" s="116"/>
      <c r="O33" s="117"/>
    </row>
    <row r="34" spans="1:15">
      <c r="A34" s="109" t="s">
        <v>142</v>
      </c>
      <c r="B34" s="109"/>
      <c r="C34" s="110"/>
      <c r="D34" s="111" t="s">
        <v>363</v>
      </c>
      <c r="E34" s="111"/>
      <c r="F34" s="111"/>
      <c r="G34" s="111"/>
      <c r="H34" s="111"/>
      <c r="I34" s="111"/>
      <c r="J34" s="111"/>
      <c r="K34" s="111"/>
      <c r="L34" s="111"/>
      <c r="M34" s="111"/>
      <c r="N34" s="111"/>
      <c r="O34" s="111"/>
    </row>
    <row r="35" spans="1:15" ht="300">
      <c r="A35" s="19" t="s">
        <v>226</v>
      </c>
      <c r="B35" s="19" t="s">
        <v>145</v>
      </c>
      <c r="C35" s="112" t="s">
        <v>41</v>
      </c>
      <c r="D35" s="28" t="s">
        <v>364</v>
      </c>
      <c r="E35" s="11" t="s">
        <v>297</v>
      </c>
      <c r="F35" s="11" t="s">
        <v>148</v>
      </c>
      <c r="G35" s="28" t="s">
        <v>365</v>
      </c>
      <c r="H35" s="29" t="s">
        <v>366</v>
      </c>
      <c r="I35" s="9" t="s">
        <v>367</v>
      </c>
      <c r="J35" s="10"/>
      <c r="K35" s="10"/>
      <c r="L35" s="10"/>
      <c r="M35" s="10"/>
      <c r="N35" s="9" t="s">
        <v>368</v>
      </c>
      <c r="O35" s="9"/>
    </row>
    <row r="36" spans="1:15" ht="300">
      <c r="A36" s="19" t="s">
        <v>226</v>
      </c>
      <c r="B36" s="19" t="s">
        <v>145</v>
      </c>
      <c r="C36" s="113"/>
      <c r="D36" s="28" t="s">
        <v>369</v>
      </c>
      <c r="E36" s="11" t="s">
        <v>297</v>
      </c>
      <c r="F36" s="11" t="s">
        <v>148</v>
      </c>
      <c r="G36" s="28" t="s">
        <v>370</v>
      </c>
      <c r="H36" s="29" t="s">
        <v>371</v>
      </c>
      <c r="I36" s="9" t="s">
        <v>372</v>
      </c>
      <c r="J36" s="10"/>
      <c r="K36" s="10"/>
      <c r="L36" s="10"/>
      <c r="M36" s="10"/>
      <c r="N36" s="9" t="s">
        <v>368</v>
      </c>
      <c r="O36" s="9"/>
    </row>
    <row r="37" spans="1:15" ht="7.5" customHeight="1">
      <c r="J37" t="s">
        <v>153</v>
      </c>
    </row>
    <row r="38" spans="1:15" ht="18.75" customHeight="1">
      <c r="A38" s="116" t="s">
        <v>44</v>
      </c>
      <c r="B38" s="116"/>
      <c r="C38" s="116"/>
      <c r="D38" s="116"/>
      <c r="E38" s="116"/>
      <c r="F38" s="116"/>
      <c r="G38" s="116"/>
      <c r="H38" s="116"/>
      <c r="I38" s="116"/>
      <c r="J38" s="116"/>
      <c r="K38" s="116"/>
      <c r="L38" s="116"/>
      <c r="M38" s="116"/>
      <c r="N38" s="116"/>
      <c r="O38" s="117"/>
    </row>
    <row r="39" spans="1:15">
      <c r="A39" s="109" t="s">
        <v>142</v>
      </c>
      <c r="B39" s="109"/>
      <c r="C39" s="110"/>
      <c r="D39" s="111" t="s">
        <v>373</v>
      </c>
      <c r="E39" s="111"/>
      <c r="F39" s="111"/>
      <c r="G39" s="111"/>
      <c r="H39" s="111"/>
      <c r="I39" s="111"/>
      <c r="J39" s="111"/>
      <c r="K39" s="111"/>
      <c r="L39" s="111"/>
      <c r="M39" s="111"/>
      <c r="N39" s="111"/>
      <c r="O39" s="111"/>
    </row>
    <row r="40" spans="1:15" ht="276" customHeight="1">
      <c r="A40" s="19" t="s">
        <v>226</v>
      </c>
      <c r="B40" s="19" t="s">
        <v>145</v>
      </c>
      <c r="C40" s="112" t="s">
        <v>43</v>
      </c>
      <c r="D40" s="90" t="s">
        <v>374</v>
      </c>
      <c r="E40" s="11" t="s">
        <v>297</v>
      </c>
      <c r="F40" s="11" t="s">
        <v>148</v>
      </c>
      <c r="G40" s="28" t="s">
        <v>375</v>
      </c>
      <c r="H40" s="9" t="s">
        <v>376</v>
      </c>
      <c r="I40" s="9" t="s">
        <v>377</v>
      </c>
      <c r="J40" s="10"/>
      <c r="K40" s="10"/>
      <c r="L40" s="10"/>
      <c r="M40" s="10"/>
      <c r="N40" s="9" t="s">
        <v>378</v>
      </c>
      <c r="O40" s="9"/>
    </row>
    <row r="41" spans="1:15" ht="255">
      <c r="A41" s="19" t="s">
        <v>226</v>
      </c>
      <c r="B41" s="19" t="s">
        <v>145</v>
      </c>
      <c r="C41" s="114"/>
      <c r="D41" s="115"/>
      <c r="E41" s="11" t="s">
        <v>297</v>
      </c>
      <c r="F41" s="11" t="s">
        <v>169</v>
      </c>
      <c r="G41" s="28" t="s">
        <v>379</v>
      </c>
      <c r="H41" s="29" t="s">
        <v>380</v>
      </c>
      <c r="I41" s="9" t="s">
        <v>381</v>
      </c>
      <c r="J41" s="10"/>
      <c r="K41" s="10"/>
      <c r="L41" s="10"/>
      <c r="M41" s="10"/>
      <c r="N41" s="9" t="s">
        <v>378</v>
      </c>
      <c r="O41" s="9"/>
    </row>
    <row r="42" spans="1:15" ht="276" customHeight="1">
      <c r="A42" s="19" t="s">
        <v>226</v>
      </c>
      <c r="B42" s="19" t="s">
        <v>145</v>
      </c>
      <c r="C42" s="114"/>
      <c r="D42" s="90" t="s">
        <v>382</v>
      </c>
      <c r="E42" s="11" t="s">
        <v>297</v>
      </c>
      <c r="F42" s="11" t="s">
        <v>148</v>
      </c>
      <c r="G42" s="28" t="s">
        <v>375</v>
      </c>
      <c r="H42" s="9" t="s">
        <v>383</v>
      </c>
      <c r="I42" s="9" t="s">
        <v>377</v>
      </c>
      <c r="J42" s="10"/>
      <c r="K42" s="10"/>
      <c r="L42" s="10"/>
      <c r="M42" s="10"/>
      <c r="N42" s="9" t="s">
        <v>384</v>
      </c>
      <c r="O42" s="9"/>
    </row>
    <row r="43" spans="1:15" ht="255">
      <c r="A43" s="19" t="s">
        <v>226</v>
      </c>
      <c r="B43" s="19" t="s">
        <v>145</v>
      </c>
      <c r="C43" s="113"/>
      <c r="D43" s="115"/>
      <c r="E43" s="11" t="s">
        <v>297</v>
      </c>
      <c r="F43" s="11" t="s">
        <v>169</v>
      </c>
      <c r="G43" s="28" t="s">
        <v>385</v>
      </c>
      <c r="H43" s="29" t="s">
        <v>386</v>
      </c>
      <c r="I43" s="9" t="s">
        <v>387</v>
      </c>
      <c r="J43" s="10"/>
      <c r="K43" s="10"/>
      <c r="L43" s="10"/>
      <c r="M43" s="10"/>
      <c r="N43" s="9" t="s">
        <v>384</v>
      </c>
      <c r="O43" s="9"/>
    </row>
    <row r="44" spans="1:15">
      <c r="C44" s="72"/>
      <c r="D44" s="76"/>
      <c r="E44" s="11"/>
      <c r="F44" s="11"/>
      <c r="G44" s="28"/>
      <c r="H44" s="29"/>
      <c r="I44" s="9"/>
      <c r="J44" s="10" t="s">
        <v>153</v>
      </c>
      <c r="K44" s="10"/>
      <c r="L44" s="10"/>
      <c r="M44" s="10"/>
      <c r="N44" s="9"/>
      <c r="O44" s="9"/>
    </row>
    <row r="45" spans="1:15" ht="18.95">
      <c r="A45" s="83" t="s">
        <v>46</v>
      </c>
      <c r="B45" s="83"/>
      <c r="C45" s="83"/>
      <c r="D45" s="83"/>
      <c r="E45" s="83"/>
      <c r="F45" s="83"/>
      <c r="G45" s="83"/>
      <c r="H45" s="83"/>
      <c r="I45" s="83"/>
      <c r="J45" s="83"/>
      <c r="K45" s="83"/>
      <c r="L45" s="83"/>
      <c r="M45" s="83"/>
      <c r="N45" s="83"/>
      <c r="O45" s="84"/>
    </row>
    <row r="46" spans="1:15">
      <c r="A46" s="86" t="s">
        <v>142</v>
      </c>
      <c r="B46" s="86"/>
      <c r="C46" s="87"/>
      <c r="D46" s="85" t="s">
        <v>388</v>
      </c>
      <c r="E46" s="85"/>
      <c r="F46" s="85"/>
      <c r="G46" s="85"/>
      <c r="H46" s="85"/>
      <c r="I46" s="85"/>
      <c r="J46" s="85"/>
      <c r="K46" s="85"/>
      <c r="L46" s="85"/>
      <c r="M46" s="85"/>
      <c r="N46" s="85"/>
      <c r="O46" s="85"/>
    </row>
    <row r="47" spans="1:15" ht="96.6" customHeight="1">
      <c r="A47" s="19" t="s">
        <v>226</v>
      </c>
      <c r="B47" s="19" t="s">
        <v>145</v>
      </c>
      <c r="C47" s="112" t="s">
        <v>45</v>
      </c>
      <c r="D47" s="28" t="s">
        <v>389</v>
      </c>
      <c r="E47" s="11" t="s">
        <v>297</v>
      </c>
      <c r="F47" s="11" t="s">
        <v>148</v>
      </c>
      <c r="G47" s="28" t="s">
        <v>390</v>
      </c>
      <c r="H47" s="29" t="s">
        <v>391</v>
      </c>
      <c r="I47" s="9" t="s">
        <v>392</v>
      </c>
      <c r="J47" s="10"/>
      <c r="K47" s="10"/>
      <c r="L47" s="10"/>
      <c r="M47" s="10"/>
      <c r="N47" s="9" t="s">
        <v>301</v>
      </c>
      <c r="O47" s="19"/>
    </row>
    <row r="48" spans="1:15" ht="165">
      <c r="A48" s="19" t="s">
        <v>226</v>
      </c>
      <c r="B48" s="19" t="s">
        <v>145</v>
      </c>
      <c r="C48" s="114"/>
      <c r="D48" s="28" t="s">
        <v>393</v>
      </c>
      <c r="E48" s="11" t="s">
        <v>297</v>
      </c>
      <c r="F48" s="11" t="s">
        <v>148</v>
      </c>
      <c r="G48" s="28" t="s">
        <v>394</v>
      </c>
      <c r="H48" s="29" t="s">
        <v>395</v>
      </c>
      <c r="I48" s="9" t="s">
        <v>396</v>
      </c>
      <c r="J48" s="10"/>
      <c r="K48" s="10"/>
      <c r="L48" s="10"/>
      <c r="M48" s="10"/>
      <c r="N48" s="9" t="s">
        <v>301</v>
      </c>
      <c r="O48" s="19"/>
    </row>
    <row r="49" spans="1:15" ht="300">
      <c r="A49" s="19" t="s">
        <v>226</v>
      </c>
      <c r="B49" s="19" t="s">
        <v>145</v>
      </c>
      <c r="C49" s="114"/>
      <c r="D49" s="90" t="s">
        <v>397</v>
      </c>
      <c r="E49" s="11" t="s">
        <v>297</v>
      </c>
      <c r="F49" s="11" t="s">
        <v>148</v>
      </c>
      <c r="G49" s="28" t="s">
        <v>398</v>
      </c>
      <c r="H49" s="29" t="s">
        <v>399</v>
      </c>
      <c r="I49" s="9" t="s">
        <v>400</v>
      </c>
      <c r="J49" s="10"/>
      <c r="K49" s="10"/>
      <c r="L49" s="10"/>
      <c r="M49" s="10"/>
      <c r="N49" s="9" t="s">
        <v>301</v>
      </c>
      <c r="O49" s="19"/>
    </row>
    <row r="50" spans="1:15" ht="369.95">
      <c r="A50" s="19" t="s">
        <v>226</v>
      </c>
      <c r="B50" s="19" t="s">
        <v>145</v>
      </c>
      <c r="C50" s="114"/>
      <c r="D50" s="91"/>
      <c r="E50" s="11" t="s">
        <v>297</v>
      </c>
      <c r="F50" s="11" t="s">
        <v>169</v>
      </c>
      <c r="G50" s="28" t="s">
        <v>401</v>
      </c>
      <c r="H50" s="29" t="s">
        <v>402</v>
      </c>
      <c r="I50" s="9" t="s">
        <v>403</v>
      </c>
      <c r="J50" s="10"/>
      <c r="K50" s="10"/>
      <c r="L50" s="10"/>
      <c r="M50" s="10"/>
      <c r="N50" s="9" t="s">
        <v>301</v>
      </c>
      <c r="O50" s="19"/>
    </row>
    <row r="51" spans="1:15" ht="195">
      <c r="A51" s="19" t="s">
        <v>226</v>
      </c>
      <c r="B51" s="19" t="s">
        <v>145</v>
      </c>
      <c r="C51" s="113"/>
      <c r="D51" s="115"/>
      <c r="E51" s="11" t="s">
        <v>297</v>
      </c>
      <c r="F51" s="11" t="s">
        <v>188</v>
      </c>
      <c r="G51" s="28" t="s">
        <v>404</v>
      </c>
      <c r="H51" s="29" t="s">
        <v>405</v>
      </c>
      <c r="I51" s="9" t="s">
        <v>406</v>
      </c>
      <c r="J51" s="10"/>
      <c r="K51" s="10"/>
      <c r="L51" s="10"/>
      <c r="M51" s="10"/>
      <c r="N51" s="9"/>
      <c r="O51" s="19"/>
    </row>
    <row r="52" spans="1:15">
      <c r="C52" s="72"/>
      <c r="D52" s="76"/>
      <c r="E52" s="11"/>
      <c r="F52" s="11"/>
      <c r="G52" s="28"/>
      <c r="H52" s="29"/>
      <c r="I52" s="9"/>
      <c r="J52" s="10" t="s">
        <v>153</v>
      </c>
      <c r="K52" s="10"/>
      <c r="L52" s="10"/>
      <c r="M52" s="10"/>
      <c r="N52" s="9"/>
    </row>
    <row r="53" spans="1:15" ht="18.95">
      <c r="A53" s="83" t="s">
        <v>48</v>
      </c>
      <c r="B53" s="83"/>
      <c r="C53" s="83"/>
      <c r="D53" s="83"/>
      <c r="E53" s="83"/>
      <c r="F53" s="83"/>
      <c r="G53" s="83"/>
      <c r="H53" s="83"/>
      <c r="I53" s="83"/>
      <c r="J53" s="83"/>
      <c r="K53" s="83"/>
      <c r="L53" s="83"/>
      <c r="M53" s="83"/>
      <c r="N53" s="83"/>
      <c r="O53" s="84"/>
    </row>
    <row r="54" spans="1:15">
      <c r="A54" s="92" t="s">
        <v>142</v>
      </c>
      <c r="B54" s="92"/>
      <c r="C54" s="93"/>
      <c r="D54" s="80" t="s">
        <v>407</v>
      </c>
      <c r="E54" s="81"/>
      <c r="F54" s="81"/>
      <c r="G54" s="81"/>
      <c r="H54" s="81"/>
      <c r="I54" s="81"/>
      <c r="J54" s="81"/>
      <c r="K54" s="81"/>
      <c r="L54" s="81"/>
      <c r="M54" s="81"/>
      <c r="N54" s="81"/>
      <c r="O54" s="82"/>
    </row>
    <row r="55" spans="1:15" ht="180">
      <c r="A55" s="19" t="s">
        <v>226</v>
      </c>
      <c r="B55" s="19" t="s">
        <v>145</v>
      </c>
      <c r="C55" s="88" t="s">
        <v>47</v>
      </c>
      <c r="D55" s="28" t="s">
        <v>407</v>
      </c>
      <c r="E55" s="28" t="s">
        <v>297</v>
      </c>
      <c r="F55" s="28" t="s">
        <v>148</v>
      </c>
      <c r="G55" s="28" t="s">
        <v>408</v>
      </c>
      <c r="H55" s="31" t="s">
        <v>409</v>
      </c>
      <c r="I55" s="32" t="s">
        <v>410</v>
      </c>
      <c r="J55" s="33"/>
      <c r="K55" s="33"/>
      <c r="L55" s="33"/>
      <c r="M55" s="33"/>
      <c r="N55" s="34" t="s">
        <v>301</v>
      </c>
      <c r="O55" s="33"/>
    </row>
    <row r="56" spans="1:15" ht="165">
      <c r="A56" s="19" t="s">
        <v>226</v>
      </c>
      <c r="B56" s="19" t="s">
        <v>145</v>
      </c>
      <c r="C56" s="96"/>
      <c r="D56" s="28" t="s">
        <v>411</v>
      </c>
      <c r="E56" s="28" t="s">
        <v>297</v>
      </c>
      <c r="F56" s="28" t="s">
        <v>148</v>
      </c>
      <c r="G56" s="28" t="s">
        <v>412</v>
      </c>
      <c r="H56" s="31" t="s">
        <v>413</v>
      </c>
      <c r="I56" s="32" t="s">
        <v>414</v>
      </c>
      <c r="J56" s="33"/>
      <c r="K56" s="33"/>
      <c r="L56" s="33"/>
      <c r="M56" s="33"/>
      <c r="N56" s="34" t="s">
        <v>301</v>
      </c>
      <c r="O56" s="33"/>
    </row>
    <row r="57" spans="1:15">
      <c r="C57" s="74"/>
      <c r="D57" s="28"/>
      <c r="E57" s="28"/>
      <c r="F57" s="28"/>
      <c r="G57" s="28"/>
      <c r="H57" s="31"/>
      <c r="I57" s="32"/>
      <c r="J57" s="33" t="s">
        <v>153</v>
      </c>
      <c r="K57" s="33"/>
      <c r="L57" s="33"/>
      <c r="M57" s="33"/>
      <c r="N57" s="34"/>
      <c r="O57" s="33"/>
    </row>
    <row r="58" spans="1:15" ht="18.95">
      <c r="A58" s="83" t="s">
        <v>50</v>
      </c>
      <c r="B58" s="83"/>
      <c r="C58" s="83"/>
      <c r="D58" s="83"/>
      <c r="E58" s="83"/>
      <c r="F58" s="83"/>
      <c r="G58" s="83"/>
      <c r="H58" s="83"/>
      <c r="I58" s="83"/>
      <c r="J58" s="83"/>
      <c r="K58" s="83"/>
      <c r="L58" s="83"/>
      <c r="M58" s="83"/>
      <c r="N58" s="83"/>
      <c r="O58" s="84"/>
    </row>
    <row r="59" spans="1:15">
      <c r="A59" s="86" t="s">
        <v>142</v>
      </c>
      <c r="B59" s="86"/>
      <c r="C59" s="87"/>
      <c r="D59" s="85" t="s">
        <v>415</v>
      </c>
      <c r="E59" s="85"/>
      <c r="F59" s="85"/>
      <c r="G59" s="85"/>
      <c r="H59" s="85"/>
      <c r="I59" s="85"/>
      <c r="J59" s="85"/>
      <c r="K59" s="85"/>
      <c r="L59" s="85"/>
      <c r="M59" s="85"/>
      <c r="N59" s="85"/>
      <c r="O59" s="85"/>
    </row>
    <row r="60" spans="1:15" ht="165">
      <c r="A60" s="19" t="s">
        <v>226</v>
      </c>
      <c r="B60" s="19" t="s">
        <v>145</v>
      </c>
      <c r="C60" s="112" t="s">
        <v>49</v>
      </c>
      <c r="D60" s="90" t="s">
        <v>416</v>
      </c>
      <c r="E60" s="28" t="s">
        <v>417</v>
      </c>
      <c r="F60" s="11" t="s">
        <v>148</v>
      </c>
      <c r="G60" s="11" t="s">
        <v>418</v>
      </c>
      <c r="H60" s="9" t="s">
        <v>419</v>
      </c>
      <c r="I60" s="9" t="s">
        <v>420</v>
      </c>
      <c r="J60" s="33"/>
      <c r="K60" s="33"/>
      <c r="L60" s="33"/>
      <c r="M60" s="33"/>
      <c r="N60" s="34" t="s">
        <v>301</v>
      </c>
      <c r="O60" s="33"/>
    </row>
    <row r="61" spans="1:15" ht="150">
      <c r="A61" s="19" t="s">
        <v>226</v>
      </c>
      <c r="B61" s="19" t="s">
        <v>145</v>
      </c>
      <c r="C61" s="114"/>
      <c r="D61" s="91"/>
      <c r="E61" s="28" t="s">
        <v>297</v>
      </c>
      <c r="F61" s="11" t="s">
        <v>169</v>
      </c>
      <c r="G61" s="11" t="s">
        <v>421</v>
      </c>
      <c r="H61" s="9" t="s">
        <v>422</v>
      </c>
      <c r="I61" s="9" t="s">
        <v>423</v>
      </c>
      <c r="J61" s="33"/>
      <c r="K61" s="33"/>
      <c r="L61" s="33"/>
      <c r="M61" s="33"/>
      <c r="N61" s="34"/>
      <c r="O61" s="33"/>
    </row>
    <row r="62" spans="1:15" ht="150">
      <c r="A62" s="19" t="s">
        <v>226</v>
      </c>
      <c r="B62" s="19" t="s">
        <v>145</v>
      </c>
      <c r="C62" s="114"/>
      <c r="D62" s="91"/>
      <c r="E62" s="28" t="s">
        <v>424</v>
      </c>
      <c r="F62" s="11" t="s">
        <v>188</v>
      </c>
      <c r="G62" s="11" t="s">
        <v>425</v>
      </c>
      <c r="H62" s="9" t="s">
        <v>426</v>
      </c>
      <c r="I62" s="9" t="s">
        <v>427</v>
      </c>
      <c r="J62" s="33"/>
      <c r="K62" s="33"/>
      <c r="L62" s="33"/>
      <c r="M62" s="33"/>
      <c r="N62" s="34" t="s">
        <v>301</v>
      </c>
      <c r="O62" s="33"/>
    </row>
    <row r="63" spans="1:15" ht="30">
      <c r="A63" s="19" t="s">
        <v>226</v>
      </c>
      <c r="B63" s="19" t="s">
        <v>145</v>
      </c>
      <c r="C63" s="114"/>
      <c r="D63" s="91"/>
      <c r="E63" s="28" t="s">
        <v>424</v>
      </c>
      <c r="F63" s="11" t="s">
        <v>193</v>
      </c>
      <c r="G63" s="11" t="s">
        <v>428</v>
      </c>
      <c r="H63" s="9" t="s">
        <v>429</v>
      </c>
      <c r="I63" s="9" t="s">
        <v>430</v>
      </c>
      <c r="J63" s="33"/>
      <c r="K63" s="33"/>
      <c r="L63" s="33"/>
      <c r="M63" s="33"/>
      <c r="N63" s="34" t="s">
        <v>301</v>
      </c>
      <c r="O63" s="33"/>
    </row>
    <row r="64" spans="1:15" ht="60">
      <c r="A64" s="19" t="s">
        <v>226</v>
      </c>
      <c r="B64" s="19" t="s">
        <v>145</v>
      </c>
      <c r="C64" s="113"/>
      <c r="D64" s="115"/>
      <c r="E64" s="28" t="s">
        <v>417</v>
      </c>
      <c r="F64" s="11" t="s">
        <v>199</v>
      </c>
      <c r="G64" s="11" t="s">
        <v>431</v>
      </c>
      <c r="H64" s="9" t="s">
        <v>432</v>
      </c>
      <c r="I64" s="9" t="s">
        <v>433</v>
      </c>
      <c r="J64" s="33"/>
      <c r="K64" s="33"/>
      <c r="L64" s="33"/>
      <c r="M64" s="33"/>
      <c r="N64" s="34" t="s">
        <v>301</v>
      </c>
      <c r="O64" s="33"/>
    </row>
    <row r="65" spans="1:15">
      <c r="C65" s="35"/>
      <c r="D65" s="36"/>
      <c r="E65" s="36"/>
      <c r="F65" s="36"/>
      <c r="G65" s="36"/>
      <c r="H65" s="37"/>
      <c r="I65" s="38"/>
      <c r="J65" s="39" t="s">
        <v>153</v>
      </c>
      <c r="K65" s="39"/>
      <c r="L65" s="39"/>
      <c r="M65" s="39"/>
      <c r="N65" s="40"/>
      <c r="O65" s="39"/>
    </row>
    <row r="66" spans="1:15" ht="18.95">
      <c r="A66" s="83" t="s">
        <v>434</v>
      </c>
      <c r="B66" s="83"/>
      <c r="C66" s="83"/>
      <c r="D66" s="83"/>
      <c r="E66" s="83"/>
      <c r="F66" s="83"/>
      <c r="G66" s="83"/>
      <c r="H66" s="83"/>
      <c r="I66" s="83"/>
      <c r="J66" s="83"/>
      <c r="K66" s="83"/>
      <c r="L66" s="83"/>
      <c r="M66" s="83"/>
      <c r="N66" s="83"/>
      <c r="O66" s="84"/>
    </row>
    <row r="67" spans="1:15">
      <c r="A67" s="86" t="s">
        <v>142</v>
      </c>
      <c r="B67" s="86"/>
      <c r="C67" s="87"/>
      <c r="D67" s="80" t="s">
        <v>216</v>
      </c>
      <c r="E67" s="81"/>
      <c r="F67" s="81"/>
      <c r="G67" s="81"/>
      <c r="H67" s="81"/>
      <c r="I67" s="81"/>
      <c r="J67" s="81"/>
      <c r="K67" s="81"/>
      <c r="L67" s="81"/>
      <c r="M67" s="81"/>
      <c r="N67" s="81"/>
      <c r="O67" s="82"/>
    </row>
    <row r="68" spans="1:15" ht="75">
      <c r="A68" s="19" t="s">
        <v>226</v>
      </c>
      <c r="B68" s="19" t="s">
        <v>145</v>
      </c>
      <c r="C68" s="30" t="s">
        <v>51</v>
      </c>
      <c r="D68" s="8" t="s">
        <v>217</v>
      </c>
      <c r="E68" s="9" t="s">
        <v>218</v>
      </c>
      <c r="F68" s="9" t="s">
        <v>148</v>
      </c>
      <c r="G68" s="10" t="s">
        <v>219</v>
      </c>
      <c r="H68" s="9" t="s">
        <v>220</v>
      </c>
      <c r="I68" s="9" t="s">
        <v>221</v>
      </c>
      <c r="J68" s="10"/>
      <c r="K68" s="10"/>
      <c r="L68" s="10"/>
      <c r="M68" s="10"/>
      <c r="N68" s="9" t="s">
        <v>222</v>
      </c>
      <c r="O68" s="9" t="s">
        <v>162</v>
      </c>
    </row>
    <row r="69" spans="1:15" ht="75">
      <c r="A69" s="19" t="s">
        <v>226</v>
      </c>
      <c r="B69" s="19" t="s">
        <v>145</v>
      </c>
      <c r="C69" s="30"/>
      <c r="D69" s="8"/>
      <c r="E69" s="9" t="s">
        <v>218</v>
      </c>
      <c r="F69" s="9" t="s">
        <v>169</v>
      </c>
      <c r="G69" s="10" t="s">
        <v>219</v>
      </c>
      <c r="H69" s="9" t="s">
        <v>220</v>
      </c>
      <c r="I69" s="9" t="s">
        <v>221</v>
      </c>
      <c r="J69" s="10"/>
      <c r="K69" s="10"/>
      <c r="L69" s="10"/>
      <c r="M69" s="10"/>
      <c r="N69" s="9" t="s">
        <v>222</v>
      </c>
      <c r="O69" s="9" t="s">
        <v>162</v>
      </c>
    </row>
    <row r="70" spans="1:15" ht="75">
      <c r="A70" s="19" t="s">
        <v>226</v>
      </c>
      <c r="B70" s="19" t="s">
        <v>145</v>
      </c>
      <c r="C70" s="30"/>
      <c r="D70" s="8"/>
      <c r="E70" s="9" t="s">
        <v>218</v>
      </c>
      <c r="F70" s="9" t="s">
        <v>188</v>
      </c>
      <c r="G70" s="10" t="s">
        <v>219</v>
      </c>
      <c r="H70" s="9" t="s">
        <v>220</v>
      </c>
      <c r="I70" s="9" t="s">
        <v>221</v>
      </c>
      <c r="J70" s="10"/>
      <c r="K70" s="10"/>
      <c r="L70" s="10"/>
      <c r="M70" s="10"/>
      <c r="N70" s="9" t="s">
        <v>222</v>
      </c>
      <c r="O70" s="9" t="s">
        <v>162</v>
      </c>
    </row>
    <row r="71" spans="1:15" ht="75">
      <c r="A71" s="19" t="s">
        <v>226</v>
      </c>
      <c r="B71" s="19" t="s">
        <v>145</v>
      </c>
      <c r="C71" s="30"/>
      <c r="D71" s="8"/>
      <c r="E71" s="9"/>
      <c r="F71" s="9" t="s">
        <v>223</v>
      </c>
      <c r="G71" s="10" t="s">
        <v>219</v>
      </c>
      <c r="H71" s="9" t="s">
        <v>220</v>
      </c>
      <c r="I71" s="9" t="s">
        <v>221</v>
      </c>
      <c r="J71" s="10"/>
      <c r="K71" s="10"/>
      <c r="L71" s="10"/>
      <c r="M71" s="10"/>
      <c r="N71" s="9" t="s">
        <v>222</v>
      </c>
      <c r="O71" s="9" t="s">
        <v>162</v>
      </c>
    </row>
    <row r="72" spans="1:15" ht="6" customHeight="1">
      <c r="C72" s="1"/>
      <c r="E72" s="2"/>
      <c r="I72" s="2"/>
      <c r="J72" t="s">
        <v>153</v>
      </c>
      <c r="O72" s="2"/>
    </row>
    <row r="73" spans="1:15">
      <c r="C73" s="35"/>
      <c r="D73" s="36"/>
      <c r="E73" s="36"/>
      <c r="F73" s="36"/>
      <c r="G73" s="36"/>
      <c r="H73" s="37"/>
      <c r="I73" s="38"/>
      <c r="J73" s="39"/>
      <c r="K73" s="39"/>
      <c r="L73" s="39"/>
      <c r="M73" s="39"/>
      <c r="N73" s="40"/>
      <c r="O73" s="39"/>
    </row>
    <row r="74" spans="1:15">
      <c r="C74" s="35"/>
      <c r="D74" s="36"/>
      <c r="E74" s="36"/>
      <c r="F74" s="36"/>
      <c r="G74" s="36"/>
      <c r="H74" s="37"/>
      <c r="I74" s="38"/>
      <c r="J74" s="39"/>
      <c r="K74" s="39"/>
      <c r="L74" s="39"/>
      <c r="M74" s="39"/>
      <c r="N74" s="40"/>
      <c r="O74" s="39"/>
    </row>
    <row r="75" spans="1:15">
      <c r="C75" s="35"/>
      <c r="D75" s="36"/>
      <c r="E75" s="36"/>
      <c r="F75" s="36"/>
      <c r="G75" s="36"/>
      <c r="H75" s="37"/>
      <c r="I75" s="38"/>
      <c r="J75" s="39"/>
      <c r="K75" s="39"/>
      <c r="L75" s="39"/>
      <c r="M75" s="39"/>
      <c r="N75" s="40"/>
      <c r="O75" s="39"/>
    </row>
    <row r="77" spans="1:15" ht="18.95">
      <c r="C77" s="41" t="s">
        <v>435</v>
      </c>
    </row>
  </sheetData>
  <mergeCells count="51">
    <mergeCell ref="D46:O46"/>
    <mergeCell ref="C47:C51"/>
    <mergeCell ref="D49:D51"/>
    <mergeCell ref="A46:C46"/>
    <mergeCell ref="A67:C67"/>
    <mergeCell ref="D67:O67"/>
    <mergeCell ref="D54:O54"/>
    <mergeCell ref="C55:C56"/>
    <mergeCell ref="D59:O59"/>
    <mergeCell ref="C60:C64"/>
    <mergeCell ref="D60:D64"/>
    <mergeCell ref="A54:C54"/>
    <mergeCell ref="A58:O58"/>
    <mergeCell ref="A59:C59"/>
    <mergeCell ref="A66:O66"/>
    <mergeCell ref="A53:O53"/>
    <mergeCell ref="A2:O2"/>
    <mergeCell ref="A3:C3"/>
    <mergeCell ref="A7:O7"/>
    <mergeCell ref="A8:C8"/>
    <mergeCell ref="A15:O15"/>
    <mergeCell ref="D8:O8"/>
    <mergeCell ref="D3:O3"/>
    <mergeCell ref="C4:C5"/>
    <mergeCell ref="D4:D5"/>
    <mergeCell ref="C9:C13"/>
    <mergeCell ref="D9:D13"/>
    <mergeCell ref="D23:O23"/>
    <mergeCell ref="C24:C25"/>
    <mergeCell ref="D28:O28"/>
    <mergeCell ref="A16:C16"/>
    <mergeCell ref="A22:O22"/>
    <mergeCell ref="A23:C23"/>
    <mergeCell ref="A27:O27"/>
    <mergeCell ref="A28:C28"/>
    <mergeCell ref="D16:O16"/>
    <mergeCell ref="C17:C20"/>
    <mergeCell ref="D17:D20"/>
    <mergeCell ref="C29:C31"/>
    <mergeCell ref="D29:D30"/>
    <mergeCell ref="A33:O33"/>
    <mergeCell ref="A34:C34"/>
    <mergeCell ref="A38:O38"/>
    <mergeCell ref="A39:C39"/>
    <mergeCell ref="A45:O45"/>
    <mergeCell ref="D34:O34"/>
    <mergeCell ref="C35:C36"/>
    <mergeCell ref="D39:O39"/>
    <mergeCell ref="C40:C43"/>
    <mergeCell ref="D40:D41"/>
    <mergeCell ref="D42:D43"/>
  </mergeCells>
  <dataValidations count="2">
    <dataValidation type="list" allowBlank="1" showInputMessage="1" showErrorMessage="1" sqref="J4:K5 J9:K13 J17:K20 J24:K25 J29:K31 J35:K36 J40:K44 J47:K52 K68:K71 J67:J72" xr:uid="{00000000-0002-0000-0300-000000000000}">
      <formula1>"Pass,Fail"</formula1>
    </dataValidation>
    <dataValidation type="list" allowBlank="1" showInputMessage="1" showErrorMessage="1" sqref="M68:M71" xr:uid="{00000000-0002-0000-0300-000001000000}">
      <formula1>"New,Retest"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3"/>
  <sheetViews>
    <sheetView zoomScale="90" zoomScaleNormal="90" workbookViewId="0">
      <pane ySplit="1" topLeftCell="A20" activePane="bottomLeft" state="frozen"/>
      <selection pane="bottomLeft"/>
    </sheetView>
  </sheetViews>
  <sheetFormatPr defaultColWidth="8.85546875" defaultRowHeight="15"/>
  <cols>
    <col min="3" max="3" width="12.85546875" style="1" customWidth="1"/>
    <col min="4" max="4" width="27" customWidth="1"/>
    <col min="5" max="5" width="13.85546875" customWidth="1"/>
    <col min="7" max="7" width="26.85546875" customWidth="1"/>
    <col min="8" max="8" width="48.7109375" style="2" customWidth="1"/>
    <col min="9" max="9" width="30.7109375" style="2" customWidth="1"/>
    <col min="12" max="12" width="16.7109375" customWidth="1"/>
    <col min="13" max="13" width="10.28515625" customWidth="1"/>
    <col min="14" max="14" width="13.42578125" customWidth="1"/>
    <col min="15" max="15" width="45.42578125" customWidth="1"/>
  </cols>
  <sheetData>
    <row r="1" spans="1:15" ht="15.95">
      <c r="A1" s="3" t="s">
        <v>131</v>
      </c>
      <c r="B1" s="3" t="s">
        <v>132</v>
      </c>
      <c r="C1" s="3" t="s">
        <v>1</v>
      </c>
      <c r="D1" s="3" t="s">
        <v>2</v>
      </c>
      <c r="E1" s="3" t="s">
        <v>133</v>
      </c>
      <c r="F1" s="3" t="s">
        <v>134</v>
      </c>
      <c r="G1" s="3" t="s">
        <v>135</v>
      </c>
      <c r="H1" s="4" t="s">
        <v>136</v>
      </c>
      <c r="I1" s="4" t="s">
        <v>137</v>
      </c>
      <c r="J1" s="3" t="s">
        <v>3</v>
      </c>
      <c r="K1" s="3" t="s">
        <v>138</v>
      </c>
      <c r="L1" s="3" t="s">
        <v>139</v>
      </c>
      <c r="M1" s="3" t="s">
        <v>140</v>
      </c>
      <c r="N1" s="3" t="s">
        <v>141</v>
      </c>
      <c r="O1" s="3" t="s">
        <v>4</v>
      </c>
    </row>
    <row r="2" spans="1:15" ht="18.95">
      <c r="A2" s="94" t="s">
        <v>55</v>
      </c>
      <c r="B2" s="94"/>
      <c r="C2" s="94"/>
      <c r="D2" s="94"/>
      <c r="E2" s="94"/>
      <c r="F2" s="94"/>
      <c r="G2" s="94"/>
      <c r="H2" s="94"/>
      <c r="I2" s="94"/>
      <c r="J2" s="94"/>
      <c r="K2" s="94"/>
      <c r="L2" s="94"/>
      <c r="M2" s="94"/>
      <c r="N2" s="94"/>
      <c r="O2" s="95"/>
    </row>
    <row r="3" spans="1:15">
      <c r="A3" s="86" t="s">
        <v>142</v>
      </c>
      <c r="B3" s="86"/>
      <c r="C3" s="87"/>
      <c r="D3" s="80" t="s">
        <v>436</v>
      </c>
      <c r="E3" s="81"/>
      <c r="F3" s="81"/>
      <c r="G3" s="81"/>
      <c r="H3" s="81"/>
      <c r="I3" s="81"/>
      <c r="J3" s="81"/>
      <c r="K3" s="81"/>
      <c r="L3" s="81"/>
      <c r="M3" s="81"/>
      <c r="N3" s="81"/>
      <c r="O3" s="82"/>
    </row>
    <row r="4" spans="1:15" ht="165">
      <c r="A4" s="19" t="s">
        <v>226</v>
      </c>
      <c r="B4" s="19" t="s">
        <v>145</v>
      </c>
      <c r="C4" s="112" t="s">
        <v>54</v>
      </c>
      <c r="D4" s="90" t="s">
        <v>437</v>
      </c>
      <c r="E4" s="9" t="s">
        <v>438</v>
      </c>
      <c r="F4" s="10" t="s">
        <v>148</v>
      </c>
      <c r="G4" s="10" t="s">
        <v>439</v>
      </c>
      <c r="H4" s="9" t="s">
        <v>440</v>
      </c>
      <c r="I4" s="9" t="s">
        <v>441</v>
      </c>
      <c r="J4" s="10"/>
      <c r="K4" s="10"/>
      <c r="L4" s="10"/>
      <c r="M4" s="10"/>
      <c r="N4" s="9" t="s">
        <v>442</v>
      </c>
      <c r="O4" s="9" t="s">
        <v>152</v>
      </c>
    </row>
    <row r="5" spans="1:15" ht="90">
      <c r="A5" s="19" t="s">
        <v>226</v>
      </c>
      <c r="B5" s="19" t="s">
        <v>145</v>
      </c>
      <c r="C5" s="114"/>
      <c r="D5" s="91"/>
      <c r="E5" s="9" t="s">
        <v>438</v>
      </c>
      <c r="F5" s="10" t="s">
        <v>169</v>
      </c>
      <c r="G5" s="10" t="s">
        <v>443</v>
      </c>
      <c r="H5" s="9" t="s">
        <v>444</v>
      </c>
      <c r="I5" s="9" t="s">
        <v>445</v>
      </c>
      <c r="J5" s="10"/>
      <c r="K5" s="10"/>
      <c r="L5" s="10"/>
      <c r="M5" s="10"/>
      <c r="N5" s="9" t="s">
        <v>442</v>
      </c>
      <c r="O5" s="9" t="s">
        <v>152</v>
      </c>
    </row>
    <row r="6" spans="1:15" ht="135">
      <c r="A6" s="19" t="s">
        <v>226</v>
      </c>
      <c r="B6" s="19" t="s">
        <v>145</v>
      </c>
      <c r="C6" s="114"/>
      <c r="D6" s="91"/>
      <c r="E6" s="9" t="s">
        <v>438</v>
      </c>
      <c r="F6" s="10" t="s">
        <v>188</v>
      </c>
      <c r="G6" s="10" t="s">
        <v>446</v>
      </c>
      <c r="H6" s="9" t="s">
        <v>447</v>
      </c>
      <c r="I6" s="9" t="s">
        <v>448</v>
      </c>
      <c r="J6" s="10"/>
      <c r="K6" s="10"/>
      <c r="L6" s="10"/>
      <c r="M6" s="10"/>
      <c r="N6" s="9" t="s">
        <v>449</v>
      </c>
      <c r="O6" s="9" t="s">
        <v>152</v>
      </c>
    </row>
    <row r="7" spans="1:15" ht="90">
      <c r="A7" s="19" t="s">
        <v>226</v>
      </c>
      <c r="B7" s="19" t="s">
        <v>145</v>
      </c>
      <c r="C7" s="113"/>
      <c r="D7" s="115"/>
      <c r="E7" s="9" t="s">
        <v>438</v>
      </c>
      <c r="F7" s="10" t="s">
        <v>193</v>
      </c>
      <c r="G7" s="10" t="s">
        <v>450</v>
      </c>
      <c r="H7" s="9" t="s">
        <v>451</v>
      </c>
      <c r="I7" s="9" t="s">
        <v>452</v>
      </c>
      <c r="J7" s="10"/>
      <c r="K7" s="10"/>
      <c r="L7" s="10"/>
      <c r="M7" s="10"/>
      <c r="N7" s="9" t="s">
        <v>453</v>
      </c>
      <c r="O7" s="9" t="s">
        <v>152</v>
      </c>
    </row>
    <row r="8" spans="1:15" ht="6" customHeight="1">
      <c r="J8" t="s">
        <v>153</v>
      </c>
    </row>
    <row r="9" spans="1:15" ht="18.95">
      <c r="A9" s="83" t="s">
        <v>57</v>
      </c>
      <c r="B9" s="83"/>
      <c r="C9" s="83"/>
      <c r="D9" s="83"/>
      <c r="E9" s="83"/>
      <c r="F9" s="83"/>
      <c r="G9" s="83"/>
      <c r="H9" s="83"/>
      <c r="I9" s="83"/>
      <c r="J9" s="83"/>
      <c r="K9" s="83"/>
      <c r="L9" s="83"/>
      <c r="M9" s="83"/>
      <c r="N9" s="83"/>
      <c r="O9" s="84"/>
    </row>
    <row r="10" spans="1:15">
      <c r="A10" s="86" t="s">
        <v>142</v>
      </c>
      <c r="B10" s="86"/>
      <c r="C10" s="87"/>
      <c r="D10" s="80" t="s">
        <v>454</v>
      </c>
      <c r="E10" s="81"/>
      <c r="F10" s="81"/>
      <c r="G10" s="81"/>
      <c r="H10" s="81"/>
      <c r="I10" s="81"/>
      <c r="J10" s="81"/>
      <c r="K10" s="81"/>
      <c r="L10" s="81"/>
      <c r="M10" s="81"/>
      <c r="N10" s="81"/>
      <c r="O10" s="82"/>
    </row>
    <row r="11" spans="1:15" ht="165">
      <c r="A11" s="19" t="s">
        <v>226</v>
      </c>
      <c r="B11" s="19" t="s">
        <v>145</v>
      </c>
      <c r="C11" s="71" t="s">
        <v>56</v>
      </c>
      <c r="D11" s="73" t="s">
        <v>455</v>
      </c>
      <c r="E11" s="9" t="s">
        <v>456</v>
      </c>
      <c r="F11" s="10" t="s">
        <v>148</v>
      </c>
      <c r="G11" s="10" t="s">
        <v>457</v>
      </c>
      <c r="H11" s="9" t="s">
        <v>458</v>
      </c>
      <c r="I11" s="9" t="s">
        <v>459</v>
      </c>
      <c r="J11" s="10"/>
      <c r="K11" s="10"/>
      <c r="L11" s="10"/>
      <c r="M11" s="10"/>
      <c r="N11" s="9" t="s">
        <v>460</v>
      </c>
      <c r="O11" s="9" t="s">
        <v>152</v>
      </c>
    </row>
    <row r="12" spans="1:15" ht="6" customHeight="1">
      <c r="J12" t="s">
        <v>153</v>
      </c>
    </row>
    <row r="13" spans="1:15" ht="18.95">
      <c r="A13" s="83" t="s">
        <v>59</v>
      </c>
      <c r="B13" s="83"/>
      <c r="C13" s="83"/>
      <c r="D13" s="83"/>
      <c r="E13" s="83"/>
      <c r="F13" s="83"/>
      <c r="G13" s="83"/>
      <c r="H13" s="83"/>
      <c r="I13" s="83"/>
      <c r="J13" s="83"/>
      <c r="K13" s="83"/>
      <c r="L13" s="83"/>
      <c r="M13" s="83"/>
      <c r="N13" s="83"/>
      <c r="O13" s="84"/>
    </row>
    <row r="14" spans="1:15">
      <c r="A14" s="86" t="s">
        <v>142</v>
      </c>
      <c r="B14" s="86"/>
      <c r="C14" s="87"/>
      <c r="D14" s="5" t="s">
        <v>461</v>
      </c>
      <c r="E14" s="6"/>
      <c r="F14" s="6"/>
      <c r="G14" s="6"/>
      <c r="H14" s="7"/>
      <c r="I14" s="7"/>
      <c r="J14" s="6"/>
      <c r="K14" s="6"/>
      <c r="L14" s="6"/>
      <c r="M14" s="6"/>
      <c r="N14" s="6"/>
      <c r="O14" s="6"/>
    </row>
    <row r="15" spans="1:15" ht="90">
      <c r="A15" s="19" t="s">
        <v>226</v>
      </c>
      <c r="B15" s="19" t="s">
        <v>145</v>
      </c>
      <c r="C15" s="112" t="s">
        <v>58</v>
      </c>
      <c r="D15" s="88" t="s">
        <v>462</v>
      </c>
      <c r="E15" s="9" t="s">
        <v>463</v>
      </c>
      <c r="F15" s="10" t="s">
        <v>148</v>
      </c>
      <c r="G15" s="10" t="s">
        <v>464</v>
      </c>
      <c r="H15" s="9" t="s">
        <v>465</v>
      </c>
      <c r="I15" s="9" t="s">
        <v>466</v>
      </c>
      <c r="J15" s="10"/>
      <c r="K15" s="10"/>
      <c r="L15" s="10"/>
      <c r="M15" s="10"/>
      <c r="N15" s="9"/>
      <c r="O15" s="9" t="s">
        <v>152</v>
      </c>
    </row>
    <row r="16" spans="1:15" ht="30">
      <c r="A16" s="19" t="s">
        <v>226</v>
      </c>
      <c r="B16" s="19" t="s">
        <v>145</v>
      </c>
      <c r="C16" s="113"/>
      <c r="D16" s="96"/>
      <c r="E16" s="9" t="s">
        <v>463</v>
      </c>
      <c r="F16" s="10" t="s">
        <v>169</v>
      </c>
      <c r="G16" s="10" t="s">
        <v>467</v>
      </c>
      <c r="H16" s="9" t="s">
        <v>468</v>
      </c>
      <c r="I16" s="9" t="s">
        <v>469</v>
      </c>
      <c r="J16" s="10"/>
      <c r="K16" s="10"/>
      <c r="L16" s="10"/>
      <c r="M16" s="10"/>
      <c r="N16" s="9"/>
      <c r="O16" s="9" t="s">
        <v>152</v>
      </c>
    </row>
    <row r="17" spans="1:15" ht="6" customHeight="1">
      <c r="E17" s="2"/>
      <c r="J17" t="s">
        <v>153</v>
      </c>
      <c r="O17" s="2"/>
    </row>
    <row r="18" spans="1:15" ht="18.95">
      <c r="A18" s="83" t="s">
        <v>61</v>
      </c>
      <c r="B18" s="83"/>
      <c r="C18" s="83"/>
      <c r="D18" s="83"/>
      <c r="E18" s="83"/>
      <c r="F18" s="83"/>
      <c r="G18" s="83"/>
      <c r="H18" s="83"/>
      <c r="I18" s="83"/>
      <c r="J18" s="83"/>
      <c r="K18" s="83"/>
      <c r="L18" s="83"/>
      <c r="M18" s="83"/>
      <c r="N18" s="83"/>
      <c r="O18" s="84"/>
    </row>
    <row r="19" spans="1:15">
      <c r="A19" s="86" t="s">
        <v>142</v>
      </c>
      <c r="B19" s="86"/>
      <c r="C19" s="87"/>
      <c r="D19" s="5" t="s">
        <v>461</v>
      </c>
      <c r="E19" s="6"/>
      <c r="F19" s="6"/>
      <c r="G19" s="6"/>
      <c r="H19" s="7"/>
      <c r="I19" s="7"/>
      <c r="J19" s="6"/>
      <c r="K19" s="6"/>
      <c r="L19" s="6"/>
      <c r="M19" s="6"/>
      <c r="N19" s="6"/>
      <c r="O19" s="6"/>
    </row>
    <row r="20" spans="1:15" ht="90">
      <c r="A20" s="19" t="s">
        <v>226</v>
      </c>
      <c r="B20" s="19" t="s">
        <v>145</v>
      </c>
      <c r="C20" s="71" t="s">
        <v>60</v>
      </c>
      <c r="D20" s="73" t="s">
        <v>470</v>
      </c>
      <c r="E20" s="9" t="s">
        <v>438</v>
      </c>
      <c r="F20" s="10" t="s">
        <v>148</v>
      </c>
      <c r="G20" s="10" t="s">
        <v>471</v>
      </c>
      <c r="H20" s="9" t="s">
        <v>472</v>
      </c>
      <c r="I20" s="9" t="s">
        <v>473</v>
      </c>
      <c r="J20" s="10"/>
      <c r="K20" s="10"/>
      <c r="L20" s="10"/>
      <c r="M20" s="10"/>
      <c r="N20" s="9"/>
      <c r="O20" s="9" t="s">
        <v>152</v>
      </c>
    </row>
    <row r="21" spans="1:15" ht="6" customHeight="1">
      <c r="E21" s="2"/>
      <c r="J21" t="s">
        <v>153</v>
      </c>
      <c r="O21" s="2"/>
    </row>
    <row r="22" spans="1:15" ht="18.95">
      <c r="A22" s="83" t="s">
        <v>63</v>
      </c>
      <c r="B22" s="83"/>
      <c r="C22" s="83"/>
      <c r="D22" s="83"/>
      <c r="E22" s="83"/>
      <c r="F22" s="83"/>
      <c r="G22" s="83"/>
      <c r="H22" s="83"/>
      <c r="I22" s="83"/>
      <c r="J22" s="83"/>
      <c r="K22" s="83"/>
      <c r="L22" s="83"/>
      <c r="M22" s="83"/>
      <c r="N22" s="83"/>
      <c r="O22" s="84"/>
    </row>
    <row r="23" spans="1:15">
      <c r="A23" s="86" t="s">
        <v>142</v>
      </c>
      <c r="B23" s="86"/>
      <c r="C23" s="87"/>
      <c r="D23" s="5" t="s">
        <v>461</v>
      </c>
      <c r="E23" s="6"/>
      <c r="F23" s="6"/>
      <c r="G23" s="6"/>
      <c r="H23" s="7"/>
      <c r="I23" s="7"/>
      <c r="J23" s="6"/>
      <c r="K23" s="6"/>
      <c r="L23" s="6"/>
      <c r="M23" s="6"/>
      <c r="N23" s="6"/>
      <c r="O23" s="6"/>
    </row>
    <row r="24" spans="1:15" ht="75">
      <c r="A24" s="19" t="s">
        <v>226</v>
      </c>
      <c r="B24" s="19" t="s">
        <v>145</v>
      </c>
      <c r="C24" s="112" t="s">
        <v>62</v>
      </c>
      <c r="D24" s="88" t="s">
        <v>474</v>
      </c>
      <c r="E24" s="9" t="s">
        <v>463</v>
      </c>
      <c r="F24" s="10" t="s">
        <v>148</v>
      </c>
      <c r="G24" s="10" t="s">
        <v>475</v>
      </c>
      <c r="H24" s="9" t="s">
        <v>476</v>
      </c>
      <c r="I24" s="9" t="s">
        <v>477</v>
      </c>
      <c r="J24" s="10"/>
      <c r="K24" s="10"/>
      <c r="L24" s="10"/>
      <c r="M24" s="10"/>
      <c r="N24" s="9"/>
      <c r="O24" s="9" t="s">
        <v>152</v>
      </c>
    </row>
    <row r="25" spans="1:15" ht="60">
      <c r="A25" s="19" t="s">
        <v>226</v>
      </c>
      <c r="B25" s="19" t="s">
        <v>145</v>
      </c>
      <c r="C25" s="113"/>
      <c r="D25" s="96"/>
      <c r="E25" s="9" t="s">
        <v>463</v>
      </c>
      <c r="F25" s="10" t="s">
        <v>169</v>
      </c>
      <c r="G25" s="10" t="s">
        <v>478</v>
      </c>
      <c r="H25" s="9" t="s">
        <v>479</v>
      </c>
      <c r="I25" s="9" t="s">
        <v>480</v>
      </c>
      <c r="J25" s="10"/>
      <c r="K25" s="10"/>
      <c r="L25" s="10"/>
      <c r="M25" s="10"/>
      <c r="N25" s="9"/>
      <c r="O25" s="9" t="s">
        <v>152</v>
      </c>
    </row>
    <row r="26" spans="1:15" ht="6" customHeight="1">
      <c r="E26" s="2"/>
      <c r="J26" t="s">
        <v>153</v>
      </c>
      <c r="O26" s="2"/>
    </row>
    <row r="27" spans="1:15" ht="18.95">
      <c r="A27" s="83" t="s">
        <v>434</v>
      </c>
      <c r="B27" s="83"/>
      <c r="C27" s="83"/>
      <c r="D27" s="83"/>
      <c r="E27" s="83"/>
      <c r="F27" s="83"/>
      <c r="G27" s="83"/>
      <c r="H27" s="83"/>
      <c r="I27" s="83"/>
      <c r="J27" s="83"/>
      <c r="K27" s="83"/>
      <c r="L27" s="83"/>
      <c r="M27" s="83"/>
      <c r="N27" s="83"/>
      <c r="O27" s="84"/>
    </row>
    <row r="28" spans="1:15">
      <c r="A28" s="86" t="s">
        <v>142</v>
      </c>
      <c r="B28" s="86"/>
      <c r="C28" s="87"/>
      <c r="D28" s="80" t="s">
        <v>216</v>
      </c>
      <c r="E28" s="81"/>
      <c r="F28" s="81"/>
      <c r="G28" s="81"/>
      <c r="H28" s="81"/>
      <c r="I28" s="81"/>
      <c r="J28" s="81"/>
      <c r="K28" s="81"/>
      <c r="L28" s="81"/>
      <c r="M28" s="81"/>
      <c r="N28" s="81"/>
      <c r="O28" s="82"/>
    </row>
    <row r="29" spans="1:15" ht="75">
      <c r="A29" s="19" t="s">
        <v>226</v>
      </c>
      <c r="B29" s="66" t="s">
        <v>145</v>
      </c>
      <c r="C29" s="30" t="s">
        <v>64</v>
      </c>
      <c r="D29" s="8" t="s">
        <v>217</v>
      </c>
      <c r="E29" s="9" t="s">
        <v>218</v>
      </c>
      <c r="F29" s="9" t="s">
        <v>148</v>
      </c>
      <c r="G29" s="10" t="s">
        <v>219</v>
      </c>
      <c r="H29" s="9" t="s">
        <v>220</v>
      </c>
      <c r="I29" s="9" t="s">
        <v>221</v>
      </c>
      <c r="J29" s="10"/>
      <c r="K29" s="10"/>
      <c r="L29" s="10"/>
      <c r="M29" s="10"/>
      <c r="N29" s="9" t="s">
        <v>222</v>
      </c>
      <c r="O29" s="9" t="s">
        <v>162</v>
      </c>
    </row>
    <row r="30" spans="1:15" ht="75">
      <c r="A30" s="19" t="s">
        <v>226</v>
      </c>
      <c r="B30" s="66" t="s">
        <v>145</v>
      </c>
      <c r="C30" s="30"/>
      <c r="D30" s="8"/>
      <c r="E30" s="9" t="s">
        <v>218</v>
      </c>
      <c r="F30" s="9" t="s">
        <v>169</v>
      </c>
      <c r="G30" s="10" t="s">
        <v>219</v>
      </c>
      <c r="H30" s="9" t="s">
        <v>220</v>
      </c>
      <c r="I30" s="9" t="s">
        <v>221</v>
      </c>
      <c r="J30" s="10"/>
      <c r="K30" s="10"/>
      <c r="L30" s="10"/>
      <c r="M30" s="10"/>
      <c r="N30" s="9" t="s">
        <v>222</v>
      </c>
      <c r="O30" s="9" t="s">
        <v>162</v>
      </c>
    </row>
    <row r="31" spans="1:15" ht="75">
      <c r="A31" s="19" t="s">
        <v>226</v>
      </c>
      <c r="B31" s="66" t="s">
        <v>145</v>
      </c>
      <c r="C31" s="30"/>
      <c r="D31" s="8"/>
      <c r="E31" s="9" t="s">
        <v>218</v>
      </c>
      <c r="F31" s="9" t="s">
        <v>188</v>
      </c>
      <c r="G31" s="10" t="s">
        <v>219</v>
      </c>
      <c r="H31" s="9" t="s">
        <v>220</v>
      </c>
      <c r="I31" s="9" t="s">
        <v>221</v>
      </c>
      <c r="J31" s="10"/>
      <c r="K31" s="10"/>
      <c r="L31" s="10"/>
      <c r="M31" s="10"/>
      <c r="N31" s="9" t="s">
        <v>222</v>
      </c>
      <c r="O31" s="9" t="s">
        <v>162</v>
      </c>
    </row>
    <row r="32" spans="1:15" ht="75">
      <c r="A32" s="19" t="s">
        <v>226</v>
      </c>
      <c r="B32" s="19" t="s">
        <v>145</v>
      </c>
      <c r="C32" s="30"/>
      <c r="D32" s="8"/>
      <c r="E32" s="9"/>
      <c r="F32" s="9" t="s">
        <v>223</v>
      </c>
      <c r="G32" s="10" t="s">
        <v>219</v>
      </c>
      <c r="H32" s="9" t="s">
        <v>220</v>
      </c>
      <c r="I32" s="9" t="s">
        <v>221</v>
      </c>
      <c r="J32" s="10"/>
      <c r="K32" s="10"/>
      <c r="L32" s="10"/>
      <c r="M32" s="10"/>
      <c r="N32" s="9" t="s">
        <v>222</v>
      </c>
      <c r="O32" s="9" t="s">
        <v>162</v>
      </c>
    </row>
    <row r="33" spans="5:15" ht="6" customHeight="1">
      <c r="E33" s="2"/>
      <c r="O33" s="2"/>
    </row>
  </sheetData>
  <dataConsolidate/>
  <mergeCells count="21">
    <mergeCell ref="A14:C14"/>
    <mergeCell ref="A18:O18"/>
    <mergeCell ref="A19:C19"/>
    <mergeCell ref="A22:O22"/>
    <mergeCell ref="A23:C23"/>
    <mergeCell ref="A2:O2"/>
    <mergeCell ref="A3:C3"/>
    <mergeCell ref="A9:O9"/>
    <mergeCell ref="A10:C10"/>
    <mergeCell ref="A13:O13"/>
    <mergeCell ref="D3:O3"/>
    <mergeCell ref="D10:O10"/>
    <mergeCell ref="C4:C7"/>
    <mergeCell ref="D4:D7"/>
    <mergeCell ref="D28:O28"/>
    <mergeCell ref="C15:C16"/>
    <mergeCell ref="D15:D16"/>
    <mergeCell ref="C24:C25"/>
    <mergeCell ref="D24:D25"/>
    <mergeCell ref="A27:O27"/>
    <mergeCell ref="A28:C28"/>
  </mergeCells>
  <dataValidations count="2">
    <dataValidation type="list" allowBlank="1" showInputMessage="1" showErrorMessage="1" sqref="K11 K15:K16 K4:K7 K20 K24:K25 K29:K32 J1 J3:J8 J10:J12 J14:J17 J19:J21 J23:J26 J28:J1048576" xr:uid="{00000000-0002-0000-0400-000000000000}">
      <formula1>"Pass,Fail"</formula1>
    </dataValidation>
    <dataValidation type="list" allowBlank="1" showInputMessage="1" showErrorMessage="1" sqref="M11 M29:M32 M15:M16 M4:M7 M20 M24:M25" xr:uid="{00000000-0002-0000-0400-000001000000}">
      <formula1>"New,Retest"</formula1>
    </dataValidation>
  </dataValidations>
  <pageMargins left="0.25" right="0.25"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8"/>
  <sheetViews>
    <sheetView zoomScale="80" zoomScaleNormal="80" workbookViewId="0">
      <pane ySplit="1" topLeftCell="A21" activePane="bottomLeft" state="frozen"/>
      <selection pane="bottomLeft" activeCell="G21" sqref="G21"/>
    </sheetView>
  </sheetViews>
  <sheetFormatPr defaultColWidth="8.85546875" defaultRowHeight="15"/>
  <cols>
    <col min="3" max="3" width="12.85546875" style="1" customWidth="1"/>
    <col min="4" max="4" width="27" customWidth="1"/>
    <col min="5" max="5" width="13.85546875" style="2" customWidth="1"/>
    <col min="7" max="7" width="26.85546875" customWidth="1"/>
    <col min="8" max="8" width="62.42578125" style="2" customWidth="1"/>
    <col min="9" max="9" width="30.7109375" style="2" customWidth="1"/>
    <col min="12" max="12" width="16.7109375" customWidth="1"/>
    <col min="13" max="13" width="10.28515625" customWidth="1"/>
    <col min="14" max="14" width="13.140625" customWidth="1"/>
    <col min="15" max="15" width="42.140625" style="2" customWidth="1"/>
  </cols>
  <sheetData>
    <row r="1" spans="1:15" ht="15.95">
      <c r="A1" s="3" t="s">
        <v>131</v>
      </c>
      <c r="B1" s="3" t="s">
        <v>132</v>
      </c>
      <c r="C1" s="3" t="s">
        <v>1</v>
      </c>
      <c r="D1" s="3" t="s">
        <v>2</v>
      </c>
      <c r="E1" s="4" t="s">
        <v>133</v>
      </c>
      <c r="F1" s="3" t="s">
        <v>134</v>
      </c>
      <c r="G1" s="3" t="s">
        <v>135</v>
      </c>
      <c r="H1" s="4" t="s">
        <v>136</v>
      </c>
      <c r="I1" s="4" t="s">
        <v>137</v>
      </c>
      <c r="J1" s="3" t="s">
        <v>3</v>
      </c>
      <c r="K1" s="3" t="s">
        <v>138</v>
      </c>
      <c r="L1" s="3" t="s">
        <v>139</v>
      </c>
      <c r="M1" s="3" t="s">
        <v>140</v>
      </c>
      <c r="N1" s="3" t="s">
        <v>141</v>
      </c>
      <c r="O1" s="4" t="s">
        <v>4</v>
      </c>
    </row>
    <row r="2" spans="1:15" ht="18.95">
      <c r="A2" s="94" t="s">
        <v>68</v>
      </c>
      <c r="B2" s="94"/>
      <c r="C2" s="94"/>
      <c r="D2" s="94"/>
      <c r="E2" s="94"/>
      <c r="F2" s="94"/>
      <c r="G2" s="94"/>
      <c r="H2" s="94"/>
      <c r="I2" s="94"/>
      <c r="J2" s="94"/>
      <c r="K2" s="94"/>
      <c r="L2" s="94"/>
      <c r="M2" s="94"/>
      <c r="N2" s="94"/>
      <c r="O2" s="95"/>
    </row>
    <row r="3" spans="1:15">
      <c r="A3" s="86" t="s">
        <v>142</v>
      </c>
      <c r="B3" s="86"/>
      <c r="C3" s="87"/>
      <c r="D3" s="85" t="s">
        <v>481</v>
      </c>
      <c r="E3" s="85"/>
      <c r="F3" s="85"/>
      <c r="G3" s="85"/>
      <c r="H3" s="85"/>
      <c r="I3" s="85"/>
      <c r="J3" s="85"/>
      <c r="K3" s="85"/>
      <c r="L3" s="85"/>
      <c r="M3" s="85"/>
      <c r="N3" s="85"/>
      <c r="O3" s="85"/>
    </row>
    <row r="4" spans="1:15" ht="111.95">
      <c r="A4" s="19" t="s">
        <v>226</v>
      </c>
      <c r="B4" s="65" t="s">
        <v>145</v>
      </c>
      <c r="C4" s="112" t="s">
        <v>67</v>
      </c>
      <c r="D4" s="90" t="s">
        <v>482</v>
      </c>
      <c r="E4" s="17" t="s">
        <v>483</v>
      </c>
      <c r="F4" s="16" t="s">
        <v>148</v>
      </c>
      <c r="G4" s="16" t="s">
        <v>484</v>
      </c>
      <c r="H4" s="15" t="s">
        <v>485</v>
      </c>
      <c r="I4" s="17" t="s">
        <v>486</v>
      </c>
      <c r="J4" s="10"/>
      <c r="K4" s="10"/>
      <c r="L4" s="10"/>
      <c r="M4" s="10"/>
      <c r="N4" s="9"/>
      <c r="O4" s="9" t="s">
        <v>152</v>
      </c>
    </row>
    <row r="5" spans="1:15" ht="195">
      <c r="A5" s="19" t="s">
        <v>226</v>
      </c>
      <c r="B5" s="65" t="s">
        <v>145</v>
      </c>
      <c r="C5" s="114"/>
      <c r="D5" s="91"/>
      <c r="E5" s="9" t="s">
        <v>438</v>
      </c>
      <c r="F5" s="10" t="s">
        <v>169</v>
      </c>
      <c r="G5" s="10" t="s">
        <v>487</v>
      </c>
      <c r="H5" s="9" t="s">
        <v>488</v>
      </c>
      <c r="I5" s="9" t="s">
        <v>489</v>
      </c>
      <c r="J5" s="10"/>
      <c r="K5" s="10"/>
      <c r="L5" s="10"/>
      <c r="M5" s="10"/>
      <c r="N5" s="9" t="s">
        <v>453</v>
      </c>
      <c r="O5" s="9" t="s">
        <v>152</v>
      </c>
    </row>
    <row r="6" spans="1:15" ht="60">
      <c r="A6" s="19" t="s">
        <v>226</v>
      </c>
      <c r="B6" s="65" t="s">
        <v>145</v>
      </c>
      <c r="C6" s="114"/>
      <c r="D6" s="91"/>
      <c r="E6" s="9" t="s">
        <v>438</v>
      </c>
      <c r="F6" s="10" t="s">
        <v>188</v>
      </c>
      <c r="G6" s="10" t="s">
        <v>490</v>
      </c>
      <c r="H6" s="9" t="s">
        <v>491</v>
      </c>
      <c r="I6" s="9" t="s">
        <v>492</v>
      </c>
      <c r="J6" s="10"/>
      <c r="K6" s="10"/>
      <c r="L6" s="10"/>
      <c r="M6" s="10"/>
      <c r="N6" s="9" t="s">
        <v>493</v>
      </c>
      <c r="O6" s="9" t="s">
        <v>162</v>
      </c>
    </row>
    <row r="7" spans="1:15" ht="90">
      <c r="A7" s="19" t="s">
        <v>226</v>
      </c>
      <c r="B7" s="65" t="s">
        <v>145</v>
      </c>
      <c r="C7" s="114"/>
      <c r="D7" s="91"/>
      <c r="E7" s="9" t="s">
        <v>198</v>
      </c>
      <c r="F7" s="10" t="s">
        <v>193</v>
      </c>
      <c r="G7" s="10" t="s">
        <v>494</v>
      </c>
      <c r="H7" s="9" t="s">
        <v>495</v>
      </c>
      <c r="I7" s="9" t="s">
        <v>496</v>
      </c>
      <c r="J7" s="10"/>
      <c r="K7" s="10"/>
      <c r="L7" s="10"/>
      <c r="M7" s="10"/>
      <c r="N7" s="9" t="s">
        <v>248</v>
      </c>
      <c r="O7" s="9" t="s">
        <v>162</v>
      </c>
    </row>
    <row r="8" spans="1:15" ht="105">
      <c r="A8" s="19" t="s">
        <v>226</v>
      </c>
      <c r="B8" s="65" t="s">
        <v>145</v>
      </c>
      <c r="C8" s="114"/>
      <c r="D8" s="91"/>
      <c r="E8" s="9" t="s">
        <v>198</v>
      </c>
      <c r="F8" s="10" t="s">
        <v>199</v>
      </c>
      <c r="G8" s="10" t="s">
        <v>497</v>
      </c>
      <c r="H8" s="9" t="s">
        <v>498</v>
      </c>
      <c r="I8" s="9" t="s">
        <v>499</v>
      </c>
      <c r="J8" s="10"/>
      <c r="L8" s="10"/>
      <c r="M8" s="10"/>
      <c r="N8" s="9" t="s">
        <v>248</v>
      </c>
      <c r="O8" s="9" t="s">
        <v>152</v>
      </c>
    </row>
    <row r="9" spans="1:15" ht="105">
      <c r="A9" s="19" t="s">
        <v>226</v>
      </c>
      <c r="B9" s="65" t="s">
        <v>145</v>
      </c>
      <c r="C9" s="114"/>
      <c r="D9" s="91"/>
      <c r="E9" s="9" t="s">
        <v>198</v>
      </c>
      <c r="F9" s="10" t="s">
        <v>203</v>
      </c>
      <c r="G9" s="10" t="s">
        <v>500</v>
      </c>
      <c r="H9" s="9" t="s">
        <v>501</v>
      </c>
      <c r="I9" s="9" t="s">
        <v>502</v>
      </c>
      <c r="J9" s="10"/>
      <c r="K9" s="10"/>
      <c r="L9" s="10"/>
      <c r="M9" s="10"/>
      <c r="N9" s="9" t="s">
        <v>248</v>
      </c>
      <c r="O9" s="9" t="s">
        <v>152</v>
      </c>
    </row>
    <row r="10" spans="1:15" ht="75">
      <c r="A10" s="19" t="s">
        <v>226</v>
      </c>
      <c r="B10" s="65" t="s">
        <v>145</v>
      </c>
      <c r="C10" s="114"/>
      <c r="D10" s="91"/>
      <c r="E10" s="9" t="s">
        <v>503</v>
      </c>
      <c r="F10" s="10" t="s">
        <v>206</v>
      </c>
      <c r="G10" s="10" t="s">
        <v>504</v>
      </c>
      <c r="H10" s="9" t="s">
        <v>505</v>
      </c>
      <c r="I10" s="9" t="s">
        <v>506</v>
      </c>
      <c r="J10" s="10"/>
      <c r="K10" s="10"/>
      <c r="L10" s="10"/>
      <c r="M10" s="10"/>
      <c r="N10" s="9" t="s">
        <v>507</v>
      </c>
      <c r="O10" s="9" t="s">
        <v>162</v>
      </c>
    </row>
    <row r="11" spans="1:15" ht="135">
      <c r="A11" s="19" t="s">
        <v>226</v>
      </c>
      <c r="B11" s="65" t="s">
        <v>145</v>
      </c>
      <c r="C11" s="113"/>
      <c r="D11" s="115"/>
      <c r="E11" s="9" t="s">
        <v>503</v>
      </c>
      <c r="F11" s="10" t="s">
        <v>508</v>
      </c>
      <c r="G11" s="10" t="s">
        <v>509</v>
      </c>
      <c r="H11" s="9" t="s">
        <v>510</v>
      </c>
      <c r="I11" s="9" t="s">
        <v>511</v>
      </c>
      <c r="J11" s="10"/>
      <c r="K11" s="10"/>
      <c r="L11" s="10"/>
      <c r="M11" s="10"/>
      <c r="N11" s="9" t="s">
        <v>512</v>
      </c>
      <c r="O11" s="9" t="s">
        <v>162</v>
      </c>
    </row>
    <row r="12" spans="1:15" ht="6" customHeight="1">
      <c r="J12" t="s">
        <v>513</v>
      </c>
    </row>
    <row r="13" spans="1:15" ht="18.95">
      <c r="A13" s="83" t="s">
        <v>70</v>
      </c>
      <c r="B13" s="83"/>
      <c r="C13" s="83"/>
      <c r="D13" s="83"/>
      <c r="E13" s="83"/>
      <c r="F13" s="83"/>
      <c r="G13" s="83"/>
      <c r="H13" s="83"/>
      <c r="I13" s="83"/>
      <c r="J13" s="83"/>
      <c r="K13" s="83"/>
      <c r="L13" s="83"/>
      <c r="M13" s="83"/>
      <c r="N13" s="83"/>
      <c r="O13" s="84"/>
    </row>
    <row r="14" spans="1:15">
      <c r="A14" s="86" t="s">
        <v>142</v>
      </c>
      <c r="B14" s="86"/>
      <c r="C14" s="87"/>
      <c r="D14" s="85" t="s">
        <v>514</v>
      </c>
      <c r="E14" s="85"/>
      <c r="F14" s="85"/>
      <c r="G14" s="85"/>
      <c r="H14" s="85"/>
      <c r="I14" s="85"/>
      <c r="J14" s="85"/>
      <c r="K14" s="85"/>
      <c r="L14" s="85"/>
      <c r="M14" s="85"/>
      <c r="N14" s="85"/>
      <c r="O14" s="85"/>
    </row>
    <row r="15" spans="1:15" ht="159.94999999999999">
      <c r="A15" s="19" t="s">
        <v>226</v>
      </c>
      <c r="B15" s="19" t="s">
        <v>145</v>
      </c>
      <c r="C15" s="112" t="s">
        <v>69</v>
      </c>
      <c r="D15" s="90" t="s">
        <v>515</v>
      </c>
      <c r="E15" s="17" t="s">
        <v>438</v>
      </c>
      <c r="F15" s="16" t="s">
        <v>148</v>
      </c>
      <c r="G15" s="17" t="s">
        <v>516</v>
      </c>
      <c r="H15" s="15" t="s">
        <v>517</v>
      </c>
      <c r="I15" s="17" t="s">
        <v>518</v>
      </c>
      <c r="J15" s="10"/>
      <c r="K15" s="10"/>
      <c r="L15" s="10"/>
      <c r="M15" s="10"/>
      <c r="N15" s="9" t="s">
        <v>519</v>
      </c>
      <c r="O15" s="9" t="s">
        <v>152</v>
      </c>
    </row>
    <row r="16" spans="1:15" ht="128.1">
      <c r="A16" s="19" t="s">
        <v>226</v>
      </c>
      <c r="B16" s="19" t="s">
        <v>145</v>
      </c>
      <c r="C16" s="114"/>
      <c r="D16" s="91"/>
      <c r="E16" s="9" t="s">
        <v>438</v>
      </c>
      <c r="F16" s="17" t="s">
        <v>520</v>
      </c>
      <c r="G16" s="17" t="s">
        <v>521</v>
      </c>
      <c r="H16" s="17" t="s">
        <v>522</v>
      </c>
      <c r="I16" s="17" t="s">
        <v>518</v>
      </c>
      <c r="J16" s="10"/>
      <c r="K16" s="10"/>
      <c r="L16" s="10"/>
      <c r="M16" s="10"/>
      <c r="N16" s="9" t="s">
        <v>493</v>
      </c>
      <c r="O16" s="9" t="s">
        <v>152</v>
      </c>
    </row>
    <row r="17" spans="1:15" ht="207.95">
      <c r="A17" s="19" t="s">
        <v>226</v>
      </c>
      <c r="B17" s="19" t="s">
        <v>145</v>
      </c>
      <c r="C17" s="114"/>
      <c r="D17" s="91"/>
      <c r="E17" s="9" t="s">
        <v>503</v>
      </c>
      <c r="F17" s="10" t="s">
        <v>169</v>
      </c>
      <c r="G17" s="17" t="s">
        <v>523</v>
      </c>
      <c r="H17" s="17" t="s">
        <v>524</v>
      </c>
      <c r="I17" s="17" t="s">
        <v>525</v>
      </c>
      <c r="J17" s="10"/>
      <c r="K17" s="10"/>
      <c r="L17" s="10"/>
      <c r="M17" s="10"/>
      <c r="N17" s="9" t="s">
        <v>526</v>
      </c>
      <c r="O17" s="9" t="s">
        <v>162</v>
      </c>
    </row>
    <row r="18" spans="1:15" ht="6" customHeight="1">
      <c r="J18" t="s">
        <v>513</v>
      </c>
    </row>
    <row r="19" spans="1:15" ht="18.95">
      <c r="A19" s="83" t="s">
        <v>527</v>
      </c>
      <c r="B19" s="83"/>
      <c r="C19" s="83"/>
      <c r="D19" s="83"/>
      <c r="E19" s="83"/>
      <c r="F19" s="83"/>
      <c r="G19" s="83"/>
      <c r="H19" s="83"/>
      <c r="I19" s="83"/>
      <c r="J19" s="83"/>
      <c r="K19" s="83"/>
      <c r="L19" s="83"/>
      <c r="M19" s="83"/>
      <c r="N19" s="83"/>
      <c r="O19" s="84"/>
    </row>
    <row r="20" spans="1:15">
      <c r="A20" s="86" t="s">
        <v>142</v>
      </c>
      <c r="B20" s="86"/>
      <c r="C20" s="87"/>
      <c r="D20" s="85" t="s">
        <v>528</v>
      </c>
      <c r="E20" s="85"/>
      <c r="F20" s="85"/>
      <c r="G20" s="85"/>
      <c r="H20" s="85"/>
      <c r="I20" s="85"/>
      <c r="J20" s="85"/>
      <c r="K20" s="85"/>
      <c r="L20" s="85"/>
      <c r="M20" s="85"/>
      <c r="N20" s="85"/>
      <c r="O20" s="85"/>
    </row>
    <row r="21" spans="1:15" ht="180">
      <c r="A21" s="19" t="s">
        <v>226</v>
      </c>
      <c r="B21" s="19" t="s">
        <v>145</v>
      </c>
      <c r="C21" s="112" t="s">
        <v>71</v>
      </c>
      <c r="D21" s="90" t="s">
        <v>529</v>
      </c>
      <c r="E21" s="9" t="s">
        <v>530</v>
      </c>
      <c r="F21" s="10" t="s">
        <v>148</v>
      </c>
      <c r="G21" s="10" t="s">
        <v>531</v>
      </c>
      <c r="H21" s="9" t="s">
        <v>532</v>
      </c>
      <c r="I21" s="9" t="s">
        <v>533</v>
      </c>
      <c r="J21" s="10"/>
      <c r="K21" s="10"/>
      <c r="L21" s="10"/>
      <c r="M21" s="10"/>
      <c r="N21" s="9" t="s">
        <v>534</v>
      </c>
      <c r="O21" s="9" t="s">
        <v>162</v>
      </c>
    </row>
    <row r="22" spans="1:15" ht="180">
      <c r="A22" s="19" t="s">
        <v>226</v>
      </c>
      <c r="B22" s="19" t="s">
        <v>145</v>
      </c>
      <c r="C22" s="114"/>
      <c r="D22" s="91"/>
      <c r="E22" s="9" t="s">
        <v>438</v>
      </c>
      <c r="F22" s="10" t="s">
        <v>169</v>
      </c>
      <c r="G22" s="10" t="s">
        <v>535</v>
      </c>
      <c r="H22" s="9" t="s">
        <v>536</v>
      </c>
      <c r="I22" s="9" t="s">
        <v>537</v>
      </c>
      <c r="J22" s="10"/>
      <c r="K22" s="10"/>
      <c r="L22" s="10"/>
      <c r="M22" s="10"/>
      <c r="N22" s="9" t="s">
        <v>538</v>
      </c>
      <c r="O22" s="9" t="s">
        <v>162</v>
      </c>
    </row>
    <row r="23" spans="1:15" ht="105">
      <c r="A23" s="19" t="s">
        <v>226</v>
      </c>
      <c r="B23" s="19" t="s">
        <v>145</v>
      </c>
      <c r="C23" s="114"/>
      <c r="D23" s="91"/>
      <c r="E23" s="9" t="s">
        <v>463</v>
      </c>
      <c r="F23" s="10" t="s">
        <v>188</v>
      </c>
      <c r="G23" s="10" t="s">
        <v>539</v>
      </c>
      <c r="H23" s="9" t="s">
        <v>540</v>
      </c>
      <c r="I23" s="9" t="s">
        <v>541</v>
      </c>
      <c r="J23" s="10"/>
      <c r="L23" s="10"/>
      <c r="M23" s="10"/>
      <c r="N23" s="9"/>
      <c r="O23" s="9" t="s">
        <v>152</v>
      </c>
    </row>
    <row r="24" spans="1:15" ht="180">
      <c r="A24" s="19" t="s">
        <v>226</v>
      </c>
      <c r="B24" s="19" t="s">
        <v>145</v>
      </c>
      <c r="C24" s="114"/>
      <c r="D24" s="91"/>
      <c r="E24" s="9" t="s">
        <v>198</v>
      </c>
      <c r="F24" s="10" t="s">
        <v>193</v>
      </c>
      <c r="G24" s="10" t="s">
        <v>542</v>
      </c>
      <c r="H24" s="9" t="s">
        <v>543</v>
      </c>
      <c r="I24" s="9" t="s">
        <v>544</v>
      </c>
      <c r="J24" s="10"/>
      <c r="K24" s="10"/>
      <c r="L24" s="10"/>
      <c r="M24" s="10"/>
      <c r="N24" s="9" t="s">
        <v>252</v>
      </c>
      <c r="O24" s="9" t="s">
        <v>162</v>
      </c>
    </row>
    <row r="25" spans="1:15" ht="150">
      <c r="A25" s="19" t="s">
        <v>226</v>
      </c>
      <c r="B25" s="19" t="s">
        <v>145</v>
      </c>
      <c r="C25" s="114"/>
      <c r="D25" s="91"/>
      <c r="E25" s="9" t="s">
        <v>545</v>
      </c>
      <c r="F25" s="10" t="s">
        <v>199</v>
      </c>
      <c r="G25" s="10" t="s">
        <v>546</v>
      </c>
      <c r="H25" s="9" t="s">
        <v>547</v>
      </c>
      <c r="I25" s="9" t="s">
        <v>548</v>
      </c>
      <c r="J25" s="10"/>
      <c r="K25" s="6"/>
      <c r="L25" s="10"/>
      <c r="M25" s="10"/>
      <c r="N25" s="9" t="s">
        <v>549</v>
      </c>
      <c r="O25" s="9" t="s">
        <v>162</v>
      </c>
    </row>
    <row r="26" spans="1:15" ht="105">
      <c r="A26" s="19" t="s">
        <v>226</v>
      </c>
      <c r="B26" s="19" t="s">
        <v>145</v>
      </c>
      <c r="C26" s="113"/>
      <c r="D26" s="115"/>
      <c r="E26" s="9" t="s">
        <v>545</v>
      </c>
      <c r="F26" s="10" t="s">
        <v>203</v>
      </c>
      <c r="G26" s="10" t="s">
        <v>550</v>
      </c>
      <c r="H26" s="9" t="s">
        <v>551</v>
      </c>
      <c r="I26" s="9" t="s">
        <v>544</v>
      </c>
      <c r="J26" s="10"/>
      <c r="K26" s="10"/>
      <c r="L26" s="10"/>
      <c r="M26" s="10"/>
      <c r="N26" s="9" t="s">
        <v>552</v>
      </c>
      <c r="O26" s="9" t="s">
        <v>162</v>
      </c>
    </row>
    <row r="27" spans="1:15" ht="6" customHeight="1">
      <c r="J27" t="s">
        <v>513</v>
      </c>
    </row>
    <row r="28" spans="1:15" ht="18.95">
      <c r="A28" s="83" t="s">
        <v>553</v>
      </c>
      <c r="B28" s="83"/>
      <c r="C28" s="83"/>
      <c r="D28" s="83"/>
      <c r="E28" s="83"/>
      <c r="F28" s="83"/>
      <c r="G28" s="83"/>
      <c r="H28" s="83"/>
      <c r="I28" s="83"/>
      <c r="J28" s="83"/>
      <c r="K28" s="83"/>
      <c r="L28" s="83"/>
      <c r="M28" s="83"/>
      <c r="N28" s="83"/>
      <c r="O28" s="84"/>
    </row>
    <row r="29" spans="1:15">
      <c r="A29" s="86" t="s">
        <v>142</v>
      </c>
      <c r="B29" s="86"/>
      <c r="C29" s="87"/>
      <c r="D29" s="85" t="s">
        <v>554</v>
      </c>
      <c r="E29" s="85"/>
      <c r="F29" s="85"/>
      <c r="G29" s="85"/>
      <c r="H29" s="85"/>
      <c r="I29" s="85"/>
      <c r="J29" s="85"/>
      <c r="K29" s="85"/>
      <c r="L29" s="85"/>
      <c r="M29" s="85"/>
      <c r="N29" s="85"/>
      <c r="O29" s="85"/>
    </row>
    <row r="30" spans="1:15" ht="195">
      <c r="A30" s="19" t="s">
        <v>226</v>
      </c>
      <c r="B30" s="19" t="s">
        <v>145</v>
      </c>
      <c r="C30" s="112" t="s">
        <v>73</v>
      </c>
      <c r="D30" s="90" t="s">
        <v>555</v>
      </c>
      <c r="E30" s="9" t="s">
        <v>530</v>
      </c>
      <c r="F30" s="10" t="s">
        <v>148</v>
      </c>
      <c r="G30" s="10" t="s">
        <v>531</v>
      </c>
      <c r="H30" s="9" t="s">
        <v>556</v>
      </c>
      <c r="I30" s="9" t="s">
        <v>557</v>
      </c>
      <c r="J30" s="10"/>
      <c r="K30" s="10"/>
      <c r="L30" s="10"/>
      <c r="M30" s="10"/>
      <c r="N30" s="9" t="s">
        <v>534</v>
      </c>
      <c r="O30" s="9" t="s">
        <v>162</v>
      </c>
    </row>
    <row r="31" spans="1:15" ht="195">
      <c r="A31" s="19" t="s">
        <v>226</v>
      </c>
      <c r="B31" s="19" t="s">
        <v>145</v>
      </c>
      <c r="C31" s="114"/>
      <c r="D31" s="91"/>
      <c r="E31" s="9" t="s">
        <v>438</v>
      </c>
      <c r="F31" s="10" t="s">
        <v>169</v>
      </c>
      <c r="G31" s="10" t="s">
        <v>535</v>
      </c>
      <c r="H31" s="9" t="s">
        <v>558</v>
      </c>
      <c r="I31" s="9" t="s">
        <v>559</v>
      </c>
      <c r="J31" s="10"/>
      <c r="K31" s="10"/>
      <c r="L31" s="10"/>
      <c r="M31" s="10"/>
      <c r="N31" s="9" t="s">
        <v>538</v>
      </c>
      <c r="O31" s="9" t="s">
        <v>162</v>
      </c>
    </row>
    <row r="32" spans="1:15" ht="105">
      <c r="A32" s="19" t="s">
        <v>226</v>
      </c>
      <c r="B32" s="19" t="s">
        <v>145</v>
      </c>
      <c r="C32" s="114"/>
      <c r="D32" s="91"/>
      <c r="E32" s="9" t="s">
        <v>463</v>
      </c>
      <c r="F32" s="10" t="s">
        <v>188</v>
      </c>
      <c r="G32" s="10" t="s">
        <v>539</v>
      </c>
      <c r="H32" s="9" t="s">
        <v>540</v>
      </c>
      <c r="I32" s="9" t="s">
        <v>541</v>
      </c>
      <c r="J32" s="10"/>
      <c r="L32" s="10"/>
      <c r="M32" s="10"/>
      <c r="N32" s="9"/>
      <c r="O32" s="9" t="s">
        <v>152</v>
      </c>
    </row>
    <row r="33" spans="1:15" ht="180">
      <c r="A33" s="19" t="s">
        <v>226</v>
      </c>
      <c r="B33" s="19" t="s">
        <v>145</v>
      </c>
      <c r="C33" s="114"/>
      <c r="D33" s="91"/>
      <c r="E33" s="9" t="s">
        <v>198</v>
      </c>
      <c r="F33" s="10" t="s">
        <v>193</v>
      </c>
      <c r="G33" s="10" t="s">
        <v>542</v>
      </c>
      <c r="H33" s="9" t="s">
        <v>560</v>
      </c>
      <c r="I33" s="9" t="s">
        <v>544</v>
      </c>
      <c r="J33" s="10"/>
      <c r="K33" s="10"/>
      <c r="L33" s="10"/>
      <c r="M33" s="10"/>
      <c r="N33" s="9" t="s">
        <v>252</v>
      </c>
      <c r="O33" s="9" t="s">
        <v>162</v>
      </c>
    </row>
    <row r="34" spans="1:15" ht="150">
      <c r="A34" s="19" t="s">
        <v>226</v>
      </c>
      <c r="B34" s="19" t="s">
        <v>145</v>
      </c>
      <c r="C34" s="114"/>
      <c r="D34" s="91"/>
      <c r="E34" s="9" t="s">
        <v>545</v>
      </c>
      <c r="F34" s="10" t="s">
        <v>199</v>
      </c>
      <c r="G34" s="10" t="s">
        <v>546</v>
      </c>
      <c r="H34" s="9" t="s">
        <v>561</v>
      </c>
      <c r="I34" s="9" t="s">
        <v>548</v>
      </c>
      <c r="J34" s="10"/>
      <c r="K34" s="10"/>
      <c r="L34" s="10"/>
      <c r="M34" s="10"/>
      <c r="N34" s="9" t="s">
        <v>549</v>
      </c>
      <c r="O34" s="9" t="s">
        <v>162</v>
      </c>
    </row>
    <row r="35" spans="1:15" ht="165">
      <c r="A35" s="19" t="s">
        <v>226</v>
      </c>
      <c r="B35" s="19" t="s">
        <v>145</v>
      </c>
      <c r="C35" s="114"/>
      <c r="D35" s="91"/>
      <c r="E35" s="9" t="s">
        <v>438</v>
      </c>
      <c r="F35" s="10" t="s">
        <v>203</v>
      </c>
      <c r="G35" s="10" t="s">
        <v>562</v>
      </c>
      <c r="H35" s="9" t="s">
        <v>563</v>
      </c>
      <c r="I35" s="9" t="s">
        <v>564</v>
      </c>
      <c r="J35" s="10"/>
      <c r="K35" s="10"/>
      <c r="L35" s="10"/>
      <c r="M35" s="10"/>
      <c r="N35" s="9" t="s">
        <v>493</v>
      </c>
      <c r="O35" s="9" t="s">
        <v>162</v>
      </c>
    </row>
    <row r="36" spans="1:15" ht="90">
      <c r="A36" s="19" t="s">
        <v>226</v>
      </c>
      <c r="B36" s="19" t="s">
        <v>145</v>
      </c>
      <c r="C36" s="114"/>
      <c r="D36" s="91"/>
      <c r="E36" s="9" t="s">
        <v>198</v>
      </c>
      <c r="F36" s="10" t="s">
        <v>206</v>
      </c>
      <c r="G36" s="10" t="s">
        <v>494</v>
      </c>
      <c r="H36" s="9" t="s">
        <v>565</v>
      </c>
      <c r="I36" s="9" t="s">
        <v>566</v>
      </c>
      <c r="J36" s="10"/>
      <c r="K36" s="10"/>
      <c r="L36" s="10"/>
      <c r="M36" s="10"/>
      <c r="N36" s="9" t="s">
        <v>248</v>
      </c>
      <c r="O36" s="9" t="s">
        <v>162</v>
      </c>
    </row>
    <row r="37" spans="1:15" ht="105">
      <c r="A37" s="19" t="s">
        <v>226</v>
      </c>
      <c r="B37" s="19" t="s">
        <v>145</v>
      </c>
      <c r="C37" s="114"/>
      <c r="D37" s="91"/>
      <c r="E37" s="9" t="s">
        <v>198</v>
      </c>
      <c r="F37" s="10" t="s">
        <v>508</v>
      </c>
      <c r="G37" s="10" t="s">
        <v>497</v>
      </c>
      <c r="H37" s="9" t="s">
        <v>498</v>
      </c>
      <c r="I37" s="9" t="s">
        <v>499</v>
      </c>
      <c r="J37" s="10"/>
      <c r="K37" s="10"/>
      <c r="L37" s="10"/>
      <c r="M37" s="10"/>
      <c r="N37" s="9"/>
      <c r="O37" s="9" t="s">
        <v>152</v>
      </c>
    </row>
    <row r="38" spans="1:15" ht="105">
      <c r="A38" s="19" t="s">
        <v>226</v>
      </c>
      <c r="B38" s="19" t="s">
        <v>145</v>
      </c>
      <c r="C38" s="114"/>
      <c r="D38" s="91"/>
      <c r="E38" s="9" t="s">
        <v>198</v>
      </c>
      <c r="F38" s="10" t="s">
        <v>567</v>
      </c>
      <c r="G38" s="10" t="s">
        <v>500</v>
      </c>
      <c r="H38" s="9" t="s">
        <v>568</v>
      </c>
      <c r="I38" s="9" t="s">
        <v>502</v>
      </c>
      <c r="J38" s="10"/>
      <c r="K38" s="10"/>
      <c r="L38" s="10"/>
      <c r="M38" s="10"/>
      <c r="N38" s="9"/>
      <c r="O38" s="9" t="s">
        <v>152</v>
      </c>
    </row>
    <row r="39" spans="1:15" ht="105">
      <c r="A39" s="19" t="s">
        <v>226</v>
      </c>
      <c r="B39" s="19" t="s">
        <v>145</v>
      </c>
      <c r="C39" s="114"/>
      <c r="D39" s="91"/>
      <c r="E39" s="9" t="s">
        <v>503</v>
      </c>
      <c r="F39" s="10" t="s">
        <v>569</v>
      </c>
      <c r="G39" s="10" t="s">
        <v>570</v>
      </c>
      <c r="H39" s="9" t="s">
        <v>571</v>
      </c>
      <c r="I39" s="9" t="s">
        <v>572</v>
      </c>
      <c r="J39" s="10"/>
      <c r="K39" s="19"/>
      <c r="L39" s="10"/>
      <c r="M39" s="10"/>
      <c r="N39" s="9" t="s">
        <v>507</v>
      </c>
      <c r="O39" s="9" t="s">
        <v>162</v>
      </c>
    </row>
    <row r="40" spans="1:15" ht="180">
      <c r="A40" s="19" t="s">
        <v>226</v>
      </c>
      <c r="B40" s="19" t="s">
        <v>145</v>
      </c>
      <c r="C40" s="113"/>
      <c r="D40" s="115"/>
      <c r="E40" s="9" t="s">
        <v>503</v>
      </c>
      <c r="F40" s="10" t="s">
        <v>573</v>
      </c>
      <c r="G40" s="10" t="s">
        <v>509</v>
      </c>
      <c r="H40" s="9" t="s">
        <v>574</v>
      </c>
      <c r="I40" s="9" t="s">
        <v>575</v>
      </c>
      <c r="J40" s="10"/>
      <c r="K40" s="19"/>
      <c r="L40" s="10"/>
      <c r="M40" s="10"/>
      <c r="N40" s="9"/>
      <c r="O40" s="9" t="s">
        <v>162</v>
      </c>
    </row>
    <row r="41" spans="1:15" ht="6" customHeight="1">
      <c r="J41" t="s">
        <v>513</v>
      </c>
    </row>
    <row r="42" spans="1:15" ht="18.95">
      <c r="A42" s="83" t="s">
        <v>576</v>
      </c>
      <c r="B42" s="83"/>
      <c r="C42" s="83"/>
      <c r="D42" s="83"/>
      <c r="E42" s="83"/>
      <c r="F42" s="83"/>
      <c r="G42" s="83"/>
      <c r="H42" s="83"/>
      <c r="I42" s="83"/>
      <c r="J42" s="83"/>
      <c r="K42" s="83"/>
      <c r="L42" s="83"/>
      <c r="M42" s="83"/>
      <c r="N42" s="83"/>
      <c r="O42" s="84"/>
    </row>
    <row r="43" spans="1:15">
      <c r="A43" s="92" t="s">
        <v>142</v>
      </c>
      <c r="B43" s="92"/>
      <c r="C43" s="93"/>
      <c r="D43" s="85" t="s">
        <v>216</v>
      </c>
      <c r="E43" s="85"/>
      <c r="F43" s="85"/>
      <c r="G43" s="85"/>
      <c r="H43" s="85"/>
      <c r="I43" s="85"/>
      <c r="J43" s="85"/>
      <c r="K43" s="85"/>
      <c r="L43" s="85"/>
      <c r="M43" s="85"/>
      <c r="N43" s="85"/>
      <c r="O43" s="85"/>
    </row>
    <row r="44" spans="1:15" ht="75">
      <c r="A44" s="19" t="s">
        <v>226</v>
      </c>
      <c r="B44" s="19" t="s">
        <v>145</v>
      </c>
      <c r="C44" s="30" t="s">
        <v>75</v>
      </c>
      <c r="D44" s="8" t="s">
        <v>217</v>
      </c>
      <c r="E44" s="9" t="s">
        <v>218</v>
      </c>
      <c r="F44" s="9" t="s">
        <v>148</v>
      </c>
      <c r="G44" s="10" t="s">
        <v>219</v>
      </c>
      <c r="H44" s="9" t="s">
        <v>220</v>
      </c>
      <c r="I44" s="9" t="s">
        <v>221</v>
      </c>
      <c r="J44" s="10"/>
      <c r="K44" s="19"/>
      <c r="L44" s="10"/>
      <c r="M44" s="10"/>
      <c r="N44" s="9" t="s">
        <v>222</v>
      </c>
      <c r="O44" s="9" t="s">
        <v>162</v>
      </c>
    </row>
    <row r="45" spans="1:15" ht="75">
      <c r="A45" s="19" t="s">
        <v>226</v>
      </c>
      <c r="B45" s="19" t="s">
        <v>145</v>
      </c>
      <c r="C45" s="30"/>
      <c r="D45" s="8"/>
      <c r="E45" s="9" t="s">
        <v>218</v>
      </c>
      <c r="F45" s="9" t="s">
        <v>169</v>
      </c>
      <c r="G45" s="10" t="s">
        <v>219</v>
      </c>
      <c r="H45" s="9" t="s">
        <v>220</v>
      </c>
      <c r="I45" s="9" t="s">
        <v>221</v>
      </c>
      <c r="J45" s="10"/>
      <c r="K45" s="19"/>
      <c r="L45" s="10"/>
      <c r="M45" s="10"/>
      <c r="N45" s="9" t="s">
        <v>222</v>
      </c>
      <c r="O45" s="9" t="s">
        <v>162</v>
      </c>
    </row>
    <row r="46" spans="1:15" ht="75">
      <c r="A46" s="19" t="s">
        <v>226</v>
      </c>
      <c r="B46" s="19" t="s">
        <v>145</v>
      </c>
      <c r="C46" s="30"/>
      <c r="D46" s="8"/>
      <c r="E46" s="9" t="s">
        <v>218</v>
      </c>
      <c r="F46" s="9" t="s">
        <v>188</v>
      </c>
      <c r="G46" s="10" t="s">
        <v>219</v>
      </c>
      <c r="H46" s="9" t="s">
        <v>220</v>
      </c>
      <c r="I46" s="9" t="s">
        <v>221</v>
      </c>
      <c r="J46" s="10"/>
      <c r="K46" s="19"/>
      <c r="L46" s="10"/>
      <c r="M46" s="10"/>
      <c r="N46" s="9" t="s">
        <v>222</v>
      </c>
      <c r="O46" s="9" t="s">
        <v>162</v>
      </c>
    </row>
    <row r="47" spans="1:15" ht="75">
      <c r="A47" s="19" t="s">
        <v>226</v>
      </c>
      <c r="B47" s="19" t="s">
        <v>145</v>
      </c>
      <c r="C47" s="30"/>
      <c r="D47" s="8"/>
      <c r="E47" s="9"/>
      <c r="F47" s="9" t="s">
        <v>223</v>
      </c>
      <c r="G47" s="10" t="s">
        <v>219</v>
      </c>
      <c r="H47" s="9" t="s">
        <v>220</v>
      </c>
      <c r="I47" s="9" t="s">
        <v>221</v>
      </c>
      <c r="J47" s="10"/>
      <c r="K47" s="19"/>
      <c r="L47" s="10"/>
      <c r="M47" s="10"/>
      <c r="N47" s="9" t="s">
        <v>222</v>
      </c>
      <c r="O47" s="9" t="s">
        <v>162</v>
      </c>
    </row>
    <row r="48" spans="1:15" ht="6" customHeight="1">
      <c r="J48" t="s">
        <v>513</v>
      </c>
    </row>
  </sheetData>
  <dataConsolidate/>
  <mergeCells count="23">
    <mergeCell ref="A2:O2"/>
    <mergeCell ref="A3:C3"/>
    <mergeCell ref="A13:O13"/>
    <mergeCell ref="A14:C14"/>
    <mergeCell ref="A19:O19"/>
    <mergeCell ref="C15:C17"/>
    <mergeCell ref="D15:D17"/>
    <mergeCell ref="D3:O3"/>
    <mergeCell ref="C4:C11"/>
    <mergeCell ref="D4:D11"/>
    <mergeCell ref="D14:O14"/>
    <mergeCell ref="D43:O43"/>
    <mergeCell ref="D29:O29"/>
    <mergeCell ref="D20:O20"/>
    <mergeCell ref="C21:C26"/>
    <mergeCell ref="D21:D26"/>
    <mergeCell ref="C30:C40"/>
    <mergeCell ref="D30:D40"/>
    <mergeCell ref="A20:C20"/>
    <mergeCell ref="A28:O28"/>
    <mergeCell ref="A29:C29"/>
    <mergeCell ref="A42:O42"/>
    <mergeCell ref="A43:C43"/>
  </mergeCells>
  <dataValidations count="2">
    <dataValidation type="list" allowBlank="1" showInputMessage="1" showErrorMessage="1" sqref="M21:M26 M4:M11 M44:M47 M30:M40 M15:M17" xr:uid="{00000000-0002-0000-0500-000000000000}">
      <formula1>"New,Retest"</formula1>
    </dataValidation>
    <dataValidation type="list" allowBlank="1" showInputMessage="1" showErrorMessage="1" sqref="J21:J26 J44:J47 J4:J11 J30:J40 K11 K21:K22 K4:K7 K26 K30:K31 K35:K38 K15:K16 J15:J17" xr:uid="{00000000-0002-0000-0500-000001000000}">
      <formula1>"Pass,Fail"</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88"/>
  <sheetViews>
    <sheetView zoomScale="50" zoomScaleNormal="50" workbookViewId="0">
      <pane ySplit="1" topLeftCell="A6" activePane="bottomLeft" state="frozen"/>
      <selection pane="bottomLeft" activeCell="A6" sqref="A6:XFD20"/>
    </sheetView>
  </sheetViews>
  <sheetFormatPr defaultColWidth="8.85546875" defaultRowHeight="15" outlineLevelRow="1"/>
  <cols>
    <col min="3" max="3" width="12.85546875" style="1" customWidth="1"/>
    <col min="4" max="4" width="27" customWidth="1"/>
    <col min="5" max="5" width="13.85546875" style="2" customWidth="1"/>
    <col min="7" max="7" width="26.85546875" customWidth="1"/>
    <col min="8" max="8" width="73.7109375" style="2" bestFit="1" customWidth="1"/>
    <col min="9" max="9" width="30.7109375" style="2" customWidth="1"/>
    <col min="12" max="12" width="16.7109375" customWidth="1"/>
    <col min="13" max="13" width="10.28515625" customWidth="1"/>
    <col min="14" max="14" width="13.140625" customWidth="1"/>
    <col min="15" max="15" width="42.140625" style="2" customWidth="1"/>
  </cols>
  <sheetData>
    <row r="1" spans="1:15" ht="15.95">
      <c r="A1" s="3" t="s">
        <v>131</v>
      </c>
      <c r="B1" s="3" t="s">
        <v>577</v>
      </c>
      <c r="C1" s="3" t="s">
        <v>1</v>
      </c>
      <c r="D1" s="3" t="s">
        <v>2</v>
      </c>
      <c r="E1" s="4" t="s">
        <v>133</v>
      </c>
      <c r="F1" s="3" t="s">
        <v>134</v>
      </c>
      <c r="G1" s="3" t="s">
        <v>135</v>
      </c>
      <c r="H1" s="4" t="s">
        <v>136</v>
      </c>
      <c r="I1" s="4" t="s">
        <v>137</v>
      </c>
      <c r="J1" s="3" t="s">
        <v>3</v>
      </c>
      <c r="K1" s="3" t="s">
        <v>138</v>
      </c>
      <c r="L1" s="3" t="s">
        <v>139</v>
      </c>
      <c r="M1" s="3" t="s">
        <v>140</v>
      </c>
      <c r="N1" s="3" t="s">
        <v>141</v>
      </c>
      <c r="O1" s="4" t="s">
        <v>4</v>
      </c>
    </row>
    <row r="2" spans="1:15" ht="18.95">
      <c r="A2" s="94" t="s">
        <v>79</v>
      </c>
      <c r="B2" s="94"/>
      <c r="C2" s="94"/>
      <c r="D2" s="94"/>
      <c r="E2" s="94"/>
      <c r="F2" s="94"/>
      <c r="G2" s="94"/>
      <c r="H2" s="94"/>
      <c r="I2" s="94"/>
      <c r="J2" s="94"/>
      <c r="K2" s="94"/>
      <c r="L2" s="94"/>
      <c r="M2" s="94"/>
      <c r="N2" s="94"/>
      <c r="O2" s="95"/>
    </row>
    <row r="3" spans="1:15">
      <c r="A3" s="86" t="s">
        <v>142</v>
      </c>
      <c r="B3" s="86"/>
      <c r="C3" s="87"/>
      <c r="D3" s="85" t="s">
        <v>578</v>
      </c>
      <c r="E3" s="85"/>
      <c r="F3" s="85"/>
      <c r="G3" s="85"/>
      <c r="H3" s="85"/>
      <c r="I3" s="85"/>
      <c r="J3" s="85"/>
      <c r="K3" s="85"/>
      <c r="L3" s="85"/>
      <c r="M3" s="85"/>
      <c r="N3" s="85"/>
      <c r="O3" s="85"/>
    </row>
    <row r="4" spans="1:15" ht="183" customHeight="1">
      <c r="A4" s="19" t="s">
        <v>226</v>
      </c>
      <c r="B4" s="19" t="s">
        <v>145</v>
      </c>
      <c r="C4" s="30" t="s">
        <v>78</v>
      </c>
      <c r="D4" s="8" t="s">
        <v>579</v>
      </c>
      <c r="E4" s="9" t="s">
        <v>187</v>
      </c>
      <c r="F4" s="10" t="s">
        <v>148</v>
      </c>
      <c r="G4" s="10" t="s">
        <v>579</v>
      </c>
      <c r="H4" s="9" t="s">
        <v>580</v>
      </c>
      <c r="I4" s="9" t="s">
        <v>581</v>
      </c>
      <c r="J4" s="10"/>
      <c r="K4" s="10"/>
      <c r="L4" s="10"/>
      <c r="M4" s="10"/>
      <c r="N4" s="9" t="s">
        <v>582</v>
      </c>
      <c r="O4" s="9" t="s">
        <v>152</v>
      </c>
    </row>
    <row r="5" spans="1:15" ht="8.1" customHeight="1">
      <c r="J5" t="s">
        <v>153</v>
      </c>
      <c r="K5" s="10"/>
      <c r="O5" s="9"/>
    </row>
    <row r="6" spans="1:15" ht="18.95">
      <c r="A6" s="83" t="s">
        <v>583</v>
      </c>
      <c r="B6" s="83"/>
      <c r="C6" s="83"/>
      <c r="D6" s="83"/>
      <c r="E6" s="83"/>
      <c r="F6" s="83"/>
      <c r="G6" s="83"/>
      <c r="H6" s="83"/>
      <c r="I6" s="83"/>
      <c r="J6" s="83"/>
      <c r="K6" s="83"/>
      <c r="L6" s="83"/>
      <c r="M6" s="83"/>
      <c r="N6" s="83"/>
      <c r="O6" s="84"/>
    </row>
    <row r="7" spans="1:15">
      <c r="A7" s="92" t="s">
        <v>142</v>
      </c>
      <c r="B7" s="92"/>
      <c r="C7" s="93"/>
      <c r="D7" s="80" t="s">
        <v>584</v>
      </c>
      <c r="E7" s="81"/>
      <c r="F7" s="81"/>
      <c r="G7" s="81"/>
      <c r="H7" s="81"/>
      <c r="I7" s="81"/>
      <c r="J7" s="81"/>
      <c r="K7" s="81"/>
      <c r="L7" s="81"/>
      <c r="M7" s="81"/>
      <c r="N7" s="81"/>
      <c r="O7" s="82"/>
    </row>
    <row r="8" spans="1:15" ht="300">
      <c r="A8" s="19" t="s">
        <v>226</v>
      </c>
      <c r="B8" s="19" t="s">
        <v>145</v>
      </c>
      <c r="C8" s="88" t="s">
        <v>80</v>
      </c>
      <c r="D8" s="90" t="s">
        <v>585</v>
      </c>
      <c r="E8" s="9" t="s">
        <v>187</v>
      </c>
      <c r="F8" s="10" t="s">
        <v>148</v>
      </c>
      <c r="G8" s="10" t="s">
        <v>586</v>
      </c>
      <c r="H8" s="9" t="s">
        <v>587</v>
      </c>
      <c r="I8" s="9" t="s">
        <v>588</v>
      </c>
      <c r="J8" s="10"/>
      <c r="K8" s="10"/>
      <c r="L8" s="10"/>
      <c r="M8" s="19"/>
      <c r="N8" s="9" t="s">
        <v>589</v>
      </c>
      <c r="O8" s="9" t="s">
        <v>152</v>
      </c>
    </row>
    <row r="9" spans="1:15" ht="270">
      <c r="A9" s="19" t="s">
        <v>226</v>
      </c>
      <c r="B9" s="19" t="s">
        <v>145</v>
      </c>
      <c r="C9" s="89"/>
      <c r="D9" s="91"/>
      <c r="E9" s="12" t="s">
        <v>590</v>
      </c>
      <c r="F9" s="13" t="s">
        <v>169</v>
      </c>
      <c r="G9" s="13" t="s">
        <v>591</v>
      </c>
      <c r="H9" s="12" t="s">
        <v>592</v>
      </c>
      <c r="I9" s="12" t="s">
        <v>593</v>
      </c>
      <c r="J9" s="26"/>
      <c r="K9" s="10"/>
      <c r="L9" s="10"/>
      <c r="M9" s="19"/>
      <c r="N9" s="9" t="s">
        <v>594</v>
      </c>
      <c r="O9" s="9" t="s">
        <v>152</v>
      </c>
    </row>
    <row r="10" spans="1:15" ht="225">
      <c r="A10" s="19" t="s">
        <v>226</v>
      </c>
      <c r="B10" s="19" t="s">
        <v>145</v>
      </c>
      <c r="C10" s="89"/>
      <c r="D10" s="91"/>
      <c r="E10" s="12" t="s">
        <v>187</v>
      </c>
      <c r="F10" s="13" t="s">
        <v>188</v>
      </c>
      <c r="G10" s="13" t="s">
        <v>595</v>
      </c>
      <c r="H10" s="12" t="s">
        <v>596</v>
      </c>
      <c r="I10" s="12" t="s">
        <v>597</v>
      </c>
      <c r="J10" s="13"/>
      <c r="K10" s="13"/>
      <c r="L10" s="13"/>
      <c r="M10" s="20"/>
      <c r="N10" s="9" t="s">
        <v>598</v>
      </c>
      <c r="O10" s="9" t="s">
        <v>152</v>
      </c>
    </row>
    <row r="11" spans="1:15" ht="165">
      <c r="A11" s="19" t="s">
        <v>226</v>
      </c>
      <c r="B11" s="19" t="s">
        <v>145</v>
      </c>
      <c r="C11" s="89"/>
      <c r="D11" s="91"/>
      <c r="E11" s="9" t="s">
        <v>187</v>
      </c>
      <c r="F11" s="10" t="s">
        <v>193</v>
      </c>
      <c r="G11" s="10" t="s">
        <v>418</v>
      </c>
      <c r="H11" s="9" t="s">
        <v>599</v>
      </c>
      <c r="I11" s="9" t="s">
        <v>600</v>
      </c>
      <c r="J11" s="10"/>
      <c r="K11" s="10"/>
      <c r="L11" s="10"/>
      <c r="M11" s="19"/>
      <c r="N11" s="9" t="s">
        <v>601</v>
      </c>
      <c r="O11" s="9" t="s">
        <v>152</v>
      </c>
    </row>
    <row r="12" spans="1:15" ht="105">
      <c r="A12" s="19" t="s">
        <v>226</v>
      </c>
      <c r="B12" s="19" t="s">
        <v>145</v>
      </c>
      <c r="C12" s="89"/>
      <c r="D12" s="91"/>
      <c r="E12" s="9" t="s">
        <v>198</v>
      </c>
      <c r="F12" s="10" t="s">
        <v>199</v>
      </c>
      <c r="G12" s="10" t="s">
        <v>602</v>
      </c>
      <c r="H12" s="9" t="s">
        <v>603</v>
      </c>
      <c r="I12" s="9" t="s">
        <v>604</v>
      </c>
      <c r="J12" s="10"/>
      <c r="K12" s="10"/>
      <c r="L12" s="10"/>
      <c r="M12" s="19"/>
      <c r="N12" s="9" t="s">
        <v>252</v>
      </c>
      <c r="O12" s="9" t="s">
        <v>152</v>
      </c>
    </row>
    <row r="13" spans="1:15" ht="120">
      <c r="A13" s="19" t="s">
        <v>226</v>
      </c>
      <c r="B13" s="19" t="s">
        <v>145</v>
      </c>
      <c r="C13" s="89"/>
      <c r="D13" s="91"/>
      <c r="E13" s="9" t="s">
        <v>605</v>
      </c>
      <c r="F13" s="10" t="s">
        <v>203</v>
      </c>
      <c r="G13" s="10" t="s">
        <v>606</v>
      </c>
      <c r="H13" s="9" t="s">
        <v>607</v>
      </c>
      <c r="I13" s="9" t="s">
        <v>608</v>
      </c>
      <c r="J13" s="10"/>
      <c r="K13" s="10"/>
      <c r="L13" s="10"/>
      <c r="M13" s="19"/>
      <c r="N13" s="9" t="s">
        <v>609</v>
      </c>
      <c r="O13" s="9" t="s">
        <v>152</v>
      </c>
    </row>
    <row r="14" spans="1:15" ht="120">
      <c r="A14" s="19" t="s">
        <v>226</v>
      </c>
      <c r="B14" s="19" t="s">
        <v>145</v>
      </c>
      <c r="C14" s="96"/>
      <c r="D14" s="115"/>
      <c r="E14" s="9" t="s">
        <v>605</v>
      </c>
      <c r="F14" s="10" t="s">
        <v>206</v>
      </c>
      <c r="G14" s="10" t="s">
        <v>610</v>
      </c>
      <c r="H14" s="9" t="s">
        <v>611</v>
      </c>
      <c r="I14" s="9" t="s">
        <v>612</v>
      </c>
      <c r="J14" s="10"/>
      <c r="K14" s="10"/>
      <c r="L14" s="10"/>
      <c r="M14" s="19"/>
      <c r="N14" s="9" t="s">
        <v>613</v>
      </c>
      <c r="O14" s="9" t="s">
        <v>152</v>
      </c>
    </row>
    <row r="15" spans="1:15">
      <c r="C15" s="74"/>
      <c r="D15" s="76"/>
      <c r="E15" s="9"/>
      <c r="F15" s="10"/>
      <c r="G15" s="10"/>
      <c r="H15" s="9"/>
      <c r="I15" s="9"/>
      <c r="J15" s="10" t="s">
        <v>153</v>
      </c>
      <c r="K15" s="10"/>
      <c r="L15" s="10"/>
      <c r="N15" s="9"/>
      <c r="O15" s="9"/>
    </row>
    <row r="16" spans="1:15" ht="18.95">
      <c r="A16" s="83" t="s">
        <v>83</v>
      </c>
      <c r="B16" s="83"/>
      <c r="C16" s="83"/>
      <c r="D16" s="83"/>
      <c r="E16" s="83"/>
      <c r="F16" s="83"/>
      <c r="G16" s="83"/>
      <c r="H16" s="83"/>
      <c r="I16" s="83"/>
      <c r="J16" s="83"/>
      <c r="K16" s="83"/>
      <c r="L16" s="83"/>
      <c r="M16" s="83"/>
      <c r="N16" s="83"/>
      <c r="O16" s="84"/>
    </row>
    <row r="17" spans="1:15">
      <c r="A17" s="92" t="s">
        <v>142</v>
      </c>
      <c r="B17" s="92"/>
      <c r="C17" s="93"/>
      <c r="D17" s="80" t="s">
        <v>614</v>
      </c>
      <c r="E17" s="81"/>
      <c r="F17" s="81"/>
      <c r="G17" s="81"/>
      <c r="H17" s="81"/>
      <c r="I17" s="81"/>
      <c r="J17" s="81"/>
      <c r="K17" s="81"/>
      <c r="L17" s="81"/>
      <c r="M17" s="81"/>
      <c r="N17" s="81"/>
      <c r="O17" s="82"/>
    </row>
    <row r="18" spans="1:15" ht="270">
      <c r="A18" s="19" t="s">
        <v>226</v>
      </c>
      <c r="B18" s="19" t="s">
        <v>145</v>
      </c>
      <c r="C18" s="88" t="s">
        <v>82</v>
      </c>
      <c r="D18" s="90" t="s">
        <v>156</v>
      </c>
      <c r="E18" s="9" t="s">
        <v>187</v>
      </c>
      <c r="F18" s="10" t="s">
        <v>148</v>
      </c>
      <c r="G18" s="10" t="s">
        <v>208</v>
      </c>
      <c r="H18" s="9" t="s">
        <v>209</v>
      </c>
      <c r="I18" s="9" t="s">
        <v>210</v>
      </c>
      <c r="J18" s="10"/>
      <c r="L18" s="10"/>
      <c r="M18" s="10"/>
      <c r="N18" s="9" t="s">
        <v>615</v>
      </c>
      <c r="O18" s="9" t="s">
        <v>162</v>
      </c>
    </row>
    <row r="19" spans="1:15" ht="270">
      <c r="A19" s="19" t="s">
        <v>226</v>
      </c>
      <c r="B19" s="19" t="s">
        <v>145</v>
      </c>
      <c r="C19" s="96"/>
      <c r="D19" s="115"/>
      <c r="E19" s="9" t="s">
        <v>187</v>
      </c>
      <c r="F19" s="10" t="s">
        <v>169</v>
      </c>
      <c r="G19" s="10" t="s">
        <v>212</v>
      </c>
      <c r="H19" s="9" t="s">
        <v>213</v>
      </c>
      <c r="I19" s="9" t="s">
        <v>214</v>
      </c>
      <c r="J19" s="10"/>
      <c r="K19" s="10"/>
      <c r="L19" s="10"/>
      <c r="M19" s="10"/>
      <c r="N19" s="9" t="s">
        <v>615</v>
      </c>
      <c r="O19" s="9" t="s">
        <v>162</v>
      </c>
    </row>
    <row r="20" spans="1:15">
      <c r="J20" t="s">
        <v>153</v>
      </c>
    </row>
    <row r="21" spans="1:15" ht="18.95">
      <c r="A21" s="83" t="s">
        <v>85</v>
      </c>
      <c r="B21" s="83"/>
      <c r="C21" s="83"/>
      <c r="D21" s="83"/>
      <c r="E21" s="83"/>
      <c r="F21" s="83"/>
      <c r="G21" s="83"/>
      <c r="H21" s="83"/>
      <c r="I21" s="83"/>
      <c r="J21" s="83"/>
      <c r="K21" s="83"/>
      <c r="L21" s="83"/>
      <c r="M21" s="83"/>
      <c r="N21" s="83"/>
      <c r="O21" s="84"/>
    </row>
    <row r="22" spans="1:15">
      <c r="A22" s="86" t="s">
        <v>142</v>
      </c>
      <c r="B22" s="86"/>
      <c r="C22" s="87"/>
      <c r="D22" s="85" t="s">
        <v>616</v>
      </c>
      <c r="E22" s="85"/>
      <c r="F22" s="85"/>
      <c r="G22" s="85"/>
      <c r="H22" s="85"/>
      <c r="I22" s="85"/>
      <c r="J22" s="85"/>
      <c r="K22" s="85"/>
      <c r="L22" s="85"/>
      <c r="M22" s="85"/>
      <c r="N22" s="85"/>
      <c r="O22" s="85"/>
    </row>
    <row r="23" spans="1:15" ht="135">
      <c r="A23" s="19" t="s">
        <v>226</v>
      </c>
      <c r="B23" s="19" t="s">
        <v>145</v>
      </c>
      <c r="C23" s="112" t="s">
        <v>84</v>
      </c>
      <c r="D23" s="90" t="s">
        <v>617</v>
      </c>
      <c r="E23" s="9" t="s">
        <v>297</v>
      </c>
      <c r="F23" s="10" t="s">
        <v>148</v>
      </c>
      <c r="G23" s="10" t="s">
        <v>618</v>
      </c>
      <c r="H23" s="9" t="s">
        <v>619</v>
      </c>
      <c r="I23" s="9" t="s">
        <v>620</v>
      </c>
      <c r="J23" s="10"/>
      <c r="K23" s="19"/>
      <c r="L23" s="10"/>
      <c r="M23" s="10"/>
      <c r="N23" s="9" t="s">
        <v>621</v>
      </c>
      <c r="O23" s="9" t="s">
        <v>162</v>
      </c>
    </row>
    <row r="24" spans="1:15" ht="195">
      <c r="A24" s="19" t="s">
        <v>226</v>
      </c>
      <c r="B24" s="19" t="s">
        <v>145</v>
      </c>
      <c r="C24" s="114"/>
      <c r="D24" s="91"/>
      <c r="E24" s="9" t="s">
        <v>605</v>
      </c>
      <c r="F24" s="10" t="s">
        <v>169</v>
      </c>
      <c r="G24" s="10" t="s">
        <v>622</v>
      </c>
      <c r="H24" s="9" t="s">
        <v>623</v>
      </c>
      <c r="I24" s="9" t="s">
        <v>624</v>
      </c>
      <c r="J24" s="10"/>
      <c r="L24" s="10"/>
      <c r="M24" s="10"/>
      <c r="N24" s="9" t="s">
        <v>625</v>
      </c>
      <c r="O24" s="9" t="s">
        <v>162</v>
      </c>
    </row>
    <row r="25" spans="1:15" ht="195">
      <c r="A25" s="19" t="s">
        <v>226</v>
      </c>
      <c r="B25" s="19" t="s">
        <v>145</v>
      </c>
      <c r="C25" s="113"/>
      <c r="D25" s="115"/>
      <c r="E25" s="9" t="s">
        <v>605</v>
      </c>
      <c r="F25" s="10" t="s">
        <v>188</v>
      </c>
      <c r="G25" s="10" t="s">
        <v>626</v>
      </c>
      <c r="H25" s="9" t="s">
        <v>627</v>
      </c>
      <c r="I25" s="9" t="s">
        <v>628</v>
      </c>
      <c r="J25" s="10"/>
      <c r="K25" s="10"/>
      <c r="L25" s="10"/>
      <c r="M25" s="10"/>
      <c r="N25" s="9" t="s">
        <v>621</v>
      </c>
      <c r="O25" s="9" t="s">
        <v>162</v>
      </c>
    </row>
    <row r="26" spans="1:15" ht="9.6" customHeight="1">
      <c r="J26" t="s">
        <v>153</v>
      </c>
    </row>
    <row r="27" spans="1:15" ht="18.95">
      <c r="A27" s="83" t="s">
        <v>87</v>
      </c>
      <c r="B27" s="83"/>
      <c r="C27" s="83"/>
      <c r="D27" s="83"/>
      <c r="E27" s="83"/>
      <c r="F27" s="83"/>
      <c r="G27" s="83"/>
      <c r="H27" s="83"/>
      <c r="I27" s="83"/>
      <c r="J27" s="83"/>
      <c r="K27" s="83"/>
      <c r="L27" s="83"/>
      <c r="M27" s="83"/>
      <c r="N27" s="83"/>
      <c r="O27" s="84"/>
    </row>
    <row r="28" spans="1:15">
      <c r="A28" s="86" t="s">
        <v>142</v>
      </c>
      <c r="B28" s="86"/>
      <c r="C28" s="87"/>
      <c r="D28" s="85" t="s">
        <v>629</v>
      </c>
      <c r="E28" s="85"/>
      <c r="F28" s="85"/>
      <c r="G28" s="85"/>
      <c r="H28" s="85"/>
      <c r="I28" s="85"/>
      <c r="J28" s="85"/>
      <c r="K28" s="85"/>
      <c r="L28" s="85"/>
      <c r="M28" s="85"/>
      <c r="N28" s="85"/>
      <c r="O28" s="85"/>
    </row>
    <row r="29" spans="1:15" ht="150">
      <c r="A29" s="19" t="s">
        <v>226</v>
      </c>
      <c r="B29" s="19" t="s">
        <v>145</v>
      </c>
      <c r="C29" s="112" t="s">
        <v>86</v>
      </c>
      <c r="D29" s="90" t="s">
        <v>630</v>
      </c>
      <c r="E29" s="9" t="s">
        <v>187</v>
      </c>
      <c r="F29" s="10" t="s">
        <v>148</v>
      </c>
      <c r="G29" s="10" t="s">
        <v>418</v>
      </c>
      <c r="H29" s="9" t="s">
        <v>631</v>
      </c>
      <c r="I29" s="9" t="s">
        <v>196</v>
      </c>
      <c r="J29" s="10"/>
      <c r="K29" s="10"/>
      <c r="L29" s="10"/>
      <c r="M29" s="10"/>
      <c r="N29" s="9" t="s">
        <v>601</v>
      </c>
      <c r="O29" s="9" t="s">
        <v>162</v>
      </c>
    </row>
    <row r="30" spans="1:15" ht="120">
      <c r="A30" s="19" t="s">
        <v>226</v>
      </c>
      <c r="B30" s="19" t="s">
        <v>145</v>
      </c>
      <c r="C30" s="114"/>
      <c r="D30" s="91"/>
      <c r="E30" s="9" t="s">
        <v>198</v>
      </c>
      <c r="F30" s="10" t="s">
        <v>169</v>
      </c>
      <c r="G30" s="10" t="s">
        <v>602</v>
      </c>
      <c r="H30" s="9" t="s">
        <v>201</v>
      </c>
      <c r="I30" s="9" t="s">
        <v>202</v>
      </c>
      <c r="J30" s="10"/>
      <c r="K30" s="10"/>
      <c r="L30" s="10"/>
      <c r="M30" s="10"/>
      <c r="N30" s="9" t="s">
        <v>252</v>
      </c>
      <c r="O30" s="9" t="s">
        <v>162</v>
      </c>
    </row>
    <row r="31" spans="1:15" ht="120">
      <c r="A31" s="19" t="s">
        <v>226</v>
      </c>
      <c r="B31" s="19" t="s">
        <v>145</v>
      </c>
      <c r="C31" s="114"/>
      <c r="D31" s="91"/>
      <c r="E31" s="9" t="s">
        <v>605</v>
      </c>
      <c r="F31" s="10" t="s">
        <v>188</v>
      </c>
      <c r="G31" s="10" t="s">
        <v>606</v>
      </c>
      <c r="H31" s="9" t="s">
        <v>607</v>
      </c>
      <c r="I31" s="9" t="s">
        <v>632</v>
      </c>
      <c r="J31" s="10"/>
      <c r="K31" s="10"/>
      <c r="L31" s="10"/>
      <c r="M31" s="10"/>
      <c r="N31" s="9" t="s">
        <v>609</v>
      </c>
      <c r="O31" s="9" t="s">
        <v>152</v>
      </c>
    </row>
    <row r="32" spans="1:15" ht="105">
      <c r="A32" s="19" t="s">
        <v>226</v>
      </c>
      <c r="B32" s="19" t="s">
        <v>145</v>
      </c>
      <c r="C32" s="113"/>
      <c r="D32" s="115"/>
      <c r="E32" s="9" t="s">
        <v>605</v>
      </c>
      <c r="F32" s="10" t="s">
        <v>193</v>
      </c>
      <c r="G32" s="10" t="s">
        <v>610</v>
      </c>
      <c r="H32" s="9" t="s">
        <v>633</v>
      </c>
      <c r="I32" s="9" t="s">
        <v>634</v>
      </c>
      <c r="J32" s="10"/>
      <c r="K32" s="10"/>
      <c r="L32" s="10"/>
      <c r="M32" s="10"/>
      <c r="N32" s="9" t="s">
        <v>613</v>
      </c>
      <c r="O32" s="9" t="s">
        <v>162</v>
      </c>
    </row>
    <row r="33" spans="1:15">
      <c r="J33" t="s">
        <v>153</v>
      </c>
    </row>
    <row r="34" spans="1:15" ht="18.95">
      <c r="A34" s="83" t="s">
        <v>89</v>
      </c>
      <c r="B34" s="83"/>
      <c r="C34" s="83"/>
      <c r="D34" s="83"/>
      <c r="E34" s="83"/>
      <c r="F34" s="83"/>
      <c r="G34" s="83"/>
      <c r="H34" s="83"/>
      <c r="I34" s="83"/>
      <c r="J34" s="83"/>
      <c r="K34" s="83"/>
      <c r="L34" s="83"/>
      <c r="M34" s="83"/>
      <c r="N34" s="83"/>
      <c r="O34" s="84"/>
    </row>
    <row r="35" spans="1:15">
      <c r="A35" s="86" t="s">
        <v>142</v>
      </c>
      <c r="B35" s="86"/>
      <c r="C35" s="87"/>
      <c r="D35" s="85" t="s">
        <v>635</v>
      </c>
      <c r="E35" s="85"/>
      <c r="F35" s="85"/>
      <c r="G35" s="85"/>
      <c r="H35" s="85"/>
      <c r="I35" s="85"/>
      <c r="J35" s="85"/>
      <c r="K35" s="85"/>
      <c r="L35" s="85"/>
      <c r="M35" s="85"/>
      <c r="N35" s="85"/>
      <c r="O35" s="85"/>
    </row>
    <row r="36" spans="1:15" ht="180">
      <c r="A36" s="19" t="s">
        <v>226</v>
      </c>
      <c r="B36" s="19" t="s">
        <v>145</v>
      </c>
      <c r="C36" s="112" t="s">
        <v>88</v>
      </c>
      <c r="D36" s="90" t="s">
        <v>175</v>
      </c>
      <c r="E36" s="9" t="s">
        <v>187</v>
      </c>
      <c r="F36" s="10" t="s">
        <v>148</v>
      </c>
      <c r="G36" s="10" t="s">
        <v>630</v>
      </c>
      <c r="H36" s="9" t="s">
        <v>636</v>
      </c>
      <c r="I36" s="9" t="s">
        <v>637</v>
      </c>
      <c r="J36" s="10"/>
      <c r="K36" s="10"/>
      <c r="L36" s="10"/>
      <c r="M36" s="10"/>
      <c r="N36" s="9" t="s">
        <v>638</v>
      </c>
      <c r="O36" s="9" t="s">
        <v>162</v>
      </c>
    </row>
    <row r="37" spans="1:15" ht="90">
      <c r="A37" s="19" t="s">
        <v>226</v>
      </c>
      <c r="B37" s="19" t="s">
        <v>145</v>
      </c>
      <c r="C37" s="114"/>
      <c r="D37" s="91"/>
      <c r="E37" s="9" t="s">
        <v>198</v>
      </c>
      <c r="F37" s="10" t="s">
        <v>169</v>
      </c>
      <c r="G37" s="10" t="s">
        <v>602</v>
      </c>
      <c r="H37" s="9" t="s">
        <v>639</v>
      </c>
      <c r="I37" s="9" t="s">
        <v>640</v>
      </c>
      <c r="J37" s="10"/>
      <c r="K37" s="10"/>
      <c r="L37" s="10"/>
      <c r="M37" s="10"/>
      <c r="N37" s="9" t="s">
        <v>252</v>
      </c>
      <c r="O37" s="9" t="s">
        <v>162</v>
      </c>
    </row>
    <row r="38" spans="1:15" ht="105">
      <c r="A38" s="19" t="s">
        <v>226</v>
      </c>
      <c r="B38" s="19" t="s">
        <v>145</v>
      </c>
      <c r="C38" s="114"/>
      <c r="D38" s="91"/>
      <c r="E38" s="9" t="s">
        <v>605</v>
      </c>
      <c r="F38" s="10" t="s">
        <v>188</v>
      </c>
      <c r="G38" s="10" t="s">
        <v>606</v>
      </c>
      <c r="H38" s="9" t="s">
        <v>641</v>
      </c>
      <c r="I38" s="9" t="s">
        <v>642</v>
      </c>
      <c r="J38" s="10"/>
      <c r="K38" s="10"/>
      <c r="L38" s="10"/>
      <c r="M38" s="10"/>
      <c r="N38" s="9" t="s">
        <v>609</v>
      </c>
      <c r="O38" s="9" t="s">
        <v>152</v>
      </c>
    </row>
    <row r="39" spans="1:15" ht="105">
      <c r="A39" s="19" t="s">
        <v>226</v>
      </c>
      <c r="B39" s="19" t="s">
        <v>145</v>
      </c>
      <c r="C39" s="113"/>
      <c r="D39" s="115"/>
      <c r="E39" s="9" t="s">
        <v>605</v>
      </c>
      <c r="F39" s="10" t="s">
        <v>193</v>
      </c>
      <c r="G39" s="10" t="s">
        <v>610</v>
      </c>
      <c r="H39" s="9" t="s">
        <v>633</v>
      </c>
      <c r="I39" s="9" t="s">
        <v>643</v>
      </c>
      <c r="J39" s="10"/>
      <c r="K39" s="10"/>
      <c r="L39" s="10"/>
      <c r="M39" s="10"/>
      <c r="N39" s="9" t="s">
        <v>613</v>
      </c>
      <c r="O39" s="9" t="s">
        <v>162</v>
      </c>
    </row>
    <row r="40" spans="1:15">
      <c r="J40" t="s">
        <v>153</v>
      </c>
      <c r="K40" s="10"/>
    </row>
    <row r="41" spans="1:15" ht="18.95">
      <c r="A41" s="83" t="s">
        <v>91</v>
      </c>
      <c r="B41" s="83"/>
      <c r="C41" s="83"/>
      <c r="D41" s="83"/>
      <c r="E41" s="83"/>
      <c r="F41" s="83"/>
      <c r="G41" s="83"/>
      <c r="H41" s="83"/>
      <c r="I41" s="83"/>
      <c r="J41" s="83"/>
      <c r="K41" s="83"/>
      <c r="L41" s="83"/>
      <c r="M41" s="83"/>
      <c r="N41" s="83"/>
      <c r="O41" s="84"/>
    </row>
    <row r="42" spans="1:15">
      <c r="A42" s="92" t="s">
        <v>142</v>
      </c>
      <c r="B42" s="92"/>
      <c r="C42" s="93"/>
      <c r="D42" s="80" t="s">
        <v>644</v>
      </c>
      <c r="E42" s="81"/>
      <c r="F42" s="81"/>
      <c r="G42" s="81"/>
      <c r="H42" s="81"/>
      <c r="I42" s="81"/>
      <c r="J42" s="81"/>
      <c r="K42" s="81"/>
      <c r="L42" s="81"/>
      <c r="M42" s="81"/>
      <c r="N42" s="81"/>
      <c r="O42" s="82"/>
    </row>
    <row r="43" spans="1:15" ht="327.95">
      <c r="A43" s="19" t="s">
        <v>226</v>
      </c>
      <c r="B43" s="19" t="s">
        <v>145</v>
      </c>
      <c r="C43" s="88" t="s">
        <v>90</v>
      </c>
      <c r="D43" s="90" t="s">
        <v>645</v>
      </c>
      <c r="E43" s="9" t="s">
        <v>187</v>
      </c>
      <c r="F43" s="9" t="s">
        <v>148</v>
      </c>
      <c r="G43" s="10" t="s">
        <v>646</v>
      </c>
      <c r="H43" s="9" t="s">
        <v>647</v>
      </c>
      <c r="I43" s="9" t="s">
        <v>648</v>
      </c>
      <c r="J43" s="10"/>
      <c r="K43" s="10"/>
      <c r="L43" s="10"/>
      <c r="M43" s="10"/>
      <c r="N43" s="9" t="s">
        <v>649</v>
      </c>
      <c r="O43" s="9" t="s">
        <v>162</v>
      </c>
    </row>
    <row r="44" spans="1:15" ht="240">
      <c r="A44" s="19" t="s">
        <v>226</v>
      </c>
      <c r="B44" s="19" t="s">
        <v>145</v>
      </c>
      <c r="C44" s="89"/>
      <c r="D44" s="91"/>
      <c r="E44" s="9" t="s">
        <v>187</v>
      </c>
      <c r="F44" s="9" t="s">
        <v>169</v>
      </c>
      <c r="G44" s="10" t="s">
        <v>650</v>
      </c>
      <c r="H44" s="9" t="s">
        <v>651</v>
      </c>
      <c r="I44" s="9" t="s">
        <v>652</v>
      </c>
      <c r="J44" s="10"/>
      <c r="K44" s="10"/>
      <c r="L44" s="10"/>
      <c r="M44" s="10"/>
      <c r="N44" s="9" t="s">
        <v>653</v>
      </c>
      <c r="O44" s="9" t="s">
        <v>162</v>
      </c>
    </row>
    <row r="45" spans="1:15" ht="105">
      <c r="A45" s="19" t="s">
        <v>226</v>
      </c>
      <c r="B45" s="19" t="s">
        <v>145</v>
      </c>
      <c r="C45" s="89"/>
      <c r="D45" s="91"/>
      <c r="E45" s="9" t="s">
        <v>198</v>
      </c>
      <c r="F45" s="9" t="s">
        <v>188</v>
      </c>
      <c r="G45" s="10" t="s">
        <v>602</v>
      </c>
      <c r="H45" s="9" t="s">
        <v>654</v>
      </c>
      <c r="I45" s="9" t="s">
        <v>655</v>
      </c>
      <c r="J45" s="10"/>
      <c r="K45" s="10"/>
      <c r="L45" s="10"/>
      <c r="M45" s="10"/>
      <c r="N45" s="9" t="s">
        <v>252</v>
      </c>
      <c r="O45" s="9" t="s">
        <v>162</v>
      </c>
    </row>
    <row r="46" spans="1:15" ht="120">
      <c r="A46" s="19" t="s">
        <v>226</v>
      </c>
      <c r="B46" s="19" t="s">
        <v>145</v>
      </c>
      <c r="C46" s="89"/>
      <c r="D46" s="91"/>
      <c r="E46" s="9" t="s">
        <v>605</v>
      </c>
      <c r="F46" s="9" t="s">
        <v>193</v>
      </c>
      <c r="G46" s="10" t="s">
        <v>606</v>
      </c>
      <c r="H46" s="9" t="s">
        <v>641</v>
      </c>
      <c r="I46" s="9" t="s">
        <v>656</v>
      </c>
      <c r="J46" s="10"/>
      <c r="K46" s="10"/>
      <c r="L46" s="10"/>
      <c r="M46" s="10"/>
      <c r="N46" s="9" t="s">
        <v>609</v>
      </c>
      <c r="O46" s="9" t="s">
        <v>162</v>
      </c>
    </row>
    <row r="47" spans="1:15" ht="105">
      <c r="A47" s="19" t="s">
        <v>226</v>
      </c>
      <c r="B47" s="19" t="s">
        <v>145</v>
      </c>
      <c r="C47" s="96"/>
      <c r="D47" s="115"/>
      <c r="E47" s="9" t="s">
        <v>605</v>
      </c>
      <c r="F47" s="9" t="s">
        <v>199</v>
      </c>
      <c r="G47" s="10" t="s">
        <v>610</v>
      </c>
      <c r="H47" s="9" t="s">
        <v>633</v>
      </c>
      <c r="I47" s="9" t="s">
        <v>657</v>
      </c>
      <c r="J47" s="10"/>
      <c r="K47" s="10"/>
      <c r="L47" s="10"/>
      <c r="M47" s="10"/>
      <c r="N47" s="9" t="s">
        <v>613</v>
      </c>
      <c r="O47" s="9" t="s">
        <v>162</v>
      </c>
    </row>
    <row r="48" spans="1:15">
      <c r="J48" t="s">
        <v>153</v>
      </c>
      <c r="K48" s="21"/>
    </row>
    <row r="49" spans="1:15">
      <c r="K49" s="20"/>
    </row>
    <row r="50" spans="1:15" ht="18.95">
      <c r="A50" s="83" t="s">
        <v>93</v>
      </c>
      <c r="B50" s="83"/>
      <c r="C50" s="83"/>
      <c r="D50" s="83"/>
      <c r="E50" s="83"/>
      <c r="F50" s="83"/>
      <c r="G50" s="83"/>
      <c r="H50" s="83"/>
      <c r="I50" s="83"/>
      <c r="J50" s="83"/>
      <c r="K50" s="83"/>
      <c r="L50" s="83"/>
      <c r="M50" s="83"/>
      <c r="N50" s="83"/>
      <c r="O50" s="84"/>
    </row>
    <row r="51" spans="1:15">
      <c r="A51" s="86" t="s">
        <v>142</v>
      </c>
      <c r="B51" s="86"/>
      <c r="C51" s="87"/>
      <c r="D51" s="85" t="s">
        <v>658</v>
      </c>
      <c r="E51" s="85"/>
      <c r="F51" s="85"/>
      <c r="G51" s="85"/>
      <c r="H51" s="85"/>
      <c r="I51" s="85"/>
      <c r="J51" s="85"/>
      <c r="K51" s="85"/>
      <c r="L51" s="85"/>
      <c r="M51" s="85"/>
      <c r="N51" s="85"/>
      <c r="O51" s="85"/>
    </row>
    <row r="52" spans="1:15" ht="75">
      <c r="A52" s="19" t="s">
        <v>226</v>
      </c>
      <c r="B52" s="19" t="s">
        <v>145</v>
      </c>
      <c r="C52" s="112" t="s">
        <v>92</v>
      </c>
      <c r="D52" s="88" t="s">
        <v>659</v>
      </c>
      <c r="E52" s="9" t="s">
        <v>187</v>
      </c>
      <c r="F52" s="10" t="s">
        <v>148</v>
      </c>
      <c r="G52" s="10" t="s">
        <v>660</v>
      </c>
      <c r="H52" s="9" t="s">
        <v>661</v>
      </c>
      <c r="I52" s="9" t="s">
        <v>662</v>
      </c>
      <c r="J52" s="10"/>
      <c r="K52" s="19"/>
      <c r="L52" s="10"/>
      <c r="M52" s="10"/>
      <c r="N52" s="9" t="s">
        <v>211</v>
      </c>
      <c r="O52" s="9" t="s">
        <v>162</v>
      </c>
    </row>
    <row r="53" spans="1:15" ht="150">
      <c r="A53" s="19" t="s">
        <v>226</v>
      </c>
      <c r="B53" s="19" t="s">
        <v>145</v>
      </c>
      <c r="C53" s="114"/>
      <c r="D53" s="89"/>
      <c r="E53" s="9" t="s">
        <v>187</v>
      </c>
      <c r="F53" s="10" t="s">
        <v>169</v>
      </c>
      <c r="G53" s="10" t="s">
        <v>418</v>
      </c>
      <c r="H53" s="9" t="s">
        <v>663</v>
      </c>
      <c r="I53" s="9" t="s">
        <v>600</v>
      </c>
      <c r="J53" s="10"/>
      <c r="K53" s="19"/>
      <c r="L53" s="10"/>
      <c r="M53" s="10"/>
      <c r="N53" s="9" t="s">
        <v>601</v>
      </c>
      <c r="O53" s="9" t="s">
        <v>162</v>
      </c>
    </row>
    <row r="54" spans="1:15" ht="105">
      <c r="A54" s="19" t="s">
        <v>226</v>
      </c>
      <c r="B54" s="19" t="s">
        <v>145</v>
      </c>
      <c r="C54" s="114"/>
      <c r="D54" s="89"/>
      <c r="E54" s="9" t="s">
        <v>198</v>
      </c>
      <c r="F54" s="10" t="s">
        <v>188</v>
      </c>
      <c r="G54" s="10" t="s">
        <v>602</v>
      </c>
      <c r="H54" s="9" t="s">
        <v>664</v>
      </c>
      <c r="I54" s="9" t="s">
        <v>665</v>
      </c>
      <c r="J54" s="10"/>
      <c r="K54" s="19"/>
      <c r="L54" s="10"/>
      <c r="M54" s="10"/>
      <c r="N54" s="9" t="s">
        <v>252</v>
      </c>
      <c r="O54" s="9" t="s">
        <v>162</v>
      </c>
    </row>
    <row r="55" spans="1:15" ht="180">
      <c r="A55" s="19" t="s">
        <v>226</v>
      </c>
      <c r="B55" s="19" t="s">
        <v>145</v>
      </c>
      <c r="C55" s="114"/>
      <c r="D55" s="89"/>
      <c r="E55" s="12" t="s">
        <v>605</v>
      </c>
      <c r="F55" s="13" t="s">
        <v>193</v>
      </c>
      <c r="G55" s="13" t="s">
        <v>606</v>
      </c>
      <c r="H55" s="12" t="s">
        <v>666</v>
      </c>
      <c r="I55" s="12" t="s">
        <v>667</v>
      </c>
      <c r="J55" s="10"/>
      <c r="K55" s="19"/>
      <c r="L55" s="10"/>
      <c r="M55" s="10"/>
      <c r="N55" s="9" t="s">
        <v>609</v>
      </c>
      <c r="O55" s="9" t="s">
        <v>152</v>
      </c>
    </row>
    <row r="56" spans="1:15" ht="165">
      <c r="A56" s="19" t="s">
        <v>226</v>
      </c>
      <c r="B56" s="19" t="s">
        <v>145</v>
      </c>
      <c r="C56" s="114"/>
      <c r="D56" s="89"/>
      <c r="E56" s="12" t="s">
        <v>668</v>
      </c>
      <c r="F56" s="13" t="s">
        <v>199</v>
      </c>
      <c r="G56" s="13" t="s">
        <v>669</v>
      </c>
      <c r="H56" s="12" t="s">
        <v>670</v>
      </c>
      <c r="I56" s="12" t="s">
        <v>671</v>
      </c>
      <c r="J56" s="10"/>
      <c r="K56" s="19"/>
      <c r="L56" s="10"/>
      <c r="M56" s="10"/>
      <c r="N56" s="9"/>
      <c r="O56" s="9" t="s">
        <v>152</v>
      </c>
    </row>
    <row r="57" spans="1:15" ht="105">
      <c r="A57" s="19" t="s">
        <v>226</v>
      </c>
      <c r="B57" s="19" t="s">
        <v>145</v>
      </c>
      <c r="C57" s="113"/>
      <c r="D57" s="96"/>
      <c r="E57" s="9" t="s">
        <v>605</v>
      </c>
      <c r="F57" s="10" t="s">
        <v>203</v>
      </c>
      <c r="G57" s="10" t="s">
        <v>610</v>
      </c>
      <c r="H57" s="9" t="s">
        <v>633</v>
      </c>
      <c r="I57" s="9" t="s">
        <v>672</v>
      </c>
      <c r="J57" s="10"/>
      <c r="K57" s="19"/>
      <c r="L57" s="10"/>
      <c r="M57" s="10"/>
      <c r="N57" s="9" t="s">
        <v>613</v>
      </c>
      <c r="O57" s="9" t="s">
        <v>162</v>
      </c>
    </row>
    <row r="58" spans="1:15">
      <c r="J58" t="s">
        <v>153</v>
      </c>
    </row>
    <row r="59" spans="1:15" ht="18.95">
      <c r="A59" s="83" t="s">
        <v>673</v>
      </c>
      <c r="B59" s="83"/>
      <c r="C59" s="83"/>
      <c r="D59" s="83"/>
      <c r="E59" s="83"/>
      <c r="F59" s="83"/>
      <c r="G59" s="83"/>
      <c r="H59" s="83"/>
      <c r="I59" s="83"/>
      <c r="J59" s="83"/>
      <c r="K59" s="83"/>
      <c r="L59" s="83"/>
      <c r="M59" s="83"/>
      <c r="N59" s="83"/>
      <c r="O59" s="84"/>
    </row>
    <row r="60" spans="1:15">
      <c r="A60" s="86" t="s">
        <v>142</v>
      </c>
      <c r="B60" s="86"/>
      <c r="C60" s="87"/>
      <c r="D60" s="85" t="s">
        <v>674</v>
      </c>
      <c r="E60" s="85"/>
      <c r="F60" s="85"/>
      <c r="G60" s="85"/>
      <c r="H60" s="85"/>
      <c r="I60" s="85"/>
      <c r="J60" s="85"/>
      <c r="K60" s="85"/>
      <c r="L60" s="85"/>
      <c r="M60" s="85"/>
      <c r="N60" s="85"/>
      <c r="O60" s="85"/>
    </row>
    <row r="61" spans="1:15" ht="90">
      <c r="A61" s="19" t="s">
        <v>226</v>
      </c>
      <c r="B61" s="19" t="s">
        <v>145</v>
      </c>
      <c r="C61" s="112" t="s">
        <v>94</v>
      </c>
      <c r="D61" s="90" t="s">
        <v>675</v>
      </c>
      <c r="E61" s="9" t="s">
        <v>187</v>
      </c>
      <c r="F61" s="9" t="s">
        <v>148</v>
      </c>
      <c r="G61" s="9" t="s">
        <v>676</v>
      </c>
      <c r="H61" s="9" t="s">
        <v>677</v>
      </c>
      <c r="I61" s="9" t="s">
        <v>678</v>
      </c>
      <c r="J61" s="10"/>
      <c r="K61" s="19"/>
      <c r="L61" s="10"/>
      <c r="M61" s="10"/>
      <c r="N61" s="9" t="s">
        <v>538</v>
      </c>
      <c r="O61" s="9" t="s">
        <v>162</v>
      </c>
    </row>
    <row r="62" spans="1:15" ht="135">
      <c r="A62" s="19" t="s">
        <v>226</v>
      </c>
      <c r="B62" s="19" t="s">
        <v>145</v>
      </c>
      <c r="C62" s="114"/>
      <c r="D62" s="91"/>
      <c r="E62" s="9" t="s">
        <v>198</v>
      </c>
      <c r="F62" s="9" t="s">
        <v>169</v>
      </c>
      <c r="G62" s="9" t="s">
        <v>679</v>
      </c>
      <c r="H62" s="9" t="s">
        <v>680</v>
      </c>
      <c r="I62" s="9" t="s">
        <v>681</v>
      </c>
      <c r="J62" s="10"/>
      <c r="K62" s="19"/>
      <c r="L62" s="10"/>
      <c r="M62" s="10"/>
      <c r="N62" s="9" t="s">
        <v>248</v>
      </c>
      <c r="O62" s="9" t="s">
        <v>162</v>
      </c>
    </row>
    <row r="63" spans="1:15" ht="135">
      <c r="A63" s="19" t="s">
        <v>226</v>
      </c>
      <c r="B63" s="19" t="s">
        <v>145</v>
      </c>
      <c r="C63" s="114"/>
      <c r="D63" s="91"/>
      <c r="E63" s="9" t="s">
        <v>605</v>
      </c>
      <c r="F63" s="9" t="s">
        <v>188</v>
      </c>
      <c r="G63" s="9" t="s">
        <v>682</v>
      </c>
      <c r="H63" s="9" t="s">
        <v>683</v>
      </c>
      <c r="I63" s="9" t="s">
        <v>684</v>
      </c>
      <c r="J63" s="10"/>
      <c r="K63" s="19"/>
      <c r="L63" s="10"/>
      <c r="M63" s="10"/>
      <c r="N63" s="9" t="s">
        <v>685</v>
      </c>
      <c r="O63" s="9" t="s">
        <v>162</v>
      </c>
    </row>
    <row r="64" spans="1:15" ht="270">
      <c r="A64" s="19" t="s">
        <v>226</v>
      </c>
      <c r="B64" s="19" t="s">
        <v>145</v>
      </c>
      <c r="C64" s="114"/>
      <c r="D64" s="91"/>
      <c r="E64" s="9" t="s">
        <v>297</v>
      </c>
      <c r="F64" s="9" t="s">
        <v>686</v>
      </c>
      <c r="G64" s="9" t="s">
        <v>687</v>
      </c>
      <c r="H64" s="9" t="s">
        <v>688</v>
      </c>
      <c r="I64" s="9" t="s">
        <v>689</v>
      </c>
      <c r="J64" s="10"/>
      <c r="K64" s="19"/>
      <c r="L64" s="10"/>
      <c r="M64" s="10"/>
      <c r="N64" s="9" t="s">
        <v>519</v>
      </c>
      <c r="O64" s="9" t="s">
        <v>162</v>
      </c>
    </row>
    <row r="65" spans="1:15" ht="120">
      <c r="A65" s="19" t="s">
        <v>226</v>
      </c>
      <c r="B65" s="19" t="s">
        <v>145</v>
      </c>
      <c r="C65" s="113"/>
      <c r="D65" s="115"/>
      <c r="E65" s="9" t="s">
        <v>605</v>
      </c>
      <c r="F65" s="9" t="s">
        <v>690</v>
      </c>
      <c r="G65" s="9" t="s">
        <v>691</v>
      </c>
      <c r="H65" s="9" t="s">
        <v>692</v>
      </c>
      <c r="I65" s="9" t="s">
        <v>693</v>
      </c>
      <c r="J65" s="10"/>
      <c r="K65" s="19"/>
      <c r="L65" s="10"/>
      <c r="M65" s="10"/>
      <c r="N65" s="9"/>
      <c r="O65" s="9" t="s">
        <v>162</v>
      </c>
    </row>
    <row r="66" spans="1:15">
      <c r="J66" t="s">
        <v>153</v>
      </c>
    </row>
    <row r="67" spans="1:15" s="43" customFormat="1" ht="18.95">
      <c r="A67" s="98" t="s">
        <v>97</v>
      </c>
      <c r="B67" s="98"/>
      <c r="C67" s="98"/>
      <c r="D67" s="98"/>
      <c r="E67" s="98"/>
      <c r="F67" s="98"/>
      <c r="G67" s="98"/>
      <c r="H67" s="98"/>
      <c r="I67" s="98"/>
      <c r="J67" s="98"/>
      <c r="K67" s="98"/>
      <c r="L67" s="98"/>
      <c r="M67" s="98"/>
      <c r="N67" s="98"/>
      <c r="O67" s="99"/>
    </row>
    <row r="68" spans="1:15" s="43" customFormat="1">
      <c r="A68" s="107" t="s">
        <v>142</v>
      </c>
      <c r="B68" s="107"/>
      <c r="C68" s="108"/>
      <c r="D68" s="102" t="s">
        <v>694</v>
      </c>
      <c r="E68" s="103"/>
      <c r="F68" s="103"/>
      <c r="G68" s="103"/>
      <c r="H68" s="103"/>
      <c r="I68" s="103"/>
      <c r="J68" s="103"/>
      <c r="K68" s="103"/>
      <c r="L68" s="103"/>
      <c r="M68" s="103"/>
      <c r="N68" s="103"/>
      <c r="O68" s="104"/>
    </row>
    <row r="69" spans="1:15" s="47" customFormat="1" ht="225" outlineLevel="1">
      <c r="A69" s="19" t="s">
        <v>226</v>
      </c>
      <c r="B69" s="67" t="s">
        <v>145</v>
      </c>
      <c r="C69" s="118" t="s">
        <v>96</v>
      </c>
      <c r="D69" s="78" t="s">
        <v>695</v>
      </c>
      <c r="E69" s="78" t="s">
        <v>297</v>
      </c>
      <c r="F69" s="78" t="s">
        <v>148</v>
      </c>
      <c r="G69" s="78" t="s">
        <v>696</v>
      </c>
      <c r="H69" s="44" t="s">
        <v>697</v>
      </c>
      <c r="I69" s="45" t="s">
        <v>698</v>
      </c>
      <c r="J69" s="46"/>
      <c r="K69" s="46"/>
      <c r="L69" s="46"/>
      <c r="M69" s="46"/>
      <c r="N69" s="46"/>
      <c r="O69" s="46" t="s">
        <v>152</v>
      </c>
    </row>
    <row r="70" spans="1:15" s="47" customFormat="1" ht="105">
      <c r="A70" s="19" t="s">
        <v>226</v>
      </c>
      <c r="B70" s="67" t="s">
        <v>145</v>
      </c>
      <c r="C70" s="119"/>
      <c r="D70" s="78" t="s">
        <v>695</v>
      </c>
      <c r="E70" s="78" t="s">
        <v>297</v>
      </c>
      <c r="F70" s="78" t="s">
        <v>169</v>
      </c>
      <c r="G70" s="78" t="s">
        <v>699</v>
      </c>
      <c r="H70" s="48" t="s">
        <v>700</v>
      </c>
      <c r="I70" s="45" t="s">
        <v>701</v>
      </c>
      <c r="J70" s="46"/>
      <c r="K70" s="46"/>
      <c r="L70" s="46"/>
      <c r="M70" s="46"/>
      <c r="N70" s="46"/>
      <c r="O70" s="46" t="s">
        <v>152</v>
      </c>
    </row>
    <row r="71" spans="1:15" s="47" customFormat="1" ht="14.1">
      <c r="C71" s="120"/>
      <c r="D71" s="78"/>
      <c r="E71" s="78"/>
      <c r="F71" s="78"/>
      <c r="G71" s="78"/>
      <c r="H71" s="49"/>
      <c r="I71" s="50"/>
      <c r="J71" s="47" t="s">
        <v>153</v>
      </c>
    </row>
    <row r="72" spans="1:15" s="43" customFormat="1" ht="18.95">
      <c r="A72" s="98" t="s">
        <v>99</v>
      </c>
      <c r="B72" s="98"/>
      <c r="C72" s="98"/>
      <c r="D72" s="98"/>
      <c r="E72" s="98"/>
      <c r="F72" s="98"/>
      <c r="G72" s="98"/>
      <c r="H72" s="98"/>
      <c r="I72" s="98"/>
      <c r="J72" s="98"/>
      <c r="K72" s="98"/>
      <c r="L72" s="98"/>
      <c r="M72" s="98"/>
      <c r="N72" s="98"/>
      <c r="O72" s="99"/>
    </row>
    <row r="73" spans="1:15" s="43" customFormat="1">
      <c r="A73" s="107" t="s">
        <v>142</v>
      </c>
      <c r="B73" s="107"/>
      <c r="C73" s="108"/>
      <c r="D73" s="102" t="s">
        <v>702</v>
      </c>
      <c r="E73" s="103"/>
      <c r="F73" s="103"/>
      <c r="G73" s="103"/>
      <c r="H73" s="103"/>
      <c r="I73" s="103"/>
      <c r="J73" s="103"/>
      <c r="K73" s="103"/>
      <c r="L73" s="103"/>
      <c r="M73" s="103"/>
      <c r="N73" s="103"/>
      <c r="O73" s="104"/>
    </row>
    <row r="74" spans="1:15" s="47" customFormat="1" ht="180">
      <c r="A74" s="19" t="s">
        <v>226</v>
      </c>
      <c r="B74" s="67" t="s">
        <v>145</v>
      </c>
      <c r="C74" s="77" t="s">
        <v>98</v>
      </c>
      <c r="D74" s="78" t="s">
        <v>702</v>
      </c>
      <c r="E74" s="78" t="s">
        <v>297</v>
      </c>
      <c r="F74" s="78" t="s">
        <v>148</v>
      </c>
      <c r="G74" s="78" t="s">
        <v>703</v>
      </c>
      <c r="H74" s="51" t="s">
        <v>704</v>
      </c>
      <c r="I74" s="45" t="s">
        <v>705</v>
      </c>
      <c r="J74" s="46"/>
      <c r="K74" s="46"/>
      <c r="L74" s="46"/>
      <c r="M74" s="46"/>
      <c r="N74" s="46"/>
      <c r="O74" s="46" t="s">
        <v>152</v>
      </c>
    </row>
    <row r="75" spans="1:15" s="47" customFormat="1" ht="14.1">
      <c r="C75" s="52"/>
      <c r="D75" s="52"/>
      <c r="E75" s="52"/>
      <c r="F75" s="52"/>
      <c r="G75" s="52"/>
      <c r="H75" s="49"/>
      <c r="I75" s="50"/>
      <c r="J75" s="47" t="s">
        <v>153</v>
      </c>
    </row>
    <row r="76" spans="1:15" s="43" customFormat="1" ht="18.95">
      <c r="A76" s="98" t="s">
        <v>101</v>
      </c>
      <c r="B76" s="98"/>
      <c r="C76" s="98"/>
      <c r="D76" s="98"/>
      <c r="E76" s="98"/>
      <c r="F76" s="98"/>
      <c r="G76" s="98"/>
      <c r="H76" s="98"/>
      <c r="I76" s="98"/>
      <c r="J76" s="98"/>
      <c r="K76" s="98"/>
      <c r="L76" s="98"/>
      <c r="M76" s="98"/>
      <c r="N76" s="98"/>
      <c r="O76" s="99"/>
    </row>
    <row r="77" spans="1:15" s="43" customFormat="1">
      <c r="A77" s="107" t="s">
        <v>142</v>
      </c>
      <c r="B77" s="107"/>
      <c r="C77" s="108"/>
      <c r="D77" s="102" t="s">
        <v>706</v>
      </c>
      <c r="E77" s="103"/>
      <c r="F77" s="103"/>
      <c r="G77" s="103"/>
      <c r="H77" s="103"/>
      <c r="I77" s="103"/>
      <c r="J77" s="103"/>
      <c r="K77" s="103"/>
      <c r="L77" s="103"/>
      <c r="M77" s="103"/>
      <c r="N77" s="103"/>
      <c r="O77" s="104"/>
    </row>
    <row r="78" spans="1:15" s="47" customFormat="1" ht="285.60000000000002" customHeight="1">
      <c r="A78" s="19" t="s">
        <v>226</v>
      </c>
      <c r="B78" s="46" t="s">
        <v>145</v>
      </c>
      <c r="C78" s="90" t="s">
        <v>100</v>
      </c>
      <c r="D78" s="77" t="s">
        <v>707</v>
      </c>
      <c r="E78" s="78" t="s">
        <v>297</v>
      </c>
      <c r="F78" s="78" t="s">
        <v>148</v>
      </c>
      <c r="G78" s="78" t="s">
        <v>708</v>
      </c>
      <c r="H78" s="48" t="s">
        <v>709</v>
      </c>
      <c r="I78" s="45" t="s">
        <v>710</v>
      </c>
      <c r="J78" s="46"/>
      <c r="K78" s="46"/>
      <c r="L78" s="46"/>
      <c r="M78" s="46"/>
      <c r="N78" s="46"/>
      <c r="O78" s="46"/>
    </row>
    <row r="79" spans="1:15" s="47" customFormat="1" ht="180">
      <c r="A79" s="19" t="s">
        <v>226</v>
      </c>
      <c r="B79" s="46" t="s">
        <v>145</v>
      </c>
      <c r="C79" s="91"/>
      <c r="D79" s="77" t="s">
        <v>711</v>
      </c>
      <c r="E79" s="78" t="s">
        <v>297</v>
      </c>
      <c r="F79" s="78" t="s">
        <v>148</v>
      </c>
      <c r="G79" s="78" t="s">
        <v>712</v>
      </c>
      <c r="H79" s="48" t="s">
        <v>713</v>
      </c>
      <c r="I79" s="45" t="s">
        <v>714</v>
      </c>
      <c r="J79" s="46"/>
      <c r="K79" s="46"/>
      <c r="L79" s="46"/>
      <c r="M79" s="46"/>
      <c r="N79" s="46"/>
      <c r="O79" s="46"/>
    </row>
    <row r="80" spans="1:15" s="47" customFormat="1" ht="299.45" customHeight="1">
      <c r="A80" s="19" t="s">
        <v>226</v>
      </c>
      <c r="B80" s="46" t="s">
        <v>145</v>
      </c>
      <c r="C80" s="91"/>
      <c r="D80" s="77" t="s">
        <v>715</v>
      </c>
      <c r="E80" s="78" t="s">
        <v>297</v>
      </c>
      <c r="F80" s="78" t="s">
        <v>148</v>
      </c>
      <c r="G80" s="78" t="s">
        <v>716</v>
      </c>
      <c r="H80" s="48" t="s">
        <v>717</v>
      </c>
      <c r="I80" s="78" t="s">
        <v>718</v>
      </c>
      <c r="J80" s="46"/>
      <c r="K80" s="46"/>
      <c r="L80" s="46"/>
      <c r="M80" s="46"/>
      <c r="N80" s="46"/>
      <c r="O80" s="46"/>
    </row>
    <row r="81" spans="1:15" s="43" customFormat="1">
      <c r="B81" s="54"/>
      <c r="C81" s="115"/>
      <c r="D81" s="68" t="s">
        <v>719</v>
      </c>
      <c r="E81" s="53"/>
      <c r="F81" s="54"/>
      <c r="G81" s="54"/>
      <c r="H81" s="55"/>
      <c r="I81" s="55"/>
      <c r="J81" s="43" t="s">
        <v>153</v>
      </c>
      <c r="O81" s="55"/>
    </row>
    <row r="82" spans="1:15" ht="18.95">
      <c r="A82" s="83" t="s">
        <v>576</v>
      </c>
      <c r="B82" s="83"/>
      <c r="C82" s="83"/>
      <c r="D82" s="83"/>
      <c r="E82" s="83"/>
      <c r="F82" s="83"/>
      <c r="G82" s="83"/>
      <c r="H82" s="83"/>
      <c r="I82" s="83"/>
      <c r="J82" s="83"/>
      <c r="K82" s="83"/>
      <c r="L82" s="83"/>
      <c r="M82" s="83"/>
      <c r="N82" s="83"/>
      <c r="O82" s="84"/>
    </row>
    <row r="83" spans="1:15">
      <c r="A83" s="86" t="s">
        <v>142</v>
      </c>
      <c r="B83" s="86"/>
      <c r="C83" s="87"/>
      <c r="D83" s="85" t="s">
        <v>216</v>
      </c>
      <c r="E83" s="85"/>
      <c r="F83" s="85"/>
      <c r="G83" s="85"/>
      <c r="H83" s="85"/>
      <c r="I83" s="85"/>
      <c r="J83" s="85"/>
      <c r="K83" s="85"/>
      <c r="L83" s="85"/>
      <c r="M83" s="85"/>
      <c r="N83" s="85"/>
      <c r="O83" s="85"/>
    </row>
    <row r="84" spans="1:15" ht="75">
      <c r="A84" s="19" t="s">
        <v>226</v>
      </c>
      <c r="B84" s="19" t="s">
        <v>145</v>
      </c>
      <c r="C84" s="30" t="s">
        <v>102</v>
      </c>
      <c r="D84" s="8" t="s">
        <v>217</v>
      </c>
      <c r="E84" s="9" t="s">
        <v>218</v>
      </c>
      <c r="F84" s="9" t="s">
        <v>148</v>
      </c>
      <c r="G84" s="10" t="s">
        <v>219</v>
      </c>
      <c r="H84" s="9" t="s">
        <v>220</v>
      </c>
      <c r="I84" s="9" t="s">
        <v>221</v>
      </c>
      <c r="J84" s="10"/>
      <c r="K84" s="19"/>
      <c r="L84" s="10"/>
      <c r="M84" s="10"/>
      <c r="N84" s="9" t="s">
        <v>222</v>
      </c>
      <c r="O84" s="9" t="s">
        <v>162</v>
      </c>
    </row>
    <row r="85" spans="1:15" ht="75">
      <c r="A85" s="19" t="s">
        <v>226</v>
      </c>
      <c r="B85" s="19" t="s">
        <v>145</v>
      </c>
      <c r="C85" s="30"/>
      <c r="D85" s="8"/>
      <c r="E85" s="9" t="s">
        <v>218</v>
      </c>
      <c r="F85" s="9" t="s">
        <v>169</v>
      </c>
      <c r="G85" s="10" t="s">
        <v>219</v>
      </c>
      <c r="H85" s="9" t="s">
        <v>220</v>
      </c>
      <c r="I85" s="9" t="s">
        <v>221</v>
      </c>
      <c r="J85" s="10"/>
      <c r="K85" s="19"/>
      <c r="L85" s="10"/>
      <c r="M85" s="10"/>
      <c r="N85" s="9" t="s">
        <v>222</v>
      </c>
      <c r="O85" s="9" t="s">
        <v>162</v>
      </c>
    </row>
    <row r="86" spans="1:15" ht="75">
      <c r="A86" s="19" t="s">
        <v>226</v>
      </c>
      <c r="B86" s="19" t="s">
        <v>145</v>
      </c>
      <c r="C86" s="30"/>
      <c r="D86" s="8"/>
      <c r="E86" s="9" t="s">
        <v>218</v>
      </c>
      <c r="F86" s="9" t="s">
        <v>188</v>
      </c>
      <c r="G86" s="10" t="s">
        <v>219</v>
      </c>
      <c r="H86" s="9" t="s">
        <v>220</v>
      </c>
      <c r="I86" s="9" t="s">
        <v>221</v>
      </c>
      <c r="J86" s="10"/>
      <c r="K86" s="19"/>
      <c r="L86" s="10"/>
      <c r="M86" s="10"/>
      <c r="N86" s="9" t="s">
        <v>222</v>
      </c>
      <c r="O86" s="9" t="s">
        <v>162</v>
      </c>
    </row>
    <row r="87" spans="1:15" ht="75">
      <c r="A87" s="19" t="s">
        <v>226</v>
      </c>
      <c r="B87" s="19" t="s">
        <v>145</v>
      </c>
      <c r="C87" s="30"/>
      <c r="D87" s="8"/>
      <c r="E87" s="9"/>
      <c r="F87" s="9" t="s">
        <v>223</v>
      </c>
      <c r="G87" s="10" t="s">
        <v>219</v>
      </c>
      <c r="H87" s="9" t="s">
        <v>220</v>
      </c>
      <c r="I87" s="9" t="s">
        <v>221</v>
      </c>
      <c r="J87" s="10"/>
      <c r="K87" s="19"/>
      <c r="L87" s="10"/>
      <c r="M87" s="10"/>
      <c r="N87" s="9" t="s">
        <v>222</v>
      </c>
      <c r="O87" s="9" t="s">
        <v>162</v>
      </c>
    </row>
    <row r="88" spans="1:15">
      <c r="J88" t="s">
        <v>153</v>
      </c>
    </row>
  </sheetData>
  <dataConsolidate/>
  <mergeCells count="57">
    <mergeCell ref="A83:C83"/>
    <mergeCell ref="A72:O72"/>
    <mergeCell ref="A73:C73"/>
    <mergeCell ref="A76:O76"/>
    <mergeCell ref="A77:C77"/>
    <mergeCell ref="A82:O82"/>
    <mergeCell ref="D83:O83"/>
    <mergeCell ref="A2:O2"/>
    <mergeCell ref="A3:C3"/>
    <mergeCell ref="D3:O3"/>
    <mergeCell ref="D18:D19"/>
    <mergeCell ref="D22:O22"/>
    <mergeCell ref="D8:D14"/>
    <mergeCell ref="C8:C14"/>
    <mergeCell ref="A7:C7"/>
    <mergeCell ref="D7:O7"/>
    <mergeCell ref="A6:O6"/>
    <mergeCell ref="A42:C42"/>
    <mergeCell ref="D42:O42"/>
    <mergeCell ref="A21:O21"/>
    <mergeCell ref="A22:C22"/>
    <mergeCell ref="C29:C32"/>
    <mergeCell ref="D29:D32"/>
    <mergeCell ref="D36:D39"/>
    <mergeCell ref="C36:C39"/>
    <mergeCell ref="D35:O35"/>
    <mergeCell ref="A27:O27"/>
    <mergeCell ref="A28:C28"/>
    <mergeCell ref="A34:O34"/>
    <mergeCell ref="A35:C35"/>
    <mergeCell ref="D28:O28"/>
    <mergeCell ref="C23:C25"/>
    <mergeCell ref="D23:D25"/>
    <mergeCell ref="D43:D47"/>
    <mergeCell ref="C43:C47"/>
    <mergeCell ref="D52:D57"/>
    <mergeCell ref="C52:C57"/>
    <mergeCell ref="D60:O60"/>
    <mergeCell ref="D51:O51"/>
    <mergeCell ref="A51:C51"/>
    <mergeCell ref="A59:O59"/>
    <mergeCell ref="A60:C60"/>
    <mergeCell ref="C69:C71"/>
    <mergeCell ref="A50:O50"/>
    <mergeCell ref="D73:O73"/>
    <mergeCell ref="D77:O77"/>
    <mergeCell ref="C78:C81"/>
    <mergeCell ref="A67:O67"/>
    <mergeCell ref="A68:C68"/>
    <mergeCell ref="C61:C65"/>
    <mergeCell ref="D61:D65"/>
    <mergeCell ref="D68:O68"/>
    <mergeCell ref="A41:O41"/>
    <mergeCell ref="C18:C19"/>
    <mergeCell ref="A17:C17"/>
    <mergeCell ref="D17:O17"/>
    <mergeCell ref="A16:O16"/>
  </mergeCells>
  <dataValidations count="2">
    <dataValidation type="list" allowBlank="1" showInputMessage="1" showErrorMessage="1" sqref="M18:M19 M4 M84:M87 M29:M32 M36:M39 M43:M47 M52:M57 M61:M65 L8:L15 M23:M25" xr:uid="{00000000-0002-0000-0600-000000000000}">
      <formula1>"New,Retest"</formula1>
    </dataValidation>
    <dataValidation type="list" allowBlank="1" showInputMessage="1" showErrorMessage="1" sqref="J18:J19 J84:J87 J29:J32 J36:J39 J43:J47 J52:J57 J61:J65 J4 K22 K31:K32 K45:K48 K36 J23:J25 K4:K5 K17 J8:J15 K40" xr:uid="{00000000-0002-0000-0600-000001000000}">
      <formula1>"Pass,Fail"</formula1>
    </dataValidation>
  </dataValidations>
  <pageMargins left="0.7" right="0.7" top="0.75" bottom="0.75" header="0.3" footer="0.3"/>
  <pageSetup scale="71" fitToHeight="2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56"/>
  <sheetViews>
    <sheetView zoomScaleNormal="100" workbookViewId="0">
      <pane ySplit="1" topLeftCell="A2" activePane="bottomLeft" state="frozen"/>
      <selection pane="bottomLeft"/>
    </sheetView>
  </sheetViews>
  <sheetFormatPr defaultColWidth="8.85546875" defaultRowHeight="15"/>
  <cols>
    <col min="3" max="3" width="12.85546875" style="1" customWidth="1"/>
    <col min="4" max="4" width="27" customWidth="1"/>
    <col min="5" max="5" width="13.85546875" style="2" customWidth="1"/>
    <col min="7" max="7" width="26.85546875" customWidth="1"/>
    <col min="8" max="8" width="51.140625" style="2" customWidth="1"/>
    <col min="9" max="9" width="30.7109375" style="2" customWidth="1"/>
    <col min="12" max="12" width="16.7109375" customWidth="1"/>
    <col min="13" max="13" width="10.28515625" customWidth="1"/>
    <col min="14" max="14" width="13.140625" customWidth="1"/>
    <col min="15" max="15" width="42.140625" style="2" customWidth="1"/>
  </cols>
  <sheetData>
    <row r="1" spans="1:15" ht="15.95">
      <c r="A1" s="3" t="s">
        <v>131</v>
      </c>
      <c r="B1" s="3" t="s">
        <v>132</v>
      </c>
      <c r="C1" s="3" t="s">
        <v>1</v>
      </c>
      <c r="D1" s="3" t="s">
        <v>2</v>
      </c>
      <c r="E1" s="4" t="s">
        <v>133</v>
      </c>
      <c r="F1" s="3" t="s">
        <v>134</v>
      </c>
      <c r="G1" s="3" t="s">
        <v>135</v>
      </c>
      <c r="H1" s="4" t="s">
        <v>136</v>
      </c>
      <c r="I1" s="4" t="s">
        <v>137</v>
      </c>
      <c r="J1" s="3" t="s">
        <v>3</v>
      </c>
      <c r="K1" s="3" t="s">
        <v>138</v>
      </c>
      <c r="L1" s="3" t="s">
        <v>139</v>
      </c>
      <c r="M1" s="3" t="s">
        <v>140</v>
      </c>
      <c r="N1" s="3" t="s">
        <v>141</v>
      </c>
      <c r="O1" s="4" t="s">
        <v>4</v>
      </c>
    </row>
    <row r="2" spans="1:15" ht="18.95">
      <c r="A2" s="94" t="s">
        <v>121</v>
      </c>
      <c r="B2" s="94"/>
      <c r="C2" s="94"/>
      <c r="D2" s="94"/>
      <c r="E2" s="94"/>
      <c r="F2" s="94"/>
      <c r="G2" s="94"/>
      <c r="H2" s="94"/>
      <c r="I2" s="94"/>
      <c r="J2" s="94"/>
      <c r="K2" s="94"/>
      <c r="L2" s="94"/>
      <c r="M2" s="94"/>
      <c r="N2" s="94"/>
      <c r="O2" s="95"/>
    </row>
    <row r="3" spans="1:15">
      <c r="A3" s="86" t="s">
        <v>142</v>
      </c>
      <c r="B3" s="86"/>
      <c r="C3" s="87"/>
      <c r="D3" s="85" t="s">
        <v>720</v>
      </c>
      <c r="E3" s="85"/>
      <c r="F3" s="85"/>
      <c r="G3" s="85"/>
      <c r="H3" s="85"/>
      <c r="I3" s="85"/>
      <c r="J3" s="85"/>
      <c r="K3" s="85"/>
      <c r="L3" s="85"/>
      <c r="M3" s="85"/>
      <c r="N3" s="85"/>
      <c r="O3" s="85"/>
    </row>
    <row r="4" spans="1:15" ht="225">
      <c r="A4" s="19" t="s">
        <v>226</v>
      </c>
      <c r="B4" s="19" t="s">
        <v>145</v>
      </c>
      <c r="C4" s="112" t="s">
        <v>120</v>
      </c>
      <c r="D4" s="90" t="s">
        <v>721</v>
      </c>
      <c r="E4" s="9" t="s">
        <v>722</v>
      </c>
      <c r="F4" s="10" t="s">
        <v>148</v>
      </c>
      <c r="G4" s="9" t="s">
        <v>723</v>
      </c>
      <c r="H4" s="9" t="s">
        <v>724</v>
      </c>
      <c r="I4" s="9" t="s">
        <v>725</v>
      </c>
      <c r="J4" s="10"/>
      <c r="K4" s="10"/>
      <c r="L4" s="10"/>
      <c r="M4" s="10"/>
      <c r="N4" s="9" t="s">
        <v>726</v>
      </c>
      <c r="O4" s="9" t="s">
        <v>152</v>
      </c>
    </row>
    <row r="5" spans="1:15" ht="150">
      <c r="A5" s="19" t="s">
        <v>226</v>
      </c>
      <c r="B5" s="19" t="s">
        <v>145</v>
      </c>
      <c r="C5" s="114"/>
      <c r="D5" s="91"/>
      <c r="E5" s="9" t="s">
        <v>722</v>
      </c>
      <c r="F5" s="10" t="s">
        <v>169</v>
      </c>
      <c r="G5" s="9" t="s">
        <v>727</v>
      </c>
      <c r="H5" s="9" t="s">
        <v>728</v>
      </c>
      <c r="I5" s="9" t="s">
        <v>729</v>
      </c>
      <c r="J5" s="10"/>
      <c r="K5" s="10"/>
      <c r="L5" s="10"/>
      <c r="M5" s="10"/>
      <c r="N5" s="9" t="s">
        <v>730</v>
      </c>
      <c r="O5" s="9" t="s">
        <v>152</v>
      </c>
    </row>
    <row r="6" spans="1:15" ht="180">
      <c r="A6" s="19" t="s">
        <v>226</v>
      </c>
      <c r="B6" s="19" t="s">
        <v>145</v>
      </c>
      <c r="C6" s="114"/>
      <c r="D6" s="91"/>
      <c r="E6" s="9" t="s">
        <v>722</v>
      </c>
      <c r="F6" s="10" t="s">
        <v>188</v>
      </c>
      <c r="G6" s="9" t="s">
        <v>731</v>
      </c>
      <c r="H6" s="9" t="s">
        <v>732</v>
      </c>
      <c r="I6" s="9" t="s">
        <v>733</v>
      </c>
      <c r="J6" s="10"/>
      <c r="K6" s="10"/>
      <c r="L6" s="10"/>
      <c r="M6" s="10"/>
      <c r="N6" s="9" t="s">
        <v>734</v>
      </c>
      <c r="O6" s="9" t="s">
        <v>162</v>
      </c>
    </row>
    <row r="7" spans="1:15" ht="135">
      <c r="A7" s="19" t="s">
        <v>226</v>
      </c>
      <c r="B7" s="19" t="s">
        <v>145</v>
      </c>
      <c r="C7" s="114"/>
      <c r="D7" s="91"/>
      <c r="E7" s="9" t="s">
        <v>722</v>
      </c>
      <c r="F7" s="10" t="s">
        <v>193</v>
      </c>
      <c r="G7" s="10" t="s">
        <v>735</v>
      </c>
      <c r="H7" s="9" t="s">
        <v>736</v>
      </c>
      <c r="I7" s="9" t="s">
        <v>737</v>
      </c>
      <c r="J7" s="10"/>
      <c r="K7" s="10"/>
      <c r="L7" s="10"/>
      <c r="M7" s="10"/>
      <c r="N7" s="9" t="s">
        <v>738</v>
      </c>
      <c r="O7" s="9" t="s">
        <v>162</v>
      </c>
    </row>
    <row r="8" spans="1:15" ht="314.10000000000002">
      <c r="A8" s="19" t="s">
        <v>226</v>
      </c>
      <c r="B8" s="19" t="s">
        <v>145</v>
      </c>
      <c r="C8" s="114"/>
      <c r="D8" s="91"/>
      <c r="E8" s="9" t="s">
        <v>722</v>
      </c>
      <c r="F8" s="10" t="s">
        <v>199</v>
      </c>
      <c r="G8" s="10" t="s">
        <v>739</v>
      </c>
      <c r="H8" s="9" t="s">
        <v>740</v>
      </c>
      <c r="I8" s="9" t="s">
        <v>741</v>
      </c>
      <c r="J8" s="10"/>
      <c r="L8" s="10"/>
      <c r="M8" s="10"/>
      <c r="N8" s="9" t="s">
        <v>742</v>
      </c>
      <c r="O8" s="9" t="s">
        <v>152</v>
      </c>
    </row>
    <row r="9" spans="1:15" ht="342">
      <c r="A9" s="19" t="s">
        <v>226</v>
      </c>
      <c r="B9" s="19" t="s">
        <v>145</v>
      </c>
      <c r="C9" s="114"/>
      <c r="D9" s="91"/>
      <c r="E9" s="9" t="s">
        <v>722</v>
      </c>
      <c r="F9" s="10" t="s">
        <v>203</v>
      </c>
      <c r="G9" s="10" t="s">
        <v>743</v>
      </c>
      <c r="H9" s="12" t="s">
        <v>744</v>
      </c>
      <c r="I9" s="9" t="s">
        <v>745</v>
      </c>
      <c r="J9" s="10"/>
      <c r="K9" s="10"/>
      <c r="L9" s="10"/>
      <c r="M9" s="10"/>
      <c r="N9" s="9" t="s">
        <v>746</v>
      </c>
      <c r="O9" s="9" t="s">
        <v>152</v>
      </c>
    </row>
    <row r="10" spans="1:15" ht="60">
      <c r="A10" s="19" t="s">
        <v>226</v>
      </c>
      <c r="B10" s="19" t="s">
        <v>145</v>
      </c>
      <c r="C10" s="113"/>
      <c r="D10" s="115"/>
      <c r="E10" s="9" t="s">
        <v>722</v>
      </c>
      <c r="F10" s="10" t="s">
        <v>206</v>
      </c>
      <c r="G10" s="10" t="s">
        <v>747</v>
      </c>
      <c r="H10" s="9" t="s">
        <v>748</v>
      </c>
      <c r="I10" s="9" t="s">
        <v>749</v>
      </c>
      <c r="J10" s="10"/>
      <c r="L10" s="10"/>
      <c r="M10" s="10"/>
      <c r="N10" s="9"/>
      <c r="O10" s="9" t="s">
        <v>162</v>
      </c>
    </row>
    <row r="11" spans="1:15" ht="6" customHeight="1">
      <c r="J11" t="s">
        <v>153</v>
      </c>
    </row>
    <row r="12" spans="1:15" ht="18.95">
      <c r="A12" s="83" t="s">
        <v>750</v>
      </c>
      <c r="B12" s="83"/>
      <c r="C12" s="83"/>
      <c r="D12" s="83"/>
      <c r="E12" s="83"/>
      <c r="F12" s="83"/>
      <c r="G12" s="83"/>
      <c r="H12" s="83"/>
      <c r="I12" s="83"/>
      <c r="J12" s="83"/>
      <c r="K12" s="83"/>
      <c r="L12" s="83"/>
      <c r="M12" s="83"/>
      <c r="N12" s="83"/>
      <c r="O12" s="84"/>
    </row>
    <row r="13" spans="1:15">
      <c r="A13" s="86" t="s">
        <v>142</v>
      </c>
      <c r="B13" s="86"/>
      <c r="C13" s="87"/>
      <c r="D13" s="85" t="s">
        <v>216</v>
      </c>
      <c r="E13" s="85"/>
      <c r="F13" s="85"/>
      <c r="G13" s="85"/>
      <c r="H13" s="85"/>
      <c r="I13" s="85"/>
      <c r="J13" s="85"/>
      <c r="K13" s="85"/>
      <c r="L13" s="85"/>
      <c r="M13" s="85"/>
      <c r="N13" s="85"/>
      <c r="O13" s="85"/>
    </row>
    <row r="14" spans="1:15" ht="75">
      <c r="A14" s="19" t="s">
        <v>226</v>
      </c>
      <c r="B14" s="19" t="s">
        <v>145</v>
      </c>
      <c r="C14" s="30" t="s">
        <v>122</v>
      </c>
      <c r="D14" s="8" t="s">
        <v>217</v>
      </c>
      <c r="E14" s="9" t="s">
        <v>218</v>
      </c>
      <c r="F14" s="9" t="s">
        <v>148</v>
      </c>
      <c r="G14" s="10" t="s">
        <v>219</v>
      </c>
      <c r="H14" s="9" t="s">
        <v>220</v>
      </c>
      <c r="I14" s="9" t="s">
        <v>221</v>
      </c>
      <c r="J14" s="10"/>
      <c r="K14" s="10"/>
      <c r="L14" s="10"/>
      <c r="M14" s="10"/>
      <c r="N14" s="9" t="s">
        <v>222</v>
      </c>
      <c r="O14" s="9" t="s">
        <v>162</v>
      </c>
    </row>
    <row r="15" spans="1:15" ht="75">
      <c r="A15" s="19" t="s">
        <v>226</v>
      </c>
      <c r="B15" s="19" t="s">
        <v>145</v>
      </c>
      <c r="C15" s="30"/>
      <c r="D15" s="8"/>
      <c r="E15" s="9" t="s">
        <v>218</v>
      </c>
      <c r="F15" s="9" t="s">
        <v>169</v>
      </c>
      <c r="G15" s="10" t="s">
        <v>219</v>
      </c>
      <c r="H15" s="9" t="s">
        <v>220</v>
      </c>
      <c r="I15" s="9" t="s">
        <v>221</v>
      </c>
      <c r="J15" s="10"/>
      <c r="K15" s="10"/>
      <c r="L15" s="10"/>
      <c r="M15" s="10"/>
      <c r="N15" s="9" t="s">
        <v>222</v>
      </c>
      <c r="O15" s="9" t="s">
        <v>162</v>
      </c>
    </row>
    <row r="16" spans="1:15" ht="75">
      <c r="A16" s="19" t="s">
        <v>226</v>
      </c>
      <c r="B16" s="19" t="s">
        <v>145</v>
      </c>
      <c r="C16" s="30"/>
      <c r="D16" s="8"/>
      <c r="E16" s="9" t="s">
        <v>218</v>
      </c>
      <c r="F16" s="9" t="s">
        <v>188</v>
      </c>
      <c r="G16" s="10" t="s">
        <v>219</v>
      </c>
      <c r="H16" s="9" t="s">
        <v>220</v>
      </c>
      <c r="I16" s="9" t="s">
        <v>221</v>
      </c>
      <c r="J16" s="10"/>
      <c r="K16" s="10"/>
      <c r="L16" s="10"/>
      <c r="M16" s="10"/>
      <c r="N16" s="9" t="s">
        <v>222</v>
      </c>
      <c r="O16" s="9" t="s">
        <v>162</v>
      </c>
    </row>
    <row r="17" spans="1:15" ht="75">
      <c r="A17" s="19" t="s">
        <v>226</v>
      </c>
      <c r="B17" s="19" t="s">
        <v>145</v>
      </c>
      <c r="C17" s="30"/>
      <c r="D17" s="8"/>
      <c r="E17" s="9"/>
      <c r="F17" s="9" t="s">
        <v>223</v>
      </c>
      <c r="G17" s="10" t="s">
        <v>219</v>
      </c>
      <c r="H17" s="9" t="s">
        <v>220</v>
      </c>
      <c r="I17" s="9" t="s">
        <v>221</v>
      </c>
      <c r="J17" s="10"/>
      <c r="L17" s="10"/>
      <c r="M17" s="10"/>
      <c r="N17" s="9" t="s">
        <v>222</v>
      </c>
      <c r="O17" s="9" t="s">
        <v>162</v>
      </c>
    </row>
    <row r="18" spans="1:15" ht="6" customHeight="1">
      <c r="J18" t="s">
        <v>153</v>
      </c>
    </row>
    <row r="20" spans="1:15">
      <c r="K20" s="10"/>
    </row>
    <row r="21" spans="1:15">
      <c r="K21" s="10"/>
    </row>
    <row r="22" spans="1:15">
      <c r="K22" s="10"/>
    </row>
    <row r="23" spans="1:15">
      <c r="K23" s="10"/>
    </row>
    <row r="24" spans="1:15">
      <c r="K24" s="10"/>
    </row>
    <row r="27" spans="1:15">
      <c r="K27" s="10"/>
    </row>
    <row r="28" spans="1:15">
      <c r="K28" s="10"/>
    </row>
    <row r="29" spans="1:15">
      <c r="K29" s="10"/>
    </row>
    <row r="30" spans="1:15">
      <c r="K30" s="10"/>
    </row>
    <row r="31" spans="1:15">
      <c r="K31" s="10"/>
    </row>
    <row r="32" spans="1:15">
      <c r="K32" s="21"/>
    </row>
    <row r="33" spans="11:11">
      <c r="K33" s="20"/>
    </row>
    <row r="36" spans="11:11">
      <c r="K36" s="19"/>
    </row>
    <row r="37" spans="11:11">
      <c r="K37" s="19"/>
    </row>
    <row r="38" spans="11:11">
      <c r="K38" s="19"/>
    </row>
    <row r="39" spans="11:11">
      <c r="K39" s="19"/>
    </row>
    <row r="40" spans="11:11">
      <c r="K40" s="19"/>
    </row>
    <row r="41" spans="11:11">
      <c r="K41" s="19"/>
    </row>
    <row r="45" spans="11:11">
      <c r="K45" s="19"/>
    </row>
    <row r="46" spans="11:11">
      <c r="K46" s="19"/>
    </row>
    <row r="47" spans="11:11">
      <c r="K47" s="19"/>
    </row>
    <row r="48" spans="11:11">
      <c r="K48" s="19"/>
    </row>
    <row r="49" spans="11:11">
      <c r="K49" s="19"/>
    </row>
    <row r="53" spans="11:11">
      <c r="K53" s="19"/>
    </row>
    <row r="54" spans="11:11">
      <c r="K54" s="19"/>
    </row>
    <row r="55" spans="11:11">
      <c r="K55" s="19"/>
    </row>
    <row r="56" spans="11:11">
      <c r="K56" s="19"/>
    </row>
  </sheetData>
  <dataConsolidate/>
  <mergeCells count="8">
    <mergeCell ref="A2:O2"/>
    <mergeCell ref="A3:C3"/>
    <mergeCell ref="A12:O12"/>
    <mergeCell ref="A13:C13"/>
    <mergeCell ref="D13:O13"/>
    <mergeCell ref="D3:O3"/>
    <mergeCell ref="D4:D10"/>
    <mergeCell ref="C4:C10"/>
  </mergeCells>
  <dataValidations count="2">
    <dataValidation type="list" allowBlank="1" showInputMessage="1" showErrorMessage="1" sqref="J14:J17 J4:J10 K11 K15:K16 K4:K7 K20 K24:K25 K29:K32" xr:uid="{00000000-0002-0000-0700-000000000000}">
      <formula1>"Pass,Fail"</formula1>
    </dataValidation>
    <dataValidation type="list" allowBlank="1" showInputMessage="1" showErrorMessage="1" sqref="M4:M10 M14:M17" xr:uid="{00000000-0002-0000-0700-000001000000}">
      <formula1>"New,Retest"</formula1>
    </dataValidation>
  </dataValidations>
  <pageMargins left="0.7" right="0.7" top="0.75" bottom="0.75" header="0.3" footer="0.3"/>
  <pageSetup scale="71" fitToHeight="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56"/>
  <sheetViews>
    <sheetView workbookViewId="0">
      <pane ySplit="1" topLeftCell="A2" activePane="bottomLeft" state="frozen"/>
      <selection pane="bottomLeft" activeCell="A15" sqref="A15"/>
    </sheetView>
  </sheetViews>
  <sheetFormatPr defaultColWidth="8.85546875" defaultRowHeight="15"/>
  <cols>
    <col min="3" max="3" width="12.85546875" style="1" customWidth="1"/>
    <col min="4" max="4" width="27" customWidth="1"/>
    <col min="5" max="5" width="13.85546875" style="2" customWidth="1"/>
    <col min="7" max="7" width="26.85546875" customWidth="1"/>
    <col min="8" max="8" width="51.140625" style="2" customWidth="1"/>
    <col min="9" max="9" width="30.7109375" style="2" customWidth="1"/>
    <col min="12" max="12" width="16.7109375" customWidth="1"/>
    <col min="13" max="13" width="10.28515625" customWidth="1"/>
    <col min="14" max="14" width="13.140625" customWidth="1"/>
    <col min="15" max="15" width="42.140625" style="2" customWidth="1"/>
  </cols>
  <sheetData>
    <row r="1" spans="1:15" ht="15.95">
      <c r="A1" s="3" t="s">
        <v>131</v>
      </c>
      <c r="B1" s="3" t="s">
        <v>132</v>
      </c>
      <c r="C1" s="3" t="s">
        <v>1</v>
      </c>
      <c r="D1" s="3" t="s">
        <v>2</v>
      </c>
      <c r="E1" s="4" t="s">
        <v>133</v>
      </c>
      <c r="F1" s="3" t="s">
        <v>134</v>
      </c>
      <c r="G1" s="3" t="s">
        <v>135</v>
      </c>
      <c r="H1" s="4" t="s">
        <v>136</v>
      </c>
      <c r="I1" s="4" t="s">
        <v>137</v>
      </c>
      <c r="J1" s="3" t="s">
        <v>3</v>
      </c>
      <c r="K1" s="3" t="s">
        <v>138</v>
      </c>
      <c r="L1" s="3" t="s">
        <v>139</v>
      </c>
      <c r="M1" s="3" t="s">
        <v>140</v>
      </c>
      <c r="N1" s="3" t="s">
        <v>141</v>
      </c>
      <c r="O1" s="4" t="s">
        <v>4</v>
      </c>
    </row>
    <row r="2" spans="1:15" ht="18.95">
      <c r="A2" s="94" t="s">
        <v>126</v>
      </c>
      <c r="B2" s="94"/>
      <c r="C2" s="94"/>
      <c r="D2" s="94"/>
      <c r="E2" s="94"/>
      <c r="F2" s="94"/>
      <c r="G2" s="94"/>
      <c r="H2" s="94"/>
      <c r="I2" s="94"/>
      <c r="J2" s="94"/>
      <c r="K2" s="94"/>
      <c r="L2" s="94"/>
      <c r="M2" s="94"/>
      <c r="N2" s="94"/>
      <c r="O2" s="95"/>
    </row>
    <row r="3" spans="1:15">
      <c r="A3" s="86" t="s">
        <v>142</v>
      </c>
      <c r="B3" s="86"/>
      <c r="C3" s="87"/>
      <c r="D3" s="85" t="s">
        <v>751</v>
      </c>
      <c r="E3" s="85"/>
      <c r="F3" s="85"/>
      <c r="G3" s="85"/>
      <c r="H3" s="85"/>
      <c r="I3" s="85"/>
      <c r="J3" s="85"/>
      <c r="K3" s="85"/>
      <c r="L3" s="85"/>
      <c r="M3" s="85"/>
      <c r="N3" s="85"/>
      <c r="O3" s="85"/>
    </row>
    <row r="4" spans="1:15" ht="180">
      <c r="A4" s="19" t="s">
        <v>226</v>
      </c>
      <c r="B4" s="19" t="s">
        <v>145</v>
      </c>
      <c r="C4" s="30" t="s">
        <v>125</v>
      </c>
      <c r="D4" s="8" t="s">
        <v>752</v>
      </c>
      <c r="E4" s="9" t="s">
        <v>530</v>
      </c>
      <c r="F4" s="10" t="s">
        <v>148</v>
      </c>
      <c r="G4" s="10" t="s">
        <v>531</v>
      </c>
      <c r="H4" s="9" t="s">
        <v>753</v>
      </c>
      <c r="I4" s="9" t="s">
        <v>754</v>
      </c>
      <c r="J4" s="10"/>
      <c r="K4" s="10"/>
      <c r="L4" s="10"/>
      <c r="M4" s="10"/>
      <c r="N4" s="9" t="s">
        <v>534</v>
      </c>
      <c r="O4" s="9" t="s">
        <v>152</v>
      </c>
    </row>
    <row r="5" spans="1:15" ht="6" customHeight="1">
      <c r="J5" t="s">
        <v>153</v>
      </c>
      <c r="K5" s="10"/>
    </row>
    <row r="6" spans="1:15" ht="18.95">
      <c r="A6" s="83" t="s">
        <v>128</v>
      </c>
      <c r="B6" s="83"/>
      <c r="C6" s="83"/>
      <c r="D6" s="83"/>
      <c r="E6" s="83"/>
      <c r="F6" s="83"/>
      <c r="G6" s="83"/>
      <c r="H6" s="83"/>
      <c r="I6" s="83"/>
      <c r="J6" s="83"/>
      <c r="K6" s="83"/>
      <c r="L6" s="83"/>
      <c r="M6" s="83"/>
      <c r="N6" s="83"/>
      <c r="O6" s="84"/>
    </row>
    <row r="7" spans="1:15">
      <c r="A7" s="86" t="s">
        <v>142</v>
      </c>
      <c r="B7" s="86"/>
      <c r="C7" s="87"/>
      <c r="D7" s="85" t="s">
        <v>755</v>
      </c>
      <c r="E7" s="85"/>
      <c r="F7" s="85"/>
      <c r="G7" s="85"/>
      <c r="H7" s="85"/>
      <c r="I7" s="85"/>
      <c r="J7" s="85"/>
      <c r="K7" s="85"/>
      <c r="L7" s="85"/>
      <c r="M7" s="85"/>
      <c r="N7" s="85"/>
      <c r="O7" s="85"/>
    </row>
    <row r="8" spans="1:15" ht="195">
      <c r="A8" s="19" t="s">
        <v>226</v>
      </c>
      <c r="B8" s="19" t="s">
        <v>145</v>
      </c>
      <c r="C8" s="70" t="s">
        <v>127</v>
      </c>
      <c r="D8" s="14" t="s">
        <v>752</v>
      </c>
      <c r="E8" s="12" t="s">
        <v>530</v>
      </c>
      <c r="F8" s="13" t="s">
        <v>148</v>
      </c>
      <c r="G8" s="13" t="s">
        <v>756</v>
      </c>
      <c r="H8" s="12" t="s">
        <v>757</v>
      </c>
      <c r="I8" s="12" t="s">
        <v>758</v>
      </c>
      <c r="J8" s="10"/>
      <c r="L8" s="10"/>
      <c r="M8" s="10"/>
      <c r="N8" s="9" t="s">
        <v>534</v>
      </c>
      <c r="O8" s="9" t="s">
        <v>152</v>
      </c>
    </row>
    <row r="9" spans="1:15" ht="6" customHeight="1">
      <c r="J9" t="s">
        <v>153</v>
      </c>
      <c r="K9" s="10"/>
    </row>
    <row r="10" spans="1:15" ht="18.95">
      <c r="A10" s="83" t="s">
        <v>759</v>
      </c>
      <c r="B10" s="83"/>
      <c r="C10" s="83"/>
      <c r="D10" s="83"/>
      <c r="E10" s="83"/>
      <c r="F10" s="83"/>
      <c r="G10" s="83"/>
      <c r="H10" s="83"/>
      <c r="I10" s="83"/>
      <c r="J10" s="83"/>
      <c r="K10" s="83"/>
      <c r="L10" s="83"/>
      <c r="M10" s="83"/>
      <c r="N10" s="83"/>
      <c r="O10" s="84"/>
    </row>
    <row r="11" spans="1:15">
      <c r="A11" s="86" t="s">
        <v>142</v>
      </c>
      <c r="B11" s="86"/>
      <c r="C11" s="87"/>
      <c r="D11" s="85" t="s">
        <v>216</v>
      </c>
      <c r="E11" s="85"/>
      <c r="F11" s="85"/>
      <c r="G11" s="85"/>
      <c r="H11" s="85"/>
      <c r="I11" s="85"/>
      <c r="J11" s="85"/>
      <c r="K11" s="85"/>
      <c r="L11" s="85"/>
      <c r="M11" s="85"/>
      <c r="N11" s="85"/>
      <c r="O11" s="85"/>
    </row>
    <row r="12" spans="1:15" ht="75">
      <c r="A12" s="19" t="s">
        <v>226</v>
      </c>
      <c r="B12" s="19" t="s">
        <v>145</v>
      </c>
      <c r="C12" s="30" t="s">
        <v>129</v>
      </c>
      <c r="D12" s="8" t="s">
        <v>217</v>
      </c>
      <c r="E12" s="9" t="s">
        <v>218</v>
      </c>
      <c r="F12" s="9" t="s">
        <v>148</v>
      </c>
      <c r="G12" s="10" t="s">
        <v>219</v>
      </c>
      <c r="H12" s="9" t="s">
        <v>220</v>
      </c>
      <c r="I12" s="9" t="s">
        <v>221</v>
      </c>
      <c r="J12" s="10"/>
      <c r="K12" s="10"/>
      <c r="L12" s="10"/>
      <c r="M12" s="10"/>
      <c r="N12" s="9" t="s">
        <v>222</v>
      </c>
      <c r="O12" s="9" t="s">
        <v>162</v>
      </c>
    </row>
    <row r="13" spans="1:15" ht="75">
      <c r="A13" s="19" t="s">
        <v>226</v>
      </c>
      <c r="B13" s="19" t="s">
        <v>145</v>
      </c>
      <c r="C13" s="30"/>
      <c r="D13" s="8"/>
      <c r="E13" s="9" t="s">
        <v>218</v>
      </c>
      <c r="F13" s="9" t="s">
        <v>169</v>
      </c>
      <c r="G13" s="10" t="s">
        <v>219</v>
      </c>
      <c r="H13" s="9" t="s">
        <v>220</v>
      </c>
      <c r="I13" s="9" t="s">
        <v>221</v>
      </c>
      <c r="J13" s="10"/>
      <c r="K13" s="10"/>
      <c r="L13" s="10"/>
      <c r="M13" s="10"/>
      <c r="N13" s="9" t="s">
        <v>222</v>
      </c>
      <c r="O13" s="9" t="s">
        <v>162</v>
      </c>
    </row>
    <row r="14" spans="1:15" ht="75">
      <c r="A14" s="19" t="s">
        <v>226</v>
      </c>
      <c r="B14" s="19" t="s">
        <v>145</v>
      </c>
      <c r="C14" s="30"/>
      <c r="D14" s="8"/>
      <c r="E14" s="9" t="s">
        <v>218</v>
      </c>
      <c r="F14" s="9" t="s">
        <v>188</v>
      </c>
      <c r="G14" s="10" t="s">
        <v>219</v>
      </c>
      <c r="H14" s="9" t="s">
        <v>220</v>
      </c>
      <c r="I14" s="9" t="s">
        <v>221</v>
      </c>
      <c r="J14" s="10"/>
      <c r="K14" s="10"/>
      <c r="L14" s="10"/>
      <c r="M14" s="10"/>
      <c r="N14" s="9" t="s">
        <v>222</v>
      </c>
      <c r="O14" s="9" t="s">
        <v>162</v>
      </c>
    </row>
    <row r="15" spans="1:15" ht="75">
      <c r="A15" s="19" t="s">
        <v>226</v>
      </c>
      <c r="B15" s="19" t="s">
        <v>145</v>
      </c>
      <c r="C15" s="30"/>
      <c r="D15" s="8"/>
      <c r="E15" s="9"/>
      <c r="F15" s="9" t="s">
        <v>223</v>
      </c>
      <c r="G15" s="10" t="s">
        <v>219</v>
      </c>
      <c r="H15" s="9" t="s">
        <v>220</v>
      </c>
      <c r="I15" s="9" t="s">
        <v>221</v>
      </c>
      <c r="J15" s="10"/>
      <c r="K15" s="10"/>
      <c r="L15" s="10"/>
      <c r="M15" s="10"/>
      <c r="N15" s="9" t="s">
        <v>222</v>
      </c>
      <c r="O15" s="9" t="s">
        <v>162</v>
      </c>
    </row>
    <row r="16" spans="1:15" ht="6" customHeight="1">
      <c r="J16" t="s">
        <v>153</v>
      </c>
      <c r="K16" s="10"/>
    </row>
    <row r="20" spans="11:11">
      <c r="K20" s="10"/>
    </row>
    <row r="21" spans="11:11">
      <c r="K21" s="10"/>
    </row>
    <row r="22" spans="11:11">
      <c r="K22" s="10"/>
    </row>
    <row r="23" spans="11:11">
      <c r="K23" s="10"/>
    </row>
    <row r="24" spans="11:11">
      <c r="K24" s="10"/>
    </row>
    <row r="27" spans="11:11">
      <c r="K27" s="10"/>
    </row>
    <row r="28" spans="11:11">
      <c r="K28" s="10"/>
    </row>
    <row r="29" spans="11:11">
      <c r="K29" s="10"/>
    </row>
    <row r="30" spans="11:11">
      <c r="K30" s="10"/>
    </row>
    <row r="31" spans="11:11">
      <c r="K31" s="10"/>
    </row>
    <row r="32" spans="11:11">
      <c r="K32" s="21"/>
    </row>
    <row r="33" spans="11:11">
      <c r="K33" s="20"/>
    </row>
    <row r="36" spans="11:11">
      <c r="K36" s="19"/>
    </row>
    <row r="37" spans="11:11">
      <c r="K37" s="19"/>
    </row>
    <row r="38" spans="11:11">
      <c r="K38" s="19"/>
    </row>
    <row r="39" spans="11:11">
      <c r="K39" s="19"/>
    </row>
    <row r="40" spans="11:11">
      <c r="K40" s="19"/>
    </row>
    <row r="41" spans="11:11">
      <c r="K41" s="19"/>
    </row>
    <row r="45" spans="11:11">
      <c r="K45" s="19"/>
    </row>
    <row r="46" spans="11:11">
      <c r="K46" s="19"/>
    </row>
    <row r="47" spans="11:11">
      <c r="K47" s="19"/>
    </row>
    <row r="48" spans="11:11">
      <c r="K48" s="19"/>
    </row>
    <row r="49" spans="11:11">
      <c r="K49" s="19"/>
    </row>
    <row r="53" spans="11:11">
      <c r="K53" s="19"/>
    </row>
    <row r="54" spans="11:11">
      <c r="K54" s="19"/>
    </row>
    <row r="55" spans="11:11">
      <c r="K55" s="19"/>
    </row>
    <row r="56" spans="11:11">
      <c r="K56" s="19"/>
    </row>
  </sheetData>
  <dataConsolidate/>
  <mergeCells count="9">
    <mergeCell ref="D11:O11"/>
    <mergeCell ref="D3:O3"/>
    <mergeCell ref="D7:O7"/>
    <mergeCell ref="A11:C11"/>
    <mergeCell ref="A2:O2"/>
    <mergeCell ref="A3:C3"/>
    <mergeCell ref="A6:O6"/>
    <mergeCell ref="A7:C7"/>
    <mergeCell ref="A10:O10"/>
  </mergeCells>
  <dataValidations count="2">
    <dataValidation type="list" allowBlank="1" showInputMessage="1" showErrorMessage="1" sqref="M4 M12:M15 M8" xr:uid="{00000000-0002-0000-0800-000000000000}">
      <formula1>"New,Retest"</formula1>
    </dataValidation>
    <dataValidation type="list" allowBlank="1" showInputMessage="1" showErrorMessage="1" sqref="J4 J8 J12:J15 K11 K15:K16 K29:K32 K20 K24:K25 K4:K5 K7" xr:uid="{00000000-0002-0000-0800-000001000000}">
      <formula1>"Pass,Fail"</formula1>
    </dataValidation>
  </dataValidations>
  <pageMargins left="0.7" right="0.7" top="0.75" bottom="0.75" header="0.3" footer="0.3"/>
  <pageSetup scale="71" fitToHeight="1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7A4CC1AF2026409A6E39D9D04101A0" ma:contentTypeVersion="10" ma:contentTypeDescription="Create a new document." ma:contentTypeScope="" ma:versionID="9b155abda69d8a5f8a375e79177ba22c">
  <xsd:schema xmlns:xsd="http://www.w3.org/2001/XMLSchema" xmlns:xs="http://www.w3.org/2001/XMLSchema" xmlns:p="http://schemas.microsoft.com/office/2006/metadata/properties" xmlns:ns1="http://schemas.microsoft.com/sharepoint/v3" xmlns:ns2="e293ce31-67a4-4125-8330-80282ab27cbe" xmlns:ns3="6d12afd6-76fb-4d3e-b207-d43aeb8216c2" targetNamespace="http://schemas.microsoft.com/office/2006/metadata/properties" ma:root="true" ma:fieldsID="d52267e3328c36d1df1f47a997ada39b" ns1:_="" ns2:_="" ns3:_="">
    <xsd:import namespace="http://schemas.microsoft.com/sharepoint/v3"/>
    <xsd:import namespace="e293ce31-67a4-4125-8330-80282ab27cbe"/>
    <xsd:import namespace="6d12afd6-76fb-4d3e-b207-d43aeb8216c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93ce31-67a4-4125-8330-80282ab27c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2afd6-76fb-4d3e-b207-d43aeb8216c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e293ce31-67a4-4125-8330-80282ab27cbe">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7C1E2CB8-60B8-44BE-9FC4-556AA1D6C16F}"/>
</file>

<file path=customXml/itemProps2.xml><?xml version="1.0" encoding="utf-8"?>
<ds:datastoreItem xmlns:ds="http://schemas.openxmlformats.org/officeDocument/2006/customXml" ds:itemID="{F79ADA66-7DF3-478E-A253-D1D223D0007D}"/>
</file>

<file path=customXml/itemProps3.xml><?xml version="1.0" encoding="utf-8"?>
<ds:datastoreItem xmlns:ds="http://schemas.openxmlformats.org/officeDocument/2006/customXml" ds:itemID="{169E8140-7D95-4425-8125-DB04A4AAF9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Steffen, Cheryl</dc:creator>
  <cp:keywords/>
  <dc:description/>
  <cp:lastModifiedBy/>
  <cp:revision/>
  <dcterms:created xsi:type="dcterms:W3CDTF">2016-02-25T18:27:02Z</dcterms:created>
  <dcterms:modified xsi:type="dcterms:W3CDTF">2023-01-04T11:07:59Z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0x010100247A4CC1AF2026409A6E39D9D04101A0</vt:lpwstr>
  </property>
  <property fmtid="{D5CDD505-2E9C-101B-9397-08002B2CF9AE}" pid="3" name="Order">
    <vt:r8>937200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