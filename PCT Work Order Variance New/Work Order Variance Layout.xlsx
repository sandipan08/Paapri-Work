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PCT Work Order Variance New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" l="1"/>
  <c r="D21" i="2"/>
</calcChain>
</file>

<file path=xl/sharedStrings.xml><?xml version="1.0" encoding="utf-8"?>
<sst xmlns="http://schemas.openxmlformats.org/spreadsheetml/2006/main" count="89" uniqueCount="40">
  <si>
    <t>Work Order</t>
  </si>
  <si>
    <t>Materials</t>
  </si>
  <si>
    <t>Planned Material Cost</t>
  </si>
  <si>
    <t>Actual Material Cost</t>
  </si>
  <si>
    <t>Cost Variance</t>
  </si>
  <si>
    <t>Planned Material Quantity</t>
  </si>
  <si>
    <t>Actual Material Quantity</t>
  </si>
  <si>
    <t>Quantity Variance</t>
  </si>
  <si>
    <t>UOM</t>
  </si>
  <si>
    <t>Foot</t>
  </si>
  <si>
    <t>WO291</t>
  </si>
  <si>
    <t>1652-W5.905</t>
  </si>
  <si>
    <t>Material Analysis</t>
  </si>
  <si>
    <t>Operation Analysis</t>
  </si>
  <si>
    <t>Operation</t>
  </si>
  <si>
    <t>Printing and slitting</t>
  </si>
  <si>
    <t>Total Setup Time(Planned in Min)</t>
  </si>
  <si>
    <t>Total Setup Time(Actual in Min)</t>
  </si>
  <si>
    <t>Total Run Time(Planned in Min)</t>
  </si>
  <si>
    <t>Total Run Time(Actual in Min)</t>
  </si>
  <si>
    <t>Completed Quantity</t>
  </si>
  <si>
    <t>Total Cost(Planned)</t>
  </si>
  <si>
    <t>Total Cost(Actual)</t>
  </si>
  <si>
    <t>Summary</t>
  </si>
  <si>
    <t>Item</t>
  </si>
  <si>
    <t>Planned Cost</t>
  </si>
  <si>
    <t>Actual Cost</t>
  </si>
  <si>
    <t>Variance</t>
  </si>
  <si>
    <t>Select Filter Type</t>
  </si>
  <si>
    <t>1. Work Order
2. Item</t>
  </si>
  <si>
    <t>Populate Work Order List</t>
  </si>
  <si>
    <t>Populate All Assembly Item List</t>
  </si>
  <si>
    <t>After select the filter type -&gt; Work Order &amp; Item dropdown list will come up</t>
  </si>
  <si>
    <t>Work Order Variance Report</t>
  </si>
  <si>
    <t>Filters</t>
  </si>
  <si>
    <t>WO303</t>
  </si>
  <si>
    <t>9828-W27</t>
  </si>
  <si>
    <t>LS-1550-W54</t>
  </si>
  <si>
    <t>Slitting</t>
  </si>
  <si>
    <t>Lamination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</si>
</sst>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008000"/>
      <name val="Segoe UI"/>
      <family val="2"/>
    </font>
    <font>
      <sz val="26"/>
      <color rgb="FF232629"/>
      <name val="Calibri"/>
      <family val="2"/>
      <scheme val="minor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8" fontId="2" fillId="0" borderId="0" xfId="0" applyNumberFormat="1" applyFont="1"/>
    <xf numFmtId="0" fontId="0" fillId="0" borderId="0" xfId="0" applyFill="1" applyAlignment="1">
      <alignment wrapText="1"/>
    </xf>
    <xf numFmtId="8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8" fontId="0" fillId="0" borderId="0" xfId="0" applyNumberFormat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8" fontId="0" fillId="0" borderId="0" xfId="0" applyNumberFormat="1" applyAlignment="1">
      <alignment horizontal="left" wrapText="1"/>
    </xf>
    <xf numFmtId="0" fontId="0" fillId="0" borderId="0" xfId="0" applyFill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horizontal="left" vertical="center" wrapText="1"/>
    </xf>
    <xf numFmtId="8" fontId="3" fillId="0" borderId="0" xfId="0" applyNumberFormat="1" applyFont="1" applyAlignment="1">
      <alignment horizontal="left" wrapText="1"/>
    </xf>
    <xf numFmtId="8" fontId="2" fillId="0" borderId="0" xfId="0" applyNumberFormat="1" applyFont="1" applyFill="1" applyAlignment="1">
      <alignment horizontal="left" vertical="center" wrapText="1"/>
    </xf>
    <xf numFmtId="8" fontId="0" fillId="0" borderId="0" xfId="0" applyNumberForma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8" fontId="3" fillId="0" borderId="0" xfId="0" applyNumberFormat="1" applyFont="1" applyAlignment="1">
      <alignment horizontal="left" vertical="center" wrapText="1"/>
    </xf>
    <xf numFmtId="8" fontId="5" fillId="0" borderId="0" xfId="0" applyNumberFormat="1" applyFont="1"/>
    <xf numFmtId="0" fontId="0" fillId="3" borderId="0" xfId="0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="80" zoomScaleNormal="80" workbookViewId="0">
      <selection activeCell="D19" sqref="D19"/>
    </sheetView>
  </sheetViews>
  <sheetFormatPr defaultRowHeight="14.4" x14ac:dyDescent="0.3"/>
  <cols>
    <col min="1" max="1" width="19.44140625" style="1" customWidth="1"/>
    <col min="2" max="2" width="21.5546875" style="1" customWidth="1"/>
    <col min="3" max="3" width="28" style="1" customWidth="1"/>
    <col min="4" max="4" width="25.6640625" style="1" customWidth="1"/>
    <col min="5" max="5" width="26.77734375" style="1" customWidth="1"/>
    <col min="6" max="6" width="25.21875" style="1" bestFit="1" customWidth="1"/>
    <col min="7" max="7" width="20.6640625" style="1" customWidth="1"/>
    <col min="8" max="8" width="16.44140625" style="1" customWidth="1"/>
    <col min="9" max="9" width="15.33203125" style="1" customWidth="1"/>
    <col min="10" max="10" width="11.77734375" style="1" customWidth="1"/>
    <col min="11" max="16384" width="8.88671875" style="1"/>
  </cols>
  <sheetData>
    <row r="1" spans="1:10" ht="14.4" customHeight="1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s="4" customForma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s="4" customFormat="1" x14ac:dyDescent="0.3">
      <c r="A4" s="28" t="s">
        <v>34</v>
      </c>
      <c r="B4" s="28"/>
      <c r="C4" s="28"/>
      <c r="D4" s="28"/>
      <c r="E4" s="15"/>
      <c r="F4" s="15"/>
      <c r="G4" s="15"/>
      <c r="H4" s="15"/>
      <c r="I4" s="15"/>
      <c r="J4" s="15"/>
    </row>
    <row r="5" spans="1:10" ht="15" x14ac:dyDescent="0.35">
      <c r="A5" s="18" t="s">
        <v>28</v>
      </c>
      <c r="B5" s="30" t="s">
        <v>32</v>
      </c>
      <c r="C5" s="1" t="s">
        <v>24</v>
      </c>
      <c r="D5" s="1" t="s">
        <v>0</v>
      </c>
    </row>
    <row r="6" spans="1:10" x14ac:dyDescent="0.3">
      <c r="A6" s="29" t="s">
        <v>29</v>
      </c>
      <c r="B6" s="30"/>
      <c r="C6" s="29" t="s">
        <v>31</v>
      </c>
      <c r="D6" s="29" t="s">
        <v>30</v>
      </c>
    </row>
    <row r="7" spans="1:10" x14ac:dyDescent="0.3">
      <c r="A7" s="29"/>
      <c r="B7" s="30"/>
      <c r="C7" s="29"/>
      <c r="D7" s="29"/>
    </row>
    <row r="9" spans="1:10" s="6" customFormat="1" ht="22.8" customHeight="1" x14ac:dyDescent="0.3">
      <c r="A9" s="27" t="s">
        <v>12</v>
      </c>
      <c r="B9" s="27"/>
      <c r="C9" s="27"/>
      <c r="D9" s="27"/>
      <c r="E9" s="27"/>
      <c r="F9" s="27"/>
      <c r="G9" s="27"/>
      <c r="H9" s="27"/>
      <c r="I9" s="27"/>
      <c r="J9" s="27"/>
    </row>
    <row r="10" spans="1:10" ht="28.8" x14ac:dyDescent="0.3">
      <c r="A10" s="16" t="s">
        <v>0</v>
      </c>
      <c r="B10" s="16" t="s">
        <v>1</v>
      </c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6" t="s">
        <v>8</v>
      </c>
    </row>
    <row r="11" spans="1:10" s="12" customFormat="1" ht="15" x14ac:dyDescent="0.35">
      <c r="A11" s="13" t="s">
        <v>10</v>
      </c>
      <c r="B11" s="13" t="s">
        <v>11</v>
      </c>
      <c r="C11" s="19">
        <v>425.42</v>
      </c>
      <c r="D11" s="19">
        <v>425.42</v>
      </c>
      <c r="E11" s="20">
        <v>0</v>
      </c>
      <c r="F11" s="13">
        <v>9981</v>
      </c>
      <c r="G11" s="13">
        <v>9981</v>
      </c>
      <c r="H11" s="13">
        <v>0</v>
      </c>
      <c r="I11" s="9" t="s">
        <v>9</v>
      </c>
    </row>
    <row r="13" spans="1:10" s="17" customFormat="1" ht="20.399999999999999" customHeight="1" x14ac:dyDescent="0.3">
      <c r="A13" s="27" t="s">
        <v>13</v>
      </c>
      <c r="B13" s="27"/>
      <c r="C13" s="27"/>
      <c r="D13" s="27"/>
      <c r="E13" s="27"/>
      <c r="F13" s="27"/>
      <c r="G13" s="27"/>
      <c r="H13" s="27"/>
      <c r="I13" s="27"/>
      <c r="J13" s="27"/>
    </row>
    <row r="14" spans="1:10" s="7" customFormat="1" ht="28.8" customHeight="1" x14ac:dyDescent="0.3">
      <c r="A14" s="16" t="s">
        <v>0</v>
      </c>
      <c r="B14" s="16" t="s">
        <v>14</v>
      </c>
      <c r="C14" s="16" t="s">
        <v>16</v>
      </c>
      <c r="D14" s="16" t="s">
        <v>17</v>
      </c>
      <c r="E14" s="16" t="s">
        <v>18</v>
      </c>
      <c r="F14" s="16" t="s">
        <v>19</v>
      </c>
      <c r="G14" s="16" t="s">
        <v>20</v>
      </c>
      <c r="H14" s="16" t="s">
        <v>21</v>
      </c>
      <c r="I14" s="16" t="s">
        <v>22</v>
      </c>
      <c r="J14" s="16" t="s">
        <v>4</v>
      </c>
    </row>
    <row r="15" spans="1:10" s="7" customFormat="1" ht="15" x14ac:dyDescent="0.3">
      <c r="A15" s="13" t="s">
        <v>10</v>
      </c>
      <c r="B15" s="13" t="s">
        <v>15</v>
      </c>
      <c r="C15" s="19">
        <v>120</v>
      </c>
      <c r="D15" s="19">
        <v>110.2</v>
      </c>
      <c r="E15" s="8">
        <v>100.8</v>
      </c>
      <c r="F15" s="13">
        <v>301.93333332999998</v>
      </c>
      <c r="G15" s="13">
        <v>357</v>
      </c>
      <c r="H15" s="21">
        <v>404.8</v>
      </c>
      <c r="I15" s="22">
        <v>755.58</v>
      </c>
      <c r="J15" s="8">
        <v>-350.78</v>
      </c>
    </row>
    <row r="17" spans="1:15" s="17" customFormat="1" ht="23.4" customHeight="1" x14ac:dyDescent="0.3">
      <c r="A17" s="27" t="s">
        <v>23</v>
      </c>
      <c r="B17" s="27"/>
      <c r="C17" s="27"/>
      <c r="D17" s="27"/>
      <c r="E17" s="27"/>
      <c r="F17" s="27"/>
      <c r="G17" s="27"/>
      <c r="H17" s="27"/>
      <c r="I17" s="27"/>
      <c r="J17" s="27"/>
    </row>
    <row r="18" spans="1:15" s="10" customFormat="1" x14ac:dyDescent="0.3">
      <c r="A18" s="10" t="s">
        <v>0</v>
      </c>
      <c r="B18" s="10" t="s">
        <v>24</v>
      </c>
      <c r="C18" s="10" t="s">
        <v>25</v>
      </c>
      <c r="D18" s="10" t="s">
        <v>26</v>
      </c>
      <c r="E18" s="10" t="s">
        <v>27</v>
      </c>
    </row>
    <row r="19" spans="1:15" s="10" customFormat="1" ht="15" x14ac:dyDescent="0.35">
      <c r="A19" s="14" t="s">
        <v>10</v>
      </c>
      <c r="B19" s="10">
        <v>1783</v>
      </c>
      <c r="C19" s="11">
        <v>646.32000000000005</v>
      </c>
      <c r="D19" s="11">
        <v>1350.69</v>
      </c>
      <c r="E19" s="11">
        <v>-386.06</v>
      </c>
    </row>
    <row r="21" spans="1:15" ht="33.6" x14ac:dyDescent="0.3">
      <c r="O21" s="23"/>
    </row>
  </sheetData>
  <mergeCells count="9">
    <mergeCell ref="A1:J2"/>
    <mergeCell ref="A4:D4"/>
    <mergeCell ref="A13:J13"/>
    <mergeCell ref="A9:J9"/>
    <mergeCell ref="A17:J17"/>
    <mergeCell ref="A6:A7"/>
    <mergeCell ref="D6:D7"/>
    <mergeCell ref="C6:C7"/>
    <mergeCell ref="B5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96" zoomScaleNormal="96" workbookViewId="0">
      <selection activeCell="E10" sqref="E10"/>
    </sheetView>
  </sheetViews>
  <sheetFormatPr defaultRowHeight="14.4" x14ac:dyDescent="0.3"/>
  <cols>
    <col min="1" max="1" width="19.44140625" style="1" customWidth="1"/>
    <col min="2" max="2" width="21.5546875" style="1" customWidth="1"/>
    <col min="3" max="3" width="28" style="1" customWidth="1"/>
    <col min="4" max="4" width="25.6640625" style="1" customWidth="1"/>
    <col min="5" max="5" width="26.77734375" style="1" customWidth="1"/>
    <col min="6" max="6" width="25.21875" style="1" bestFit="1" customWidth="1"/>
    <col min="7" max="7" width="20.6640625" style="1" customWidth="1"/>
    <col min="8" max="8" width="16.44140625" style="1" customWidth="1"/>
    <col min="9" max="9" width="15.33203125" style="1" customWidth="1"/>
    <col min="10" max="10" width="11.77734375" style="1" customWidth="1"/>
    <col min="11" max="16384" width="8.88671875" style="1"/>
  </cols>
  <sheetData>
    <row r="1" spans="1:10" ht="14.4" customHeight="1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s="4" customForma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s="4" customFormat="1" x14ac:dyDescent="0.3">
      <c r="A4" s="28" t="s">
        <v>34</v>
      </c>
      <c r="B4" s="28"/>
      <c r="C4" s="28"/>
      <c r="D4" s="28"/>
      <c r="E4" s="15"/>
      <c r="F4" s="15"/>
      <c r="G4" s="15"/>
      <c r="H4" s="15"/>
      <c r="I4" s="15"/>
      <c r="J4" s="15"/>
    </row>
    <row r="5" spans="1:10" ht="15" x14ac:dyDescent="0.35">
      <c r="A5" s="18" t="s">
        <v>28</v>
      </c>
      <c r="B5" s="30" t="s">
        <v>32</v>
      </c>
      <c r="C5" s="1" t="s">
        <v>24</v>
      </c>
      <c r="D5" s="1" t="s">
        <v>0</v>
      </c>
    </row>
    <row r="6" spans="1:10" x14ac:dyDescent="0.3">
      <c r="A6" s="29" t="s">
        <v>29</v>
      </c>
      <c r="B6" s="30"/>
      <c r="C6" s="29" t="s">
        <v>31</v>
      </c>
      <c r="D6" s="29" t="s">
        <v>30</v>
      </c>
    </row>
    <row r="7" spans="1:10" x14ac:dyDescent="0.3">
      <c r="A7" s="29"/>
      <c r="B7" s="30"/>
      <c r="C7" s="29"/>
      <c r="D7" s="29"/>
    </row>
    <row r="9" spans="1:10" s="6" customFormat="1" ht="22.8" customHeight="1" x14ac:dyDescent="0.3">
      <c r="A9" s="27" t="s">
        <v>12</v>
      </c>
      <c r="B9" s="27"/>
      <c r="C9" s="27"/>
      <c r="D9" s="27"/>
      <c r="E9" s="27"/>
      <c r="F9" s="27"/>
      <c r="G9" s="27"/>
      <c r="H9" s="27"/>
      <c r="I9" s="27"/>
      <c r="J9" s="27"/>
    </row>
    <row r="10" spans="1:10" ht="28.8" x14ac:dyDescent="0.3">
      <c r="A10" s="16" t="s">
        <v>0</v>
      </c>
      <c r="B10" s="16" t="s">
        <v>1</v>
      </c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6" t="s">
        <v>8</v>
      </c>
    </row>
    <row r="11" spans="1:10" s="9" customFormat="1" ht="15" x14ac:dyDescent="0.3">
      <c r="A11" s="13" t="s">
        <v>35</v>
      </c>
      <c r="B11" s="13" t="s">
        <v>36</v>
      </c>
      <c r="C11" s="19">
        <v>1286.53</v>
      </c>
      <c r="D11" s="19">
        <v>765.22</v>
      </c>
      <c r="E11" s="24">
        <v>521.29999999999995</v>
      </c>
      <c r="F11" s="13">
        <v>2152</v>
      </c>
      <c r="G11" s="13">
        <v>1280</v>
      </c>
      <c r="H11" s="13">
        <v>872</v>
      </c>
      <c r="I11" s="9" t="s">
        <v>9</v>
      </c>
    </row>
    <row r="12" spans="1:10" s="7" customFormat="1" ht="15" x14ac:dyDescent="0.3">
      <c r="A12" s="13" t="s">
        <v>35</v>
      </c>
      <c r="B12" s="13" t="s">
        <v>37</v>
      </c>
      <c r="C12" s="19">
        <v>10332.290000000001</v>
      </c>
      <c r="D12" s="19">
        <v>10371.24</v>
      </c>
      <c r="E12" s="8">
        <v>-38.950000000000003</v>
      </c>
      <c r="F12" s="13">
        <v>538</v>
      </c>
      <c r="G12" s="13">
        <v>540</v>
      </c>
      <c r="H12" s="7">
        <v>-2</v>
      </c>
      <c r="I12" s="9" t="s">
        <v>9</v>
      </c>
    </row>
    <row r="13" spans="1:10" ht="15" x14ac:dyDescent="0.35">
      <c r="A13" s="2"/>
      <c r="B13" s="2"/>
    </row>
    <row r="14" spans="1:10" s="17" customFormat="1" ht="20.399999999999999" customHeight="1" x14ac:dyDescent="0.3">
      <c r="A14" s="27" t="s">
        <v>13</v>
      </c>
      <c r="B14" s="27"/>
      <c r="C14" s="27"/>
      <c r="D14" s="27"/>
      <c r="E14" s="27"/>
      <c r="F14" s="27"/>
      <c r="G14" s="27"/>
      <c r="H14" s="27"/>
      <c r="I14" s="27"/>
      <c r="J14" s="27"/>
    </row>
    <row r="15" spans="1:10" s="7" customFormat="1" ht="28.8" customHeight="1" x14ac:dyDescent="0.3">
      <c r="A15" s="16" t="s">
        <v>0</v>
      </c>
      <c r="B15" s="16" t="s">
        <v>14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  <c r="H15" s="16" t="s">
        <v>21</v>
      </c>
      <c r="I15" s="16" t="s">
        <v>22</v>
      </c>
      <c r="J15" s="16" t="s">
        <v>4</v>
      </c>
    </row>
    <row r="16" spans="1:10" s="7" customFormat="1" ht="15" x14ac:dyDescent="0.35">
      <c r="A16" s="13" t="s">
        <v>35</v>
      </c>
      <c r="B16" s="2" t="s">
        <v>38</v>
      </c>
      <c r="C16" s="2">
        <v>75</v>
      </c>
      <c r="D16" s="2">
        <v>6.1166666599999902</v>
      </c>
      <c r="E16" s="2">
        <v>192</v>
      </c>
      <c r="F16" s="2">
        <v>268.81666666000001</v>
      </c>
      <c r="G16" s="2">
        <v>1678</v>
      </c>
      <c r="H16" s="3">
        <v>578.5</v>
      </c>
      <c r="I16" s="3">
        <v>595.69000000000005</v>
      </c>
      <c r="J16" s="25">
        <v>-17.190000000000001</v>
      </c>
    </row>
    <row r="17" spans="1:15" ht="15" x14ac:dyDescent="0.35">
      <c r="A17" s="13" t="s">
        <v>35</v>
      </c>
      <c r="B17" s="2" t="s">
        <v>39</v>
      </c>
      <c r="C17" s="1">
        <v>180</v>
      </c>
      <c r="D17" s="2">
        <v>169.14999999</v>
      </c>
      <c r="E17" s="2">
        <v>768</v>
      </c>
      <c r="F17" s="2">
        <v>790.78333333</v>
      </c>
      <c r="G17" s="1">
        <v>1479</v>
      </c>
      <c r="H17" s="3">
        <v>2054</v>
      </c>
      <c r="I17" s="3">
        <v>2079.86</v>
      </c>
      <c r="J17" s="5">
        <v>-25.86</v>
      </c>
    </row>
    <row r="18" spans="1:15" ht="15" x14ac:dyDescent="0.35">
      <c r="A18" s="13"/>
      <c r="B18" s="2"/>
      <c r="D18" s="2"/>
      <c r="E18" s="2"/>
      <c r="F18" s="2"/>
      <c r="H18" s="3"/>
      <c r="I18" s="3"/>
      <c r="J18" s="5"/>
    </row>
    <row r="19" spans="1:15" s="17" customFormat="1" ht="23.4" customHeight="1" x14ac:dyDescent="0.3">
      <c r="A19" s="27" t="s">
        <v>23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5" s="10" customFormat="1" x14ac:dyDescent="0.3">
      <c r="A20" s="26" t="s">
        <v>0</v>
      </c>
      <c r="B20" s="26" t="s">
        <v>24</v>
      </c>
      <c r="C20" s="26" t="s">
        <v>25</v>
      </c>
      <c r="D20" s="26" t="s">
        <v>26</v>
      </c>
      <c r="E20" s="26" t="s">
        <v>27</v>
      </c>
    </row>
    <row r="21" spans="1:15" s="10" customFormat="1" ht="15" x14ac:dyDescent="0.3">
      <c r="A21" s="13" t="s">
        <v>35</v>
      </c>
      <c r="B21" s="10">
        <v>7933</v>
      </c>
      <c r="C21" s="19">
        <f>SUM(C11,C12:C12,H16,H17)</f>
        <v>14251.320000000002</v>
      </c>
      <c r="D21" s="11">
        <f>SUM(D11,D12,I16,I17)</f>
        <v>13812.01</v>
      </c>
      <c r="E21" s="24">
        <v>439.31</v>
      </c>
    </row>
    <row r="23" spans="1:15" ht="33.6" x14ac:dyDescent="0.3">
      <c r="O23" s="23"/>
    </row>
  </sheetData>
  <mergeCells count="9">
    <mergeCell ref="A9:J9"/>
    <mergeCell ref="A14:J14"/>
    <mergeCell ref="A19:J19"/>
    <mergeCell ref="A1:J2"/>
    <mergeCell ref="A4:D4"/>
    <mergeCell ref="B5:B7"/>
    <mergeCell ref="A6:A7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2023-09-04T14:54:24Z</dcterms:created>
  <dcterms:modified xsi:type="dcterms:W3CDTF">2023-09-05T17:23:33Z</dcterms:modified>
</cp:coreProperties>
</file>